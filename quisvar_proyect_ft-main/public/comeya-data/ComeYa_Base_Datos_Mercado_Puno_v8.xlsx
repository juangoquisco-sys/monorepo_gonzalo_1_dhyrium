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LEEME" sheetId="1" state="visible" r:id="rId3"/>
    <sheet name="13_Buscador" sheetId="2" state="visible" r:id="rId4"/>
    <sheet name="14_Cercania" sheetId="3" state="visible" r:id="rId5"/>
    <sheet name="99_Listas" sheetId="4" state="visible" r:id="rId6"/>
    <sheet name="01_Desayunos" sheetId="5" state="visible" r:id="rId7"/>
    <sheet name="02_Almuerzos" sheetId="6" state="visible" r:id="rId8"/>
    <sheet name="03_Cenas" sheetId="7" state="visible" r:id="rId9"/>
    <sheet name="04_Especiales" sheetId="8" state="visible" r:id="rId10"/>
    <sheet name="05_Jugos_Aperitivos" sheetId="9" state="visible" r:id="rId11"/>
    <sheet name="06_Jugos_Desayuno_Rapido" sheetId="10" state="visible" r:id="rId12"/>
    <sheet name="07_Licorerias" sheetId="11" state="visible" r:id="rId13"/>
    <sheet name="08_Restaurantes" sheetId="12" state="visible" r:id="rId14"/>
    <sheet name="08B_Como_Obtener_Contactos" sheetId="13" state="visible" r:id="rId15"/>
    <sheet name="09_Delivery_Competencia" sheetId="14" state="visible" r:id="rId16"/>
    <sheet name="09B_Empresas_Reparto_Taxi" sheetId="15" state="visible" r:id="rId17"/>
    <sheet name="09C_Registro_Repartidores" sheetId="16" state="visible" r:id="rId18"/>
    <sheet name="10_Ficha_Campo" sheetId="17" state="visible" r:id="rId19"/>
    <sheet name="11_Simulador_Pedido" sheetId="18" state="visible" r:id="rId20"/>
    <sheet name="12_Resumen" sheetId="19" state="visible" r:id="rId21"/>
    <sheet name="98_Catalogo" sheetId="20" state="hidden" r:id="rId22"/>
  </sheets>
  <definedNames>
    <definedName function="false" hidden="true" localSheetId="4" name="_xlnm._FilterDatabase" vbProcedure="false">01_Desayunos!$A$1:$U$93</definedName>
    <definedName function="false" hidden="true" localSheetId="5" name="_xlnm._FilterDatabase" vbProcedure="false">02_Almuerzos!$A$1:$U$172</definedName>
    <definedName function="false" hidden="true" localSheetId="6" name="_xlnm._FilterDatabase" vbProcedure="false">03_Cenas!$A$1:$U$113</definedName>
    <definedName function="false" hidden="true" localSheetId="7" name="_xlnm._FilterDatabase" vbProcedure="false">04_Especiales!$A$1:$U$97</definedName>
    <definedName function="false" hidden="true" localSheetId="8" name="_xlnm._FilterDatabase" vbProcedure="false">05_Jugos_Aperitivos!$A$1:$U$107</definedName>
    <definedName function="false" hidden="true" localSheetId="9" name="_xlnm._FilterDatabase" vbProcedure="false">06_Jugos_Desayuno_Rapido!$A$1:$U$99</definedName>
    <definedName function="false" hidden="true" localSheetId="10" name="_xlnm._FilterDatabase" vbProcedure="false">07_Licorerias!$A$1:$U$113</definedName>
    <definedName function="false" hidden="true" localSheetId="11" name="_xlnm._FilterDatabase" vbProcedure="false">08_Restaurantes!$A$2:$AK$391</definedName>
    <definedName function="false" hidden="true" localSheetId="13" name="_xlnm._FilterDatabase" vbProcedure="false">09_Delivery_Competencia!$A$1:$N$12</definedName>
    <definedName function="false" hidden="true" localSheetId="14" name="_xlnm._FilterDatabase" vbProcedure="false">09B_Empresas_Reparto_Taxi!$A$2:$AC$109</definedName>
    <definedName function="false" hidden="true" localSheetId="16" name="_xlnm._FilterDatabase" vbProcedure="false">10_Ficha_Campo!$A$1:$AF$302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<sst xmlns="http://schemas.openxmlformats.org/spreadsheetml/2006/main" count="14838" uniqueCount="3348">
  <si>
    <t xml:space="preserve">ComeYa — Base de datos de mercado gastronómico · CIUDAD DE PUNO</t>
  </si>
  <si>
    <t xml:space="preserve">Versión 8 · 22/09/2026</t>
  </si>
  <si>
    <t xml:space="preserve">LAS SIETE LISTAS DE CARTA</t>
  </si>
  <si>
    <t xml:space="preserve">01_Desayunos — 92 productos · 05:00 a 11:00 en local establecido: calderías, cafeterías, hoteles, desayunos completos.</t>
  </si>
  <si>
    <t xml:space="preserve">02_Almuerzos — 171 productos · 11:00 a 16:00: menú del día, sopas, segundos criollos, regional puneño, chifa, pescados del lago, vegetariano, acompañamientos.</t>
  </si>
  <si>
    <t xml:space="preserve">03_Cenas — 112 productos · 17:00 a 02:00: pollo a la brasa, broaster, hamburguesas, pizzas, anticuchos, chifa nocturno, calderías de madrugada.</t>
  </si>
  <si>
    <t xml:space="preserve">04_Especiales — 96 productos de ocasión: cuy, cancacho, alpaca, pachamanca, catering y volumen, dietas especiales, fechas festivas.</t>
  </si>
  <si>
    <t xml:space="preserve">05_Jugos_Aperitivos — 106 productos de local establecido: juguerías, batidos, bebidas frías, piqueos y postres.</t>
  </si>
  <si>
    <t xml:space="preserve">06_Jugos_Desayuno_Rapido — 98 productos de CARRETILLA, AMBULANTE Y PUESTO DE MERCADO: api con buñuelo, emoliente, quinuada, jugos de carretilla, pan con chicharrón, combos rápidos y snacks de calle.</t>
  </si>
  <si>
    <t xml:space="preserve">07_Licorerias — 112 productos: cervezas, pisco, ron, whisky, vinos, licores regionales, combos de fiesta, hielo e insumos.</t>
  </si>
  <si>
    <t xml:space="preserve">LAS OTRAS HOJAS</t>
  </si>
  <si>
    <t xml:space="preserve">13_Buscador — ESCRIBE UNA PALABRA Y ENCUENTRA CUALQUIERA DE LOS 787 PRODUCTOS. Busca a la vez en producto, categoría, descripción, ingredientes y tipo de local, en las siete listas. Debajo te arma la ficha completa: cómo presentarlo en la carta, en qué consiste, sus ingredientes, la clasificación de precio y cuánto recibe el restaurante.</t>
  </si>
  <si>
    <t xml:space="preserve">14_Cercania — elige un restaurante y ve los 10 repartidores y las 5 empresas de reparto más cercanos. Pon las coordenadas de un cliente y obtén la distancia, el tiempo estimado, la TARIFA DE DELIVERY SUGERIDA por kilómetro, el enlace a la ruta y los 10 restaurantes más cercanos a ese cliente.</t>
  </si>
  <si>
    <t xml:space="preserve">08_Restaurantes — 189 locales de la ciudad de Puno, 124 con coordenadas (110 exactas de OpenStreetMap, 14 aproximadas o probables) y 70 con teléfono. Cada fila trae LATITUD, LONGITUD, PRECISIÓN DE LA UBICACIÓN y un enlace VER EN GOOGLE MAPS, además de RUC, representante, contacto, dirección y ubigeo 210101. +200 filas libres.</t>
  </si>
  <si>
    <t xml:space="preserve">08B_Como_Obtener_Contactos — dónde conseguir legalmente el RUC, la razón social, el representante legal y las coordenadas de cada local, y qué cuidar con los datos personales.</t>
  </si>
  <si>
    <t xml:space="preserve">09_Delivery_Competencia — 11 actores que ya operan en Puno, con nivel de amenaza y lectura competitiva.</t>
  </si>
  <si>
    <t xml:space="preserve">09B_Empresas_Reparto_Taxi — 27 empresas de delivery, courier, radio taxi y taxi, y puntos de reclutamiento, 12 con teléfono. Mismas columnas de coordenadas y enlace a Google Maps; casi todas sus oficinas quedan por ubicar en campo.</t>
  </si>
  <si>
    <t xml:space="preserve">09C_Registro_Repartidores — formato para inscribir a los repartidores que postulen, con PUNTO BASE, LATITUD y LONGITUD BASE, cómo se obtuvo la ubicación, enlace al mapa, vehículo, licencia, SOAT, autorización de datos y autorización de ubicación en tiempo real.</t>
  </si>
  <si>
    <t xml:space="preserve">10_Ficha_Campo — formato de 29 columnas para el levantamiento en campo, con una casilla por cada una de las siete listas.</t>
  </si>
  <si>
    <t xml:space="preserve">11_Simulador_Pedido — margen real por pedido y punto de equilibrio mensual.</t>
  </si>
  <si>
    <t xml:space="preserve">12_Resumen — conteo y promedios de las siete listas, calculado con fórmulas.</t>
  </si>
  <si>
    <t xml:space="preserve">99_Listas — listas maestras: comisiones por segmento, 15 zonas de Puno con tarifa de delivery, 21 tipos de local.</t>
  </si>
  <si>
    <t xml:space="preserve">CÓMO USAR EL BUSCADOR</t>
  </si>
  <si>
    <t xml:space="preserve">1. Abre la hoja 13_Buscador. En la celda amarilla '¿Qué buscas?' escribe una palabra: trucha, api, pollo, quinua, cerveza, vegetariano, carretilla, lo que sea. Deja la celda vacía para ver todo.</t>
  </si>
  <si>
    <t xml:space="preserve">2. Si quieres, filtra por una de las siete listas en la celda de abajo.</t>
  </si>
  <si>
    <t xml:space="preserve">3. La tabla muestra hasta 25 coincidencias con su lista, categoría, clasificación y precio.</t>
  </si>
  <si>
    <t xml:space="preserve">4. Escribe el número del resultado que te interesa en 'Ver ficha del resultado N°' y la ficha de abajo se arma sola.</t>
  </si>
  <si>
    <t xml:space="preserve">5. La ficha te dice en qué hoja y en qué fila está ese producto, para que puedas ir a completar o corregir los ingredientes. Lo que escribas ahí aparece en el buscador de inmediato.</t>
  </si>
  <si>
    <t xml:space="preserve">POR QUÉ SE SEPARÓ 'JUGOS Y DESAYUNO RÁPIDO' DE 'JUGOS Y APERITIVOS'</t>
  </si>
  <si>
    <t xml:space="preserve">No es el mismo negocio. La lista 05 son locales establecidos con RUC, horario fijo y ticket de S/ 5 a S/ 20. La lista 06 son carretillas y puestos de mercado: informales, en efectivo, con ticket de S/ 2 a S/ 7 y ubicación que puede cambiar de esquina.</t>
  </si>
  <si>
    <t xml:space="preserve">Esa diferencia obliga a tratarlos distinto en la app: la lista 06 solo es rentable vendida en combo o agrupando pedidos de la misma cuadra, porque un vaso de api de S/ 3 no paga una entrega de S/ 3.50.</t>
  </si>
  <si>
    <t xml:space="preserve">A cambio, ahí está el hueco más claro del mercado: PideloPuno abre a las 11:00. Entre las 05:00 y las 09:00 no hay competencia formal en Puno.</t>
  </si>
  <si>
    <t xml:space="preserve">CÓMO SE USA</t>
  </si>
  <si>
    <t xml:space="preserve">1. En 99_Listas define el % de comisión por segmento y la tarifa de delivery por zona. Las siete listas se recalculan solas.</t>
  </si>
  <si>
    <t xml:space="preserve">2. En cada lista, las columnas amarillas INGREDIENTES y EMPAQUE son editables; PRECIO PROM, PRECIO EN APP, % COMISIÓN, COMISIÓN y NETO RESTAURANTE son fórmulas.</t>
  </si>
  <si>
    <t xml:space="preserve">   Los ingredientes vienen precargados con la receta base de cada plato. Son una referencia para armar la carta, no la receta exacta de un local: cada restaurante prepara a su manera y conviene confirmarlo al afiliarlo.</t>
  </si>
  <si>
    <t xml:space="preserve">3. En 11_Simulador_Pedido mueve los supuestos y mira cuántos pedidos diarios necesitas para equilibrio. Prueba con un producto de S/ 4 para ver por qué la lista 06 necesita combos.</t>
  </si>
  <si>
    <t xml:space="preserve">4. Sal a campo con 10_Ficha_Campo y vuelca lo levantado en 08_Restaurantes.</t>
  </si>
  <si>
    <t xml:space="preserve">HASTA DÓNDE LLEGAN ESTOS DATOS — LEER ANTES DE FIJAR PRECIOS</t>
  </si>
  <si>
    <t xml:space="preserve">Los RANGOS DE PRECIO de las siete listas son estimaciones de mercado para la ciudad de Puno, construidas con precios publicados en directorios gastronómicos y con el rango de menú popular de S/ 8 a S/ 12 que ya manejas. NO son precios verificados local por local.</t>
  </si>
  <si>
    <t xml:space="preserve">El PADRÓN DE LOCALES está sesgado al centro turístico, porque es lo único indexado en internet. Las pollerías vienen de un directorio con direcciones y teléfonos. Los menús populares de barrio y las carretillas — tu mercado objetivo real — no están en ninguna fuente pública y hay que levantarlos a pie.</t>
  </si>
  <si>
    <t xml:space="preserve">Las CIFRAS DE LA COMPETENCIA no son públicas. Lo único confirmado es que PideloPuno declara más de 40 establecimientos y atiende de 11:00 a 22:00.</t>
  </si>
  <si>
    <t xml:space="preserve">Ninguna celda de este archivo debe usarse como precio contractual sin verificación previa en campo.</t>
  </si>
  <si>
    <t xml:space="preserve">DOS ADVERTENCIAS OPERATIVAS QUE ESTÁN DENTRO DE LAS HOJAS</t>
  </si>
  <si>
    <t xml:space="preserve">Hoja 06: los vendedores de carretilla son en su mayoría informales — sin RUC, sin boleta, solo efectivo. Antes de subirlos a la app hay que resolver cómo se les paga, quién emite el comprobante y cómo se fija su punto de recojo.</t>
  </si>
  <si>
    <t xml:space="preserve">Hoja 07: la venta de alcohol por delivery exige verificar mayoría de edad (Ley 28681) y respetar el horario que fije la Municipalidad Provincial de Puno. Confirmar la ordenanza vigente antes de habilitar la categoría.</t>
  </si>
  <si>
    <t xml:space="preserve">CELDAS AMARILLAS = las que tú completas o ajustas. El resto son datos o fórmulas.</t>
  </si>
  <si>
    <t xml:space="preserve">FUENTES CONSULTADAS</t>
  </si>
  <si>
    <t xml:space="preserve">PideloPuno — pidelopuno.com · +40 establecimientos, atención 11:00–22:00, WhatsApp 951530110</t>
  </si>
  <si>
    <t xml:space="preserve">Nora Delivery Puno — noradelivery.com · sitio suspendido al 22/09/2026</t>
  </si>
  <si>
    <t xml:space="preserve">Delivery Puno To-Go y Delivery Puno — páginas de Facebook</t>
  </si>
  <si>
    <t xml:space="preserve">iPerú — directorio de pollerías de Puno con direcciones y teléfonos</t>
  </si>
  <si>
    <t xml:space="preserve">Wanderlog y Avalos Tours — directorios de restaurantes de Puno con direcciones</t>
  </si>
  <si>
    <t xml:space="preserve">Carta.menu, Restaurant Guru, Tripadvisor, Sluurpy, Planeta Perú — cartas y reseñas de locales de Puno</t>
  </si>
  <si>
    <t xml:space="preserve">Perú Encantos Travel y Chullos Travel — guías del Mercado Central de Puno (caldos, jugos, comida típica)</t>
  </si>
  <si>
    <t xml:space="preserve">Ecommercenews Perú e Infobae — apps de delivery con operación en el Perú</t>
  </si>
  <si>
    <t xml:space="preserve">OpenStreetMap — coordenadas de los locales vía la API Overpass · © colaboradores de OpenStreetMap, datos disponibles bajo la licencia ODbL (openstreetmap.org/copyright)</t>
  </si>
  <si>
    <t xml:space="preserve">BUSCADOR DE PRODUCTOS — ComeYa</t>
  </si>
  <si>
    <t xml:space="preserve">Escribe una palabra y presiona Enter. Busca en las 7 listas por producto, categoría, descripción, ingredientes y tipo de local.</t>
  </si>
  <si>
    <t xml:space="preserve">¿Qué buscas?</t>
  </si>
  <si>
    <t xml:space="preserve">pollo</t>
  </si>
  <si>
    <t xml:space="preserve">◄ escribe aquí (deja vacío para ver todo)</t>
  </si>
  <si>
    <t xml:space="preserve">Filtrar por lista</t>
  </si>
  <si>
    <t xml:space="preserve">Todas las listas</t>
  </si>
  <si>
    <t xml:space="preserve">◄ elige una lista o 'Todas las listas'</t>
  </si>
  <si>
    <t xml:space="preserve">Resultados encontrados</t>
  </si>
  <si>
    <t xml:space="preserve">Ver ficha del resultado N°</t>
  </si>
  <si>
    <t xml:space="preserve">◄ cambia este número para ver otra ficha</t>
  </si>
  <si>
    <t xml:space="preserve">N°</t>
  </si>
  <si>
    <t xml:space="preserve">LISTA</t>
  </si>
  <si>
    <t xml:space="preserve">CATEGORÍA</t>
  </si>
  <si>
    <t xml:space="preserve">PRODUCTO</t>
  </si>
  <si>
    <t xml:space="preserve">SEGMENTO</t>
  </si>
  <si>
    <t xml:space="preserve">PRECIO PROM S/</t>
  </si>
  <si>
    <t xml:space="preserve">PRECIO EN APP S/</t>
  </si>
  <si>
    <t xml:space="preserve">Se muestran los primeros 25 resultados. Afina la búsqueda o usa el filtro de lista si necesitas ver más.</t>
  </si>
  <si>
    <t xml:space="preserve">FICHA DEL PRODUCTO</t>
  </si>
  <si>
    <t xml:space="preserve">Corresponde al resultado N° indicado arriba.</t>
  </si>
  <si>
    <t xml:space="preserve">PRESENTACIÓN EN LA CARTA</t>
  </si>
  <si>
    <t xml:space="preserve">Producto</t>
  </si>
  <si>
    <t xml:space="preserve">Lista / momento del día</t>
  </si>
  <si>
    <t xml:space="preserve">Categoría de carta</t>
  </si>
  <si>
    <t xml:space="preserve">Descripción — en qué consiste</t>
  </si>
  <si>
    <t xml:space="preserve">Ingredientes</t>
  </si>
  <si>
    <t xml:space="preserve">Porción típica</t>
  </si>
  <si>
    <t xml:space="preserve">CLASIFICACIÓN DE PRECIO</t>
  </si>
  <si>
    <t xml:space="preserve">Clasificación</t>
  </si>
  <si>
    <t xml:space="preserve">Precio mínimo de mercado S/</t>
  </si>
  <si>
    <t xml:space="preserve">Precio máximo de mercado S/</t>
  </si>
  <si>
    <t xml:space="preserve">PRECIO SUGERIDO (promedio) S/</t>
  </si>
  <si>
    <t xml:space="preserve">PRECIO EN LA APP (con empaque) S/</t>
  </si>
  <si>
    <t xml:space="preserve">Comisión de ComeYa S/</t>
  </si>
  <si>
    <t xml:space="preserve">Recibe el restaurante S/</t>
  </si>
  <si>
    <t xml:space="preserve">OPERACIÓN</t>
  </si>
  <si>
    <t xml:space="preserve">Hora pico de venta</t>
  </si>
  <si>
    <t xml:space="preserve">Minutos de preparación</t>
  </si>
  <si>
    <t xml:space="preserve">¿Apto para delivery?</t>
  </si>
  <si>
    <t xml:space="preserve">Estacionalidad</t>
  </si>
  <si>
    <t xml:space="preserve">Tipo de local que lo vende</t>
  </si>
  <si>
    <t xml:space="preserve">Observación comercial</t>
  </si>
  <si>
    <t xml:space="preserve">PARA COMPLETAR O CORREGIR</t>
  </si>
  <si>
    <t xml:space="preserve">Está en la hoja</t>
  </si>
  <si>
    <t xml:space="preserve">en la fila N°</t>
  </si>
  <si>
    <t xml:space="preserve">Cómo editarlo</t>
  </si>
  <si>
    <t xml:space="preserve">Abre esa hoja, ve a esa fila y escribe en las columnas amarillas: INGREDIENTES (columna E) y EMPAQUE (columna K). La descripción está en la columna D. Lo que escribas aparece aquí al volver a buscar.</t>
  </si>
  <si>
    <t xml:space="preserve">CERCANÍA Y TARIFA POR DISTANCIA — ComeYa</t>
  </si>
  <si>
    <t xml:space="preserve">Elige un restaurante: verás los repartidores y empresas más cercanos. Pon la ubicación de un cliente: verás la distancia, el tiempo, la tarifa sugerida y los restaurantes más cercanos a él.</t>
  </si>
  <si>
    <t xml:space="preserve">1. RESTAURANTE DE ORIGEN</t>
  </si>
  <si>
    <t xml:space="preserve">Restaurante (elige de la lista)</t>
  </si>
  <si>
    <t xml:space="preserve">Mojsa Restaurante</t>
  </si>
  <si>
    <t xml:space="preserve">◄ elige un restaurante</t>
  </si>
  <si>
    <t xml:space="preserve">Latitud del restaurante</t>
  </si>
  <si>
    <t xml:space="preserve">Longitud del restaurante</t>
  </si>
  <si>
    <t xml:space="preserve">Precisión de la ubicación</t>
  </si>
  <si>
    <t xml:space="preserve">Ver el restaurante en el mapa</t>
  </si>
  <si>
    <t xml:space="preserve">2. UBICACIÓN DEL CLIENTE</t>
  </si>
  <si>
    <t xml:space="preserve">◄ pega aquí las coordenadas del cliente</t>
  </si>
  <si>
    <t xml:space="preserve">Latitud del cliente</t>
  </si>
  <si>
    <t xml:space="preserve">Ejemplo: Mercado Bellavista</t>
  </si>
  <si>
    <t xml:space="preserve">Longitud del cliente</t>
  </si>
  <si>
    <t xml:space="preserve">Distancia en línea recta (km)</t>
  </si>
  <si>
    <t xml:space="preserve">Distancia estimada por calles (km)</t>
  </si>
  <si>
    <t xml:space="preserve">Tiempo estimado de entrega en moto (min)</t>
  </si>
  <si>
    <t xml:space="preserve">TARIFA DE DELIVERY SUGERIDA (S/)</t>
  </si>
  <si>
    <t xml:space="preserve">Ver la ruta en Google Maps</t>
  </si>
  <si>
    <t xml:space="preserve">3. SUPUESTOS DE CÁLCULO (editables)</t>
  </si>
  <si>
    <t xml:space="preserve">Factor de calles (línea recta → recorrido real)</t>
  </si>
  <si>
    <t xml:space="preserve">Velocidad promedio en moto (km/h)</t>
  </si>
  <si>
    <t xml:space="preserve">Minutos fijos por pedido (recojo + entrega)</t>
  </si>
  <si>
    <t xml:space="preserve">Tarifa base (S/)</t>
  </si>
  <si>
    <t xml:space="preserve">Km incluidos en la tarifa base</t>
  </si>
  <si>
    <t xml:space="preserve">S/ por cada km adicional o fracción</t>
  </si>
  <si>
    <t xml:space="preserve">Tarifa máxima (S/)</t>
  </si>
  <si>
    <t xml:space="preserve">Con estos valores: hasta 1.5 km paga S/ 3.00; de 1.5 a 2.5 km, S/ 4.00; y así hasta un máximo de S/ 8.00.</t>
  </si>
  <si>
    <t xml:space="preserve">4. LOS 10 REPARTIDORES MÁS CERCANOS AL RESTAURANTE</t>
  </si>
  <si>
    <t xml:space="preserve">NOMBRE</t>
  </si>
  <si>
    <t xml:space="preserve">CELULAR</t>
  </si>
  <si>
    <t xml:space="preserve">VEHÍCULO</t>
  </si>
  <si>
    <t xml:space="preserve">ESTADO</t>
  </si>
  <si>
    <t xml:space="preserve">MAPA</t>
  </si>
  <si>
    <t xml:space="preserve">DISTANCIA (km)</t>
  </si>
  <si>
    <t xml:space="preserve">Toma a los repartidores de la hoja 09C que tienen LATITUD y LONGITUD BASE, excepto los marcados como Inactivo o Rechazado. Se llena sola a medida que se registran.</t>
  </si>
  <si>
    <t xml:space="preserve">5. LAS 5 EMPRESAS DE REPARTO O TAXI MÁS CERCANAS AL RESTAURANTE</t>
  </si>
  <si>
    <t xml:space="preserve">EMPRESA</t>
  </si>
  <si>
    <t xml:space="preserve">TELÉFONO</t>
  </si>
  <si>
    <t xml:space="preserve">TIPO</t>
  </si>
  <si>
    <t xml:space="preserve">Solo aparecen las empresas que ya tienen coordenadas en la hoja 09B.</t>
  </si>
  <si>
    <t xml:space="preserve">6. LOS 10 RESTAURANTES MÁS CERCANOS AL CLIENTE</t>
  </si>
  <si>
    <t xml:space="preserve">RESTAURANTE</t>
  </si>
  <si>
    <t xml:space="preserve">PRECISIÓN</t>
  </si>
  <si>
    <t xml:space="preserve">Usa las coordenadas del cliente del punto 2. Solo cuentan los restaurantes con coordenadas en la hoja 08.</t>
  </si>
  <si>
    <t xml:space="preserve">CARTA</t>
  </si>
  <si>
    <t xml:space="preserve">% COMISIÓN COMEYA</t>
  </si>
  <si>
    <t xml:space="preserve">ZONA DE PUNO</t>
  </si>
  <si>
    <t xml:space="preserve">TARIFA DELIVERY S/</t>
  </si>
  <si>
    <t xml:space="preserve">TIPO DE LOCAL</t>
  </si>
  <si>
    <t xml:space="preserve">Desayunos</t>
  </si>
  <si>
    <t xml:space="preserve">Económico</t>
  </si>
  <si>
    <t xml:space="preserve">Centro / Plaza de Armas</t>
  </si>
  <si>
    <t xml:space="preserve">Menú popular</t>
  </si>
  <si>
    <t xml:space="preserve">Almuerzos</t>
  </si>
  <si>
    <t xml:space="preserve">Estándar</t>
  </si>
  <si>
    <t xml:space="preserve">Mercado Central / Jr. Oquendo</t>
  </si>
  <si>
    <t xml:space="preserve">Restaurante turístico</t>
  </si>
  <si>
    <t xml:space="preserve">Cenas</t>
  </si>
  <si>
    <t xml:space="preserve">Medio</t>
  </si>
  <si>
    <t xml:space="preserve">Barrio Bellavista</t>
  </si>
  <si>
    <t xml:space="preserve">Pollería</t>
  </si>
  <si>
    <t xml:space="preserve">Especiales</t>
  </si>
  <si>
    <t xml:space="preserve">Premium</t>
  </si>
  <si>
    <t xml:space="preserve">Barrio Huáscar</t>
  </si>
  <si>
    <t xml:space="preserve">Broastería / salchipapería</t>
  </si>
  <si>
    <t xml:space="preserve">Jugos y aperitivos</t>
  </si>
  <si>
    <t xml:space="preserve">Av. El Sol</t>
  </si>
  <si>
    <t xml:space="preserve">Chifa</t>
  </si>
  <si>
    <t xml:space="preserve">Jugos y desayuno rápido</t>
  </si>
  <si>
    <t xml:space="preserve">Av. La Torre</t>
  </si>
  <si>
    <t xml:space="preserve">Cevichería</t>
  </si>
  <si>
    <t xml:space="preserve">Licorería</t>
  </si>
  <si>
    <t xml:space="preserve">Av. Simón Bolívar</t>
  </si>
  <si>
    <t xml:space="preserve">Pizzería</t>
  </si>
  <si>
    <t xml:space="preserve">Av. Circunvalación</t>
  </si>
  <si>
    <t xml:space="preserve">Cafetería</t>
  </si>
  <si>
    <t xml:space="preserve">Av. Sesquicentenario</t>
  </si>
  <si>
    <t xml:space="preserve">Juguería</t>
  </si>
  <si>
    <t xml:space="preserve">Chanu Chanu</t>
  </si>
  <si>
    <t xml:space="preserve">Caldería</t>
  </si>
  <si>
    <t xml:space="preserve">Salcedo</t>
  </si>
  <si>
    <t xml:space="preserve">Carretilla / ambulante</t>
  </si>
  <si>
    <t xml:space="preserve">Alto Puno</t>
  </si>
  <si>
    <t xml:space="preserve">Puesto de mercado</t>
  </si>
  <si>
    <t xml:space="preserve">Jayllihuaya</t>
  </si>
  <si>
    <t xml:space="preserve">Panadería / pastelería</t>
  </si>
  <si>
    <t xml:space="preserve">Taparachi / periferia</t>
  </si>
  <si>
    <t xml:space="preserve">Vegetariano / vegano</t>
  </si>
  <si>
    <t xml:space="preserve">Puerto / Uros</t>
  </si>
  <si>
    <t xml:space="preserve">Parrilla</t>
  </si>
  <si>
    <t xml:space="preserve">Por confirmar</t>
  </si>
  <si>
    <t xml:space="preserve">Bodega</t>
  </si>
  <si>
    <t xml:space="preserve">Campestre / recreo</t>
  </si>
  <si>
    <t xml:space="preserve">Catering</t>
  </si>
  <si>
    <t xml:space="preserve">Japonés / fusión</t>
  </si>
  <si>
    <t xml:space="preserve">Heladería</t>
  </si>
  <si>
    <t xml:space="preserve">Restaurante</t>
  </si>
  <si>
    <t xml:space="preserve">Celdas amarillas = editables. Cambiar el % de comisión recalcula las SIETE listas de carta.</t>
  </si>
  <si>
    <t xml:space="preserve">Tarifas por zona: propuesta inicial por distancia desde el centro. Ajustar tras medir tiempos reales de entrega.</t>
  </si>
  <si>
    <t xml:space="preserve">ID</t>
  </si>
  <si>
    <t xml:space="preserve">PRODUCTO / PLATO</t>
  </si>
  <si>
    <t xml:space="preserve">DESCRIPCIÓN</t>
  </si>
  <si>
    <t xml:space="preserve">INGREDIENTES</t>
  </si>
  <si>
    <t xml:space="preserve">PORCIÓN TÍPICA</t>
  </si>
  <si>
    <t xml:space="preserve">PRECIO MÍN S/</t>
  </si>
  <si>
    <t xml:space="preserve">PRECIO MÁX S/</t>
  </si>
  <si>
    <t xml:space="preserve">EMPAQUE S/</t>
  </si>
  <si>
    <t xml:space="preserve">% COMISIÓN</t>
  </si>
  <si>
    <t xml:space="preserve">COMISIÓN S/</t>
  </si>
  <si>
    <t xml:space="preserve">NETO RESTAURANTE S/</t>
  </si>
  <si>
    <t xml:space="preserve">HORA PICO</t>
  </si>
  <si>
    <t xml:space="preserve">PREP (min)</t>
  </si>
  <si>
    <t xml:space="preserve">APTO DELIVERY</t>
  </si>
  <si>
    <t xml:space="preserve">ESTACIONALIDAD</t>
  </si>
  <si>
    <t xml:space="preserve">OBSERVACIÓN COMERCIAL</t>
  </si>
  <si>
    <t xml:space="preserve">Caldos de mañana</t>
  </si>
  <si>
    <t xml:space="preserve">Caldo de gallina</t>
  </si>
  <si>
    <t xml:space="preserve">Presa de gallina, fideo, papa, huevo</t>
  </si>
  <si>
    <t xml:space="preserve">presa de gallina, fideo cabello de ángel, papa, huevo, cebolla china, kion, sal</t>
  </si>
  <si>
    <t xml:space="preserve">Plato hondo</t>
  </si>
  <si>
    <t xml:space="preserve">05:00-09:00</t>
  </si>
  <si>
    <t xml:space="preserve">Todo el año</t>
  </si>
  <si>
    <t xml:space="preserve">Caldería, mercado</t>
  </si>
  <si>
    <t xml:space="preserve">Producto rey del desayuno puneño; se vende desde la madrugada</t>
  </si>
  <si>
    <t xml:space="preserve">Caldo de cabeza</t>
  </si>
  <si>
    <t xml:space="preserve">Cabeza de cordero, papa, chuño</t>
  </si>
  <si>
    <t xml:space="preserve">cabeza de cordero, papa, chuño, cebolla, hierbabuena, sal</t>
  </si>
  <si>
    <t xml:space="preserve">Muy pedido los fines de semana</t>
  </si>
  <si>
    <t xml:space="preserve">Caldo de cordero</t>
  </si>
  <si>
    <t xml:space="preserve">Cordero, chuño, papa, verduras</t>
  </si>
  <si>
    <t xml:space="preserve">carne de cordero, chuño, papa, zanahoria, cebolla, hierbabuena, sal</t>
  </si>
  <si>
    <t xml:space="preserve">Caldo de res</t>
  </si>
  <si>
    <t xml:space="preserve">Trozo de res, papa, fideo</t>
  </si>
  <si>
    <t xml:space="preserve">carne de res, papa, fideo, zanahoria, apio, cebolla, sal</t>
  </si>
  <si>
    <t xml:space="preserve">Caldo de patita</t>
  </si>
  <si>
    <t xml:space="preserve">Patita de res o cordero</t>
  </si>
  <si>
    <t xml:space="preserve">patita de res, mote, papa, hierbabuena, cebolla, sal</t>
  </si>
  <si>
    <t xml:space="preserve">Chairo de desayuno</t>
  </si>
  <si>
    <t xml:space="preserve">Chuño, carne, verduras</t>
  </si>
  <si>
    <t xml:space="preserve">chuño, carne de cordero o res, trigo, habas, zanahoria, papa, cebolla, hierbabuena</t>
  </si>
  <si>
    <t xml:space="preserve">06:00-10:00</t>
  </si>
  <si>
    <t xml:space="preserve">Mayor demanda en frío</t>
  </si>
  <si>
    <t xml:space="preserve">Caldería, menú</t>
  </si>
  <si>
    <t xml:space="preserve">Plato regional emblemático</t>
  </si>
  <si>
    <t xml:space="preserve">Sopa de quinua</t>
  </si>
  <si>
    <t xml:space="preserve">Quinua, verduras, carne</t>
  </si>
  <si>
    <t xml:space="preserve">quinua, zanahoria, papa, carne, cebolla, apio, sal</t>
  </si>
  <si>
    <t xml:space="preserve">Menú, vegetariano</t>
  </si>
  <si>
    <t xml:space="preserve">Kalapurca</t>
  </si>
  <si>
    <t xml:space="preserve">Sopa con piedra caliente</t>
  </si>
  <si>
    <t xml:space="preserve">maíz blanco, carne, papa, piedra caliente, cebolla, ají</t>
  </si>
  <si>
    <t xml:space="preserve">Bajo</t>
  </si>
  <si>
    <t xml:space="preserve">Fiestas y feriados</t>
  </si>
  <si>
    <t xml:space="preserve">Regional</t>
  </si>
  <si>
    <t xml:space="preserve">Difícil de enviar: pierde la característica del plato</t>
  </si>
  <si>
    <t xml:space="preserve">Bebidas calientes</t>
  </si>
  <si>
    <t xml:space="preserve">Mate de coca</t>
  </si>
  <si>
    <t xml:space="preserve">Infusión de hoja de coca</t>
  </si>
  <si>
    <t xml:space="preserve">hoja de coca, agua caliente</t>
  </si>
  <si>
    <t xml:space="preserve">Taza</t>
  </si>
  <si>
    <t xml:space="preserve">Cafetería, hotel</t>
  </si>
  <si>
    <t xml:space="preserve">Muy pedido por turistas</t>
  </si>
  <si>
    <t xml:space="preserve">Mate de muña</t>
  </si>
  <si>
    <t xml:space="preserve">Infusión de muña</t>
  </si>
  <si>
    <t xml:space="preserve">muña, agua caliente</t>
  </si>
  <si>
    <t xml:space="preserve">Café pasado</t>
  </si>
  <si>
    <t xml:space="preserve">Café de filtro</t>
  </si>
  <si>
    <t xml:space="preserve">café molido, agua caliente</t>
  </si>
  <si>
    <t xml:space="preserve">06:00-11:00</t>
  </si>
  <si>
    <t xml:space="preserve">Alto</t>
  </si>
  <si>
    <t xml:space="preserve">Capuchino</t>
  </si>
  <si>
    <t xml:space="preserve">Café con leche espumada</t>
  </si>
  <si>
    <t xml:space="preserve">café espresso, leche, espuma de leche</t>
  </si>
  <si>
    <t xml:space="preserve">07:00-11:00</t>
  </si>
  <si>
    <t xml:space="preserve">Pierde calidad en traslado largo</t>
  </si>
  <si>
    <t xml:space="preserve">Chocolate caliente</t>
  </si>
  <si>
    <t xml:space="preserve">Con leche</t>
  </si>
  <si>
    <t xml:space="preserve">chocolate en barra o cocoa, leche, azúcar, canela</t>
  </si>
  <si>
    <t xml:space="preserve">Leche con avena</t>
  </si>
  <si>
    <t xml:space="preserve">Bebida espesa</t>
  </si>
  <si>
    <t xml:space="preserve">avena, leche, manzana, canela, azúcar</t>
  </si>
  <si>
    <t xml:space="preserve">Vaso 300 ml</t>
  </si>
  <si>
    <t xml:space="preserve">Mercado</t>
  </si>
  <si>
    <t xml:space="preserve">Panes y sándwiches</t>
  </si>
  <si>
    <t xml:space="preserve">Pan con chicharrón</t>
  </si>
  <si>
    <t xml:space="preserve">Chicharrón de cerdo, camote frito, salsa criolla</t>
  </si>
  <si>
    <t xml:space="preserve">pan, chicharrón de cerdo, camote frito, salsa criolla (cebolla, limón, ají)</t>
  </si>
  <si>
    <t xml:space="preserve">1 unidad</t>
  </si>
  <si>
    <t xml:space="preserve">Panadería, mercado</t>
  </si>
  <si>
    <t xml:space="preserve">Excelente para delivery: aguanta traslado</t>
  </si>
  <si>
    <t xml:space="preserve">Sándwich de palta</t>
  </si>
  <si>
    <t xml:space="preserve">Palta, huevo, tomate</t>
  </si>
  <si>
    <t xml:space="preserve">pan, palta, huevo, tomate, sal</t>
  </si>
  <si>
    <t xml:space="preserve">Cafetería, mercado</t>
  </si>
  <si>
    <t xml:space="preserve">Sándwich de pollo</t>
  </si>
  <si>
    <t xml:space="preserve">Pollo deshilachado, vegetales</t>
  </si>
  <si>
    <t xml:space="preserve">pan, pollo deshilachado, lechuga, tomate, mayonesa</t>
  </si>
  <si>
    <t xml:space="preserve">Sándwich mixto</t>
  </si>
  <si>
    <t xml:space="preserve">Jamón y queso</t>
  </si>
  <si>
    <t xml:space="preserve">pan, jamón, queso, mantequilla</t>
  </si>
  <si>
    <t xml:space="preserve">Pan con huevo</t>
  </si>
  <si>
    <t xml:space="preserve">Huevo frito o revuelto</t>
  </si>
  <si>
    <t xml:space="preserve">pan, huevo, sal, aceite</t>
  </si>
  <si>
    <t xml:space="preserve">Tostadas con mermelada</t>
  </si>
  <si>
    <t xml:space="preserve">Pan tostado, mantequilla, mermelada</t>
  </si>
  <si>
    <t xml:space="preserve">pan tostado, mantequilla, mermelada</t>
  </si>
  <si>
    <t xml:space="preserve">2 unidades</t>
  </si>
  <si>
    <t xml:space="preserve">Empanada de carne</t>
  </si>
  <si>
    <t xml:space="preserve">Empanada horneada</t>
  </si>
  <si>
    <t xml:space="preserve">masa de trigo, carne molida, cebolla, huevo, aceituna, pasas</t>
  </si>
  <si>
    <t xml:space="preserve">Panadería</t>
  </si>
  <si>
    <t xml:space="preserve">Empanada de queso</t>
  </si>
  <si>
    <t xml:space="preserve">masa de trigo, queso fresco</t>
  </si>
  <si>
    <t xml:space="preserve">Desayunos completos</t>
  </si>
  <si>
    <t xml:space="preserve">Desayuno americano</t>
  </si>
  <si>
    <t xml:space="preserve">Café o jugo, pan, huevo, mantequilla, mermelada</t>
  </si>
  <si>
    <t xml:space="preserve">café o jugo, pan, huevo, mantequilla, mermelada</t>
  </si>
  <si>
    <t xml:space="preserve">Bandeja</t>
  </si>
  <si>
    <t xml:space="preserve">07:00-10:00</t>
  </si>
  <si>
    <t xml:space="preserve">Buen candidato para combo en app</t>
  </si>
  <si>
    <t xml:space="preserve">Desayuno continental</t>
  </si>
  <si>
    <t xml:space="preserve">Pan, mermelada, café, fruta</t>
  </si>
  <si>
    <t xml:space="preserve">pan, mermelada, mantequilla, café, fruta</t>
  </si>
  <si>
    <t xml:space="preserve">Hotel, cafetería</t>
  </si>
  <si>
    <t xml:space="preserve">Desayuno andino</t>
  </si>
  <si>
    <t xml:space="preserve">Quinua, queso, pan, mate</t>
  </si>
  <si>
    <t xml:space="preserve">quinua, queso fresco, pan, mate de coca, huevo</t>
  </si>
  <si>
    <t xml:space="preserve">Cafetería turística</t>
  </si>
  <si>
    <t xml:space="preserve">Diferenciador para turistas</t>
  </si>
  <si>
    <t xml:space="preserve">Desayuno criollo</t>
  </si>
  <si>
    <t xml:space="preserve">Caldo + segundo ligero + bebida</t>
  </si>
  <si>
    <t xml:space="preserve">pan, bebida caliente o jugo, huevo o relleno, fruta</t>
  </si>
  <si>
    <t xml:space="preserve">Menú</t>
  </si>
  <si>
    <t xml:space="preserve">Versión matutina del menú</t>
  </si>
  <si>
    <t xml:space="preserve">Huevos revueltos con pan</t>
  </si>
  <si>
    <t xml:space="preserve">Huevos, pan, café</t>
  </si>
  <si>
    <t xml:space="preserve">huevo, aceite o mantequilla, sal</t>
  </si>
  <si>
    <t xml:space="preserve">Plato</t>
  </si>
  <si>
    <t xml:space="preserve">Tortilla de verduras desayuno</t>
  </si>
  <si>
    <t xml:space="preserve">Huevo con verduras</t>
  </si>
  <si>
    <t xml:space="preserve">huevo, zanahoria, vainita, cebolla, sal, arroz</t>
  </si>
  <si>
    <t xml:space="preserve">Pastel de choclo / humita</t>
  </si>
  <si>
    <t xml:space="preserve">Humita dulce o salada</t>
  </si>
  <si>
    <t xml:space="preserve">choclo molido, queso o azúcar, manteca, panca de maíz</t>
  </si>
  <si>
    <t xml:space="preserve">Quispiño</t>
  </si>
  <si>
    <t xml:space="preserve">Panecillo de quinua</t>
  </si>
  <si>
    <t xml:space="preserve">harina de quinua, agua, sal, cal o ceniza</t>
  </si>
  <si>
    <t xml:space="preserve">Mercado, regional</t>
  </si>
  <si>
    <t xml:space="preserve">Producto identitario de Puno</t>
  </si>
  <si>
    <t xml:space="preserve">Pan de tres puntas / marraqueta</t>
  </si>
  <si>
    <t xml:space="preserve">Pan local</t>
  </si>
  <si>
    <t xml:space="preserve">harina de trigo, levadura, manteca, sal o azúcar</t>
  </si>
  <si>
    <t xml:space="preserve">3 unidades</t>
  </si>
  <si>
    <t xml:space="preserve">05:00-10:00</t>
  </si>
  <si>
    <t xml:space="preserve">Complemento de bajo costo para subir ticket</t>
  </si>
  <si>
    <t xml:space="preserve">Caldo de pollo con fideo</t>
  </si>
  <si>
    <t xml:space="preserve">Presa de pollo, fideo, papa</t>
  </si>
  <si>
    <t xml:space="preserve">presa de pollo, fideo, papa, zanahoria, cebolla china, sal</t>
  </si>
  <si>
    <t xml:space="preserve">Versión más barata del caldo de gallina</t>
  </si>
  <si>
    <t xml:space="preserve">Caldo de menudencia</t>
  </si>
  <si>
    <t xml:space="preserve">Menudencias de pollo</t>
  </si>
  <si>
    <t xml:space="preserve">menudencia de pollo, fideo, papa, cebolla china, sal</t>
  </si>
  <si>
    <t xml:space="preserve">Caldo de chuño</t>
  </si>
  <si>
    <t xml:space="preserve">Chuño, carne, queso</t>
  </si>
  <si>
    <t xml:space="preserve">chuño, carne, queso fresco, huevo, cebolla, sal</t>
  </si>
  <si>
    <t xml:space="preserve">Caldería, regional</t>
  </si>
  <si>
    <t xml:space="preserve">Caldo de lisas</t>
  </si>
  <si>
    <t xml:space="preserve">Pescado del lago en caldo</t>
  </si>
  <si>
    <t xml:space="preserve">lisas del lago, papa, chuño, cebolla, hierbabuena, sal</t>
  </si>
  <si>
    <t xml:space="preserve">Pescado del Titicaca</t>
  </si>
  <si>
    <t xml:space="preserve">Caldo de mondongo</t>
  </si>
  <si>
    <t xml:space="preserve">Mondongo con mote</t>
  </si>
  <si>
    <t xml:space="preserve">mondongo, mote, papa, cebolla, hierbabuena, sal</t>
  </si>
  <si>
    <t xml:space="preserve">Fin de semana</t>
  </si>
  <si>
    <t xml:space="preserve">Jugo de carne / sustancia</t>
  </si>
  <si>
    <t xml:space="preserve">Caldo concentrado de res</t>
  </si>
  <si>
    <t xml:space="preserve">carne de res, huevo, cebolla, sal</t>
  </si>
  <si>
    <t xml:space="preserve">Percibido como reconstituyente</t>
  </si>
  <si>
    <t xml:space="preserve">Desayuno buffet hotel</t>
  </si>
  <si>
    <t xml:space="preserve">Buffet libre de mañana</t>
  </si>
  <si>
    <t xml:space="preserve">surtido de platos del servicio contratado</t>
  </si>
  <si>
    <t xml:space="preserve">Por persona</t>
  </si>
  <si>
    <t xml:space="preserve">Temporada alta jun-ago</t>
  </si>
  <si>
    <t xml:space="preserve">Hotel</t>
  </si>
  <si>
    <t xml:space="preserve">No aplica a delivery</t>
  </si>
  <si>
    <t xml:space="preserve">Desayuno ejecutivo</t>
  </si>
  <si>
    <t xml:space="preserve">Jugo, café, sándwich, fruta</t>
  </si>
  <si>
    <t xml:space="preserve">Buen producto para oficinas</t>
  </si>
  <si>
    <t xml:space="preserve">Desayuno familiar para 4</t>
  </si>
  <si>
    <t xml:space="preserve">4 desayunos completos</t>
  </si>
  <si>
    <t xml:space="preserve">Pedido</t>
  </si>
  <si>
    <t xml:space="preserve">Cafetería, restaurante</t>
  </si>
  <si>
    <t xml:space="preserve">Ticket alto de domingo</t>
  </si>
  <si>
    <t xml:space="preserve">Desayuno fitness</t>
  </si>
  <si>
    <t xml:space="preserve">Claras, avena, fruta</t>
  </si>
  <si>
    <t xml:space="preserve">Saludable</t>
  </si>
  <si>
    <t xml:space="preserve">Nicho de gimnasios</t>
  </si>
  <si>
    <t xml:space="preserve">Panqueques con miel</t>
  </si>
  <si>
    <t xml:space="preserve">Panqueques, fruta, miel</t>
  </si>
  <si>
    <t xml:space="preserve">harina, huevo, leche, azúcar, miel, mantequilla</t>
  </si>
  <si>
    <t xml:space="preserve">Waffles con fruta</t>
  </si>
  <si>
    <t xml:space="preserve">Waffle, crema, fruta</t>
  </si>
  <si>
    <t xml:space="preserve">Pierde textura si se demora</t>
  </si>
  <si>
    <t xml:space="preserve">Huevos benedictinos</t>
  </si>
  <si>
    <t xml:space="preserve">Huevos pochados sobre pan</t>
  </si>
  <si>
    <t xml:space="preserve">huevo pochado, pan, salsa holandesa, jamón</t>
  </si>
  <si>
    <t xml:space="preserve">Omelette de queso y verduras</t>
  </si>
  <si>
    <t xml:space="preserve">Tortilla rellena</t>
  </si>
  <si>
    <t xml:space="preserve">Yogurt con granola y fruta</t>
  </si>
  <si>
    <t xml:space="preserve">Vaso con granola</t>
  </si>
  <si>
    <t xml:space="preserve">yogurt natural, granola, fruta de estación, miel</t>
  </si>
  <si>
    <t xml:space="preserve">Vaso</t>
  </si>
  <si>
    <t xml:space="preserve">Cafetería, saludable</t>
  </si>
  <si>
    <t xml:space="preserve">Avena con manzana</t>
  </si>
  <si>
    <t xml:space="preserve">Bebida espesa caliente</t>
  </si>
  <si>
    <t xml:space="preserve">Vaso 500 ml</t>
  </si>
  <si>
    <t xml:space="preserve">Sándwich de pollo deshilachado</t>
  </si>
  <si>
    <t xml:space="preserve">Pollo, lechuga, mayonesa</t>
  </si>
  <si>
    <t xml:space="preserve">Sándwich de lomito ahumado</t>
  </si>
  <si>
    <t xml:space="preserve">Lomo ahumado, queso</t>
  </si>
  <si>
    <t xml:space="preserve">pan, lomo ahumado, queso, lechuga, tomate</t>
  </si>
  <si>
    <t xml:space="preserve">Croissant relleno</t>
  </si>
  <si>
    <t xml:space="preserve">Croissant con jamón y queso</t>
  </si>
  <si>
    <t xml:space="preserve">masa de croissant, jamón, queso</t>
  </si>
  <si>
    <t xml:space="preserve">Panadería, cafetería</t>
  </si>
  <si>
    <t xml:space="preserve">Pan con queso frito</t>
  </si>
  <si>
    <t xml:space="preserve">Queso frito local</t>
  </si>
  <si>
    <t xml:space="preserve">pan, queso fresco frito, sal</t>
  </si>
  <si>
    <t xml:space="preserve">Mercado, panadería</t>
  </si>
  <si>
    <t xml:space="preserve">Queso de la zona, identidad local</t>
  </si>
  <si>
    <t xml:space="preserve">Pan con aceituna y queso</t>
  </si>
  <si>
    <t xml:space="preserve">Desayuno simple</t>
  </si>
  <si>
    <t xml:space="preserve">pan, aceituna, queso fresco</t>
  </si>
  <si>
    <t xml:space="preserve">Café americano</t>
  </si>
  <si>
    <t xml:space="preserve">Café filtrado</t>
  </si>
  <si>
    <t xml:space="preserve">Café con leche</t>
  </si>
  <si>
    <t xml:space="preserve">Café con leche caliente</t>
  </si>
  <si>
    <t xml:space="preserve">Latte / mocaccino</t>
  </si>
  <si>
    <t xml:space="preserve">Café especial</t>
  </si>
  <si>
    <t xml:space="preserve">Pierde espuma en traslado</t>
  </si>
  <si>
    <t xml:space="preserve">Té de manzanilla / anís</t>
  </si>
  <si>
    <t xml:space="preserve">Infusión</t>
  </si>
  <si>
    <t xml:space="preserve">hierba aromática, agua caliente, azúcar</t>
  </si>
  <si>
    <t xml:space="preserve">Submarino</t>
  </si>
  <si>
    <t xml:space="preserve">Leche caliente con chocolate</t>
  </si>
  <si>
    <t xml:space="preserve">Caldo de huevo</t>
  </si>
  <si>
    <t xml:space="preserve">Caldo claro con huevo escalfado</t>
  </si>
  <si>
    <t xml:space="preserve">huevo, papa, cebolla china, orégano, sal</t>
  </si>
  <si>
    <t xml:space="preserve">El más barato de la caldería</t>
  </si>
  <si>
    <t xml:space="preserve">Sopa de fideo con leche</t>
  </si>
  <si>
    <t xml:space="preserve">Fideo, leche, huevo</t>
  </si>
  <si>
    <t xml:space="preserve">fideo, leche, huevo, sal</t>
  </si>
  <si>
    <t xml:space="preserve">Caldo de pata con mote</t>
  </si>
  <si>
    <t xml:space="preserve">Pata de res, mote, hierbabuena</t>
  </si>
  <si>
    <t xml:space="preserve">Caldo de cordero con chuño</t>
  </si>
  <si>
    <t xml:space="preserve">Versión reforzada</t>
  </si>
  <si>
    <t xml:space="preserve">Caldo de trucha</t>
  </si>
  <si>
    <t xml:space="preserve">Trucha del lago en caldo</t>
  </si>
  <si>
    <t xml:space="preserve">trucha, papa, chuño, cebolla, hierbabuena, sal</t>
  </si>
  <si>
    <t xml:space="preserve">Sopa de quinua con leche</t>
  </si>
  <si>
    <t xml:space="preserve">Quinua, leche, queso</t>
  </si>
  <si>
    <t xml:space="preserve">Menú, regional</t>
  </si>
  <si>
    <t xml:space="preserve">Desayuno de trabajador</t>
  </si>
  <si>
    <t xml:space="preserve">Caldo + segundo ligero + pan</t>
  </si>
  <si>
    <t xml:space="preserve">05:00-08:00</t>
  </si>
  <si>
    <t xml:space="preserve">Cliente madrugador de mercado y obra</t>
  </si>
  <si>
    <t xml:space="preserve">Desayuno turístico</t>
  </si>
  <si>
    <t xml:space="preserve">Pan, jugo, café, fruta, huevo</t>
  </si>
  <si>
    <t xml:space="preserve">Combo desayuno para 2</t>
  </si>
  <si>
    <t xml:space="preserve">Dos desayunos completos</t>
  </si>
  <si>
    <t xml:space="preserve">preparación del menú contratado en la cantidad solicitada</t>
  </si>
  <si>
    <t xml:space="preserve">Huevos fritos con arroz</t>
  </si>
  <si>
    <t xml:space="preserve">Huevos, arroz, plátano</t>
  </si>
  <si>
    <t xml:space="preserve">Huevos a la copa</t>
  </si>
  <si>
    <t xml:space="preserve">Huevos pasados</t>
  </si>
  <si>
    <t xml:space="preserve">Porción</t>
  </si>
  <si>
    <t xml:space="preserve">Tortilla de quinua</t>
  </si>
  <si>
    <t xml:space="preserve">Tortilla con quinua y verduras</t>
  </si>
  <si>
    <t xml:space="preserve">huevo, harina o quinua, verduras, sal</t>
  </si>
  <si>
    <t xml:space="preserve">Vegetariano, regional</t>
  </si>
  <si>
    <t xml:space="preserve">Diferenciador andino</t>
  </si>
  <si>
    <t xml:space="preserve">Pastel de papa</t>
  </si>
  <si>
    <t xml:space="preserve">Papa al horno con queso</t>
  </si>
  <si>
    <t xml:space="preserve">papa, queso, leche, huevo, mantequilla</t>
  </si>
  <si>
    <t xml:space="preserve">Panadería, menú</t>
  </si>
  <si>
    <t xml:space="preserve">Ensalada de frutas con yogurt</t>
  </si>
  <si>
    <t xml:space="preserve">Fruta picada, yogurt, granola</t>
  </si>
  <si>
    <t xml:space="preserve">Vaso grande</t>
  </si>
  <si>
    <t xml:space="preserve">Juguería, cafetería</t>
  </si>
  <si>
    <t xml:space="preserve">Plato de fruta con miel</t>
  </si>
  <si>
    <t xml:space="preserve">Fruta de estación</t>
  </si>
  <si>
    <t xml:space="preserve">fruta de estación, miel o yogurt</t>
  </si>
  <si>
    <t xml:space="preserve">Papaya con yogurt</t>
  </si>
  <si>
    <t xml:space="preserve">Fruta con yogurt natural</t>
  </si>
  <si>
    <t xml:space="preserve">Pan con jamonada</t>
  </si>
  <si>
    <t xml:space="preserve">Jamonada y salsa</t>
  </si>
  <si>
    <t xml:space="preserve">pan, jamonada, mayonesa o salsa criolla</t>
  </si>
  <si>
    <t xml:space="preserve">Pan con tortilla</t>
  </si>
  <si>
    <t xml:space="preserve">Tortilla de huevo en pan</t>
  </si>
  <si>
    <t xml:space="preserve">pan, huevo, cebolla, sal</t>
  </si>
  <si>
    <t xml:space="preserve">Pan con pollo al horno</t>
  </si>
  <si>
    <t xml:space="preserve">Presa deshuesada en pan</t>
  </si>
  <si>
    <t xml:space="preserve">pan, pollo deshilachado, mayonesa, lechuga</t>
  </si>
  <si>
    <t xml:space="preserve">Sándwich de huevo y palta</t>
  </si>
  <si>
    <t xml:space="preserve">Huevo, palta, tomate</t>
  </si>
  <si>
    <t xml:space="preserve">pan, relleno del sabor elegido, vegetales, salsas</t>
  </si>
  <si>
    <t xml:space="preserve">Sándwich de atún</t>
  </si>
  <si>
    <t xml:space="preserve">Atún con vegetales</t>
  </si>
  <si>
    <t xml:space="preserve">pan, atún, cebolla, mayonesa, lechuga</t>
  </si>
  <si>
    <t xml:space="preserve">Enrollado de pollo</t>
  </si>
  <si>
    <t xml:space="preserve">Wrap de pollo y verduras</t>
  </si>
  <si>
    <t xml:space="preserve">tortilla de trigo, pollo, lechuga, tomate, salsa</t>
  </si>
  <si>
    <t xml:space="preserve">06:00-12:00</t>
  </si>
  <si>
    <t xml:space="preserve">Chancay con manjar</t>
  </si>
  <si>
    <t xml:space="preserve">Pan dulce con manjar blanco</t>
  </si>
  <si>
    <t xml:space="preserve">pan dulce, manjar blanco</t>
  </si>
  <si>
    <t xml:space="preserve">Keke / bizcocho porción</t>
  </si>
  <si>
    <t xml:space="preserve">Porción de keke casero</t>
  </si>
  <si>
    <t xml:space="preserve">harina, huevo, azúcar, mantequilla</t>
  </si>
  <si>
    <t xml:space="preserve">Pionono</t>
  </si>
  <si>
    <t xml:space="preserve">Enrollado dulce</t>
  </si>
  <si>
    <t xml:space="preserve">Pastelería</t>
  </si>
  <si>
    <t xml:space="preserve">Medialuna / cachito</t>
  </si>
  <si>
    <t xml:space="preserve">Pan de mantequilla</t>
  </si>
  <si>
    <t xml:space="preserve">Rosquitas de manteca</t>
  </si>
  <si>
    <t xml:space="preserve">Bolsa de rosquitas</t>
  </si>
  <si>
    <t xml:space="preserve">harina, manteca, azúcar, huevo</t>
  </si>
  <si>
    <t xml:space="preserve">Bolsa</t>
  </si>
  <si>
    <t xml:space="preserve">Producto tradicional del altiplano</t>
  </si>
  <si>
    <t xml:space="preserve">Pan de yema</t>
  </si>
  <si>
    <t xml:space="preserve">Pan dulce local</t>
  </si>
  <si>
    <t xml:space="preserve">Pastel de acelga</t>
  </si>
  <si>
    <t xml:space="preserve">Empanada de verdura</t>
  </si>
  <si>
    <t xml:space="preserve">masa de trigo, acelga o espinaca, queso, cebolla</t>
  </si>
  <si>
    <t xml:space="preserve">Panadería, vegetariano</t>
  </si>
  <si>
    <t xml:space="preserve">Té de coca con miel</t>
  </si>
  <si>
    <t xml:space="preserve">Infusión endulzada</t>
  </si>
  <si>
    <t xml:space="preserve">Anís de la casa</t>
  </si>
  <si>
    <t xml:space="preserve">Infusión de anís</t>
  </si>
  <si>
    <t xml:space="preserve">Cebada caliente</t>
  </si>
  <si>
    <t xml:space="preserve">Bebida de cebada tostada</t>
  </si>
  <si>
    <t xml:space="preserve">cebada tostada, agua, azúcar</t>
  </si>
  <si>
    <t xml:space="preserve">Leche de soya caliente</t>
  </si>
  <si>
    <t xml:space="preserve">Bebida vegetal</t>
  </si>
  <si>
    <t xml:space="preserve">soya, agua, azúcar</t>
  </si>
  <si>
    <t xml:space="preserve">Juguería, vegetariano</t>
  </si>
  <si>
    <t xml:space="preserve">Café con leche de almendra</t>
  </si>
  <si>
    <t xml:space="preserve">Opción sin lactosa</t>
  </si>
  <si>
    <t xml:space="preserve">Nicho pequeño pero paga más</t>
  </si>
  <si>
    <t xml:space="preserve">Chocolate con queso</t>
  </si>
  <si>
    <t xml:space="preserve">Chocolate caliente con queso fresco</t>
  </si>
  <si>
    <t xml:space="preserve">Cafetería, regional</t>
  </si>
  <si>
    <t xml:space="preserve">Costumbre del altiplano</t>
  </si>
  <si>
    <t xml:space="preserve">92 productos. Columnas amarillas (INGREDIENTES y EMPAQUE) son editables. J, L, M, N y O son fórmulas.</t>
  </si>
  <si>
    <t xml:space="preserve">Rangos estimados de mercado para la CIUDAD DE PUNO al 22/09/2026 — verificar en campo antes de fijar precios contractuales.</t>
  </si>
  <si>
    <t xml:space="preserve">Menú del día</t>
  </si>
  <si>
    <t xml:space="preserve">Menú económico completo</t>
  </si>
  <si>
    <t xml:space="preserve">Sopa + segundo + refresco</t>
  </si>
  <si>
    <t xml:space="preserve">sopa del día, segundo del día, refresco o bebida</t>
  </si>
  <si>
    <t xml:space="preserve">12:00-14:30</t>
  </si>
  <si>
    <t xml:space="preserve">PRODUCTO ANCLA de ComeYa</t>
  </si>
  <si>
    <t xml:space="preserve">Menú estándar</t>
  </si>
  <si>
    <t xml:space="preserve">Sopa + segundo con mejor porción + bebida</t>
  </si>
  <si>
    <t xml:space="preserve">Menú, restaurante</t>
  </si>
  <si>
    <t xml:space="preserve">Ticket de oficina</t>
  </si>
  <si>
    <t xml:space="preserve">Menú ejecutivo</t>
  </si>
  <si>
    <t xml:space="preserve">Entrada + segundo + postre + bebida</t>
  </si>
  <si>
    <t xml:space="preserve">Para instituciones y empresas</t>
  </si>
  <si>
    <t xml:space="preserve">Solo segundo (sin sopa)</t>
  </si>
  <si>
    <t xml:space="preserve">Segundo con arroz</t>
  </si>
  <si>
    <t xml:space="preserve">caldo, verduras, papa, presa, sal</t>
  </si>
  <si>
    <t xml:space="preserve">12:00-15:00</t>
  </si>
  <si>
    <t xml:space="preserve">Opción de menor ticket</t>
  </si>
  <si>
    <t xml:space="preserve">Solo sopa</t>
  </si>
  <si>
    <t xml:space="preserve">Sopa del día</t>
  </si>
  <si>
    <t xml:space="preserve">Menú vegetariano</t>
  </si>
  <si>
    <t xml:space="preserve">Sopa + segundo sin carne + refresco</t>
  </si>
  <si>
    <t xml:space="preserve">sopa sin carne, segundo a base de vegetales o legumbres, refresco</t>
  </si>
  <si>
    <t xml:space="preserve">Vegetariano</t>
  </si>
  <si>
    <t xml:space="preserve">Nicho creciente</t>
  </si>
  <si>
    <t xml:space="preserve">Menú doble porción</t>
  </si>
  <si>
    <t xml:space="preserve">Segundo con porción reforzada</t>
  </si>
  <si>
    <t xml:space="preserve">Pedido por obreros y transportistas</t>
  </si>
  <si>
    <t xml:space="preserve">Menú para llevar en táper</t>
  </si>
  <si>
    <t xml:space="preserve">Menú completo empacado</t>
  </si>
  <si>
    <t xml:space="preserve">Táper</t>
  </si>
  <si>
    <t xml:space="preserve">11:30-14:30</t>
  </si>
  <si>
    <t xml:space="preserve">El local suele cobrar S/ 1 extra por el táper</t>
  </si>
  <si>
    <t xml:space="preserve">Sopas</t>
  </si>
  <si>
    <t xml:space="preserve">Chairo</t>
  </si>
  <si>
    <t xml:space="preserve">Sopa a la criolla</t>
  </si>
  <si>
    <t xml:space="preserve">Fideo, carne, leche, huevo</t>
  </si>
  <si>
    <t xml:space="preserve">fideo, carne molida, leche, huevo, tomate, cebolla, ají panca</t>
  </si>
  <si>
    <t xml:space="preserve">Menestrón</t>
  </si>
  <si>
    <t xml:space="preserve">Verduras, fideo, albahaca</t>
  </si>
  <si>
    <t xml:space="preserve">fideo, carne, zapallo, vainita, papa, albahaca, queso, ajo</t>
  </si>
  <si>
    <t xml:space="preserve">Sopa de moraya</t>
  </si>
  <si>
    <t xml:space="preserve">Moraya, carne, verduras</t>
  </si>
  <si>
    <t xml:space="preserve">moraya, carne, papa, zanahoria, cebolla, sal</t>
  </si>
  <si>
    <t xml:space="preserve">Sopa de trigo</t>
  </si>
  <si>
    <t xml:space="preserve">Trigo, verduras, carne</t>
  </si>
  <si>
    <t xml:space="preserve">trigo pelado, carne, papa, zanahoria, cebolla, sal</t>
  </si>
  <si>
    <t xml:space="preserve">Crema de zapallo</t>
  </si>
  <si>
    <t xml:space="preserve">Crema de verduras</t>
  </si>
  <si>
    <t xml:space="preserve">zapallo, leche, cebolla, mantequilla, sal</t>
  </si>
  <si>
    <t xml:space="preserve">Sopa de wantán</t>
  </si>
  <si>
    <t xml:space="preserve">Caldo con wantán y verduras</t>
  </si>
  <si>
    <t xml:space="preserve">masa wantán, carne de cerdo, verduras, cebolla china, caldo de pollo, sillao</t>
  </si>
  <si>
    <t xml:space="preserve">Caldo blanco</t>
  </si>
  <si>
    <t xml:space="preserve">Caldo claro con carne y papa</t>
  </si>
  <si>
    <t xml:space="preserve">carne, papa, arroz, cebolla, sal</t>
  </si>
  <si>
    <t xml:space="preserve">Segundos criollos</t>
  </si>
  <si>
    <t xml:space="preserve">Arroz a la cubana</t>
  </si>
  <si>
    <t xml:space="preserve">Arroz, huevo frito, plátano frito</t>
  </si>
  <si>
    <t xml:space="preserve">arroz, huevo frito, plátano frito, aceite, sal</t>
  </si>
  <si>
    <t xml:space="preserve">Plato de mayor rotación en menú popular</t>
  </si>
  <si>
    <t xml:space="preserve">Lomo saltado</t>
  </si>
  <si>
    <t xml:space="preserve">Lomo, cebolla, tomate, papas, arroz</t>
  </si>
  <si>
    <t xml:space="preserve">lomo de res, cebolla, tomate, ají amarillo, sillao, vinagre, papas fritas, arroz</t>
  </si>
  <si>
    <t xml:space="preserve">Restaurante, menú</t>
  </si>
  <si>
    <t xml:space="preserve">Plato de mayor rotación a la carta</t>
  </si>
  <si>
    <t xml:space="preserve">Bistec a lo pobre</t>
  </si>
  <si>
    <t xml:space="preserve">Bistec, huevo, plátano, papas</t>
  </si>
  <si>
    <t xml:space="preserve">bistec de res, huevo frito, plátano frito, papas fritas, arroz, cebolla</t>
  </si>
  <si>
    <t xml:space="preserve">Milanesa de pollo</t>
  </si>
  <si>
    <t xml:space="preserve">Pollo apanado, arroz, papas</t>
  </si>
  <si>
    <t xml:space="preserve">carne o pollo, huevo, pan molido, harina, aceite, arroz, papas</t>
  </si>
  <si>
    <t xml:space="preserve">Milanesa de carne</t>
  </si>
  <si>
    <t xml:space="preserve">Carne apanada, arroz, papas</t>
  </si>
  <si>
    <t xml:space="preserve">Chuleta frita</t>
  </si>
  <si>
    <t xml:space="preserve">Chuleta de cerdo, arroz, ensalada</t>
  </si>
  <si>
    <t xml:space="preserve">chuleta de cerdo, ajo, comino, sal, arroz, ensalada</t>
  </si>
  <si>
    <t xml:space="preserve">Ají de gallina</t>
  </si>
  <si>
    <t xml:space="preserve">Gallina en crema de ají, arroz, papa</t>
  </si>
  <si>
    <t xml:space="preserve">gallina deshilachada, ají amarillo, pan remojado, leche, nueces, queso, papa, arroz</t>
  </si>
  <si>
    <t xml:space="preserve">Seco de res con frejol</t>
  </si>
  <si>
    <t xml:space="preserve">Res guisada, frejol, arroz</t>
  </si>
  <si>
    <t xml:space="preserve">carne o soya, culantro, ají amarillo, chicha de jora, zanahoria, arveja, frejol, arroz</t>
  </si>
  <si>
    <t xml:space="preserve">Seco de cordero</t>
  </si>
  <si>
    <t xml:space="preserve">Cordero guisado</t>
  </si>
  <si>
    <t xml:space="preserve">Restaurante regional</t>
  </si>
  <si>
    <t xml:space="preserve">Estofado de pollo</t>
  </si>
  <si>
    <t xml:space="preserve">Pollo guisado, papa, arroz</t>
  </si>
  <si>
    <t xml:space="preserve">carne o pollo, tomate, cebolla, zanahoria, arveja, laurel, papa, arroz</t>
  </si>
  <si>
    <t xml:space="preserve">Escabeche de pollo</t>
  </si>
  <si>
    <t xml:space="preserve">Pollo con cebolla encurtida</t>
  </si>
  <si>
    <t xml:space="preserve">pollo o pescado, cebolla, vinagre, ají amarillo, aceituna, huevo, camote</t>
  </si>
  <si>
    <t xml:space="preserve">Carapulcra</t>
  </si>
  <si>
    <t xml:space="preserve">Papa seca con cerdo</t>
  </si>
  <si>
    <t xml:space="preserve">papa seca, carne de cerdo, ají panca, maní, ajo, comino</t>
  </si>
  <si>
    <t xml:space="preserve">Arroz con pollo</t>
  </si>
  <si>
    <t xml:space="preserve">Arroz verde con presa</t>
  </si>
  <si>
    <t xml:space="preserve">arroz, presa de pollo, culantro, arveja, pimiento, ají amarillo, cerveza</t>
  </si>
  <si>
    <t xml:space="preserve">Muy pedido, buena resistencia al traslado</t>
  </si>
  <si>
    <t xml:space="preserve">Tallarín rojo</t>
  </si>
  <si>
    <t xml:space="preserve">Pasta con salsa de tomate y presa</t>
  </si>
  <si>
    <t xml:space="preserve">fideo, salsa de tomate, presa de pollo, cebolla, ajo, orégano</t>
  </si>
  <si>
    <t xml:space="preserve">Tallarín verde con bistec</t>
  </si>
  <si>
    <t xml:space="preserve">Pasta al pesto con bistec</t>
  </si>
  <si>
    <t xml:space="preserve">fideo, albahaca, espinaca, queso, leche, ajo, bistec</t>
  </si>
  <si>
    <t xml:space="preserve">Saltado de pollo</t>
  </si>
  <si>
    <t xml:space="preserve">Pollo salteado, papas, arroz</t>
  </si>
  <si>
    <t xml:space="preserve">carne, pollo o hígado, cebolla, tomate, sillao, vinagre, papas fritas, arroz</t>
  </si>
  <si>
    <t xml:space="preserve">Saltado de carne</t>
  </si>
  <si>
    <t xml:space="preserve">Carne salteada, papas, arroz</t>
  </si>
  <si>
    <t xml:space="preserve">Pollo al horno con papas</t>
  </si>
  <si>
    <t xml:space="preserve">Presa horneada</t>
  </si>
  <si>
    <t xml:space="preserve">pollo, ajo, sal, aceite, salsa correspondiente, guarnición</t>
  </si>
  <si>
    <t xml:space="preserve">Pollo broaster con papas</t>
  </si>
  <si>
    <t xml:space="preserve">Pollo apanado frito</t>
  </si>
  <si>
    <t xml:space="preserve">pollo, harina, huevo, especias, aceite, papas fritas</t>
  </si>
  <si>
    <t xml:space="preserve">Broastería</t>
  </si>
  <si>
    <t xml:space="preserve">Pierde crocancia si el táper no ventila</t>
  </si>
  <si>
    <t xml:space="preserve">Tortilla de verduras</t>
  </si>
  <si>
    <t xml:space="preserve">Huevo con verduras, arroz</t>
  </si>
  <si>
    <t xml:space="preserve">Hígado encebollado</t>
  </si>
  <si>
    <t xml:space="preserve">Hígado salteado con cebolla</t>
  </si>
  <si>
    <t xml:space="preserve">hígado de res, cebolla, tomate, sillao, arroz</t>
  </si>
  <si>
    <t xml:space="preserve">Guiso de fideos</t>
  </si>
  <si>
    <t xml:space="preserve">Fideo guisado con carne</t>
  </si>
  <si>
    <t xml:space="preserve">fideo, carne molida, tomate, cebolla, ají panca</t>
  </si>
  <si>
    <t xml:space="preserve">Olluquito con charqui</t>
  </si>
  <si>
    <t xml:space="preserve">Olluco con carne seca</t>
  </si>
  <si>
    <t xml:space="preserve">olluco, charqui o carne, ají amarillo, cebolla, arroz</t>
  </si>
  <si>
    <t xml:space="preserve">Picante de carne</t>
  </si>
  <si>
    <t xml:space="preserve">Carne en salsa picante con papa</t>
  </si>
  <si>
    <t xml:space="preserve">carne, ají panca, papa, cebolla, ajo, comino</t>
  </si>
  <si>
    <t xml:space="preserve">Adobo de cerdo</t>
  </si>
  <si>
    <t xml:space="preserve">Cerdo macerado en chicha</t>
  </si>
  <si>
    <t xml:space="preserve">carne de cerdo, chicha de jora, ají panca, cebolla, rocoto, orégano</t>
  </si>
  <si>
    <t xml:space="preserve">07:00-12:00</t>
  </si>
  <si>
    <t xml:space="preserve">Fuerte demanda domingo por la mañana</t>
  </si>
  <si>
    <t xml:space="preserve">Regional puneño</t>
  </si>
  <si>
    <t xml:space="preserve">Thimpo de trucha</t>
  </si>
  <si>
    <t xml:space="preserve">Trucha en caldo picante con chuño</t>
  </si>
  <si>
    <t xml:space="preserve">trucha, chuño, ají panca, col, papa, cebolla, hierbabuena</t>
  </si>
  <si>
    <t xml:space="preserve">Plato bandera de Puno</t>
  </si>
  <si>
    <t xml:space="preserve">Pesque de quinua</t>
  </si>
  <si>
    <t xml:space="preserve">Quinua cremosa con queso y leche</t>
  </si>
  <si>
    <t xml:space="preserve">quinua, leche, queso fresco, mantequilla, sal</t>
  </si>
  <si>
    <t xml:space="preserve">Alta identidad local</t>
  </si>
  <si>
    <t xml:space="preserve">Chicharrón de cerdo</t>
  </si>
  <si>
    <t xml:space="preserve">Cerdo frito, mote, papa</t>
  </si>
  <si>
    <t xml:space="preserve">carne de cerdo, sal, agua, mote, papa, salsa criolla</t>
  </si>
  <si>
    <t xml:space="preserve">11:00-16:00</t>
  </si>
  <si>
    <t xml:space="preserve">Huatia</t>
  </si>
  <si>
    <t xml:space="preserve">Papas y carne cocidas en horno de tierra</t>
  </si>
  <si>
    <t xml:space="preserve">papa, oca, carne, chuño, tierra y terrones calientes, sal</t>
  </si>
  <si>
    <t xml:space="preserve">12:00-16:00</t>
  </si>
  <si>
    <t xml:space="preserve">Temporada de cosecha</t>
  </si>
  <si>
    <t xml:space="preserve">Estacional, abril-junio</t>
  </si>
  <si>
    <t xml:space="preserve">Chicharrón de alpaca</t>
  </si>
  <si>
    <t xml:space="preserve">Carne de alpaca frita</t>
  </si>
  <si>
    <t xml:space="preserve">carne de alpaca, sal, aceite, mote, papa</t>
  </si>
  <si>
    <t xml:space="preserve">Sara lawa</t>
  </si>
  <si>
    <t xml:space="preserve">Crema de maíz</t>
  </si>
  <si>
    <t xml:space="preserve">maíz molido, leche, queso, ají amarillo</t>
  </si>
  <si>
    <t xml:space="preserve">Quispiño con queso</t>
  </si>
  <si>
    <t xml:space="preserve">Panecillo de quinua con queso</t>
  </si>
  <si>
    <t xml:space="preserve">Arroz chaufa de pollo</t>
  </si>
  <si>
    <t xml:space="preserve">Chaufa clásico</t>
  </si>
  <si>
    <t xml:space="preserve">arroz, huevo, cebolla china, sillao, aceite de ajonjolí, carne o pollo</t>
  </si>
  <si>
    <t xml:space="preserve">Excelente para delivery</t>
  </si>
  <si>
    <t xml:space="preserve">Arroz chaufa de carne</t>
  </si>
  <si>
    <t xml:space="preserve">Chaufa con res</t>
  </si>
  <si>
    <t xml:space="preserve">Arroz chaufa especial</t>
  </si>
  <si>
    <t xml:space="preserve">Con carne, pollo y mariscos</t>
  </si>
  <si>
    <t xml:space="preserve">Tallarín saltado de pollo</t>
  </si>
  <si>
    <t xml:space="preserve">Fideo salteado con verduras</t>
  </si>
  <si>
    <t xml:space="preserve">fideo, carne o pollo, cebolla, tomate, sillao, ají amarillo</t>
  </si>
  <si>
    <t xml:space="preserve">Aeropuerto</t>
  </si>
  <si>
    <t xml:space="preserve">Chaufa + tallarín saltado</t>
  </si>
  <si>
    <t xml:space="preserve">arroz chaufa, tallarín saltado, huevo, cebolla china, sillao, pollo</t>
  </si>
  <si>
    <t xml:space="preserve">Plato grande</t>
  </si>
  <si>
    <t xml:space="preserve">Ticket alto y muy pedido</t>
  </si>
  <si>
    <t xml:space="preserve">Pollo enrollado</t>
  </si>
  <si>
    <t xml:space="preserve">Pollo con verduras salteadas</t>
  </si>
  <si>
    <t xml:space="preserve">pollo, verduras salteadas, sillao, kion</t>
  </si>
  <si>
    <t xml:space="preserve">Pollo chi jau kay</t>
  </si>
  <si>
    <t xml:space="preserve">Pollo en salsa oscura</t>
  </si>
  <si>
    <t xml:space="preserve">pollo, salsa chi jau, kion, cebolla china, sillao</t>
  </si>
  <si>
    <t xml:space="preserve">Wantán frito (8 und)</t>
  </si>
  <si>
    <t xml:space="preserve">Con salsa tamarindo</t>
  </si>
  <si>
    <t xml:space="preserve">masa wantán, carne de cerdo, cebolla china, salsa tamarindo, aceite</t>
  </si>
  <si>
    <t xml:space="preserve">Combinado chifa</t>
  </si>
  <si>
    <t xml:space="preserve">Chaufa + tallarín + pollo</t>
  </si>
  <si>
    <t xml:space="preserve">arroz con leche y mazamorra morada</t>
  </si>
  <si>
    <t xml:space="preserve">Pescados</t>
  </si>
  <si>
    <t xml:space="preserve">Trucha frita</t>
  </si>
  <si>
    <t xml:space="preserve">Trucha, papas, arroz, ensalada</t>
  </si>
  <si>
    <t xml:space="preserve">trucha del lago Titicaca, sal, limón, harina o hierbas, guarnición de papa o arroz</t>
  </si>
  <si>
    <t xml:space="preserve">Restaurante, regional</t>
  </si>
  <si>
    <t xml:space="preserve">Producto identitario del Titicaca</t>
  </si>
  <si>
    <t xml:space="preserve">Trucha a la plancha</t>
  </si>
  <si>
    <t xml:space="preserve">Trucha con guarnición</t>
  </si>
  <si>
    <t xml:space="preserve">Chicharrón de trucha</t>
  </si>
  <si>
    <t xml:space="preserve">Trucha apanada frita</t>
  </si>
  <si>
    <t xml:space="preserve">trucha o pescado, harina, huevo, ajo, limón, aceite, yuca</t>
  </si>
  <si>
    <t xml:space="preserve">Ceviche de trucha</t>
  </si>
  <si>
    <t xml:space="preserve">Trucha en limón, camote, choclo</t>
  </si>
  <si>
    <t xml:space="preserve">Riesgo sanitario en traslado largo: límite 20 min</t>
  </si>
  <si>
    <t xml:space="preserve">Ceviche de pejerrey</t>
  </si>
  <si>
    <t xml:space="preserve">Pejerrey del lago</t>
  </si>
  <si>
    <t xml:space="preserve">pejerrey, harina, limón, sal, aceite</t>
  </si>
  <si>
    <t xml:space="preserve">Sudado de pescado</t>
  </si>
  <si>
    <t xml:space="preserve">Pescado en salsa de cebolla y tomate</t>
  </si>
  <si>
    <t xml:space="preserve">pescado, tomate, cebolla, ají amarillo, chicha, culantro</t>
  </si>
  <si>
    <t xml:space="preserve">Jalea mixta</t>
  </si>
  <si>
    <t xml:space="preserve">Pescado y mariscos fritos</t>
  </si>
  <si>
    <t xml:space="preserve">pescado y mariscos, harina, yuca, salsa criolla, limón</t>
  </si>
  <si>
    <t xml:space="preserve">Pejerrey frito</t>
  </si>
  <si>
    <t xml:space="preserve">Pejerrey con guarnición</t>
  </si>
  <si>
    <t xml:space="preserve">Saltado de soya</t>
  </si>
  <si>
    <t xml:space="preserve">Soya texturizada salteada, arroz</t>
  </si>
  <si>
    <t xml:space="preserve">soya texturizada o tofu, verduras, sillao, arroz</t>
  </si>
  <si>
    <t xml:space="preserve">Hamburguesa de lenteja</t>
  </si>
  <si>
    <t xml:space="preserve">Con papas o ensalada</t>
  </si>
  <si>
    <t xml:space="preserve">lenteja, avena, cebolla, ajo, especias, pan</t>
  </si>
  <si>
    <t xml:space="preserve">Ensalada de quinua</t>
  </si>
  <si>
    <t xml:space="preserve">Quinua, verduras, palta</t>
  </si>
  <si>
    <t xml:space="preserve">quinua, tomate, pepino, palta, limón, aceite de oliva</t>
  </si>
  <si>
    <t xml:space="preserve">Chaufa vegetariano</t>
  </si>
  <si>
    <t xml:space="preserve">Arroz salteado con verduras</t>
  </si>
  <si>
    <t xml:space="preserve">Vegetariano, chifa</t>
  </si>
  <si>
    <t xml:space="preserve">Lentejas con arroz</t>
  </si>
  <si>
    <t xml:space="preserve">Guiso de lentejas</t>
  </si>
  <si>
    <t xml:space="preserve">legumbre, cebolla, ajo, arroz</t>
  </si>
  <si>
    <t xml:space="preserve">Tofu saltado</t>
  </si>
  <si>
    <t xml:space="preserve">Tofu con verduras</t>
  </si>
  <si>
    <t xml:space="preserve">Acompañamientos</t>
  </si>
  <si>
    <t xml:space="preserve">Porción de arroz extra</t>
  </si>
  <si>
    <t xml:space="preserve">Arroz blanco</t>
  </si>
  <si>
    <t xml:space="preserve">arroz, aceite, sal</t>
  </si>
  <si>
    <t xml:space="preserve">Todos</t>
  </si>
  <si>
    <t xml:space="preserve">Sube ticket sin costo logístico</t>
  </si>
  <si>
    <t xml:space="preserve">Porción de papas fritas</t>
  </si>
  <si>
    <t xml:space="preserve">Papas fritas</t>
  </si>
  <si>
    <t xml:space="preserve">papa, aceite, sal</t>
  </si>
  <si>
    <t xml:space="preserve">12:00-22:00</t>
  </si>
  <si>
    <t xml:space="preserve">Ensalada fresca</t>
  </si>
  <si>
    <t xml:space="preserve">Verduras crudas</t>
  </si>
  <si>
    <t xml:space="preserve">verduras frescas de estación, limón, aceite, sal</t>
  </si>
  <si>
    <t xml:space="preserve">Porción de mote</t>
  </si>
  <si>
    <t xml:space="preserve">Maíz cocido</t>
  </si>
  <si>
    <t xml:space="preserve">maíz pelado cocido, sal</t>
  </si>
  <si>
    <t xml:space="preserve">Crema / ají de la casa</t>
  </si>
  <si>
    <t xml:space="preserve">Salsas adicionales</t>
  </si>
  <si>
    <t xml:space="preserve">ají, mayonesa, huacatay u otras salsas de la casa</t>
  </si>
  <si>
    <t xml:space="preserve">Envase</t>
  </si>
  <si>
    <t xml:space="preserve">Margen alto, ideal para upselling</t>
  </si>
  <si>
    <t xml:space="preserve">Menú de dos segundos</t>
  </si>
  <si>
    <t xml:space="preserve">Dos segundos a elección</t>
  </si>
  <si>
    <t xml:space="preserve">Pedido por trabajadores de obra</t>
  </si>
  <si>
    <t xml:space="preserve">Menú infantil</t>
  </si>
  <si>
    <t xml:space="preserve">Porción reducida</t>
  </si>
  <si>
    <t xml:space="preserve">Menú de pescado</t>
  </si>
  <si>
    <t xml:space="preserve">Sopa + pescado + refresco</t>
  </si>
  <si>
    <t xml:space="preserve">sopa del día, pescado del día, refresco</t>
  </si>
  <si>
    <t xml:space="preserve">Cevichería, menú</t>
  </si>
  <si>
    <t xml:space="preserve">Menú criollo del día</t>
  </si>
  <si>
    <t xml:space="preserve">Rotativo por día de semana</t>
  </si>
  <si>
    <t xml:space="preserve">Publicar el rotativo semanal en la app fideliza</t>
  </si>
  <si>
    <t xml:space="preserve">Sopa de mote</t>
  </si>
  <si>
    <t xml:space="preserve">Mote, carne, verduras</t>
  </si>
  <si>
    <t xml:space="preserve">mote, carne, papa, cebolla, sal</t>
  </si>
  <si>
    <t xml:space="preserve">Sopa de cebada</t>
  </si>
  <si>
    <t xml:space="preserve">Cebada, verduras, carne</t>
  </si>
  <si>
    <t xml:space="preserve">cebada, carne, papa, zanahoria, cebolla, sal</t>
  </si>
  <si>
    <t xml:space="preserve">Crema de espárragos</t>
  </si>
  <si>
    <t xml:space="preserve">Crema</t>
  </si>
  <si>
    <t xml:space="preserve">espárragos, leche, mantequilla, cebolla, sal</t>
  </si>
  <si>
    <t xml:space="preserve">Parihuela</t>
  </si>
  <si>
    <t xml:space="preserve">Caldo de mariscos</t>
  </si>
  <si>
    <t xml:space="preserve">pescado, mariscos, ají panca, tomate, cebolla, chicha de jora, culantro</t>
  </si>
  <si>
    <t xml:space="preserve">Se percibe reconstituyente</t>
  </si>
  <si>
    <t xml:space="preserve">Chupe de camarones</t>
  </si>
  <si>
    <t xml:space="preserve">Sopa cremosa con camarones</t>
  </si>
  <si>
    <t xml:space="preserve">camarones, leche, huevo, papa, choclo, arroz, queso, ají panca</t>
  </si>
  <si>
    <t xml:space="preserve">Pollo a la plancha</t>
  </si>
  <si>
    <t xml:space="preserve">Pechuga, arroz, ensalada</t>
  </si>
  <si>
    <t xml:space="preserve">Menú, saludable</t>
  </si>
  <si>
    <t xml:space="preserve">Pescado frito con arroz</t>
  </si>
  <si>
    <t xml:space="preserve">Filete frito</t>
  </si>
  <si>
    <t xml:space="preserve">pescado, harina, limón, sal, aceite, arroz</t>
  </si>
  <si>
    <t xml:space="preserve">Cau cau</t>
  </si>
  <si>
    <t xml:space="preserve">Mondongo con papa amarilla</t>
  </si>
  <si>
    <t xml:space="preserve">mondongo, papa amarilla, ají amarillo, palillo, hierbabuena, arroz</t>
  </si>
  <si>
    <t xml:space="preserve">Arroz tapado</t>
  </si>
  <si>
    <t xml:space="preserve">Arroz con relleno de carne</t>
  </si>
  <si>
    <t xml:space="preserve">arroz, carne molida, cebolla, tomate, aceituna, huevo, pasas</t>
  </si>
  <si>
    <t xml:space="preserve">Pepián de pollo</t>
  </si>
  <si>
    <t xml:space="preserve">Guiso espeso con maíz</t>
  </si>
  <si>
    <t xml:space="preserve">pollo, maíz molido, ají amarillo, ajo, comino, arroz</t>
  </si>
  <si>
    <t xml:space="preserve">Rocoto relleno</t>
  </si>
  <si>
    <t xml:space="preserve">Rocoto con carne y queso</t>
  </si>
  <si>
    <t xml:space="preserve">rocoto, carne molida, queso, huevo, aceituna, leche, papa</t>
  </si>
  <si>
    <t xml:space="preserve">Influencia arequipeña, buena aceptación</t>
  </si>
  <si>
    <t xml:space="preserve">Chanfainita</t>
  </si>
  <si>
    <t xml:space="preserve">Bofe guisado con papa</t>
  </si>
  <si>
    <t xml:space="preserve">bofe de res, papa, ají panca, hierbabuena, arroz</t>
  </si>
  <si>
    <t xml:space="preserve">Tallarín con pollo al horno</t>
  </si>
  <si>
    <t xml:space="preserve">Pasta con presa horneada</t>
  </si>
  <si>
    <t xml:space="preserve">Bistec apanado</t>
  </si>
  <si>
    <t xml:space="preserve">Pollo a la naranja</t>
  </si>
  <si>
    <t xml:space="preserve">Pollo en salsa cítrica</t>
  </si>
  <si>
    <t xml:space="preserve">Lomo a la pimienta</t>
  </si>
  <si>
    <t xml:space="preserve">Lomo en salsa de pimienta</t>
  </si>
  <si>
    <t xml:space="preserve">lomo de res, pimienta, crema de leche, papas fritas, arroz</t>
  </si>
  <si>
    <t xml:space="preserve">Trucha al ajo</t>
  </si>
  <si>
    <t xml:space="preserve">Trucha en salsa de ajo</t>
  </si>
  <si>
    <t xml:space="preserve">Chairo paceño</t>
  </si>
  <si>
    <t xml:space="preserve">Variante con más carne</t>
  </si>
  <si>
    <t xml:space="preserve">Wallake</t>
  </si>
  <si>
    <t xml:space="preserve">Caldo de carachi con chaco</t>
  </si>
  <si>
    <t xml:space="preserve">carachi del lago, chaco (arcilla comestible), papa, muña, cebolla</t>
  </si>
  <si>
    <t xml:space="preserve">Plato tradicional del lago, muy identitario</t>
  </si>
  <si>
    <t xml:space="preserve">Carachi frito</t>
  </si>
  <si>
    <t xml:space="preserve">Pescado del lago frito</t>
  </si>
  <si>
    <t xml:space="preserve">pescado del lago, sal, harina, aceite, mote</t>
  </si>
  <si>
    <t xml:space="preserve">Ispi frito</t>
  </si>
  <si>
    <t xml:space="preserve">Pescadito del lago frito</t>
  </si>
  <si>
    <t xml:space="preserve">Regional, mercado</t>
  </si>
  <si>
    <t xml:space="preserve">Snack-plato muy típico de Puno</t>
  </si>
  <si>
    <t xml:space="preserve">Mazamorra de quinua</t>
  </si>
  <si>
    <t xml:space="preserve">Postre-plato de quinua</t>
  </si>
  <si>
    <t xml:space="preserve">quinua, azúcar, canela, clavo, leche</t>
  </si>
  <si>
    <t xml:space="preserve">Chaufa de mariscos</t>
  </si>
  <si>
    <t xml:space="preserve">Chaufa con mariscos</t>
  </si>
  <si>
    <t xml:space="preserve">Tipakay</t>
  </si>
  <si>
    <t xml:space="preserve">Pollo apanado en salsa dulce</t>
  </si>
  <si>
    <t xml:space="preserve">pollo apanado, salsa dulce, piña, ají dulce</t>
  </si>
  <si>
    <t xml:space="preserve">Kam lu wantán</t>
  </si>
  <si>
    <t xml:space="preserve">Wantán con verduras y salsa</t>
  </si>
  <si>
    <t xml:space="preserve">Arroz chaufa familiar</t>
  </si>
  <si>
    <t xml:space="preserve">Porción para 3-4</t>
  </si>
  <si>
    <t xml:space="preserve">Fuente</t>
  </si>
  <si>
    <t xml:space="preserve">Ticket alto para almuerzo familiar</t>
  </si>
  <si>
    <t xml:space="preserve">Quinua atamalada</t>
  </si>
  <si>
    <t xml:space="preserve">Quinua guisada con queso</t>
  </si>
  <si>
    <t xml:space="preserve">maíz pelado, carne de cerdo o pollo, ají, manteca, hoja de plátano</t>
  </si>
  <si>
    <t xml:space="preserve">Milanesa de soya</t>
  </si>
  <si>
    <t xml:space="preserve">Soya apanada, arroz</t>
  </si>
  <si>
    <t xml:space="preserve">Ají de soya</t>
  </si>
  <si>
    <t xml:space="preserve">Versión sin carne del ají de gallina</t>
  </si>
  <si>
    <t xml:space="preserve">soya texturizada, ají amarillo, pan, leche, nueces, papa, arroz</t>
  </si>
  <si>
    <t xml:space="preserve">Ensalada mixta grande</t>
  </si>
  <si>
    <t xml:space="preserve">Verduras, palta, huevo</t>
  </si>
  <si>
    <t xml:space="preserve">Porción de chuño</t>
  </si>
  <si>
    <t xml:space="preserve">Chuño cocido</t>
  </si>
  <si>
    <t xml:space="preserve">chuño cocido, sal</t>
  </si>
  <si>
    <t xml:space="preserve">Porción de queso frito</t>
  </si>
  <si>
    <t xml:space="preserve">Queso local frito</t>
  </si>
  <si>
    <t xml:space="preserve">queso fresco, aceite</t>
  </si>
  <si>
    <t xml:space="preserve">Porción de yuca frita</t>
  </si>
  <si>
    <t xml:space="preserve">Yuca frita</t>
  </si>
  <si>
    <t xml:space="preserve">yuca, aceite, sal, queso</t>
  </si>
  <si>
    <t xml:space="preserve">12:00-20:00</t>
  </si>
  <si>
    <t xml:space="preserve">Táper adicional</t>
  </si>
  <si>
    <t xml:space="preserve">Envase extra</t>
  </si>
  <si>
    <t xml:space="preserve">envase descartable</t>
  </si>
  <si>
    <t xml:space="preserve">Unidad</t>
  </si>
  <si>
    <t xml:space="preserve">Todo el día</t>
  </si>
  <si>
    <t xml:space="preserve">Cobrarlo aparte evita que el restaurante suba el precio del plato</t>
  </si>
  <si>
    <t xml:space="preserve">Menú de tres tiempos</t>
  </si>
  <si>
    <t xml:space="preserve">Entrada + segundo + postre</t>
  </si>
  <si>
    <t xml:space="preserve">Menú light</t>
  </si>
  <si>
    <t xml:space="preserve">Porción controlada, sin fritura</t>
  </si>
  <si>
    <t xml:space="preserve">Menú con jugo en vez de refresco</t>
  </si>
  <si>
    <t xml:space="preserve">Menú con bebida natural</t>
  </si>
  <si>
    <t xml:space="preserve">fruta o cebada del día, agua, azúcar</t>
  </si>
  <si>
    <t xml:space="preserve">Upsell simple: S/ 2 más por el jugo</t>
  </si>
  <si>
    <t xml:space="preserve">Menú familiar para 4</t>
  </si>
  <si>
    <t xml:space="preserve">4 menús completos</t>
  </si>
  <si>
    <t xml:space="preserve">Ticket alto sin cambiar de cocina</t>
  </si>
  <si>
    <t xml:space="preserve">Media porción de menú</t>
  </si>
  <si>
    <t xml:space="preserve">Sopa de verduras</t>
  </si>
  <si>
    <t xml:space="preserve">Caldo con verduras de estación</t>
  </si>
  <si>
    <t xml:space="preserve">zanahoria, apio, poro, papa, zapallo, sal</t>
  </si>
  <si>
    <t xml:space="preserve">Sopa de pollo con arroz</t>
  </si>
  <si>
    <t xml:space="preserve">Caldo con arroz y presa</t>
  </si>
  <si>
    <t xml:space="preserve">Crema de choclo</t>
  </si>
  <si>
    <t xml:space="preserve">choclo, leche, mantequilla, cebolla, sal</t>
  </si>
  <si>
    <t xml:space="preserve">Aguadito de pollo</t>
  </si>
  <si>
    <t xml:space="preserve">Caldo verde con arroz</t>
  </si>
  <si>
    <t xml:space="preserve">arroz, pollo, culantro, arveja, ají amarillo, cebolla, zanahoria</t>
  </si>
  <si>
    <t xml:space="preserve">También se pide de madrugada</t>
  </si>
  <si>
    <t xml:space="preserve">Sopa de pescado del lago</t>
  </si>
  <si>
    <t xml:space="preserve">Caldo con pescado local</t>
  </si>
  <si>
    <t xml:space="preserve">pescado del lago, papa, zanahoria, cebolla, culantro, sal</t>
  </si>
  <si>
    <t xml:space="preserve">Cevichería, regional</t>
  </si>
  <si>
    <t xml:space="preserve">Sopa seca</t>
  </si>
  <si>
    <t xml:space="preserve">Fideo seco con pollo</t>
  </si>
  <si>
    <t xml:space="preserve">fideo, presa de pollo, ají panca, tomate, cebolla, albahaca</t>
  </si>
  <si>
    <t xml:space="preserve">Pollo al sillao</t>
  </si>
  <si>
    <t xml:space="preserve">Pollo a la cacerola</t>
  </si>
  <si>
    <t xml:space="preserve">Pollo guisado con verduras</t>
  </si>
  <si>
    <t xml:space="preserve">Carne guisada con papas</t>
  </si>
  <si>
    <t xml:space="preserve">Guiso de res</t>
  </si>
  <si>
    <t xml:space="preserve">carne de res, cebolla, tomate, zanahoria, papa, especias</t>
  </si>
  <si>
    <t xml:space="preserve">Estofado de carne</t>
  </si>
  <si>
    <t xml:space="preserve">Res guisada con verduras</t>
  </si>
  <si>
    <t xml:space="preserve">Albóndigas en salsa</t>
  </si>
  <si>
    <t xml:space="preserve">Bolitas de carne en salsa</t>
  </si>
  <si>
    <t xml:space="preserve">carne molida, pan remojado, huevo, salsa de tomate, arroz</t>
  </si>
  <si>
    <t xml:space="preserve">Croquetas de pollo</t>
  </si>
  <si>
    <t xml:space="preserve">Croquetas con arroz</t>
  </si>
  <si>
    <t xml:space="preserve">pollo, papa, huevo, pan molido, aceite</t>
  </si>
  <si>
    <t xml:space="preserve">Chuleta a la plancha</t>
  </si>
  <si>
    <t xml:space="preserve">Cerdo a la plancha</t>
  </si>
  <si>
    <t xml:space="preserve">Pollo a la brasa de almuerzo</t>
  </si>
  <si>
    <t xml:space="preserve">1/4 con papas al mediodía</t>
  </si>
  <si>
    <t xml:space="preserve">pollo entero o en presas, sillao, ají panca, romero, comino, papas fritas, ensalada</t>
  </si>
  <si>
    <t xml:space="preserve">Algunas pollerías abren desde el mediodía</t>
  </si>
  <si>
    <t xml:space="preserve">Tallarín saltado criollo</t>
  </si>
  <si>
    <t xml:space="preserve">Fideo salteado con carne</t>
  </si>
  <si>
    <t xml:space="preserve">Tallarín a la huancaína con bistec</t>
  </si>
  <si>
    <t xml:space="preserve">Pasta en crema de ají</t>
  </si>
  <si>
    <t xml:space="preserve">fideo, ají amarillo, queso fresco, leche, galleta, bistec</t>
  </si>
  <si>
    <t xml:space="preserve">Puré con bistec</t>
  </si>
  <si>
    <t xml:space="preserve">Puré de papa y carne</t>
  </si>
  <si>
    <t xml:space="preserve">papa, leche, mantequilla, bistec, cebolla</t>
  </si>
  <si>
    <t xml:space="preserve">Arroz chaufa criollo</t>
  </si>
  <si>
    <t xml:space="preserve">Chaufa estilo casero</t>
  </si>
  <si>
    <t xml:space="preserve">Guiso de quinua con carne</t>
  </si>
  <si>
    <t xml:space="preserve">Quinua guisada</t>
  </si>
  <si>
    <t xml:space="preserve">quinua, carne, cebolla, zanahoria, ají</t>
  </si>
  <si>
    <t xml:space="preserve">Locro de zapallo</t>
  </si>
  <si>
    <t xml:space="preserve">Guiso de zapallo con queso</t>
  </si>
  <si>
    <t xml:space="preserve">zapallo, papa, choclo, queso, leche, ají amarillo</t>
  </si>
  <si>
    <t xml:space="preserve">Frejolada</t>
  </si>
  <si>
    <t xml:space="preserve">Frejol con arroz y carne</t>
  </si>
  <si>
    <t xml:space="preserve">frejol, cebolla, ajo, arroz, carne</t>
  </si>
  <si>
    <t xml:space="preserve">Tacu tacu con bistec</t>
  </si>
  <si>
    <t xml:space="preserve">Frejol y arroz refrito</t>
  </si>
  <si>
    <t xml:space="preserve">frejol, arroz, cebolla, ají amarillo, aceite, bistec</t>
  </si>
  <si>
    <t xml:space="preserve">Pollo a la mostaza</t>
  </si>
  <si>
    <t xml:space="preserve">Pollo en salsa de mostaza</t>
  </si>
  <si>
    <t xml:space="preserve">Saltado de hígado</t>
  </si>
  <si>
    <t xml:space="preserve">Hígado salteado con papas</t>
  </si>
  <si>
    <t xml:space="preserve">Pescado a la chorrillana</t>
  </si>
  <si>
    <t xml:space="preserve">Pescado con salsa de cebolla</t>
  </si>
  <si>
    <t xml:space="preserve">pescado, mariscos, tomate, cebolla, ají panca, vino</t>
  </si>
  <si>
    <t xml:space="preserve">Pesque con charqui</t>
  </si>
  <si>
    <t xml:space="preserve">Quinua con carne seca</t>
  </si>
  <si>
    <t xml:space="preserve">Chuño con queso y huevo</t>
  </si>
  <si>
    <t xml:space="preserve">Plato tradicional</t>
  </si>
  <si>
    <t xml:space="preserve">chuño, queso fresco, huevo, sal</t>
  </si>
  <si>
    <t xml:space="preserve">Kispiño con mate</t>
  </si>
  <si>
    <t xml:space="preserve">Combo tradicional</t>
  </si>
  <si>
    <t xml:space="preserve">Combo</t>
  </si>
  <si>
    <t xml:space="preserve">06:00-16:00</t>
  </si>
  <si>
    <t xml:space="preserve">Sopa de chuño blanco</t>
  </si>
  <si>
    <t xml:space="preserve">Caldo con moraya</t>
  </si>
  <si>
    <t xml:space="preserve">Trucha al horno</t>
  </si>
  <si>
    <t xml:space="preserve">Trucha horneada con hierbas</t>
  </si>
  <si>
    <t xml:space="preserve">Mauka o chuño phuti</t>
  </si>
  <si>
    <t xml:space="preserve">Chuño salteado con huevo</t>
  </si>
  <si>
    <t xml:space="preserve">chuño, huevo, queso, cebolla, sal</t>
  </si>
  <si>
    <t xml:space="preserve">Fritura de ispi con mote</t>
  </si>
  <si>
    <t xml:space="preserve">Pescadito frito con maíz</t>
  </si>
  <si>
    <t xml:space="preserve">Pollo con verduras</t>
  </si>
  <si>
    <t xml:space="preserve">Salteado de pollo y verduras</t>
  </si>
  <si>
    <t xml:space="preserve">carne o pollo, verduras salteadas, sillao, kion, aceite</t>
  </si>
  <si>
    <t xml:space="preserve">Carne con champiñones</t>
  </si>
  <si>
    <t xml:space="preserve">Res salteada con hongos</t>
  </si>
  <si>
    <t xml:space="preserve">Chaufa de chancho</t>
  </si>
  <si>
    <t xml:space="preserve">Chaufa con cerdo</t>
  </si>
  <si>
    <t xml:space="preserve">Min pao / pan chino</t>
  </si>
  <si>
    <t xml:space="preserve">Pan al vapor relleno</t>
  </si>
  <si>
    <t xml:space="preserve">harina, levadura, relleno de cerdo o pollo</t>
  </si>
  <si>
    <t xml:space="preserve">Sopa de fideo chino</t>
  </si>
  <si>
    <t xml:space="preserve">Caldo con fideo y verduras</t>
  </si>
  <si>
    <t xml:space="preserve">fideo chino, verduras, pollo, sillao, caldo</t>
  </si>
  <si>
    <t xml:space="preserve">Ceviche mixto</t>
  </si>
  <si>
    <t xml:space="preserve">Pescado y mariscos</t>
  </si>
  <si>
    <t xml:space="preserve">pescado o trucha fresca, limón, cebolla, ají limo, culantro, camote, choclo</t>
  </si>
  <si>
    <t xml:space="preserve">Entrega máxima 20 minutos</t>
  </si>
  <si>
    <t xml:space="preserve">Leche de tigre</t>
  </si>
  <si>
    <t xml:space="preserve">Vaso de jugo de ceviche</t>
  </si>
  <si>
    <t xml:space="preserve">jugo de limón del ceviche, pescado, ají, cebolla, culantro</t>
  </si>
  <si>
    <t xml:space="preserve">Arroz con mariscos</t>
  </si>
  <si>
    <t xml:space="preserve">Arroz meloso con mariscos</t>
  </si>
  <si>
    <t xml:space="preserve">arroz, mariscos surtidos, ají amarillo, ají panca, pimiento, culantro</t>
  </si>
  <si>
    <t xml:space="preserve">Pescado a la macho</t>
  </si>
  <si>
    <t xml:space="preserve">Pescado con salsa de mariscos</t>
  </si>
  <si>
    <t xml:space="preserve">Chicharrón de pescado</t>
  </si>
  <si>
    <t xml:space="preserve">Pescado apanado frito</t>
  </si>
  <si>
    <t xml:space="preserve">Tiradito de trucha</t>
  </si>
  <si>
    <t xml:space="preserve">Láminas de trucha en salsa</t>
  </si>
  <si>
    <t xml:space="preserve">Hamburguesa de quinua</t>
  </si>
  <si>
    <t xml:space="preserve">quinua, huevo, avena, cebolla, especias, pan</t>
  </si>
  <si>
    <t xml:space="preserve">Producto con identidad puneña</t>
  </si>
  <si>
    <t xml:space="preserve">Pastel de verduras</t>
  </si>
  <si>
    <t xml:space="preserve">Horneado de verduras y queso</t>
  </si>
  <si>
    <t xml:space="preserve">verduras, queso, huevo, leche</t>
  </si>
  <si>
    <t xml:space="preserve">Guiso de garbanzos</t>
  </si>
  <si>
    <t xml:space="preserve">Garbanzo con arroz</t>
  </si>
  <si>
    <t xml:space="preserve">Seco de soya</t>
  </si>
  <si>
    <t xml:space="preserve">Soya guisada con frejol</t>
  </si>
  <si>
    <t xml:space="preserve">Wok de verduras</t>
  </si>
  <si>
    <t xml:space="preserve">Verduras salteadas con arroz</t>
  </si>
  <si>
    <t xml:space="preserve">verduras de estación, sillao, aceite de ajonjolí, arroz</t>
  </si>
  <si>
    <t xml:space="preserve">Porción de papa a la huancaína</t>
  </si>
  <si>
    <t xml:space="preserve">Entrada clásica</t>
  </si>
  <si>
    <t xml:space="preserve">papa, ají amarillo, queso fresco, leche, galleta, huevo, aceituna</t>
  </si>
  <si>
    <t xml:space="preserve">Porción de ensalada rusa</t>
  </si>
  <si>
    <t xml:space="preserve">Ensalada de papa y verduras</t>
  </si>
  <si>
    <t xml:space="preserve">papa, zanahoria, arveja, mayonesa</t>
  </si>
  <si>
    <t xml:space="preserve">Porción de camote frito</t>
  </si>
  <si>
    <t xml:space="preserve">Camote frito</t>
  </si>
  <si>
    <t xml:space="preserve">camote, aceite, sal</t>
  </si>
  <si>
    <t xml:space="preserve">Pan al ajo</t>
  </si>
  <si>
    <t xml:space="preserve">Pan tostado con ajo</t>
  </si>
  <si>
    <t xml:space="preserve">pan, ajo, mantequilla, perejil</t>
  </si>
  <si>
    <t xml:space="preserve">Pizzería, restaurante</t>
  </si>
  <si>
    <t xml:space="preserve">171 productos. Columnas amarillas (INGREDIENTES y EMPAQUE) son editables. J, L, M, N y O son fórmulas.</t>
  </si>
  <si>
    <t xml:space="preserve">Pollo a la brasa</t>
  </si>
  <si>
    <t xml:space="preserve">1/8 de pollo a la brasa</t>
  </si>
  <si>
    <t xml:space="preserve">Con papas fritas</t>
  </si>
  <si>
    <t xml:space="preserve">18:00-22:00</t>
  </si>
  <si>
    <t xml:space="preserve">Porción de entrada</t>
  </si>
  <si>
    <t xml:space="preserve">1/4 de pollo a la brasa</t>
  </si>
  <si>
    <t xml:space="preserve">Con papas y ensalada</t>
  </si>
  <si>
    <t xml:space="preserve">Producto de mayor rotación en la noche</t>
  </si>
  <si>
    <t xml:space="preserve">1/2 pollo a la brasa</t>
  </si>
  <si>
    <t xml:space="preserve">Pollo entero a la brasa</t>
  </si>
  <si>
    <t xml:space="preserve">Con papas y ensalada, para 4</t>
  </si>
  <si>
    <t xml:space="preserve">Entero</t>
  </si>
  <si>
    <t xml:space="preserve">TICKET ALTO: prioridad para delivery familiar</t>
  </si>
  <si>
    <t xml:space="preserve">Combo familiar pollo + gaseosa</t>
  </si>
  <si>
    <t xml:space="preserve">Pollo entero + gaseosa 1.5 L</t>
  </si>
  <si>
    <t xml:space="preserve">producto embotellado de marca</t>
  </si>
  <si>
    <t xml:space="preserve">Combo de mayor margen para ComeYa</t>
  </si>
  <si>
    <t xml:space="preserve">Broaster y frituras</t>
  </si>
  <si>
    <t xml:space="preserve">Pollo broaster 1/4</t>
  </si>
  <si>
    <t xml:space="preserve">Apanado con papas</t>
  </si>
  <si>
    <t xml:space="preserve">18:00-23:00</t>
  </si>
  <si>
    <t xml:space="preserve">Pollo broaster 1/8</t>
  </si>
  <si>
    <t xml:space="preserve">Alitas broaster (8 und)</t>
  </si>
  <si>
    <t xml:space="preserve">Con papas y cremas</t>
  </si>
  <si>
    <t xml:space="preserve">Alitas BBQ / picantes</t>
  </si>
  <si>
    <t xml:space="preserve">Alitas con salsa</t>
  </si>
  <si>
    <t xml:space="preserve">alitas de pollo, harina o salsa (BBQ o picante), papas fritas, cremas</t>
  </si>
  <si>
    <t xml:space="preserve">Broastería, bar</t>
  </si>
  <si>
    <t xml:space="preserve">Mostrito</t>
  </si>
  <si>
    <t xml:space="preserve">Chaufa + broaster + papas</t>
  </si>
  <si>
    <t xml:space="preserve">arroz chaufa, pollo broaster, papas fritas, cremas</t>
  </si>
  <si>
    <t xml:space="preserve">Muy pedido por público joven</t>
  </si>
  <si>
    <t xml:space="preserve">Salchipapa simple</t>
  </si>
  <si>
    <t xml:space="preserve">Salchicha y papas</t>
  </si>
  <si>
    <t xml:space="preserve">papa frita, salchicha, mayonesa, ketchup, mostaza</t>
  </si>
  <si>
    <t xml:space="preserve">Salchipapería</t>
  </si>
  <si>
    <t xml:space="preserve">Producto de calle con alta frecuencia</t>
  </si>
  <si>
    <t xml:space="preserve">Salchipapa especial</t>
  </si>
  <si>
    <t xml:space="preserve">Con pollo, huevo y cremas</t>
  </si>
  <si>
    <t xml:space="preserve">Chicharrón de pollo</t>
  </si>
  <si>
    <t xml:space="preserve">Pollo frito en trozos</t>
  </si>
  <si>
    <t xml:space="preserve">pollo, harina, huevo, especias, aceite, limón</t>
  </si>
  <si>
    <t xml:space="preserve">Papa rellena</t>
  </si>
  <si>
    <t xml:space="preserve">Papa con relleno de carne</t>
  </si>
  <si>
    <t xml:space="preserve">papa, carne molida, cebolla, huevo, aceituna, pasas, aceite</t>
  </si>
  <si>
    <t xml:space="preserve">17:00-22:00</t>
  </si>
  <si>
    <t xml:space="preserve">Ambulante, mercado</t>
  </si>
  <si>
    <t xml:space="preserve">Hamburguesas y sándwiches</t>
  </si>
  <si>
    <t xml:space="preserve">Hamburguesa clásica</t>
  </si>
  <si>
    <t xml:space="preserve">Carne, vegetales, papas</t>
  </si>
  <si>
    <t xml:space="preserve">pan de hamburguesa, carne o pollo, lechuga, tomate, cebolla, queso, salsas, papas fritas</t>
  </si>
  <si>
    <t xml:space="preserve">Fast food</t>
  </si>
  <si>
    <t xml:space="preserve">Alta rotación nocturna</t>
  </si>
  <si>
    <t xml:space="preserve">Hamburguesa doble</t>
  </si>
  <si>
    <t xml:space="preserve">Doble carne y queso</t>
  </si>
  <si>
    <t xml:space="preserve">Hamburguesa de pollo</t>
  </si>
  <si>
    <t xml:space="preserve">Pollo apanado</t>
  </si>
  <si>
    <t xml:space="preserve">Hot dog</t>
  </si>
  <si>
    <t xml:space="preserve">Salchicha con papas al hilo</t>
  </si>
  <si>
    <t xml:space="preserve">pan, salchicha o chorizo, papas al hilo, salsas</t>
  </si>
  <si>
    <t xml:space="preserve">Ambulante</t>
  </si>
  <si>
    <t xml:space="preserve">Sándwich de chicharrón nocturno</t>
  </si>
  <si>
    <t xml:space="preserve">Chicharrón con camote</t>
  </si>
  <si>
    <t xml:space="preserve">ron de caña</t>
  </si>
  <si>
    <t xml:space="preserve">Sándwich triple</t>
  </si>
  <si>
    <t xml:space="preserve">Tres pisos con palta y huevo</t>
  </si>
  <si>
    <t xml:space="preserve">pan de molde, palta, huevo, tomate, mayonesa</t>
  </si>
  <si>
    <t xml:space="preserve">Pizzas y pastas</t>
  </si>
  <si>
    <t xml:space="preserve">Pizza personal</t>
  </si>
  <si>
    <t xml:space="preserve">4 porciones</t>
  </si>
  <si>
    <t xml:space="preserve">masa de pizza, salsa de tomate, queso mozzarella, orégano, ingredientes del sabor</t>
  </si>
  <si>
    <t xml:space="preserve">Personal</t>
  </si>
  <si>
    <t xml:space="preserve">Pizza mediana</t>
  </si>
  <si>
    <t xml:space="preserve">6 porciones</t>
  </si>
  <si>
    <t xml:space="preserve">Mediana</t>
  </si>
  <si>
    <t xml:space="preserve">Pizza familiar</t>
  </si>
  <si>
    <t xml:space="preserve">8 porciones</t>
  </si>
  <si>
    <t xml:space="preserve">Familiar</t>
  </si>
  <si>
    <t xml:space="preserve">TICKET ALTO de fin de semana</t>
  </si>
  <si>
    <t xml:space="preserve">Pizza artesanal horno de leña</t>
  </si>
  <si>
    <t xml:space="preserve">Masa artesanal</t>
  </si>
  <si>
    <t xml:space="preserve">Pizzería turística</t>
  </si>
  <si>
    <t xml:space="preserve">Lasaña</t>
  </si>
  <si>
    <t xml:space="preserve">Porción de lasaña</t>
  </si>
  <si>
    <t xml:space="preserve">pasta, carne molida, salsa de tomate, bechamel, queso</t>
  </si>
  <si>
    <t xml:space="preserve">Spaghetti a la boloñesa</t>
  </si>
  <si>
    <t xml:space="preserve">Pasta con carne</t>
  </si>
  <si>
    <t xml:space="preserve">pasta, salsa (tomate, crema o pesto), queso parmesano</t>
  </si>
  <si>
    <t xml:space="preserve">Fetuccini alfredo</t>
  </si>
  <si>
    <t xml:space="preserve">Pasta en crema</t>
  </si>
  <si>
    <t xml:space="preserve">Anticuchos y parrilla</t>
  </si>
  <si>
    <t xml:space="preserve">Anticuchos (2 palos)</t>
  </si>
  <si>
    <t xml:space="preserve">Con papa y choclo</t>
  </si>
  <si>
    <t xml:space="preserve">corazón de res, ají panca, vinagre, comino, ajo, papa, choclo</t>
  </si>
  <si>
    <t xml:space="preserve">Ambulante, parrilla</t>
  </si>
  <si>
    <t xml:space="preserve">Producto estrella de la noche puneña</t>
  </si>
  <si>
    <t xml:space="preserve">Anticucho con mollejas</t>
  </si>
  <si>
    <t xml:space="preserve">Anticucho mixto</t>
  </si>
  <si>
    <t xml:space="preserve">Rachi</t>
  </si>
  <si>
    <t xml:space="preserve">Panza de res a la parrilla</t>
  </si>
  <si>
    <t xml:space="preserve">panza de res, ají panca, ajo, papa, choclo</t>
  </si>
  <si>
    <t xml:space="preserve">Parrilla personal</t>
  </si>
  <si>
    <t xml:space="preserve">Carne, chorizo, papa</t>
  </si>
  <si>
    <t xml:space="preserve">cortes de carne, chorizo, ajo, sal, papa, ensalada, carbón</t>
  </si>
  <si>
    <t xml:space="preserve">Parrilla mixta para 2</t>
  </si>
  <si>
    <t xml:space="preserve">Carnes surtidas</t>
  </si>
  <si>
    <t xml:space="preserve">Ticket alto</t>
  </si>
  <si>
    <t xml:space="preserve">Choripán</t>
  </si>
  <si>
    <t xml:space="preserve">Pan con chorizo</t>
  </si>
  <si>
    <t xml:space="preserve">Parrilla, ambulante</t>
  </si>
  <si>
    <t xml:space="preserve">Chifa nocturno</t>
  </si>
  <si>
    <t xml:space="preserve">Chaufa nocturno de pollo</t>
  </si>
  <si>
    <t xml:space="preserve">19:00-23:00</t>
  </si>
  <si>
    <t xml:space="preserve">Chifas suelen cerrar más tarde: ventaja para ComeYa</t>
  </si>
  <si>
    <t xml:space="preserve">Aeropuerto nocturno</t>
  </si>
  <si>
    <t xml:space="preserve">Chaufa + tallarín</t>
  </si>
  <si>
    <t xml:space="preserve">Sopa wantán nocturna</t>
  </si>
  <si>
    <t xml:space="preserve">Caldo con wantán</t>
  </si>
  <si>
    <t xml:space="preserve">Caldos nocturnos</t>
  </si>
  <si>
    <t xml:space="preserve">Caldo de gallina nocturno</t>
  </si>
  <si>
    <t xml:space="preserve">Presa, fideo, papa, huevo</t>
  </si>
  <si>
    <t xml:space="preserve">20:00-02:00</t>
  </si>
  <si>
    <t xml:space="preserve">Demanda de madrugada, sobre todo fin de semana</t>
  </si>
  <si>
    <t xml:space="preserve">Caldo de cabeza nocturno</t>
  </si>
  <si>
    <t xml:space="preserve">Cabeza de cordero</t>
  </si>
  <si>
    <t xml:space="preserve">Cena ligera</t>
  </si>
  <si>
    <t xml:space="preserve">Cena económica</t>
  </si>
  <si>
    <t xml:space="preserve">Segundo ligero + infusión</t>
  </si>
  <si>
    <t xml:space="preserve">preparación del día del local</t>
  </si>
  <si>
    <t xml:space="preserve">18:00-21:00</t>
  </si>
  <si>
    <t xml:space="preserve">Menos difundida que el almuerzo; oportunidad para ComeYa</t>
  </si>
  <si>
    <t xml:space="preserve">Cena vegetariana</t>
  </si>
  <si>
    <t xml:space="preserve">Segundo sin carne + infusión</t>
  </si>
  <si>
    <t xml:space="preserve">Tortilla de verduras cena</t>
  </si>
  <si>
    <t xml:space="preserve">Caldo de verduras</t>
  </si>
  <si>
    <t xml:space="preserve">Sopa ligera</t>
  </si>
  <si>
    <t xml:space="preserve">Arroz chaufa ligero</t>
  </si>
  <si>
    <t xml:space="preserve">Porción pequeña</t>
  </si>
  <si>
    <t xml:space="preserve">Sushi y otros</t>
  </si>
  <si>
    <t xml:space="preserve">Roll de sushi (8 piezas)</t>
  </si>
  <si>
    <t xml:space="preserve">Roll clásico</t>
  </si>
  <si>
    <t xml:space="preserve">arroz de sushi, alga nori, pescado o palta, queso crema, vinagre de arroz</t>
  </si>
  <si>
    <t xml:space="preserve">Japonés</t>
  </si>
  <si>
    <t xml:space="preserve">Público joven y turista</t>
  </si>
  <si>
    <t xml:space="preserve">Combinado de sushi</t>
  </si>
  <si>
    <t xml:space="preserve">Varios rolls</t>
  </si>
  <si>
    <t xml:space="preserve">Tequeños (8 und)</t>
  </si>
  <si>
    <t xml:space="preserve">Con salsa de guacamole</t>
  </si>
  <si>
    <t xml:space="preserve">masa de wantán, queso, aceite, salsa de guacamole</t>
  </si>
  <si>
    <t xml:space="preserve">Bar, pizzería</t>
  </si>
  <si>
    <t xml:space="preserve">Piqueo para compartir</t>
  </si>
  <si>
    <t xml:space="preserve">Frituras variadas</t>
  </si>
  <si>
    <t xml:space="preserve">surtido de preparaciones de la casa</t>
  </si>
  <si>
    <t xml:space="preserve">Bar</t>
  </si>
  <si>
    <t xml:space="preserve">Vinculado a consumo en bar</t>
  </si>
  <si>
    <t xml:space="preserve">Combo 1/4 + gaseosa personal</t>
  </si>
  <si>
    <t xml:space="preserve">Pollo, papas, gaseosa</t>
  </si>
  <si>
    <t xml:space="preserve">Combo de mayor rotación</t>
  </si>
  <si>
    <t xml:space="preserve">Combo 1/2 + gaseosa 1 L</t>
  </si>
  <si>
    <t xml:space="preserve">Medio pollo con bebida</t>
  </si>
  <si>
    <t xml:space="preserve">Pollo a la brasa con ensalada de palta</t>
  </si>
  <si>
    <t xml:space="preserve">Versión con guarnición extra</t>
  </si>
  <si>
    <t xml:space="preserve">Broaster familiar (8 presas)</t>
  </si>
  <si>
    <t xml:space="preserve">Con papas para 4</t>
  </si>
  <si>
    <t xml:space="preserve">Ticket alto nocturno</t>
  </si>
  <si>
    <t xml:space="preserve">Combo alitas + papas + gaseosa</t>
  </si>
  <si>
    <t xml:space="preserve">Combo nocturno</t>
  </si>
  <si>
    <t xml:space="preserve">Nuggets con papas</t>
  </si>
  <si>
    <t xml:space="preserve">Para público infantil</t>
  </si>
  <si>
    <t xml:space="preserve">Chicharrón de chancho nocturno</t>
  </si>
  <si>
    <t xml:space="preserve">Cerdo frito con mote</t>
  </si>
  <si>
    <t xml:space="preserve">Chicharronería</t>
  </si>
  <si>
    <t xml:space="preserve">Hamburguesa royal / especial</t>
  </si>
  <si>
    <t xml:space="preserve">Carne, huevo, jamón, queso</t>
  </si>
  <si>
    <t xml:space="preserve">Combo hamburguesa + papas + gaseosa</t>
  </si>
  <si>
    <t xml:space="preserve">Combo completo</t>
  </si>
  <si>
    <t xml:space="preserve">Producto de combo más pedido de la noche</t>
  </si>
  <si>
    <t xml:space="preserve">Hamburguesa de alpaca</t>
  </si>
  <si>
    <t xml:space="preserve">Carne de alpaca</t>
  </si>
  <si>
    <t xml:space="preserve">lomo de alpaca, ajo, comino, sal, guarnición de papa o quinua</t>
  </si>
  <si>
    <t xml:space="preserve">Fast food turístico</t>
  </si>
  <si>
    <t xml:space="preserve">Diferenciador local</t>
  </si>
  <si>
    <t xml:space="preserve">Sándwich de pavo</t>
  </si>
  <si>
    <t xml:space="preserve">Pavo, vegetales</t>
  </si>
  <si>
    <t xml:space="preserve">pan, pavo, lechuga, tomate, mayonesa</t>
  </si>
  <si>
    <t xml:space="preserve">Combo pizza familiar + gaseosa 1.5 L</t>
  </si>
  <si>
    <t xml:space="preserve">Pizza y bebida</t>
  </si>
  <si>
    <t xml:space="preserve">TICKET MÁS ALTO de la cena</t>
  </si>
  <si>
    <t xml:space="preserve">Calzone</t>
  </si>
  <si>
    <t xml:space="preserve">Pizza cerrada rellena</t>
  </si>
  <si>
    <t xml:space="preserve">masa de pizza, queso, jamón, salsa de tomate</t>
  </si>
  <si>
    <t xml:space="preserve">Ravioles</t>
  </si>
  <si>
    <t xml:space="preserve">Pasta rellena</t>
  </si>
  <si>
    <t xml:space="preserve">Ñoquis</t>
  </si>
  <si>
    <t xml:space="preserve">Pasta de papa</t>
  </si>
  <si>
    <t xml:space="preserve">Anticucho de corazón (3 palos)</t>
  </si>
  <si>
    <t xml:space="preserve">Porción grande</t>
  </si>
  <si>
    <t xml:space="preserve">Pancita a la parrilla</t>
  </si>
  <si>
    <t xml:space="preserve">Panza a la brasa</t>
  </si>
  <si>
    <t xml:space="preserve">Chuleta a la parrilla</t>
  </si>
  <si>
    <t xml:space="preserve">Chuleta con guarnición</t>
  </si>
  <si>
    <t xml:space="preserve">Brochetas de pollo</t>
  </si>
  <si>
    <t xml:space="preserve">Brocheta con verduras</t>
  </si>
  <si>
    <t xml:space="preserve">pollo, pimiento, cebolla, especias</t>
  </si>
  <si>
    <t xml:space="preserve">Caldo de patita nocturno</t>
  </si>
  <si>
    <t xml:space="preserve">Patita con mote</t>
  </si>
  <si>
    <t xml:space="preserve">Demanda de salida de discoteca</t>
  </si>
  <si>
    <t xml:space="preserve">Sopa criolla nocturna</t>
  </si>
  <si>
    <t xml:space="preserve">Sopa con leche y huevo</t>
  </si>
  <si>
    <t xml:space="preserve">ComeYa puede ser el único servicio activo a esa hora</t>
  </si>
  <si>
    <t xml:space="preserve">Sándwich + infusión</t>
  </si>
  <si>
    <t xml:space="preserve">Cena rápida</t>
  </si>
  <si>
    <t xml:space="preserve">Ensalada de pollo</t>
  </si>
  <si>
    <t xml:space="preserve">Ensalada con pechuga</t>
  </si>
  <si>
    <t xml:space="preserve">Ceviche nocturno</t>
  </si>
  <si>
    <t xml:space="preserve">Porción de ceviche</t>
  </si>
  <si>
    <t xml:space="preserve">Solo si la entrega no pasa de 20 minutos</t>
  </si>
  <si>
    <t xml:space="preserve">Tabla de piqueos para 4</t>
  </si>
  <si>
    <t xml:space="preserve">Frituras y embutidos</t>
  </si>
  <si>
    <t xml:space="preserve">Se pide junto con licor: combinar con la lista 07</t>
  </si>
  <si>
    <t xml:space="preserve">Combo familiar pollo + papas + ensalada + 2 gaseosas</t>
  </si>
  <si>
    <t xml:space="preserve">Combo grande para 4-5</t>
  </si>
  <si>
    <t xml:space="preserve">El ticket más alto de la pollería</t>
  </si>
  <si>
    <t xml:space="preserve">Pollo a la brasa con chaufa</t>
  </si>
  <si>
    <t xml:space="preserve">Presa con arroz chaufa</t>
  </si>
  <si>
    <t xml:space="preserve">Porción de papas fritas grande</t>
  </si>
  <si>
    <t xml:space="preserve">Para compartir</t>
  </si>
  <si>
    <t xml:space="preserve">Ensalada de la casa</t>
  </si>
  <si>
    <t xml:space="preserve">Ensalada para acompañar pollo</t>
  </si>
  <si>
    <t xml:space="preserve">Pollo broaster 1/2</t>
  </si>
  <si>
    <t xml:space="preserve">Media porción apanada</t>
  </si>
  <si>
    <t xml:space="preserve">Combo broaster + chaufa + gaseosa</t>
  </si>
  <si>
    <t xml:space="preserve">Tiras de pollo apanado</t>
  </si>
  <si>
    <t xml:space="preserve">Strips con salsas</t>
  </si>
  <si>
    <t xml:space="preserve">Salchipapa con pollo broaster</t>
  </si>
  <si>
    <t xml:space="preserve">Papas rellenas (2 und)</t>
  </si>
  <si>
    <t xml:space="preserve">Con salsa criolla</t>
  </si>
  <si>
    <t xml:space="preserve">papa, carne molida, cebolla, huevo, aceituna, aceite</t>
  </si>
  <si>
    <t xml:space="preserve">Hamburguesa vegetariana</t>
  </si>
  <si>
    <t xml:space="preserve">Medallón de lenteja o quinua</t>
  </si>
  <si>
    <t xml:space="preserve">Fast food, vegetariano</t>
  </si>
  <si>
    <t xml:space="preserve">Hamburguesa BBQ</t>
  </si>
  <si>
    <t xml:space="preserve">Con salsa barbacoa y tocino</t>
  </si>
  <si>
    <t xml:space="preserve">Sándwich de chicharrón nocturno grande</t>
  </si>
  <si>
    <t xml:space="preserve">Doble porción</t>
  </si>
  <si>
    <t xml:space="preserve">Combo 2 hamburguesas + papas</t>
  </si>
  <si>
    <t xml:space="preserve">Pizza mediana + tequeños</t>
  </si>
  <si>
    <t xml:space="preserve">Combo pizzería</t>
  </si>
  <si>
    <t xml:space="preserve">Pizza vegetariana</t>
  </si>
  <si>
    <t xml:space="preserve">Con verduras de estación</t>
  </si>
  <si>
    <t xml:space="preserve">Pizza hawaiana</t>
  </si>
  <si>
    <t xml:space="preserve">Jamón y piña</t>
  </si>
  <si>
    <t xml:space="preserve">Pizza de alpaca</t>
  </si>
  <si>
    <t xml:space="preserve">Con carne de alpaca</t>
  </si>
  <si>
    <t xml:space="preserve">Diferenciador local para turistas</t>
  </si>
  <si>
    <t xml:space="preserve">Canelones</t>
  </si>
  <si>
    <t xml:space="preserve">Pasta rellena horneada</t>
  </si>
  <si>
    <t xml:space="preserve">Spaghetti a la carbonara</t>
  </si>
  <si>
    <t xml:space="preserve">Pasta en crema con tocino</t>
  </si>
  <si>
    <t xml:space="preserve">Anticucho de pollo (2 palos)</t>
  </si>
  <si>
    <t xml:space="preserve">Mollejitas a la parrilla</t>
  </si>
  <si>
    <t xml:space="preserve">Porción de mollejas</t>
  </si>
  <si>
    <t xml:space="preserve">Chorizo parrillero</t>
  </si>
  <si>
    <t xml:space="preserve">Chorizo con papa</t>
  </si>
  <si>
    <t xml:space="preserve">chorizo, papa, salsa criolla</t>
  </si>
  <si>
    <t xml:space="preserve">Costillas BBQ</t>
  </si>
  <si>
    <t xml:space="preserve">Costillas de cerdo glaseadas</t>
  </si>
  <si>
    <t xml:space="preserve">costillas de cerdo, salsa barbacoa, ajo, miel</t>
  </si>
  <si>
    <t xml:space="preserve">Parrilla de alpaca</t>
  </si>
  <si>
    <t xml:space="preserve">Alpaca a la brasa</t>
  </si>
  <si>
    <t xml:space="preserve">Parrilla turística</t>
  </si>
  <si>
    <t xml:space="preserve">Aguadito nocturno</t>
  </si>
  <si>
    <t xml:space="preserve">Pedido clásico de madrugada</t>
  </si>
  <si>
    <t xml:space="preserve">Caldo de gallina familiar</t>
  </si>
  <si>
    <t xml:space="preserve">Olla para 4</t>
  </si>
  <si>
    <t xml:space="preserve">Olla</t>
  </si>
  <si>
    <t xml:space="preserve">Chairo nocturno</t>
  </si>
  <si>
    <t xml:space="preserve">Chairo de madrugada</t>
  </si>
  <si>
    <t xml:space="preserve">Crema de verduras con pan</t>
  </si>
  <si>
    <t xml:space="preserve">Cena liviana</t>
  </si>
  <si>
    <t xml:space="preserve">Quinua con leche</t>
  </si>
  <si>
    <t xml:space="preserve">Bebida-plato de noche</t>
  </si>
  <si>
    <t xml:space="preserve">quinua, leche, canela, azúcar</t>
  </si>
  <si>
    <t xml:space="preserve">Mercado, menú</t>
  </si>
  <si>
    <t xml:space="preserve">Ensalada césar</t>
  </si>
  <si>
    <t xml:space="preserve">Lechuga, pollo, crutones</t>
  </si>
  <si>
    <t xml:space="preserve">lechuga, pollo, crutones, queso parmesano, aderezo césar</t>
  </si>
  <si>
    <t xml:space="preserve">Sopa wantán de noche</t>
  </si>
  <si>
    <t xml:space="preserve">Caldo ligero</t>
  </si>
  <si>
    <t xml:space="preserve">Tostadas con palta y huevo</t>
  </si>
  <si>
    <t xml:space="preserve">Cena rápida saludable</t>
  </si>
  <si>
    <t xml:space="preserve">Roll acevichado</t>
  </si>
  <si>
    <t xml:space="preserve">Roll con salsa acevichada</t>
  </si>
  <si>
    <t xml:space="preserve">Roll vegetariano</t>
  </si>
  <si>
    <t xml:space="preserve">Roll sin pescado</t>
  </si>
  <si>
    <t xml:space="preserve">Gyozas (6 und)</t>
  </si>
  <si>
    <t xml:space="preserve">Empanaditas al vapor</t>
  </si>
  <si>
    <t xml:space="preserve">masa de gyoza, cerdo, col, kion, sillao</t>
  </si>
  <si>
    <t xml:space="preserve">Tabla de quesos y embutidos</t>
  </si>
  <si>
    <t xml:space="preserve">Para acompañar vino</t>
  </si>
  <si>
    <t xml:space="preserve">Se pide con la lista 07</t>
  </si>
  <si>
    <t xml:space="preserve">Alitas + cerveza (combo)</t>
  </si>
  <si>
    <t xml:space="preserve">Combo de bar</t>
  </si>
  <si>
    <t xml:space="preserve">Cruce natural con la lista de licorería</t>
  </si>
  <si>
    <t xml:space="preserve">Piqueo criollo</t>
  </si>
  <si>
    <t xml:space="preserve">Papa huancaína, ceviche, chicharrón</t>
  </si>
  <si>
    <t xml:space="preserve">Choripán doble</t>
  </si>
  <si>
    <t xml:space="preserve">Dos chorizos en pan</t>
  </si>
  <si>
    <t xml:space="preserve">Tequeños dulces</t>
  </si>
  <si>
    <t xml:space="preserve">Con manjar o chocolate</t>
  </si>
  <si>
    <t xml:space="preserve">Pizzería, bar</t>
  </si>
  <si>
    <t xml:space="preserve">112 productos. Columnas amarillas (INGREDIENTES y EMPAQUE) son editables. J, L, M, N y O son fórmulas.</t>
  </si>
  <si>
    <t xml:space="preserve">Cuy</t>
  </si>
  <si>
    <t xml:space="preserve">Cuy chactado</t>
  </si>
  <si>
    <t xml:space="preserve">Cuy frito prensado, papa, mote</t>
  </si>
  <si>
    <t xml:space="preserve">cuy, ajo, comino, sal, harina o maíz molido, papa, mote, ají</t>
  </si>
  <si>
    <t xml:space="preserve">Fin de semana y fiestas</t>
  </si>
  <si>
    <t xml:space="preserve">Regional, campestre</t>
  </si>
  <si>
    <t xml:space="preserve">Requiere pedido anticipado; avisar 1 hora antes</t>
  </si>
  <si>
    <t xml:space="preserve">Cuy al horno</t>
  </si>
  <si>
    <t xml:space="preserve">Cuy horneado con guarnición</t>
  </si>
  <si>
    <t xml:space="preserve">Cuy broaster</t>
  </si>
  <si>
    <t xml:space="preserve">Cuy apanado frito</t>
  </si>
  <si>
    <t xml:space="preserve">11:00-20:00</t>
  </si>
  <si>
    <t xml:space="preserve">Medio cuy</t>
  </si>
  <si>
    <t xml:space="preserve">Media porción</t>
  </si>
  <si>
    <t xml:space="preserve">Carnes andinas</t>
  </si>
  <si>
    <t xml:space="preserve">Cancacho de cordero</t>
  </si>
  <si>
    <t xml:space="preserve">Cordero al horno macerado</t>
  </si>
  <si>
    <t xml:space="preserve">cordero, ají panca, ajo, comino, chicha, papa</t>
  </si>
  <si>
    <t xml:space="preserve">Domingo y fiestas</t>
  </si>
  <si>
    <t xml:space="preserve">Campestre</t>
  </si>
  <si>
    <t xml:space="preserve">Típico de Ayaviri y zona alta</t>
  </si>
  <si>
    <t xml:space="preserve">Alpaca a la parrilla</t>
  </si>
  <si>
    <t xml:space="preserve">Lomo de alpaca con guarnición</t>
  </si>
  <si>
    <t xml:space="preserve">Alta demanda turística</t>
  </si>
  <si>
    <t xml:space="preserve">Lomo de alpaca en salsa</t>
  </si>
  <si>
    <t xml:space="preserve">Con salsa de vino o muña</t>
  </si>
  <si>
    <t xml:space="preserve">Alpaca frita con mote</t>
  </si>
  <si>
    <t xml:space="preserve">11:00-17:00</t>
  </si>
  <si>
    <t xml:space="preserve">Parrillada andina</t>
  </si>
  <si>
    <t xml:space="preserve">Alpaca, cordero, res</t>
  </si>
  <si>
    <t xml:space="preserve">Ticket muy alto</t>
  </si>
  <si>
    <t xml:space="preserve">Chairo de fiesta</t>
  </si>
  <si>
    <t xml:space="preserve">Chairo reforzado</t>
  </si>
  <si>
    <t xml:space="preserve">Fiestas patronales</t>
  </si>
  <si>
    <t xml:space="preserve">Platos de celebración</t>
  </si>
  <si>
    <t xml:space="preserve">Lechón al horno</t>
  </si>
  <si>
    <t xml:space="preserve">Cerdo horneado</t>
  </si>
  <si>
    <t xml:space="preserve">cerdo, ajo, comino, ají panca, chicha, sal</t>
  </si>
  <si>
    <t xml:space="preserve">Fiestas y fin de año</t>
  </si>
  <si>
    <t xml:space="preserve">Alta demanda en diciembre</t>
  </si>
  <si>
    <t xml:space="preserve">Pachamanca</t>
  </si>
  <si>
    <t xml:space="preserve">Carnes y tubérculos en horno de tierra</t>
  </si>
  <si>
    <t xml:space="preserve">carne de cerdo, cordero y pollo, papa, camote, habas, humita, hierbas, piedras calientes</t>
  </si>
  <si>
    <t xml:space="preserve">Se cocina por tandas: requiere pedido anticipado</t>
  </si>
  <si>
    <t xml:space="preserve">Huatia de fiesta</t>
  </si>
  <si>
    <t xml:space="preserve">Papas y carnes en horno de tierra</t>
  </si>
  <si>
    <t xml:space="preserve">Abril a junio</t>
  </si>
  <si>
    <t xml:space="preserve">Fuerte estacionalidad de cosecha</t>
  </si>
  <si>
    <t xml:space="preserve">Asado de res</t>
  </si>
  <si>
    <t xml:space="preserve">Res al horno con guarnición</t>
  </si>
  <si>
    <t xml:space="preserve">carne o pollo, ajo, comino, sal, papa, guarnición</t>
  </si>
  <si>
    <t xml:space="preserve">Chicharrón familiar</t>
  </si>
  <si>
    <t xml:space="preserve">Fuente de chicharrón para 4</t>
  </si>
  <si>
    <t xml:space="preserve">07:00-16:00</t>
  </si>
  <si>
    <t xml:space="preserve">Domingo</t>
  </si>
  <si>
    <t xml:space="preserve">Pollo entero al horno</t>
  </si>
  <si>
    <t xml:space="preserve">Pollo horneado para 4</t>
  </si>
  <si>
    <t xml:space="preserve">11:00-21:00</t>
  </si>
  <si>
    <t xml:space="preserve">Truchas especiales</t>
  </si>
  <si>
    <t xml:space="preserve">Trucha rellena</t>
  </si>
  <si>
    <t xml:space="preserve">Trucha con relleno de mariscos</t>
  </si>
  <si>
    <t xml:space="preserve">12:00-21:00</t>
  </si>
  <si>
    <t xml:space="preserve">Trucha a la muña</t>
  </si>
  <si>
    <t xml:space="preserve">Trucha en salsa de muña</t>
  </si>
  <si>
    <t xml:space="preserve">Diferenciador regional</t>
  </si>
  <si>
    <t xml:space="preserve">Parrilla de trucha</t>
  </si>
  <si>
    <t xml:space="preserve">Trucha a la parrilla con guarnición</t>
  </si>
  <si>
    <t xml:space="preserve">Fuente de trucha para 2</t>
  </si>
  <si>
    <t xml:space="preserve">Porción doble</t>
  </si>
  <si>
    <t xml:space="preserve">Menús especiales</t>
  </si>
  <si>
    <t xml:space="preserve">Menú de fiesta patronal</t>
  </si>
  <si>
    <t xml:space="preserve">Plato típico de celebración</t>
  </si>
  <si>
    <t xml:space="preserve">Picos en Candelaria (febrero) y aniversario de Puno (noviembre)</t>
  </si>
  <si>
    <t xml:space="preserve">Menú del Día de la Madre</t>
  </si>
  <si>
    <t xml:space="preserve">Menú especial de fecha</t>
  </si>
  <si>
    <t xml:space="preserve">Segundo domingo de mayo</t>
  </si>
  <si>
    <t xml:space="preserve">Pico de pedidos del año</t>
  </si>
  <si>
    <t xml:space="preserve">Cena navideña</t>
  </si>
  <si>
    <t xml:space="preserve">Pavo o lechón con guarnición</t>
  </si>
  <si>
    <t xml:space="preserve">Diciembre</t>
  </si>
  <si>
    <t xml:space="preserve">Menú de Año Nuevo</t>
  </si>
  <si>
    <t xml:space="preserve">Cena de fin de año</t>
  </si>
  <si>
    <t xml:space="preserve">31 de diciembre</t>
  </si>
  <si>
    <t xml:space="preserve">Buffet turístico</t>
  </si>
  <si>
    <t xml:space="preserve">Buffet libre</t>
  </si>
  <si>
    <t xml:space="preserve">Hotel, turístico</t>
  </si>
  <si>
    <t xml:space="preserve">Difícil de operar por delivery</t>
  </si>
  <si>
    <t xml:space="preserve">Catering y volumen</t>
  </si>
  <si>
    <t xml:space="preserve">Almuerzo para evento (x10)</t>
  </si>
  <si>
    <t xml:space="preserve">10 menús empacados</t>
  </si>
  <si>
    <t xml:space="preserve">11:00-15:00</t>
  </si>
  <si>
    <t xml:space="preserve">Menú, catering</t>
  </si>
  <si>
    <t xml:space="preserve">Línea B2B: oficinas e instituciones</t>
  </si>
  <si>
    <t xml:space="preserve">Almuerzo para evento (x25)</t>
  </si>
  <si>
    <t xml:space="preserve">25 menús empacados</t>
  </si>
  <si>
    <t xml:space="preserve">Requiere aviso de 24 horas</t>
  </si>
  <si>
    <t xml:space="preserve">Box lunch individual</t>
  </si>
  <si>
    <t xml:space="preserve">Sándwich, fruta, bebida</t>
  </si>
  <si>
    <t xml:space="preserve">sándwich, fruta, bebida, galleta</t>
  </si>
  <si>
    <t xml:space="preserve">Caja</t>
  </si>
  <si>
    <t xml:space="preserve">Para tours y viajes; demanda turística</t>
  </si>
  <si>
    <t xml:space="preserve">Desayuno para grupo (x10)</t>
  </si>
  <si>
    <t xml:space="preserve">10 desayunos</t>
  </si>
  <si>
    <t xml:space="preserve">Coffee break (x10)</t>
  </si>
  <si>
    <t xml:space="preserve">Bocaditos y bebidas calientes</t>
  </si>
  <si>
    <t xml:space="preserve">bocaditos salados y dulces, café, té, jugo</t>
  </si>
  <si>
    <t xml:space="preserve">09:00-17:00</t>
  </si>
  <si>
    <t xml:space="preserve">Instituciones públicas y capacitaciones</t>
  </si>
  <si>
    <t xml:space="preserve">Torta de cumpleaños</t>
  </si>
  <si>
    <t xml:space="preserve">Torta para 10-15 porciones</t>
  </si>
  <si>
    <t xml:space="preserve">harina, huevo, azúcar, mantequilla, crema o fruta según el sabor</t>
  </si>
  <si>
    <t xml:space="preserve">Requiere pedido anticipado</t>
  </si>
  <si>
    <t xml:space="preserve">Bocaditos surtidos (50 und)</t>
  </si>
  <si>
    <t xml:space="preserve">Bocaditos para evento</t>
  </si>
  <si>
    <t xml:space="preserve">Dietas especiales</t>
  </si>
  <si>
    <t xml:space="preserve">Menú sin gluten</t>
  </si>
  <si>
    <t xml:space="preserve">Preparación sin harina de trigo</t>
  </si>
  <si>
    <t xml:space="preserve">preparación sin harina de trigo, verificada</t>
  </si>
  <si>
    <t xml:space="preserve">Vegetariano, saludable</t>
  </si>
  <si>
    <t xml:space="preserve">Nicho pequeño pero fiel</t>
  </si>
  <si>
    <t xml:space="preserve">Menú vegano completo</t>
  </si>
  <si>
    <t xml:space="preserve">Sin productos de origen animal</t>
  </si>
  <si>
    <t xml:space="preserve">Vegano</t>
  </si>
  <si>
    <t xml:space="preserve">Loving Hut es referencia local</t>
  </si>
  <si>
    <t xml:space="preserve">Menú hipocalórico</t>
  </si>
  <si>
    <t xml:space="preserve">Porción controlada</t>
  </si>
  <si>
    <t xml:space="preserve">preparación adaptada a la indicación dietética, sin fritura</t>
  </si>
  <si>
    <t xml:space="preserve">Menú para deportistas</t>
  </si>
  <si>
    <t xml:space="preserve">Alto en proteína</t>
  </si>
  <si>
    <t xml:space="preserve">Papilla / comida para bebé</t>
  </si>
  <si>
    <t xml:space="preserve">Preparación suave</t>
  </si>
  <si>
    <t xml:space="preserve">verdura y cereal cocidos y triturados</t>
  </si>
  <si>
    <t xml:space="preserve">Nicho solicitado por familias</t>
  </si>
  <si>
    <t xml:space="preserve">Menú para adulto mayor</t>
  </si>
  <si>
    <t xml:space="preserve">Porción blanda y baja en sal</t>
  </si>
  <si>
    <t xml:space="preserve">Especial turístico</t>
  </si>
  <si>
    <t xml:space="preserve">Degustación de platos puneños</t>
  </si>
  <si>
    <t xml:space="preserve">Tabla con varios platos típicos</t>
  </si>
  <si>
    <t xml:space="preserve">surtido de preparaciones típicas de la casa</t>
  </si>
  <si>
    <t xml:space="preserve">Turístico</t>
  </si>
  <si>
    <t xml:space="preserve">Alto margen, baja frecuencia</t>
  </si>
  <si>
    <t xml:space="preserve">Cena show folclórica</t>
  </si>
  <si>
    <t xml:space="preserve">Cena con espectáculo</t>
  </si>
  <si>
    <t xml:space="preserve">cena del menú contratado con espectáculo en vivo</t>
  </si>
  <si>
    <t xml:space="preserve">19:00-22:00</t>
  </si>
  <si>
    <t xml:space="preserve">Cuy relleno</t>
  </si>
  <si>
    <t xml:space="preserve">Cuy con relleno tradicional</t>
  </si>
  <si>
    <t xml:space="preserve">Fiestas</t>
  </si>
  <si>
    <t xml:space="preserve">Fuente de cuy para 4</t>
  </si>
  <si>
    <t xml:space="preserve">Varios cuyes con guarnición</t>
  </si>
  <si>
    <t xml:space="preserve">Requiere pedido con 24 horas</t>
  </si>
  <si>
    <t xml:space="preserve">Cordero al palo</t>
  </si>
  <si>
    <t xml:space="preserve">Cordero asado entero</t>
  </si>
  <si>
    <t xml:space="preserve">cordero, ajo, comino, ají panca, papa, sal</t>
  </si>
  <si>
    <t xml:space="preserve">Alpaca a la muña</t>
  </si>
  <si>
    <t xml:space="preserve">Alpaca en salsa regional</t>
  </si>
  <si>
    <t xml:space="preserve">Charquicán</t>
  </si>
  <si>
    <t xml:space="preserve">Guiso de charqui</t>
  </si>
  <si>
    <t xml:space="preserve">charqui, papa, ají panca, cebolla, ajo</t>
  </si>
  <si>
    <t xml:space="preserve">Pavo al horno</t>
  </si>
  <si>
    <t xml:space="preserve">Pavo entero horneado</t>
  </si>
  <si>
    <t xml:space="preserve">pavo, mantequilla, ajo, vino, especias</t>
  </si>
  <si>
    <t xml:space="preserve">Pastelería, catering</t>
  </si>
  <si>
    <t xml:space="preserve">Pedido anticipado obligatorio en diciembre</t>
  </si>
  <si>
    <t xml:space="preserve">Lechón para 10</t>
  </si>
  <si>
    <t xml:space="preserve">Fuente familiar</t>
  </si>
  <si>
    <t xml:space="preserve">Parrillada para 6</t>
  </si>
  <si>
    <t xml:space="preserve">Arroz con pato familiar</t>
  </si>
  <si>
    <t xml:space="preserve">Fuente para 4</t>
  </si>
  <si>
    <t xml:space="preserve">arroz, pato, culantro, chicha de jora, arveja, pimiento</t>
  </si>
  <si>
    <t xml:space="preserve">Trucha al vapor con verduras</t>
  </si>
  <si>
    <t xml:space="preserve">Versión saludable</t>
  </si>
  <si>
    <t xml:space="preserve">Trucha a lo macho</t>
  </si>
  <si>
    <t xml:space="preserve">Trucha con salsa de mariscos</t>
  </si>
  <si>
    <t xml:space="preserve">Cena para evento (x20)</t>
  </si>
  <si>
    <t xml:space="preserve">20 cenas empacadas</t>
  </si>
  <si>
    <t xml:space="preserve">Refrigerio escolar (x30)</t>
  </si>
  <si>
    <t xml:space="preserve">Sándwich y bebida</t>
  </si>
  <si>
    <t xml:space="preserve">Año escolar</t>
  </si>
  <si>
    <t xml:space="preserve">Mercado institucional estable de marzo a diciembre</t>
  </si>
  <si>
    <t xml:space="preserve">Almuerzo para obra (x50)</t>
  </si>
  <si>
    <t xml:space="preserve">50 menús en táper</t>
  </si>
  <si>
    <t xml:space="preserve">11:00-14:00</t>
  </si>
  <si>
    <t xml:space="preserve">Contrato recurrente: el cliente B2B más valioso</t>
  </si>
  <si>
    <t xml:space="preserve">Bocaditos dulces (50 und)</t>
  </si>
  <si>
    <t xml:space="preserve">Mini postres</t>
  </si>
  <si>
    <t xml:space="preserve">Torta de matrimonio</t>
  </si>
  <si>
    <t xml:space="preserve">Torta de varios pisos</t>
  </si>
  <si>
    <t xml:space="preserve">Pedido con una semana de anticipación</t>
  </si>
  <si>
    <t xml:space="preserve">Menú para diabético</t>
  </si>
  <si>
    <t xml:space="preserve">Sin azúcar añadida</t>
  </si>
  <si>
    <t xml:space="preserve">Menú blando post operatorio</t>
  </si>
  <si>
    <t xml:space="preserve">Demanda desde hospitales y clínicas</t>
  </si>
  <si>
    <t xml:space="preserve">Menú keto / bajo en carbohidratos</t>
  </si>
  <si>
    <t xml:space="preserve">Alto en grasa y proteína</t>
  </si>
  <si>
    <t xml:space="preserve">Almuerzo en isla de los Uros</t>
  </si>
  <si>
    <t xml:space="preserve">Paquete con traslado</t>
  </si>
  <si>
    <t xml:space="preserve">Fuera del alcance de delivery urbano</t>
  </si>
  <si>
    <t xml:space="preserve">Box lunch para tour</t>
  </si>
  <si>
    <t xml:space="preserve">Comida para llevar en excursión</t>
  </si>
  <si>
    <t xml:space="preserve">Alianza con agencias de turismo: pedidos recurrentes de madrugada</t>
  </si>
  <si>
    <t xml:space="preserve">Cuy a la parrilla</t>
  </si>
  <si>
    <t xml:space="preserve">Cuy abierto a la brasa</t>
  </si>
  <si>
    <t xml:space="preserve">Cuy con chuño y mote</t>
  </si>
  <si>
    <t xml:space="preserve">Con guarnición andina</t>
  </si>
  <si>
    <t xml:space="preserve">Caldo de cuy</t>
  </si>
  <si>
    <t xml:space="preserve">Caldo con presa de cuy</t>
  </si>
  <si>
    <t xml:space="preserve">presa de cuy, papa, chuño, cebolla, hierbabuena, sal</t>
  </si>
  <si>
    <t xml:space="preserve">Asado de alpaca</t>
  </si>
  <si>
    <t xml:space="preserve">Alpaca al horno</t>
  </si>
  <si>
    <t xml:space="preserve">Estofado de alpaca</t>
  </si>
  <si>
    <t xml:space="preserve">Alpaca guisada</t>
  </si>
  <si>
    <t xml:space="preserve">12:00-18:00</t>
  </si>
  <si>
    <t xml:space="preserve">Charqui de alpaca frito</t>
  </si>
  <si>
    <t xml:space="preserve">Carne seca frita</t>
  </si>
  <si>
    <t xml:space="preserve">Cordero al horno con papas</t>
  </si>
  <si>
    <t xml:space="preserve">Cordero horneado</t>
  </si>
  <si>
    <t xml:space="preserve">Wallake de fiesta</t>
  </si>
  <si>
    <t xml:space="preserve">Caldo de carachi reforzado</t>
  </si>
  <si>
    <t xml:space="preserve">Chancho al palo</t>
  </si>
  <si>
    <t xml:space="preserve">Cerdo asado al palo</t>
  </si>
  <si>
    <t xml:space="preserve">Pedido con 24 horas</t>
  </si>
  <si>
    <t xml:space="preserve">Fuente de anticuchos para 6</t>
  </si>
  <si>
    <t xml:space="preserve">Anticuchos surtidos</t>
  </si>
  <si>
    <t xml:space="preserve">Fuente de trucha para 6</t>
  </si>
  <si>
    <t xml:space="preserve">Truchas con guarnición</t>
  </si>
  <si>
    <t xml:space="preserve">Buffet criollo para 20</t>
  </si>
  <si>
    <t xml:space="preserve">Servicio de buffet</t>
  </si>
  <si>
    <t xml:space="preserve">Servicio</t>
  </si>
  <si>
    <t xml:space="preserve">Requiere montaje en el local del cliente</t>
  </si>
  <si>
    <t xml:space="preserve">Chocolatada navideña (x30)</t>
  </si>
  <si>
    <t xml:space="preserve">Chocolate y panetón</t>
  </si>
  <si>
    <t xml:space="preserve">Pico de demanda institucional en diciembre</t>
  </si>
  <si>
    <t xml:space="preserve">Panetón con chocolate caliente</t>
  </si>
  <si>
    <t xml:space="preserve">Combo navideño individual</t>
  </si>
  <si>
    <t xml:space="preserve">Trucha en salsa de aguaymanto</t>
  </si>
  <si>
    <t xml:space="preserve">Preparación de autor</t>
  </si>
  <si>
    <t xml:space="preserve">Ceviche de trucha premium</t>
  </si>
  <si>
    <t xml:space="preserve">Con guarnición de lujo</t>
  </si>
  <si>
    <t xml:space="preserve">Trucha a la parrilla con quinua</t>
  </si>
  <si>
    <t xml:space="preserve">Plato de autor andino</t>
  </si>
  <si>
    <t xml:space="preserve">Desayuno institucional (x50)</t>
  </si>
  <si>
    <t xml:space="preserve">50 desayunos empacados</t>
  </si>
  <si>
    <t xml:space="preserve">Municipalidad, colegios, mineras</t>
  </si>
  <si>
    <t xml:space="preserve">Almuerzo para capacitación (x15)</t>
  </si>
  <si>
    <t xml:space="preserve">15 menús ejecutivos</t>
  </si>
  <si>
    <t xml:space="preserve">Coffee break premium (x20)</t>
  </si>
  <si>
    <t xml:space="preserve">Bocaditos finos y bebidas</t>
  </si>
  <si>
    <t xml:space="preserve">Cena de aniversario (x40)</t>
  </si>
  <si>
    <t xml:space="preserve">Servicio completo</t>
  </si>
  <si>
    <t xml:space="preserve">Torta personalizada</t>
  </si>
  <si>
    <t xml:space="preserve">Diseño a pedido</t>
  </si>
  <si>
    <t xml:space="preserve">Bandeja de sándwiches (30 und)</t>
  </si>
  <si>
    <t xml:space="preserve">Sándwiches surtidos</t>
  </si>
  <si>
    <t xml:space="preserve">Refrigerio para reunión (x10)</t>
  </si>
  <si>
    <t xml:space="preserve">Bocadito y bebida</t>
  </si>
  <si>
    <t xml:space="preserve">09:00-18:00</t>
  </si>
  <si>
    <t xml:space="preserve">Pedido frecuente de oficinas públicas</t>
  </si>
  <si>
    <t xml:space="preserve">Menú sin lactosa</t>
  </si>
  <si>
    <t xml:space="preserve">Preparación sin lácteos</t>
  </si>
  <si>
    <t xml:space="preserve">preparación sin lácteos</t>
  </si>
  <si>
    <t xml:space="preserve">Menú alto en fibra</t>
  </si>
  <si>
    <t xml:space="preserve">Integral y verduras</t>
  </si>
  <si>
    <t xml:space="preserve">Vianda semanal (5 almuerzos)</t>
  </si>
  <si>
    <t xml:space="preserve">Paquete de 5 menús</t>
  </si>
  <si>
    <t xml:space="preserve">menú completo del día empacado en táper</t>
  </si>
  <si>
    <t xml:space="preserve">Paquete</t>
  </si>
  <si>
    <t xml:space="preserve">Catering, saludable</t>
  </si>
  <si>
    <t xml:space="preserve">Suscripción: el producto más fiel del modelo</t>
  </si>
  <si>
    <t xml:space="preserve">Vianda mensual (20 almuerzos)</t>
  </si>
  <si>
    <t xml:space="preserve">Paquete mensual</t>
  </si>
  <si>
    <t xml:space="preserve">Ingreso recurrente y predecible para ComeYa</t>
  </si>
  <si>
    <t xml:space="preserve">Menú para gestante</t>
  </si>
  <si>
    <t xml:space="preserve">Porción balanceada</t>
  </si>
  <si>
    <t xml:space="preserve">Menú infantil saludable</t>
  </si>
  <si>
    <t xml:space="preserve">Sin fritura, porción de niño</t>
  </si>
  <si>
    <t xml:space="preserve">Almuerzo campestre en recreo</t>
  </si>
  <si>
    <t xml:space="preserve">Plato típico en recreo</t>
  </si>
  <si>
    <t xml:space="preserve">12:00-17:00</t>
  </si>
  <si>
    <t xml:space="preserve">Fuera del radio urbano</t>
  </si>
  <si>
    <t xml:space="preserve">Menú Candelaria</t>
  </si>
  <si>
    <t xml:space="preserve">Plato típico de la festividad</t>
  </si>
  <si>
    <t xml:space="preserve">Febrero</t>
  </si>
  <si>
    <t xml:space="preserve">Pico anual de demanda en la ciudad</t>
  </si>
  <si>
    <t xml:space="preserve">Menú aniversario de Puno</t>
  </si>
  <si>
    <t xml:space="preserve">Plato de la fecha</t>
  </si>
  <si>
    <t xml:space="preserve">Noviembre</t>
  </si>
  <si>
    <t xml:space="preserve">Picnic para excursión</t>
  </si>
  <si>
    <t xml:space="preserve">Comida para llevar al lago</t>
  </si>
  <si>
    <t xml:space="preserve">Degustación de licores regionales</t>
  </si>
  <si>
    <t xml:space="preserve">Tabla con licores locales</t>
  </si>
  <si>
    <t xml:space="preserve">Tabla</t>
  </si>
  <si>
    <t xml:space="preserve">Bar turístico</t>
  </si>
  <si>
    <t xml:space="preserve">Cruce con la lista 07</t>
  </si>
  <si>
    <t xml:space="preserve">96 productos. Columnas amarillas (INGREDIENTES y EMPAQUE) son editables. J, L, M, N y O son fórmulas.</t>
  </si>
  <si>
    <t xml:space="preserve">Jugos naturales</t>
  </si>
  <si>
    <t xml:space="preserve">Jugo de papaya</t>
  </si>
  <si>
    <t xml:space="preserve">Jugo natural</t>
  </si>
  <si>
    <t xml:space="preserve">papaya, agua o leche, azúcar</t>
  </si>
  <si>
    <t xml:space="preserve">Juguería, mercado</t>
  </si>
  <si>
    <t xml:space="preserve">Mercado Central concentra juguerías</t>
  </si>
  <si>
    <t xml:space="preserve">Jugo de piña</t>
  </si>
  <si>
    <t xml:space="preserve">piña, agua, azúcar</t>
  </si>
  <si>
    <t xml:space="preserve">Jugo de naranja</t>
  </si>
  <si>
    <t xml:space="preserve">Exprimido natural</t>
  </si>
  <si>
    <t xml:space="preserve">naranja exprimida</t>
  </si>
  <si>
    <t xml:space="preserve">Jugo de plátano con leche</t>
  </si>
  <si>
    <t xml:space="preserve">Batido</t>
  </si>
  <si>
    <t xml:space="preserve">plátano, leche, azúcar</t>
  </si>
  <si>
    <t xml:space="preserve">Jugo surtido grande</t>
  </si>
  <si>
    <t xml:space="preserve">Mezcla de frutas</t>
  </si>
  <si>
    <t xml:space="preserve">frutas surtidas de estación, agua o leche, azúcar</t>
  </si>
  <si>
    <t xml:space="preserve">Vaso 1 L</t>
  </si>
  <si>
    <t xml:space="preserve">Producto emblemático del mercado</t>
  </si>
  <si>
    <t xml:space="preserve">Jugo especial con huevo de codorniz</t>
  </si>
  <si>
    <t xml:space="preserve">Jugo reforzado</t>
  </si>
  <si>
    <t xml:space="preserve">Percibido como energizante</t>
  </si>
  <si>
    <t xml:space="preserve">Jugo de fresa</t>
  </si>
  <si>
    <t xml:space="preserve">fresa, leche o agua, azúcar</t>
  </si>
  <si>
    <t xml:space="preserve">Estacional</t>
  </si>
  <si>
    <t xml:space="preserve">Jugo de maracuyá</t>
  </si>
  <si>
    <t xml:space="preserve">maracuyá, agua, azúcar</t>
  </si>
  <si>
    <t xml:space="preserve">Jugo verde</t>
  </si>
  <si>
    <t xml:space="preserve">Piña, apio, manzana</t>
  </si>
  <si>
    <t xml:space="preserve">piña, apio, manzana, agua</t>
  </si>
  <si>
    <t xml:space="preserve">Juguería, saludable</t>
  </si>
  <si>
    <t xml:space="preserve">Jugo de zanahoria</t>
  </si>
  <si>
    <t xml:space="preserve">zanahoria, naranja o miel, agua</t>
  </si>
  <si>
    <t xml:space="preserve">Batidos y energizantes</t>
  </si>
  <si>
    <t xml:space="preserve">Batido de maca</t>
  </si>
  <si>
    <t xml:space="preserve">Maca con leche y fruta</t>
  </si>
  <si>
    <t xml:space="preserve">maca, leche, plátano, azúcar</t>
  </si>
  <si>
    <t xml:space="preserve">Producto identitario andino</t>
  </si>
  <si>
    <t xml:space="preserve">Batido de cañihua</t>
  </si>
  <si>
    <t xml:space="preserve">Cañihuaco con leche</t>
  </si>
  <si>
    <t xml:space="preserve">harina de cañihuaco, leche, azúcar, canela</t>
  </si>
  <si>
    <t xml:space="preserve">Insumo típico de Puno</t>
  </si>
  <si>
    <t xml:space="preserve">Batido de quinua</t>
  </si>
  <si>
    <t xml:space="preserve">Quinua con fruta y leche</t>
  </si>
  <si>
    <t xml:space="preserve">harina de cereal andino, leche, fruta, azúcar</t>
  </si>
  <si>
    <t xml:space="preserve">Batido de algarrobina</t>
  </si>
  <si>
    <t xml:space="preserve">Algarrobina con leche</t>
  </si>
  <si>
    <t xml:space="preserve">algarrobina, leche, huevo, azúcar</t>
  </si>
  <si>
    <t xml:space="preserve">Extracto de alfalfa</t>
  </si>
  <si>
    <t xml:space="preserve">Extracto verde</t>
  </si>
  <si>
    <t xml:space="preserve">verdura u hoja fresca, agua, limón</t>
  </si>
  <si>
    <t xml:space="preserve">Extracto de betarraga</t>
  </si>
  <si>
    <t xml:space="preserve">Extracto rojo</t>
  </si>
  <si>
    <t xml:space="preserve">Ponche de habas</t>
  </si>
  <si>
    <t xml:space="preserve">Bebida caliente espesa</t>
  </si>
  <si>
    <t xml:space="preserve">harina de habas tostadas, leche, azúcar, canela</t>
  </si>
  <si>
    <t xml:space="preserve">Mercado, ambulante</t>
  </si>
  <si>
    <t xml:space="preserve">Bebidas frías</t>
  </si>
  <si>
    <t xml:space="preserve">Chicha morada vaso</t>
  </si>
  <si>
    <t xml:space="preserve">Bebida de maíz morado</t>
  </si>
  <si>
    <t xml:space="preserve">maíz morado, piña, canela, clavo, limón, azúcar</t>
  </si>
  <si>
    <t xml:space="preserve">Chicha morada jarra</t>
  </si>
  <si>
    <t xml:space="preserve">1 litro</t>
  </si>
  <si>
    <t xml:space="preserve">Jarra 1 L</t>
  </si>
  <si>
    <t xml:space="preserve">Complemento natural del menú</t>
  </si>
  <si>
    <t xml:space="preserve">Refresco de la casa</t>
  </si>
  <si>
    <t xml:space="preserve">Refresco del día</t>
  </si>
  <si>
    <t xml:space="preserve">Incluido en el menú económico</t>
  </si>
  <si>
    <t xml:space="preserve">Limonada</t>
  </si>
  <si>
    <t xml:space="preserve">Limonada natural</t>
  </si>
  <si>
    <t xml:space="preserve">limón, agua, azúcar, hierbabuena</t>
  </si>
  <si>
    <t xml:space="preserve">11:00-18:00</t>
  </si>
  <si>
    <t xml:space="preserve">Limonada frozen</t>
  </si>
  <si>
    <t xml:space="preserve">Limonada granizada</t>
  </si>
  <si>
    <t xml:space="preserve">Se derrite en traslado largo</t>
  </si>
  <si>
    <t xml:space="preserve">Gaseosa personal 500 ml</t>
  </si>
  <si>
    <t xml:space="preserve">Botella</t>
  </si>
  <si>
    <t xml:space="preserve">Margen fijo, sube ticket sin trabajo</t>
  </si>
  <si>
    <t xml:space="preserve">Gaseosa 1.5 L</t>
  </si>
  <si>
    <t xml:space="preserve">Botella familiar</t>
  </si>
  <si>
    <t xml:space="preserve">Complemento obligatorio en combo familiar</t>
  </si>
  <si>
    <t xml:space="preserve">Agua mineral 625 ml</t>
  </si>
  <si>
    <t xml:space="preserve">Cerveza personal</t>
  </si>
  <si>
    <t xml:space="preserve">Botella o lata</t>
  </si>
  <si>
    <t xml:space="preserve">cerveza embotellada o en lata</t>
  </si>
  <si>
    <t xml:space="preserve">Bar, pollería</t>
  </si>
  <si>
    <t xml:space="preserve">Requiere verificación de edad al entregar</t>
  </si>
  <si>
    <t xml:space="preserve">Cerveza litro</t>
  </si>
  <si>
    <t xml:space="preserve">Botella grande</t>
  </si>
  <si>
    <t xml:space="preserve">Botella 1 L</t>
  </si>
  <si>
    <t xml:space="preserve">Verificar normativa de venta de alcohol por delivery</t>
  </si>
  <si>
    <t xml:space="preserve">Aperitivos y piqueos</t>
  </si>
  <si>
    <t xml:space="preserve">Canchita</t>
  </si>
  <si>
    <t xml:space="preserve">Maíz tostado</t>
  </si>
  <si>
    <t xml:space="preserve">maíz cancha, aceite, sal</t>
  </si>
  <si>
    <t xml:space="preserve">Bar, restaurante</t>
  </si>
  <si>
    <t xml:space="preserve">Habas tostadas</t>
  </si>
  <si>
    <t xml:space="preserve">Habas saladas</t>
  </si>
  <si>
    <t xml:space="preserve">Mercado, bar</t>
  </si>
  <si>
    <t xml:space="preserve">Snack típico local</t>
  </si>
  <si>
    <t xml:space="preserve">Chifles / plátano frito</t>
  </si>
  <si>
    <t xml:space="preserve">Snack salado</t>
  </si>
  <si>
    <t xml:space="preserve">plátano verde, aceite, sal</t>
  </si>
  <si>
    <t xml:space="preserve">Tequeños (4 und)</t>
  </si>
  <si>
    <t xml:space="preserve">Con salsa</t>
  </si>
  <si>
    <t xml:space="preserve">17:00-23:00</t>
  </si>
  <si>
    <t xml:space="preserve">Nachos con queso</t>
  </si>
  <si>
    <t xml:space="preserve">Tortillas con queso fundido</t>
  </si>
  <si>
    <t xml:space="preserve">tortilla de maíz, queso fundido, jalapeño</t>
  </si>
  <si>
    <t xml:space="preserve">Anticucho de entrada</t>
  </si>
  <si>
    <t xml:space="preserve">1 palo</t>
  </si>
  <si>
    <t xml:space="preserve">Papas a la huancaína</t>
  </si>
  <si>
    <t xml:space="preserve">Papa con crema de ají</t>
  </si>
  <si>
    <t xml:space="preserve">Causa limeña</t>
  </si>
  <si>
    <t xml:space="preserve">Papa amarilla rellena</t>
  </si>
  <si>
    <t xml:space="preserve">papa amarilla, ají amarillo, limón, relleno de pollo o atún, palta</t>
  </si>
  <si>
    <t xml:space="preserve">Ceviche de entrada</t>
  </si>
  <si>
    <t xml:space="preserve">Límite de 20 minutos de traslado</t>
  </si>
  <si>
    <t xml:space="preserve">Choclo con queso</t>
  </si>
  <si>
    <t xml:space="preserve">Maíz cocido con queso</t>
  </si>
  <si>
    <t xml:space="preserve">maíz cocido, queso fresco, sal</t>
  </si>
  <si>
    <t xml:space="preserve">Muy típico del altiplano</t>
  </si>
  <si>
    <t xml:space="preserve">Postres</t>
  </si>
  <si>
    <t xml:space="preserve">Arroz con leche</t>
  </si>
  <si>
    <t xml:space="preserve">arroz, leche, canela, clavo, azúcar, pasas</t>
  </si>
  <si>
    <t xml:space="preserve">Menú, mercado</t>
  </si>
  <si>
    <t xml:space="preserve">Mazamorra morada</t>
  </si>
  <si>
    <t xml:space="preserve">maíz morado, harina de camote, fruta picada, azúcar, canela</t>
  </si>
  <si>
    <t xml:space="preserve">Combinado (arroz + mazamorra)</t>
  </si>
  <si>
    <t xml:space="preserve">Dos postres en un vaso</t>
  </si>
  <si>
    <t xml:space="preserve">Gelatina con crema</t>
  </si>
  <si>
    <t xml:space="preserve">gelatina, agua, azúcar, leche</t>
  </si>
  <si>
    <t xml:space="preserve">Flan / crema volteada</t>
  </si>
  <si>
    <t xml:space="preserve">huevo, leche, azúcar, vainilla, caramelo</t>
  </si>
  <si>
    <t xml:space="preserve">Menú, pastelería</t>
  </si>
  <si>
    <t xml:space="preserve">Torta porción</t>
  </si>
  <si>
    <t xml:space="preserve">Porción de torta</t>
  </si>
  <si>
    <t xml:space="preserve">Helado de vaso</t>
  </si>
  <si>
    <t xml:space="preserve">Helado artesanal</t>
  </si>
  <si>
    <t xml:space="preserve">leche o fruta, azúcar, hielo</t>
  </si>
  <si>
    <t xml:space="preserve">Mayor demanda en calor</t>
  </si>
  <si>
    <t xml:space="preserve">Requiere empaque térmico</t>
  </si>
  <si>
    <t xml:space="preserve">Buñuelos</t>
  </si>
  <si>
    <t xml:space="preserve">Masa frita con miel</t>
  </si>
  <si>
    <t xml:space="preserve">harina, huevo, levadura, azúcar, miel de chancaca, aceite</t>
  </si>
  <si>
    <t xml:space="preserve">Alfajores (3 und)</t>
  </si>
  <si>
    <t xml:space="preserve">Galletas con manjar</t>
  </si>
  <si>
    <t xml:space="preserve">harina, manteca, manjar blanco, azúcar en polvo</t>
  </si>
  <si>
    <t xml:space="preserve">Jugo de mango</t>
  </si>
  <si>
    <t xml:space="preserve">fruta de estación, agua o leche, azúcar</t>
  </si>
  <si>
    <t xml:space="preserve">Jugo de sandía</t>
  </si>
  <si>
    <t xml:space="preserve">Jugo de melón</t>
  </si>
  <si>
    <t xml:space="preserve">Jugo de tumbo</t>
  </si>
  <si>
    <t xml:space="preserve">Fruta andina</t>
  </si>
  <si>
    <t xml:space="preserve">Fruta regional, diferenciador</t>
  </si>
  <si>
    <t xml:space="preserve">Jugo de aguaymanto</t>
  </si>
  <si>
    <t xml:space="preserve">Batido de chocolate</t>
  </si>
  <si>
    <t xml:space="preserve">Leche, cacao, plátano</t>
  </si>
  <si>
    <t xml:space="preserve">cacao, leche, plátano, azúcar</t>
  </si>
  <si>
    <t xml:space="preserve">Batido proteico</t>
  </si>
  <si>
    <t xml:space="preserve">Con proteína en polvo</t>
  </si>
  <si>
    <t xml:space="preserve">proteína en polvo, leche, plátano</t>
  </si>
  <si>
    <t xml:space="preserve">06:00-20:00</t>
  </si>
  <si>
    <t xml:space="preserve">Juguería, gimnasio</t>
  </si>
  <si>
    <t xml:space="preserve">Extracto de noni</t>
  </si>
  <si>
    <t xml:space="preserve">Extracto natural</t>
  </si>
  <si>
    <t xml:space="preserve">Chicha de jora</t>
  </si>
  <si>
    <t xml:space="preserve">Bebida fermentada tradicional</t>
  </si>
  <si>
    <t xml:space="preserve">maíz de jora fermentado, agua, azúcar</t>
  </si>
  <si>
    <t xml:space="preserve">Picantería, mercado</t>
  </si>
  <si>
    <t xml:space="preserve">Contiene alcohol leve: revisar reglas de la app</t>
  </si>
  <si>
    <t xml:space="preserve">Refresco de cebada</t>
  </si>
  <si>
    <t xml:space="preserve">Refresco frío</t>
  </si>
  <si>
    <t xml:space="preserve">Frozen de fruta</t>
  </si>
  <si>
    <t xml:space="preserve">Bebida granizada</t>
  </si>
  <si>
    <t xml:space="preserve">fruta, hielo, azúcar</t>
  </si>
  <si>
    <t xml:space="preserve">Se derrite: máximo 20 minutos de entrega</t>
  </si>
  <si>
    <t xml:space="preserve">Chicharrón de queso</t>
  </si>
  <si>
    <t xml:space="preserve">Queso frito crocante</t>
  </si>
  <si>
    <t xml:space="preserve">Bar, ambulante</t>
  </si>
  <si>
    <t xml:space="preserve">Yuquitas rellenas</t>
  </si>
  <si>
    <t xml:space="preserve">Yuca frita con queso</t>
  </si>
  <si>
    <t xml:space="preserve">Empanada frita de queso</t>
  </si>
  <si>
    <t xml:space="preserve">Empanada crocante</t>
  </si>
  <si>
    <t xml:space="preserve">masa de trigo, relleno del sabor, aceite</t>
  </si>
  <si>
    <t xml:space="preserve">Mote con queso</t>
  </si>
  <si>
    <t xml:space="preserve">Maíz y queso</t>
  </si>
  <si>
    <t xml:space="preserve">Snack tradicional puneño</t>
  </si>
  <si>
    <t xml:space="preserve">Torta de chocolate porción</t>
  </si>
  <si>
    <t xml:space="preserve">Tres leches</t>
  </si>
  <si>
    <t xml:space="preserve">Suspiro a la limeña</t>
  </si>
  <si>
    <t xml:space="preserve">Postre en copa</t>
  </si>
  <si>
    <t xml:space="preserve">Copa</t>
  </si>
  <si>
    <t xml:space="preserve">Pie de limón</t>
  </si>
  <si>
    <t xml:space="preserve">Helado de queso puneño</t>
  </si>
  <si>
    <t xml:space="preserve">Postre helado local</t>
  </si>
  <si>
    <t xml:space="preserve">11:00-19:00</t>
  </si>
  <si>
    <t xml:space="preserve">Jugo de piña con apio</t>
  </si>
  <si>
    <t xml:space="preserve">Mezcla depurativa</t>
  </si>
  <si>
    <t xml:space="preserve">Jugo de manzana</t>
  </si>
  <si>
    <t xml:space="preserve">Jugo de durazno</t>
  </si>
  <si>
    <t xml:space="preserve">Jugo de granadilla</t>
  </si>
  <si>
    <t xml:space="preserve">Fruta de la zona</t>
  </si>
  <si>
    <t xml:space="preserve">Jugo de lúcuma con leche</t>
  </si>
  <si>
    <t xml:space="preserve">Batido de lúcuma</t>
  </si>
  <si>
    <t xml:space="preserve">Jugo de chirimoya</t>
  </si>
  <si>
    <t xml:space="preserve">Fruta dulce</t>
  </si>
  <si>
    <t xml:space="preserve">Jugo de camu camu</t>
  </si>
  <si>
    <t xml:space="preserve">Alto en vitamina C</t>
  </si>
  <si>
    <t xml:space="preserve">Jugo de guanábana</t>
  </si>
  <si>
    <t xml:space="preserve">Jarra de jugo 1 L para compartir</t>
  </si>
  <si>
    <t xml:space="preserve">Jugo familiar</t>
  </si>
  <si>
    <t xml:space="preserve">06:00-14:00</t>
  </si>
  <si>
    <t xml:space="preserve">Sube el ticket sin más trabajo</t>
  </si>
  <si>
    <t xml:space="preserve">Extracto de rana</t>
  </si>
  <si>
    <t xml:space="preserve">Bebida tradicional del lago</t>
  </si>
  <si>
    <t xml:space="preserve">rana del lago, maca, miel, algarrobina, leche</t>
  </si>
  <si>
    <t xml:space="preserve">Producto tradicional del Titicaca; percibido como reconstituyente</t>
  </si>
  <si>
    <t xml:space="preserve">Batido de kiwicha</t>
  </si>
  <si>
    <t xml:space="preserve">Cereal andino con leche</t>
  </si>
  <si>
    <t xml:space="preserve">Batido de avena con plátano</t>
  </si>
  <si>
    <t xml:space="preserve">Batido saciante</t>
  </si>
  <si>
    <t xml:space="preserve">Batido de polen y miel</t>
  </si>
  <si>
    <t xml:space="preserve">Batido energético</t>
  </si>
  <si>
    <t xml:space="preserve">polen, miel, leche, fruta</t>
  </si>
  <si>
    <t xml:space="preserve">Extracto de apio con piña</t>
  </si>
  <si>
    <t xml:space="preserve">Batido detox</t>
  </si>
  <si>
    <t xml:space="preserve">Verduras y frutas verdes</t>
  </si>
  <si>
    <t xml:space="preserve">Chicha morada litro</t>
  </si>
  <si>
    <t xml:space="preserve">Jarra de chicha</t>
  </si>
  <si>
    <t xml:space="preserve">Limonada de hierbabuena</t>
  </si>
  <si>
    <t xml:space="preserve">Limonada aromatizada</t>
  </si>
  <si>
    <t xml:space="preserve">Té helado</t>
  </si>
  <si>
    <t xml:space="preserve">Infusión fría</t>
  </si>
  <si>
    <t xml:space="preserve">té, agua, limón, azúcar</t>
  </si>
  <si>
    <t xml:space="preserve">Agua de coca fría</t>
  </si>
  <si>
    <t xml:space="preserve">Bebida de hoja de coca</t>
  </si>
  <si>
    <t xml:space="preserve">Gaseosa 500 ml de vidrio</t>
  </si>
  <si>
    <t xml:space="preserve">Botella retornable</t>
  </si>
  <si>
    <t xml:space="preserve">Menú, bodega</t>
  </si>
  <si>
    <t xml:space="preserve">Salchipapa de entrada</t>
  </si>
  <si>
    <t xml:space="preserve">Chicharrón de pollo de entrada</t>
  </si>
  <si>
    <t xml:space="preserve">Porción para picar</t>
  </si>
  <si>
    <t xml:space="preserve">Tabla de frituras</t>
  </si>
  <si>
    <t xml:space="preserve">Yuca, papa, queso, chicharrón</t>
  </si>
  <si>
    <t xml:space="preserve">Choclo con queso grande</t>
  </si>
  <si>
    <t xml:space="preserve">Ocopa arequipeña</t>
  </si>
  <si>
    <t xml:space="preserve">Papa con salsa de huacatay</t>
  </si>
  <si>
    <t xml:space="preserve">papa, huacatay, ají amarillo, queso, maní, galleta</t>
  </si>
  <si>
    <t xml:space="preserve">Tamalito verde</t>
  </si>
  <si>
    <t xml:space="preserve">Tamal de choclo</t>
  </si>
  <si>
    <t xml:space="preserve">Anticucho de entrada doble</t>
  </si>
  <si>
    <t xml:space="preserve">2 palos pequeños</t>
  </si>
  <si>
    <t xml:space="preserve">Palitos de queso</t>
  </si>
  <si>
    <t xml:space="preserve">Queso apanado frito</t>
  </si>
  <si>
    <t xml:space="preserve">queso, harina, huevo, pan molido, aceite</t>
  </si>
  <si>
    <t xml:space="preserve">Maní salado</t>
  </si>
  <si>
    <t xml:space="preserve">Bolsa de maní</t>
  </si>
  <si>
    <t xml:space="preserve">maní tostado, sal</t>
  </si>
  <si>
    <t xml:space="preserve">Bodega, bar</t>
  </si>
  <si>
    <t xml:space="preserve">Leche asada</t>
  </si>
  <si>
    <t xml:space="preserve">Postre horneado</t>
  </si>
  <si>
    <t xml:space="preserve">Pastelería, menú</t>
  </si>
  <si>
    <t xml:space="preserve">Picarones porción grande</t>
  </si>
  <si>
    <t xml:space="preserve">Con miel de chancaca</t>
  </si>
  <si>
    <t xml:space="preserve">zapallo, camote, harina, levadura, miel de chancaca, aceite</t>
  </si>
  <si>
    <t xml:space="preserve">Torta helada</t>
  </si>
  <si>
    <t xml:space="preserve">Cheesecake</t>
  </si>
  <si>
    <t xml:space="preserve">Brownie con helado</t>
  </si>
  <si>
    <t xml:space="preserve">Postre caliente y frío</t>
  </si>
  <si>
    <t xml:space="preserve">Se derrite el helado en traslado</t>
  </si>
  <si>
    <t xml:space="preserve">Mousse de maracuyá</t>
  </si>
  <si>
    <t xml:space="preserve">Manzana acaramelada</t>
  </si>
  <si>
    <t xml:space="preserve">Postre de feria</t>
  </si>
  <si>
    <t xml:space="preserve">azúcar, colorante, fruta</t>
  </si>
  <si>
    <t xml:space="preserve">Mazamorra de calabaza</t>
  </si>
  <si>
    <t xml:space="preserve">Postre tradicional</t>
  </si>
  <si>
    <t xml:space="preserve">calabaza, harina, azúcar, canela</t>
  </si>
  <si>
    <t xml:space="preserve">Dulce de higo / frutas</t>
  </si>
  <si>
    <t xml:space="preserve">Conserva casera</t>
  </si>
  <si>
    <t xml:space="preserve">higo, azúcar, canela</t>
  </si>
  <si>
    <t xml:space="preserve">Turrón de Doña Pepa</t>
  </si>
  <si>
    <t xml:space="preserve">Octubre</t>
  </si>
  <si>
    <t xml:space="preserve">Fuerte estacionalidad en octubre</t>
  </si>
  <si>
    <t xml:space="preserve">Torta de quinua</t>
  </si>
  <si>
    <t xml:space="preserve">Torta con harina de quinua</t>
  </si>
  <si>
    <t xml:space="preserve">harina de quinua, huevo, azúcar, mantequilla</t>
  </si>
  <si>
    <t xml:space="preserve">Pastelería, regional</t>
  </si>
  <si>
    <t xml:space="preserve">106 productos. Columnas amarillas (INGREDIENTES y EMPAQUE) son editables. J, L, M, N y O son fórmulas.</t>
  </si>
  <si>
    <t xml:space="preserve">Bebidas calientes de carretilla</t>
  </si>
  <si>
    <t xml:space="preserve">Api con buñuelo</t>
  </si>
  <si>
    <t xml:space="preserve">Bebida caliente de maíz morado + buñuelo</t>
  </si>
  <si>
    <t xml:space="preserve">maíz morado, canela, clavo de olor, azúcar, harina de maíz</t>
  </si>
  <si>
    <t xml:space="preserve">Vaso + 1 buñuelo</t>
  </si>
  <si>
    <t xml:space="preserve">Carretilla, mercado</t>
  </si>
  <si>
    <t xml:space="preserve">Clásico de la mañana fría puneña; el vaso debe ir sellado</t>
  </si>
  <si>
    <t xml:space="preserve">Api solo</t>
  </si>
  <si>
    <t xml:space="preserve">Vaso de api caliente</t>
  </si>
  <si>
    <t xml:space="preserve">Quinuada</t>
  </si>
  <si>
    <t xml:space="preserve">Bebida caliente de quinua con manzana</t>
  </si>
  <si>
    <t xml:space="preserve">quinua, manzana, canela, azúcar</t>
  </si>
  <si>
    <t xml:space="preserve">Maicena</t>
  </si>
  <si>
    <t xml:space="preserve">Bebida espesa con canela</t>
  </si>
  <si>
    <t xml:space="preserve">maicena, leche, canela, azúcar</t>
  </si>
  <si>
    <t xml:space="preserve">Carretilla</t>
  </si>
  <si>
    <t xml:space="preserve">Emoliente</t>
  </si>
  <si>
    <t xml:space="preserve">Linaza, cebada, hierbas</t>
  </si>
  <si>
    <t xml:space="preserve">cebada tostada, linaza, cola de caballo, limón, azúcar</t>
  </si>
  <si>
    <t xml:space="preserve">Carretilla de esquina, muy extendida</t>
  </si>
  <si>
    <t xml:space="preserve">Emoliente especial</t>
  </si>
  <si>
    <t xml:space="preserve">Con linaza extra y alfalfa</t>
  </si>
  <si>
    <t xml:space="preserve">Bebida espesa de habas</t>
  </si>
  <si>
    <t xml:space="preserve">Ponche de maní</t>
  </si>
  <si>
    <t xml:space="preserve">Bebida espesa dulce</t>
  </si>
  <si>
    <t xml:space="preserve">maní tostado, leche, azúcar, canela</t>
  </si>
  <si>
    <t xml:space="preserve">Leche con avena / quaker</t>
  </si>
  <si>
    <t xml:space="preserve">Bebida caliente</t>
  </si>
  <si>
    <t xml:space="preserve">Soya caliente</t>
  </si>
  <si>
    <t xml:space="preserve">Bebida de soya</t>
  </si>
  <si>
    <t xml:space="preserve">Café de carretilla</t>
  </si>
  <si>
    <t xml:space="preserve">Café pasado en vaso</t>
  </si>
  <si>
    <t xml:space="preserve">Vaso 250 ml</t>
  </si>
  <si>
    <t xml:space="preserve">Té con leche</t>
  </si>
  <si>
    <t xml:space="preserve">Infusión con leche</t>
  </si>
  <si>
    <t xml:space="preserve">Chocolate caliente de carretilla</t>
  </si>
  <si>
    <t xml:space="preserve">Vaso de chocolate</t>
  </si>
  <si>
    <t xml:space="preserve">Jugos de carretilla</t>
  </si>
  <si>
    <t xml:space="preserve">Jugo surtido de carretilla</t>
  </si>
  <si>
    <t xml:space="preserve">Más barato que la juguería con local</t>
  </si>
  <si>
    <t xml:space="preserve">Jugo de papaya de carretilla</t>
  </si>
  <si>
    <t xml:space="preserve">Batido simple</t>
  </si>
  <si>
    <t xml:space="preserve">Jugo de naranja exprimido</t>
  </si>
  <si>
    <t xml:space="preserve">Exprimido al momento</t>
  </si>
  <si>
    <t xml:space="preserve">Muy vendido a la salida de colegios y oficinas</t>
  </si>
  <si>
    <t xml:space="preserve">Jugo especial de carretilla</t>
  </si>
  <si>
    <t xml:space="preserve">Con huevo de codorniz o polen</t>
  </si>
  <si>
    <t xml:space="preserve">Extracto de alfalfa de carretilla</t>
  </si>
  <si>
    <t xml:space="preserve">Extracto de zanahoria y betarraga</t>
  </si>
  <si>
    <t xml:space="preserve">verdura, fruta o raíz fresca, agua</t>
  </si>
  <si>
    <t xml:space="preserve">Maca con fruta</t>
  </si>
  <si>
    <t xml:space="preserve">Jugo de zanahoria con naranja</t>
  </si>
  <si>
    <t xml:space="preserve">Mezcla cítrica</t>
  </si>
  <si>
    <t xml:space="preserve">Panes y frituras de carretilla</t>
  </si>
  <si>
    <t xml:space="preserve">Pan con chicharrón de carretilla</t>
  </si>
  <si>
    <t xml:space="preserve">Chicharrón, camote, salsa criolla</t>
  </si>
  <si>
    <t xml:space="preserve">Aguanta bien el traslado: ideal para app</t>
  </si>
  <si>
    <t xml:space="preserve">Pan con huevo de carretilla</t>
  </si>
  <si>
    <t xml:space="preserve">Huevo frito en pan</t>
  </si>
  <si>
    <t xml:space="preserve">Pan con palta</t>
  </si>
  <si>
    <t xml:space="preserve">Palta y sal</t>
  </si>
  <si>
    <t xml:space="preserve">pan, palta, sal, limón</t>
  </si>
  <si>
    <t xml:space="preserve">Pan con salchicha</t>
  </si>
  <si>
    <t xml:space="preserve">Salchicha frita en pan</t>
  </si>
  <si>
    <t xml:space="preserve">Sándwich mixto de carretilla</t>
  </si>
  <si>
    <t xml:space="preserve">Buñuelos (3 und)</t>
  </si>
  <si>
    <t xml:space="preserve">Picarones de carretilla</t>
  </si>
  <si>
    <t xml:space="preserve">Buñuelos de zapallo con miel</t>
  </si>
  <si>
    <t xml:space="preserve">Producto de noche más que de mañana</t>
  </si>
  <si>
    <t xml:space="preserve">Empanada de carne de carretilla</t>
  </si>
  <si>
    <t xml:space="preserve">Empanada frita</t>
  </si>
  <si>
    <t xml:space="preserve">Tamal</t>
  </si>
  <si>
    <t xml:space="preserve">Tamal de maíz con carne</t>
  </si>
  <si>
    <t xml:space="preserve">Humita dulce</t>
  </si>
  <si>
    <t xml:space="preserve">Pastel de choclo</t>
  </si>
  <si>
    <t xml:space="preserve">Quispiño (2 und)</t>
  </si>
  <si>
    <t xml:space="preserve">Pan de tres puntas (3 und)</t>
  </si>
  <si>
    <t xml:space="preserve">Panadería, carretilla</t>
  </si>
  <si>
    <t xml:space="preserve">Complemento de muy bajo costo</t>
  </si>
  <si>
    <t xml:space="preserve">Salchipapa mañanera</t>
  </si>
  <si>
    <t xml:space="preserve">Papas con salchicha</t>
  </si>
  <si>
    <t xml:space="preserve">Combos rápidos</t>
  </si>
  <si>
    <t xml:space="preserve">Api + pan con chicharrón</t>
  </si>
  <si>
    <t xml:space="preserve">Combo de mañana</t>
  </si>
  <si>
    <t xml:space="preserve">COMBO ANCLA de la lista: sube el ticket de S/ 3 a S/ 8</t>
  </si>
  <si>
    <t xml:space="preserve">Jugo + sándwich</t>
  </si>
  <si>
    <t xml:space="preserve">Desayuno rápido</t>
  </si>
  <si>
    <t xml:space="preserve">Carretilla, juguería</t>
  </si>
  <si>
    <t xml:space="preserve">Producto más rentable de esta categoría</t>
  </si>
  <si>
    <t xml:space="preserve">Emoliente + empanada</t>
  </si>
  <si>
    <t xml:space="preserve">Combo de esquina</t>
  </si>
  <si>
    <t xml:space="preserve">Quinuada + quispiño</t>
  </si>
  <si>
    <t xml:space="preserve">Combo andino</t>
  </si>
  <si>
    <t xml:space="preserve">Combo con identidad puneña para posicionar la marca</t>
  </si>
  <si>
    <t xml:space="preserve">Jugo grande + 2 panes</t>
  </si>
  <si>
    <t xml:space="preserve">Desayuno para dos</t>
  </si>
  <si>
    <t xml:space="preserve">Desayuno de obra (jugo + pan + huevo)</t>
  </si>
  <si>
    <t xml:space="preserve">Para trabajadores de construcción</t>
  </si>
  <si>
    <t xml:space="preserve">Cliente madrugador con pedido repetido diario</t>
  </si>
  <si>
    <t xml:space="preserve">Desayuno escolar</t>
  </si>
  <si>
    <t xml:space="preserve">Jugo + sándwich pequeño</t>
  </si>
  <si>
    <t xml:space="preserve">06:00-08:00</t>
  </si>
  <si>
    <t xml:space="preserve">Demanda de marzo a diciembre</t>
  </si>
  <si>
    <t xml:space="preserve">Snacks de calle</t>
  </si>
  <si>
    <t xml:space="preserve">Canchita salada</t>
  </si>
  <si>
    <t xml:space="preserve">Maíz pelado con queso</t>
  </si>
  <si>
    <t xml:space="preserve">Fruta picada en vaso</t>
  </si>
  <si>
    <t xml:space="preserve">Fruta cortada</t>
  </si>
  <si>
    <t xml:space="preserve">Gelatina en vaso</t>
  </si>
  <si>
    <t xml:space="preserve">Postre para llevar</t>
  </si>
  <si>
    <t xml:space="preserve">Arroz con leche en vaso</t>
  </si>
  <si>
    <t xml:space="preserve">Mazamorra en vaso</t>
  </si>
  <si>
    <t xml:space="preserve">maíz morado o harina, fruta, azúcar, canela</t>
  </si>
  <si>
    <t xml:space="preserve">Combinado en vaso</t>
  </si>
  <si>
    <t xml:space="preserve">Arroz con leche + mazamorra</t>
  </si>
  <si>
    <t xml:space="preserve">Clásico del mercado</t>
  </si>
  <si>
    <t xml:space="preserve">Helado de carretilla</t>
  </si>
  <si>
    <t xml:space="preserve">Cono o vaso</t>
  </si>
  <si>
    <t xml:space="preserve">Se derrite: no apto para entregas de más de 15 minutos</t>
  </si>
  <si>
    <t xml:space="preserve">Api de quinua</t>
  </si>
  <si>
    <t xml:space="preserve">Api con quinua</t>
  </si>
  <si>
    <t xml:space="preserve">Api con queso</t>
  </si>
  <si>
    <t xml:space="preserve">Api acompañado de queso</t>
  </si>
  <si>
    <t xml:space="preserve">Vaso + porción</t>
  </si>
  <si>
    <t xml:space="preserve">Ponche de quinua</t>
  </si>
  <si>
    <t xml:space="preserve">Bebida espesa de quinua</t>
  </si>
  <si>
    <t xml:space="preserve">harina de quinua, leche, azúcar, canela</t>
  </si>
  <si>
    <t xml:space="preserve">Ponche de kiwicha</t>
  </si>
  <si>
    <t xml:space="preserve">Bebida espesa andina</t>
  </si>
  <si>
    <t xml:space="preserve">harina de kiwicha, leche, azúcar, canela</t>
  </si>
  <si>
    <t xml:space="preserve">Ponche de ajonjolí</t>
  </si>
  <si>
    <t xml:space="preserve">Bebida dulce espesa</t>
  </si>
  <si>
    <t xml:space="preserve">ajonjolí tostado, leche, azúcar, canela</t>
  </si>
  <si>
    <t xml:space="preserve">Emoliente con uña de gato</t>
  </si>
  <si>
    <t xml:space="preserve">Infusión medicinal</t>
  </si>
  <si>
    <t xml:space="preserve">Hierba luisa / cedrón</t>
  </si>
  <si>
    <t xml:space="preserve">Infusión de hierbas</t>
  </si>
  <si>
    <t xml:space="preserve">Agua de cebada con limón</t>
  </si>
  <si>
    <t xml:space="preserve">cebada tostada, agua, limón, azúcar</t>
  </si>
  <si>
    <t xml:space="preserve">Café con leche de carretilla</t>
  </si>
  <si>
    <t xml:space="preserve">Chocolate con pan</t>
  </si>
  <si>
    <t xml:space="preserve">Jugo de fresa con leche</t>
  </si>
  <si>
    <t xml:space="preserve">Batido de fresa</t>
  </si>
  <si>
    <t xml:space="preserve">Jugo de piña con linaza</t>
  </si>
  <si>
    <t xml:space="preserve">Jugo de maracuyá de carretilla</t>
  </si>
  <si>
    <t xml:space="preserve">Extracto de sábila</t>
  </si>
  <si>
    <t xml:space="preserve">Extracto de maca con algarrobina</t>
  </si>
  <si>
    <t xml:space="preserve">Bebida energética</t>
  </si>
  <si>
    <t xml:space="preserve">Jugo de zanahoria con miel</t>
  </si>
  <si>
    <t xml:space="preserve">Jugo dulce</t>
  </si>
  <si>
    <t xml:space="preserve">Jugo con cañihua</t>
  </si>
  <si>
    <t xml:space="preserve">Con harina de cañihuaco</t>
  </si>
  <si>
    <t xml:space="preserve">Jarra de jugo de carretilla 1 L</t>
  </si>
  <si>
    <t xml:space="preserve">Para llevar a casa</t>
  </si>
  <si>
    <t xml:space="preserve">Mejor opción de ticket en esta lista</t>
  </si>
  <si>
    <t xml:space="preserve">Pan con relleno de pollo</t>
  </si>
  <si>
    <t xml:space="preserve">Pan con pollo guisado</t>
  </si>
  <si>
    <t xml:space="preserve">Chorizo frito en pan</t>
  </si>
  <si>
    <t xml:space="preserve">Pan con hot dog</t>
  </si>
  <si>
    <t xml:space="preserve">Sándwich de jamonada y queso</t>
  </si>
  <si>
    <t xml:space="preserve">Sándwich simple</t>
  </si>
  <si>
    <t xml:space="preserve">Empanada de pollo</t>
  </si>
  <si>
    <t xml:space="preserve">masa de trigo, pollo, cebolla, huevo</t>
  </si>
  <si>
    <t xml:space="preserve">Empanada vegetariana</t>
  </si>
  <si>
    <t xml:space="preserve">Tamal de queso</t>
  </si>
  <si>
    <t xml:space="preserve">Tamal vegetariano</t>
  </si>
  <si>
    <t xml:space="preserve">Humita salada</t>
  </si>
  <si>
    <t xml:space="preserve">Pastel de choclo con queso</t>
  </si>
  <si>
    <t xml:space="preserve">Torreja de quinua</t>
  </si>
  <si>
    <t xml:space="preserve">Fritura de quinua</t>
  </si>
  <si>
    <t xml:space="preserve">quinua, huevo, harina, cebolla, sal</t>
  </si>
  <si>
    <t xml:space="preserve">Pastelito frito con azúcar</t>
  </si>
  <si>
    <t xml:space="preserve">Masa frita dulce</t>
  </si>
  <si>
    <t xml:space="preserve">harina, azúcar, aceite</t>
  </si>
  <si>
    <t xml:space="preserve">Yuca frita de carretilla</t>
  </si>
  <si>
    <t xml:space="preserve">Porción con salsa</t>
  </si>
  <si>
    <t xml:space="preserve">Emoliente + pan con chicharrón</t>
  </si>
  <si>
    <t xml:space="preserve">Combo de madrugada</t>
  </si>
  <si>
    <t xml:space="preserve">Api + quispiño + café</t>
  </si>
  <si>
    <t xml:space="preserve">Combo andino completo</t>
  </si>
  <si>
    <t xml:space="preserve">Combo con identidad local</t>
  </si>
  <si>
    <t xml:space="preserve">Jugo 1 L + 3 panes</t>
  </si>
  <si>
    <t xml:space="preserve">Desayuno familiar de carretilla</t>
  </si>
  <si>
    <t xml:space="preserve">El de mejor margen de toda la lista</t>
  </si>
  <si>
    <t xml:space="preserve">Ponche + empanada</t>
  </si>
  <si>
    <t xml:space="preserve">Desayuno de mercado (caldo + pan + mate)</t>
  </si>
  <si>
    <t xml:space="preserve">Combo completo de puesto</t>
  </si>
  <si>
    <t xml:space="preserve">Combo colegio (jugo + empanada)</t>
  </si>
  <si>
    <t xml:space="preserve">Refrigerio escolar</t>
  </si>
  <si>
    <t xml:space="preserve">Combo oficina (jugo + sándwich + fruta)</t>
  </si>
  <si>
    <t xml:space="preserve">Desayuno para escritorio</t>
  </si>
  <si>
    <t xml:space="preserve">Cliente de oficina, pedido repetido</t>
  </si>
  <si>
    <t xml:space="preserve">Papa con huevo de codorniz</t>
  </si>
  <si>
    <t xml:space="preserve">Snack de mercado</t>
  </si>
  <si>
    <t xml:space="preserve">snack envasado de marca</t>
  </si>
  <si>
    <t xml:space="preserve">Chicharrón de habas</t>
  </si>
  <si>
    <t xml:space="preserve">Habas fritas</t>
  </si>
  <si>
    <t xml:space="preserve">Maíz cancha con queso</t>
  </si>
  <si>
    <t xml:space="preserve">Snack andino</t>
  </si>
  <si>
    <t xml:space="preserve">Algodón de azúcar</t>
  </si>
  <si>
    <t xml:space="preserve">Golosina de feria</t>
  </si>
  <si>
    <t xml:space="preserve">16:00-21:00</t>
  </si>
  <si>
    <t xml:space="preserve">Manzana con caramelo</t>
  </si>
  <si>
    <t xml:space="preserve">manzana, azúcar, colorante</t>
  </si>
  <si>
    <t xml:space="preserve">Vaso de fruta con yogurt</t>
  </si>
  <si>
    <t xml:space="preserve">Fruta picada con yogurt</t>
  </si>
  <si>
    <t xml:space="preserve">Gelatina con leche en vaso</t>
  </si>
  <si>
    <t xml:space="preserve">Postre de mercado</t>
  </si>
  <si>
    <t xml:space="preserve">Marciano / chupete de fruta</t>
  </si>
  <si>
    <t xml:space="preserve">Helado casero en bolsa</t>
  </si>
  <si>
    <t xml:space="preserve">Se derrite muy rápido</t>
  </si>
  <si>
    <t xml:space="preserve">Raspadilla</t>
  </si>
  <si>
    <t xml:space="preserve">Hielo raspado con jarabe</t>
  </si>
  <si>
    <t xml:space="preserve">No viable para delivery</t>
  </si>
  <si>
    <t xml:space="preserve">98 productos. Columnas amarillas (INGREDIENTES y EMPAQUE) son editables. J, L, M, N y O son fórmulas.</t>
  </si>
  <si>
    <t xml:space="preserve">ADVERTENCIA OPERATIVA — La mayoría de estos vendedores son informales: sin RUC, sin boleta, solo efectivo, y muchos cambian de esquina. Antes de subirlos a la app hay que resolver cómo se les paga, quién emite el comprobante y cómo se fija su dirección de recojo.</t>
  </si>
  <si>
    <t xml:space="preserve">El ticket promedio aquí es de S/ 3 a S/ 6, muy por debajo del costo de una entrega. Esta lista SOLO es rentable vendida en combo (ver categoría 'Combos rápidos') o agrupando varios pedidos de la misma cuadra en un solo viaje.</t>
  </si>
  <si>
    <t xml:space="preserve">Oportunidad real: PideloPuno abre a las 11:00. De 05:00 a 09:00 no hay competencia formal en Puno.</t>
  </si>
  <si>
    <t xml:space="preserve">Cerveza</t>
  </si>
  <si>
    <t xml:space="preserve">Cerveza Cusqueña 620 ml</t>
  </si>
  <si>
    <t xml:space="preserve">Licorería, bodega</t>
  </si>
  <si>
    <t xml:space="preserve">Marca de mayor presencia en el sur</t>
  </si>
  <si>
    <t xml:space="preserve">Cerveza Cristal 650 ml</t>
  </si>
  <si>
    <t xml:space="preserve">Cerveza Pilsen Callao 650 ml</t>
  </si>
  <si>
    <t xml:space="preserve">Cerveza Arequipeña 650 ml</t>
  </si>
  <si>
    <t xml:space="preserve">Fuerte arraigo en el sur andino</t>
  </si>
  <si>
    <t xml:space="preserve">Cerveza Pilsen Trujillo 650 ml</t>
  </si>
  <si>
    <t xml:space="preserve">Cerveza Brahma 630 ml</t>
  </si>
  <si>
    <t xml:space="preserve">Opción de menor precio</t>
  </si>
  <si>
    <t xml:space="preserve">Cerveza en lata 355 ml</t>
  </si>
  <si>
    <t xml:space="preserve">Lata individual</t>
  </si>
  <si>
    <t xml:space="preserve">Lata</t>
  </si>
  <si>
    <t xml:space="preserve">Six pack de latas</t>
  </si>
  <si>
    <t xml:space="preserve">6 latas 355 ml</t>
  </si>
  <si>
    <t xml:space="preserve">cerveza en lata</t>
  </si>
  <si>
    <t xml:space="preserve">Pack</t>
  </si>
  <si>
    <t xml:space="preserve">Ticket medio con buen margen</t>
  </si>
  <si>
    <t xml:space="preserve">Caja de cerveza (12 botellas)</t>
  </si>
  <si>
    <t xml:space="preserve">Caja cerrada</t>
  </si>
  <si>
    <t xml:space="preserve">Distribuidora, licorería</t>
  </si>
  <si>
    <t xml:space="preserve">TICKET ALTO: reuniones y fiestas</t>
  </si>
  <si>
    <t xml:space="preserve">Caja de cerveza (20 botellas)</t>
  </si>
  <si>
    <t xml:space="preserve">Distribuidora</t>
  </si>
  <si>
    <t xml:space="preserve">Peso alto: requiere moto con parrilla o auto</t>
  </si>
  <si>
    <t xml:space="preserve">Cerveza artesanal</t>
  </si>
  <si>
    <t xml:space="preserve">Botella de cervecería local</t>
  </si>
  <si>
    <t xml:space="preserve">Licorería, bar</t>
  </si>
  <si>
    <t xml:space="preserve">Nicho turístico</t>
  </si>
  <si>
    <t xml:space="preserve">Pisco y destilados nacionales</t>
  </si>
  <si>
    <t xml:space="preserve">Pisco acholado 750 ml</t>
  </si>
  <si>
    <t xml:space="preserve">pisco de uva (quebranta, italia, acholado o torontel)</t>
  </si>
  <si>
    <t xml:space="preserve">Pisco quebranta 750 ml</t>
  </si>
  <si>
    <t xml:space="preserve">Pisco italia 750 ml</t>
  </si>
  <si>
    <t xml:space="preserve">Pisco premium 750 ml</t>
  </si>
  <si>
    <t xml:space="preserve">Botella de marca reconocida</t>
  </si>
  <si>
    <t xml:space="preserve">Cañazo / aguardiente</t>
  </si>
  <si>
    <t xml:space="preserve">Aguardiente de caña</t>
  </si>
  <si>
    <t xml:space="preserve">aguardiente de caña</t>
  </si>
  <si>
    <t xml:space="preserve">Consumo tradicional en zona rural y fiestas</t>
  </si>
  <si>
    <t xml:space="preserve">Anisado</t>
  </si>
  <si>
    <t xml:space="preserve">Licor de anís</t>
  </si>
  <si>
    <t xml:space="preserve">Ron y vodka</t>
  </si>
  <si>
    <t xml:space="preserve">Ron Cartavio Black 750 ml</t>
  </si>
  <si>
    <t xml:space="preserve">Ron Appleton / importado 750 ml</t>
  </si>
  <si>
    <t xml:space="preserve">Ron Flor de Caña 750 ml</t>
  </si>
  <si>
    <t xml:space="preserve">Vodka Russkaya 750 ml</t>
  </si>
  <si>
    <t xml:space="preserve">vodka</t>
  </si>
  <si>
    <t xml:space="preserve">Vodka Absolut 750 ml</t>
  </si>
  <si>
    <t xml:space="preserve">Vodka Smirnoff 750 ml</t>
  </si>
  <si>
    <t xml:space="preserve">Whisky</t>
  </si>
  <si>
    <t xml:space="preserve">Whisky Johnnie Walker Red 750 ml</t>
  </si>
  <si>
    <t xml:space="preserve">whisky</t>
  </si>
  <si>
    <t xml:space="preserve">Whisky Johnnie Walker Black 750 ml</t>
  </si>
  <si>
    <t xml:space="preserve">Whisky Something Special 750 ml</t>
  </si>
  <si>
    <t xml:space="preserve">Whisky nacional / económico</t>
  </si>
  <si>
    <t xml:space="preserve">Vinos</t>
  </si>
  <si>
    <t xml:space="preserve">Vino Tabernero 750 ml</t>
  </si>
  <si>
    <t xml:space="preserve">Tinto o borgoña</t>
  </si>
  <si>
    <t xml:space="preserve">vino de uva</t>
  </si>
  <si>
    <t xml:space="preserve">Vino Santiago Queirolo 750 ml</t>
  </si>
  <si>
    <t xml:space="preserve">Vino Gato Negro / importado 750 ml</t>
  </si>
  <si>
    <t xml:space="preserve">Tinto chileno o argentino</t>
  </si>
  <si>
    <t xml:space="preserve">Vino espumante / champagne</t>
  </si>
  <si>
    <t xml:space="preserve">Pico en diciembre</t>
  </si>
  <si>
    <t xml:space="preserve">Vino de fruta artesanal</t>
  </si>
  <si>
    <t xml:space="preserve">Producción local</t>
  </si>
  <si>
    <t xml:space="preserve">Licorería, feria</t>
  </si>
  <si>
    <t xml:space="preserve">Licores y cremas</t>
  </si>
  <si>
    <t xml:space="preserve">Crema de whisky Baileys 750 ml</t>
  </si>
  <si>
    <t xml:space="preserve">Licor de café</t>
  </si>
  <si>
    <t xml:space="preserve">Crema de maracuyá / coco</t>
  </si>
  <si>
    <t xml:space="preserve">Licor dulce</t>
  </si>
  <si>
    <t xml:space="preserve">Licor de muña / coca</t>
  </si>
  <si>
    <t xml:space="preserve">Licor regional</t>
  </si>
  <si>
    <t xml:space="preserve">alcohol base, fruta o insumo aromático, azúcar</t>
  </si>
  <si>
    <t xml:space="preserve">Licorería, souvenir</t>
  </si>
  <si>
    <t xml:space="preserve">Producto con identidad puneña, interés turístico</t>
  </si>
  <si>
    <t xml:space="preserve">Tequila José Cuervo 750 ml</t>
  </si>
  <si>
    <t xml:space="preserve">tequila de agave</t>
  </si>
  <si>
    <t xml:space="preserve">Combos y preparados</t>
  </si>
  <si>
    <t xml:space="preserve">Combo pisco sour (pisco + insumos)</t>
  </si>
  <si>
    <t xml:space="preserve">Pisco, limón, jarabe</t>
  </si>
  <si>
    <t xml:space="preserve">Combo de alto margen, diferenciador para ComeYa</t>
  </si>
  <si>
    <t xml:space="preserve">Combo cuba libre (ron + gaseosa + hielo)</t>
  </si>
  <si>
    <t xml:space="preserve">Ron, gaseosa, hielo</t>
  </si>
  <si>
    <t xml:space="preserve">Muy pedido en la noche</t>
  </si>
  <si>
    <t xml:space="preserve">Combo fiesta (caja cerveza + hielo + snacks)</t>
  </si>
  <si>
    <t xml:space="preserve">Caja, hielo, piqueos</t>
  </si>
  <si>
    <t xml:space="preserve">TICKET MÁS ALTO de la categoría</t>
  </si>
  <si>
    <t xml:space="preserve">Combo cumpleaños (espumante + torta)</t>
  </si>
  <si>
    <t xml:space="preserve">Espumante y torta</t>
  </si>
  <si>
    <t xml:space="preserve">Licorería + pastelería</t>
  </si>
  <si>
    <t xml:space="preserve">Requiere alianza entre dos locales</t>
  </si>
  <si>
    <t xml:space="preserve">Jarra de pisco sour preparado</t>
  </si>
  <si>
    <t xml:space="preserve">Preparado listo 1 L</t>
  </si>
  <si>
    <t xml:space="preserve">Jarra</t>
  </si>
  <si>
    <t xml:space="preserve">Verificar normativa de venta de preparados</t>
  </si>
  <si>
    <t xml:space="preserve">Complementos</t>
  </si>
  <si>
    <t xml:space="preserve">Hielo en bolsa 2 kg</t>
  </si>
  <si>
    <t xml:space="preserve">Bolsa de hielo</t>
  </si>
  <si>
    <t xml:space="preserve">agua congelada</t>
  </si>
  <si>
    <t xml:space="preserve">Se derrite: entrega máxima 25 minutos</t>
  </si>
  <si>
    <t xml:space="preserve">Gaseosa 1.5 L para mezclar</t>
  </si>
  <si>
    <t xml:space="preserve">Acompañante obligado del combo</t>
  </si>
  <si>
    <t xml:space="preserve">Gaseosa 3 L</t>
  </si>
  <si>
    <t xml:space="preserve">Agua tónica / ginger</t>
  </si>
  <si>
    <t xml:space="preserve">Botella mixer</t>
  </si>
  <si>
    <t xml:space="preserve">Jugo de limón / insumo cóctel</t>
  </si>
  <si>
    <t xml:space="preserve">Insumo preparado</t>
  </si>
  <si>
    <t xml:space="preserve">limón, agua, azúcar</t>
  </si>
  <si>
    <t xml:space="preserve">Vasos descartables (50 und)</t>
  </si>
  <si>
    <t xml:space="preserve">plásticos o cartón descartable</t>
  </si>
  <si>
    <t xml:space="preserve">Piqueo de licorería</t>
  </si>
  <si>
    <t xml:space="preserve">Papas, maní, habas</t>
  </si>
  <si>
    <t xml:space="preserve">Upselling natural con la cerveza</t>
  </si>
  <si>
    <t xml:space="preserve">Cigarrillos (cajetilla)</t>
  </si>
  <si>
    <t xml:space="preserve">Cajetilla</t>
  </si>
  <si>
    <t xml:space="preserve">tabaco</t>
  </si>
  <si>
    <t xml:space="preserve">Venta restringida a mayores de 18; verificar normativa</t>
  </si>
  <si>
    <t xml:space="preserve">Cerveza San Juan 650 ml</t>
  </si>
  <si>
    <t xml:space="preserve">Cerveza Corona 355 ml</t>
  </si>
  <si>
    <t xml:space="preserve">Botella importada</t>
  </si>
  <si>
    <t xml:space="preserve">Cerveza negra / malta</t>
  </si>
  <si>
    <t xml:space="preserve">Docena de latas</t>
  </si>
  <si>
    <t xml:space="preserve">12 latas 355 ml</t>
  </si>
  <si>
    <t xml:space="preserve">Pisco mosto verde 750 ml</t>
  </si>
  <si>
    <t xml:space="preserve">Botella premium</t>
  </si>
  <si>
    <t xml:space="preserve">Pisco en petaca 250 ml</t>
  </si>
  <si>
    <t xml:space="preserve">Presentación pequeña</t>
  </si>
  <si>
    <t xml:space="preserve">Formato de bajo ticket, alta rotación</t>
  </si>
  <si>
    <t xml:space="preserve">Ron Pomalca / nacional 750 ml</t>
  </si>
  <si>
    <t xml:space="preserve">Gin nacional 750 ml</t>
  </si>
  <si>
    <t xml:space="preserve">gin</t>
  </si>
  <si>
    <t xml:space="preserve">Gin importado 750 ml</t>
  </si>
  <si>
    <t xml:space="preserve">Whisky Chivas Regal 12 años 750 ml</t>
  </si>
  <si>
    <t xml:space="preserve">Pico en diciembre y fiestas patronales</t>
  </si>
  <si>
    <t xml:space="preserve">Whisky Old Times / económico 750 ml</t>
  </si>
  <si>
    <t xml:space="preserve">Vino Casillero del Diablo 750 ml</t>
  </si>
  <si>
    <t xml:space="preserve">Tinto importado</t>
  </si>
  <si>
    <t xml:space="preserve">Vino caliente / navegado</t>
  </si>
  <si>
    <t xml:space="preserve">Preparado caliente</t>
  </si>
  <si>
    <t xml:space="preserve">Muy pedido en noches frías de Puno</t>
  </si>
  <si>
    <t xml:space="preserve">Licor de sauco / capulí</t>
  </si>
  <si>
    <t xml:space="preserve">Licor artesanal regional</t>
  </si>
  <si>
    <t xml:space="preserve">Aguardiente con hierbas</t>
  </si>
  <si>
    <t xml:space="preserve">Macerado tradicional</t>
  </si>
  <si>
    <t xml:space="preserve">Licorería, mercado</t>
  </si>
  <si>
    <t xml:space="preserve">Combo chilcano (pisco + ginger + limón)</t>
  </si>
  <si>
    <t xml:space="preserve">Insumos para chilcano</t>
  </si>
  <si>
    <t xml:space="preserve">Combo ponche caliente</t>
  </si>
  <si>
    <t xml:space="preserve">Insumos para bebida caliente</t>
  </si>
  <si>
    <t xml:space="preserve">surtido de los productos que componen el pedido</t>
  </si>
  <si>
    <t xml:space="preserve">Caja de cerveza + hielo</t>
  </si>
  <si>
    <t xml:space="preserve">Caja con hielo incluido</t>
  </si>
  <si>
    <t xml:space="preserve">Entrega máxima 25 minutos por el hielo</t>
  </si>
  <si>
    <t xml:space="preserve">Hielo en bolsa 5 kg</t>
  </si>
  <si>
    <t xml:space="preserve">Bolsa grande</t>
  </si>
  <si>
    <t xml:space="preserve">Se derrite rápido</t>
  </si>
  <si>
    <t xml:space="preserve">Snacks importados</t>
  </si>
  <si>
    <t xml:space="preserve">Papas, doritos</t>
  </si>
  <si>
    <t xml:space="preserve">Energizante (Red Bull / Volt)</t>
  </si>
  <si>
    <t xml:space="preserve">18:00-02:00</t>
  </si>
  <si>
    <t xml:space="preserve">Se pide junto con licor</t>
  </si>
  <si>
    <t xml:space="preserve">Descartables para fiesta</t>
  </si>
  <si>
    <t xml:space="preserve">Platos, vasos, servilletas</t>
  </si>
  <si>
    <t xml:space="preserve">Cerveza Pilsen 355 ml lata</t>
  </si>
  <si>
    <t xml:space="preserve">Cerveza Cusqueña de trigo</t>
  </si>
  <si>
    <t xml:space="preserve">Variedad de trigo</t>
  </si>
  <si>
    <t xml:space="preserve">Cerveza Cusqueña negra</t>
  </si>
  <si>
    <t xml:space="preserve">Variedad negra</t>
  </si>
  <si>
    <t xml:space="preserve">Cerveza Heineken 330 ml</t>
  </si>
  <si>
    <t xml:space="preserve">Importada</t>
  </si>
  <si>
    <t xml:space="preserve">Cerveza sin alcohol</t>
  </si>
  <si>
    <t xml:space="preserve">Permite vender fuera de horario restringido</t>
  </si>
  <si>
    <t xml:space="preserve">Media caja de cerveza (6 botellas)</t>
  </si>
  <si>
    <t xml:space="preserve">Pack mediano</t>
  </si>
  <si>
    <t xml:space="preserve">Chela helada con hielo</t>
  </si>
  <si>
    <t xml:space="preserve">Botella con hielo incluido</t>
  </si>
  <si>
    <t xml:space="preserve">Pisco torontel 750 ml</t>
  </si>
  <si>
    <t xml:space="preserve">Botella aromática</t>
  </si>
  <si>
    <t xml:space="preserve">Pisco en caja regalo</t>
  </si>
  <si>
    <t xml:space="preserve">Presentación para obsequio</t>
  </si>
  <si>
    <t xml:space="preserve">Pico en diciembre y Día del Padre</t>
  </si>
  <si>
    <t xml:space="preserve">Macerado de coca</t>
  </si>
  <si>
    <t xml:space="preserve">Licor macerado regional</t>
  </si>
  <si>
    <t xml:space="preserve">Interés turístico</t>
  </si>
  <si>
    <t xml:space="preserve">Macerado de aguaymanto</t>
  </si>
  <si>
    <t xml:space="preserve">Licor de fruta andina</t>
  </si>
  <si>
    <t xml:space="preserve">Ron Bacardí 750 ml</t>
  </si>
  <si>
    <t xml:space="preserve">Ron Cartavio 5 años</t>
  </si>
  <si>
    <t xml:space="preserve">Vodka saborizado</t>
  </si>
  <si>
    <t xml:space="preserve">Con sabor a fruta</t>
  </si>
  <si>
    <t xml:space="preserve">Tequila blanco 750 ml</t>
  </si>
  <si>
    <t xml:space="preserve">Whisky Buchanan's 12 años</t>
  </si>
  <si>
    <t xml:space="preserve">Whisky Ballantine's 750 ml</t>
  </si>
  <si>
    <t xml:space="preserve">Whisky en petaca 250 ml</t>
  </si>
  <si>
    <t xml:space="preserve">Formato de bajo ticket y alta rotación</t>
  </si>
  <si>
    <t xml:space="preserve">Vino borgoña semiseco</t>
  </si>
  <si>
    <t xml:space="preserve">Tinto dulce</t>
  </si>
  <si>
    <t xml:space="preserve">El vino más vendido en fiestas familiares</t>
  </si>
  <si>
    <t xml:space="preserve">Vino blanco seco</t>
  </si>
  <si>
    <t xml:space="preserve">Vino rosé</t>
  </si>
  <si>
    <t xml:space="preserve">Sangría preparada</t>
  </si>
  <si>
    <t xml:space="preserve">Jarra de sangría</t>
  </si>
  <si>
    <t xml:space="preserve">Caja de vino (6 botellas)</t>
  </si>
  <si>
    <t xml:space="preserve">Pack para evento</t>
  </si>
  <si>
    <t xml:space="preserve">Licor de menta</t>
  </si>
  <si>
    <t xml:space="preserve">Licor de durazno</t>
  </si>
  <si>
    <t xml:space="preserve">Crema de algarrobina</t>
  </si>
  <si>
    <t xml:space="preserve">Licor dulce regional</t>
  </si>
  <si>
    <t xml:space="preserve">Licor de leche / manjar</t>
  </si>
  <si>
    <t xml:space="preserve">Crema artesanal</t>
  </si>
  <si>
    <t xml:space="preserve">Combo mojito (ron + hierbabuena + limón)</t>
  </si>
  <si>
    <t xml:space="preserve">Insumos completos</t>
  </si>
  <si>
    <t xml:space="preserve">Combo piña colada</t>
  </si>
  <si>
    <t xml:space="preserve">Ron, piña, crema de coco</t>
  </si>
  <si>
    <t xml:space="preserve">ron, piña, crema de coco, hielo</t>
  </si>
  <si>
    <t xml:space="preserve">Combo previa (2 botellas + gaseosa + hielo)</t>
  </si>
  <si>
    <t xml:space="preserve">Pack para reunión</t>
  </si>
  <si>
    <t xml:space="preserve">Pedido típico de viernes y sábado</t>
  </si>
  <si>
    <t xml:space="preserve">Combo parrilla (cerveza + carbón + descartables)</t>
  </si>
  <si>
    <t xml:space="preserve">Pack de fin de semana</t>
  </si>
  <si>
    <t xml:space="preserve">10:00-18:00</t>
  </si>
  <si>
    <t xml:space="preserve">Cruce con la lista de cenas</t>
  </si>
  <si>
    <t xml:space="preserve">Jarra de chilcano preparado</t>
  </si>
  <si>
    <t xml:space="preserve">pisco, ginger ale, limón, hielo</t>
  </si>
  <si>
    <t xml:space="preserve">Combo aniversario (espumante + copas)</t>
  </si>
  <si>
    <t xml:space="preserve">Pack de celebración</t>
  </si>
  <si>
    <t xml:space="preserve">Carbón para parrilla 3 kg</t>
  </si>
  <si>
    <t xml:space="preserve">Bolsa de carbón</t>
  </si>
  <si>
    <t xml:space="preserve">10:00-20:00</t>
  </si>
  <si>
    <t xml:space="preserve">Bodega, licorería</t>
  </si>
  <si>
    <t xml:space="preserve">Limones (bolsa)</t>
  </si>
  <si>
    <t xml:space="preserve">Insumo para cócteles</t>
  </si>
  <si>
    <t xml:space="preserve">limón fresco</t>
  </si>
  <si>
    <t xml:space="preserve">Jarabe de goma</t>
  </si>
  <si>
    <t xml:space="preserve">Insumo de coctelería</t>
  </si>
  <si>
    <t xml:space="preserve">Copas descartables (25 und)</t>
  </si>
  <si>
    <t xml:space="preserve">Hielo en cubos 3 kg</t>
  </si>
  <si>
    <t xml:space="preserve">Entrega máxima 25 minutos</t>
  </si>
  <si>
    <t xml:space="preserve">Agua mineral con gas 1.5 L</t>
  </si>
  <si>
    <t xml:space="preserve">Piqueo mixto grande</t>
  </si>
  <si>
    <t xml:space="preserve">Maní, habas, canchita</t>
  </si>
  <si>
    <t xml:space="preserve">AVISO LEGAL — La venta de bebidas alcohólicas por delivery exige verificar que el receptor sea mayor de 18 años (Ley 28681) y respetar los horarios que fije la Municipalidad Provincial de Puno. ComeYa debe exigir DNI en la entrega y bloquear pedidos de alcohol fuera del horario autorizado.</t>
  </si>
  <si>
    <t xml:space="preserve">Confirmar la ordenanza municipal vigente de Puno antes de habilitar esta categoría en la app.</t>
  </si>
  <si>
    <t xml:space="preserve">IDENTIFICACIÓN</t>
  </si>
  <si>
    <t xml:space="preserve">DATOS DE LA EMPRESA</t>
  </si>
  <si>
    <t xml:space="preserve">CONTACTO</t>
  </si>
  <si>
    <t xml:space="preserve">DIRECCIÓN Y UBIGEO</t>
  </si>
  <si>
    <t xml:space="preserve">COORDENADAS Y MAPA</t>
  </si>
  <si>
    <t xml:space="preserve">OFERTA</t>
  </si>
  <si>
    <t xml:space="preserve">GESTIÓN COMEYA</t>
  </si>
  <si>
    <t xml:space="preserve">AUTO</t>
  </si>
  <si>
    <t xml:space="preserve">NOMBRE COMERCIAL</t>
  </si>
  <si>
    <t xml:space="preserve">COCINA / ESPECIALIDAD</t>
  </si>
  <si>
    <t xml:space="preserve">RUC</t>
  </si>
  <si>
    <t xml:space="preserve">RAZÓN SOCIAL</t>
  </si>
  <si>
    <t xml:space="preserve">REPRESENTANTE LEGAL / CONTACTO</t>
  </si>
  <si>
    <t xml:space="preserve">CARGO</t>
  </si>
  <si>
    <t xml:space="preserve">TELÉFONO FIJO</t>
  </si>
  <si>
    <t xml:space="preserve">CELULAR / WHATSAPP</t>
  </si>
  <si>
    <t xml:space="preserve">CORREO</t>
  </si>
  <si>
    <t xml:space="preserve">FACEBOOK / INSTAGRAM</t>
  </si>
  <si>
    <t xml:space="preserve">DIRECCIÓN</t>
  </si>
  <si>
    <t xml:space="preserve">REFERENCIA PARA UBICAR</t>
  </si>
  <si>
    <t xml:space="preserve">ZONA</t>
  </si>
  <si>
    <t xml:space="preserve">CÓDIGO POSTAL</t>
  </si>
  <si>
    <t xml:space="preserve">UBIGEO</t>
  </si>
  <si>
    <t xml:space="preserve">DEPARTAMENTO</t>
  </si>
  <si>
    <t xml:space="preserve">PROVINCIA</t>
  </si>
  <si>
    <t xml:space="preserve">DISTRITO</t>
  </si>
  <si>
    <t xml:space="preserve">LATITUD</t>
  </si>
  <si>
    <t xml:space="preserve">LONGITUD</t>
  </si>
  <si>
    <t xml:space="preserve">PRECISIÓN DE LA UBICACIÓN</t>
  </si>
  <si>
    <t xml:space="preserve">VER EN GOOGLE MAPS</t>
  </si>
  <si>
    <t xml:space="preserve">CARTAS QUE TRABAJA</t>
  </si>
  <si>
    <t xml:space="preserve">¿MENÚ DIARIO?</t>
  </si>
  <si>
    <t xml:space="preserve">PRECIO MENÚ S/</t>
  </si>
  <si>
    <t xml:space="preserve">RANGO CARTA S/</t>
  </si>
  <si>
    <t xml:space="preserve">HORARIO</t>
  </si>
  <si>
    <t xml:space="preserve">¿DELIVERY PROPIO?</t>
  </si>
  <si>
    <t xml:space="preserve">PLATAFORMA ACTUAL</t>
  </si>
  <si>
    <t xml:space="preserve">PRIORIDAD COMEYA</t>
  </si>
  <si>
    <t xml:space="preserve">ESTADO DE CONTACTO</t>
  </si>
  <si>
    <t xml:space="preserve">FECHA ÚLTIMO CONTACTO</t>
  </si>
  <si>
    <t xml:space="preserve">FUENTE / OBSERVACIÓN</t>
  </si>
  <si>
    <t xml:space="preserve">DIST. AL CLIENTE DE LA HOJA 14 (km) — cálculo automático</t>
  </si>
  <si>
    <t xml:space="preserve">Novoandina / peruana</t>
  </si>
  <si>
    <t xml:space="preserve">(051) 363182</t>
  </si>
  <si>
    <t xml:space="preserve">Jr. Lima 635, 2do piso</t>
  </si>
  <si>
    <t xml:space="preserve">21001</t>
  </si>
  <si>
    <t xml:space="preserve">210101</t>
  </si>
  <si>
    <t xml:space="preserve">Puno</t>
  </si>
  <si>
    <t xml:space="preserve">Exacta — OpenStreetMap</t>
  </si>
  <si>
    <t xml:space="preserve">Almuerzos, Cenas</t>
  </si>
  <si>
    <t xml:space="preserve">Sin contactar</t>
  </si>
  <si>
    <t xml:space="preserve">Directorio Cylex Perú; Directorio Wanderlog / Avalos Tours · Coordenada: © colaboradores de OpenStreetMap (ODbL).</t>
  </si>
  <si>
    <t xml:space="preserve">La Casona Restaurant</t>
  </si>
  <si>
    <t xml:space="preserve">Parrilla / pizzería / andina</t>
  </si>
  <si>
    <t xml:space="preserve">951 608 671</t>
  </si>
  <si>
    <t xml:space="preserve">Jr. Lima 423</t>
  </si>
  <si>
    <t xml:space="preserve">Almuerzos, Cenas, Especiales</t>
  </si>
  <si>
    <t xml:space="preserve">Directorio Cylex Perú; Aliado de PideloPuno (pidelopuno.com) · Coordenada: © colaboradores de OpenStreetMap (ODbL).</t>
  </si>
  <si>
    <t xml:space="preserve">Tulipans Restaurant</t>
  </si>
  <si>
    <t xml:space="preserve">Internacional / pizzas</t>
  </si>
  <si>
    <t xml:space="preserve">931 547 591</t>
  </si>
  <si>
    <t xml:space="preserve">Jr. Lima 394</t>
  </si>
  <si>
    <t xml:space="preserve">Directorio Cylex Perú · Coordenada: © colaboradores de OpenStreetMap (ODbL).</t>
  </si>
  <si>
    <t xml:space="preserve">Giorgio Restaurant</t>
  </si>
  <si>
    <t xml:space="preserve">Peruana / internacional</t>
  </si>
  <si>
    <t xml:space="preserve">950 304 616</t>
  </si>
  <si>
    <t xml:space="preserve">Jr. Lima 430</t>
  </si>
  <si>
    <t xml:space="preserve">Aproximada — interpolada en la calle</t>
  </si>
  <si>
    <t xml:space="preserve">Directorio Cylex Perú · Interpolada entre 'La Casona Restaurant' (n.° 423) y 'Mojsa' (n.° 635) en OSM. Error esperado ±50 m. Coordenada: © colaboradores de OpenStreetMap (ODbL).</t>
  </si>
  <si>
    <t xml:space="preserve">Tradiciones del Lago</t>
  </si>
  <si>
    <t xml:space="preserve">Peruana / regional</t>
  </si>
  <si>
    <t xml:space="preserve">(051) 368140</t>
  </si>
  <si>
    <t xml:space="preserve">Jr. Lima 418</t>
  </si>
  <si>
    <t xml:space="preserve">Restaurante Turístico Los 4 Suyos</t>
  </si>
  <si>
    <t xml:space="preserve">Peruana / tres regiones</t>
  </si>
  <si>
    <t xml:space="preserve">Jr. Lima 345</t>
  </si>
  <si>
    <t xml:space="preserve">Directorio Cylex Perú · Interpolada entre 'Colors Restaurant' (n.° 342) y 'Tulipan's' (n.° 394) en OSM. Error esperado ±50 m. Coordenada: © colaboradores de OpenStreetMap (ODbL).</t>
  </si>
  <si>
    <t xml:space="preserve">Hatun Uchu</t>
  </si>
  <si>
    <t xml:space="preserve">Peruana</t>
  </si>
  <si>
    <t xml:space="preserve">974 249 271</t>
  </si>
  <si>
    <t xml:space="preserve">Jr. Libertad 216</t>
  </si>
  <si>
    <t xml:space="preserve">21000</t>
  </si>
  <si>
    <t xml:space="preserve">Directorio Cylex Perú · Interpolada entre 'La Estancia' (n.° 137) y 'Pizzeria Buho' (n.° 240) en OSM. Error esperado ±50 m. Coordenada: © colaboradores de OpenStreetMap (ODbL).</t>
  </si>
  <si>
    <t xml:space="preserve">Balcones de Puno</t>
  </si>
  <si>
    <t xml:space="preserve">Peruana / show folclórico</t>
  </si>
  <si>
    <t xml:space="preserve">Jr. Libertad 354</t>
  </si>
  <si>
    <t xml:space="preserve">Cenas, Especiales</t>
  </si>
  <si>
    <t xml:space="preserve">Directorio Wanderlog / Avalos Tours · Coordenada: © colaboradores de OpenStreetMap (ODbL).</t>
  </si>
  <si>
    <t xml:space="preserve">La Estancia Grill</t>
  </si>
  <si>
    <t xml:space="preserve">Carnes a la parrilla</t>
  </si>
  <si>
    <t xml:space="preserve">Jr. Libertad 137</t>
  </si>
  <si>
    <t xml:space="preserve">Alma Bar Restaurante</t>
  </si>
  <si>
    <t xml:space="preserve">Peruana contemporánea</t>
  </si>
  <si>
    <t xml:space="preserve">Av. Sesquicentenario 1970</t>
  </si>
  <si>
    <t xml:space="preserve">Pendiente — tomar en campo</t>
  </si>
  <si>
    <t xml:space="preserve">Directorio Wanderlog / Avalos Tours</t>
  </si>
  <si>
    <t xml:space="preserve">La Table del' Inca</t>
  </si>
  <si>
    <t xml:space="preserve">Fusión franco-peruana</t>
  </si>
  <si>
    <t xml:space="preserve">Jr. Ancash 239</t>
  </si>
  <si>
    <t xml:space="preserve">Aproximada — misma cuadra que un local conocido</t>
  </si>
  <si>
    <t xml:space="preserve">Directorio Wanderlog / Avalos Tours · Misma dirección que 'Sushi Ten Bento' en OSM. Coordenada: © colaboradores de OpenStreetMap (ODbL).</t>
  </si>
  <si>
    <t xml:space="preserve">Colors</t>
  </si>
  <si>
    <t xml:space="preserve">Fusión internacional</t>
  </si>
  <si>
    <t xml:space="preserve">Jr. Lima 342</t>
  </si>
  <si>
    <t xml:space="preserve">Directorio Wanderlog / Avalos Tours · Coordenada: © colaboradores de OpenStreetMap (ODbL). OSM tiene dos puntos casi iguales (a 7 m).</t>
  </si>
  <si>
    <t xml:space="preserve">VALERIA Restaurant</t>
  </si>
  <si>
    <t xml:space="preserve">Peruana / latina</t>
  </si>
  <si>
    <t xml:space="preserve">Jr. Lima 369</t>
  </si>
  <si>
    <t xml:space="preserve">Directorio Wanderlog / Avalos Tours · Interpolada entre 'Colors Restaurant' (n.° 342) y 'Tulipan's' (n.° 394) en OSM. Error esperado ±50 m. Coordenada: © colaboradores de OpenStreetMap (ODbL).</t>
  </si>
  <si>
    <t xml:space="preserve">Pacha Restaurante &amp; Draft Bar</t>
  </si>
  <si>
    <t xml:space="preserve">Peruana / bar</t>
  </si>
  <si>
    <t xml:space="preserve">Jr. Grau 338</t>
  </si>
  <si>
    <t xml:space="preserve">Cenas, Jugos y aperitivos</t>
  </si>
  <si>
    <t xml:space="preserve">Las Cantutas del Lago</t>
  </si>
  <si>
    <t xml:space="preserve">Novoandina</t>
  </si>
  <si>
    <t xml:space="preserve">Jr. Joaquín Inclán</t>
  </si>
  <si>
    <t xml:space="preserve">Almuerzos, Especiales</t>
  </si>
  <si>
    <t xml:space="preserve">Plaza Oriental Restaurant</t>
  </si>
  <si>
    <t xml:space="preserve">China</t>
  </si>
  <si>
    <t xml:space="preserve">Jr. Lima</t>
  </si>
  <si>
    <t xml:space="preserve">Los Uros</t>
  </si>
  <si>
    <t xml:space="preserve">Isla Esteves, lago Titicaca</t>
  </si>
  <si>
    <t xml:space="preserve">Directorio Wanderlog / Avalos Tours — fuera del radio urbano</t>
  </si>
  <si>
    <t xml:space="preserve">Lago de Flores</t>
  </si>
  <si>
    <t xml:space="preserve">950 867 043</t>
  </si>
  <si>
    <t xml:space="preserve">Jr. Grau 139</t>
  </si>
  <si>
    <t xml:space="preserve">Restaurant Bahamas</t>
  </si>
  <si>
    <t xml:space="preserve">Peruana / criolla</t>
  </si>
  <si>
    <t xml:space="preserve">(051) 205675</t>
  </si>
  <si>
    <t xml:space="preserve">Jr. Deustua 237</t>
  </si>
  <si>
    <t xml:space="preserve">Restaurant Sombreritos</t>
  </si>
  <si>
    <t xml:space="preserve">(051) 200296</t>
  </si>
  <si>
    <t xml:space="preserve">Av. Sesquicentenario 1102</t>
  </si>
  <si>
    <t xml:space="preserve">Restaurant Arenas del Lago</t>
  </si>
  <si>
    <t xml:space="preserve">Peruana / pescados</t>
  </si>
  <si>
    <t xml:space="preserve">(051) 367154</t>
  </si>
  <si>
    <t xml:space="preserve">Av. Sesquicentenario 1187</t>
  </si>
  <si>
    <t xml:space="preserve">Directorio Cylex Perú · Misma cuadra que 'quinta Sombreritos' (n.° 1102) en OSM. Error esperado ±80 m. Coordenada: © colaboradores de OpenStreetMap (ODbL).</t>
  </si>
  <si>
    <t xml:space="preserve">El Caserío de Huaje</t>
  </si>
  <si>
    <t xml:space="preserve">Regional / campestre</t>
  </si>
  <si>
    <t xml:space="preserve">(051) 353375</t>
  </si>
  <si>
    <t xml:space="preserve">Av. Sesquicentenario 669</t>
  </si>
  <si>
    <t xml:space="preserve">Directorio Cylex Perú</t>
  </si>
  <si>
    <t xml:space="preserve">Quinta Restaurant Pura Miski</t>
  </si>
  <si>
    <t xml:space="preserve">Regional / quinta</t>
  </si>
  <si>
    <t xml:space="preserve">996 060 668</t>
  </si>
  <si>
    <t xml:space="preserve">Av. Sesquicentenario 1000</t>
  </si>
  <si>
    <t xml:space="preserve">Restaurant Tradiciones Puneñas</t>
  </si>
  <si>
    <t xml:space="preserve">Regional puneña</t>
  </si>
  <si>
    <t xml:space="preserve">(051) 603819</t>
  </si>
  <si>
    <t xml:space="preserve">Av. Simón Bolívar 1216</t>
  </si>
  <si>
    <t xml:space="preserve">Restaurante Los Olivos</t>
  </si>
  <si>
    <t xml:space="preserve">Criolla</t>
  </si>
  <si>
    <t xml:space="preserve">951 560 365</t>
  </si>
  <si>
    <t xml:space="preserve">Jr. Ayacucho 237</t>
  </si>
  <si>
    <t xml:space="preserve">Restaurant Internacional</t>
  </si>
  <si>
    <t xml:space="preserve">(051) 364317</t>
  </si>
  <si>
    <t xml:space="preserve">Jr. Moquegua 201</t>
  </si>
  <si>
    <t xml:space="preserve">El Corralito de Carloncho</t>
  </si>
  <si>
    <t xml:space="preserve">Parrilla / criolla</t>
  </si>
  <si>
    <t xml:space="preserve">914 620 013</t>
  </si>
  <si>
    <t xml:space="preserve">Jr. José Antonio Encinas 120</t>
  </si>
  <si>
    <t xml:space="preserve">21002</t>
  </si>
  <si>
    <t xml:space="preserve">Chaquena Restaurantes</t>
  </si>
  <si>
    <t xml:space="preserve">929 396 935</t>
  </si>
  <si>
    <t xml:space="preserve">Jr. Banchero Rossi 110</t>
  </si>
  <si>
    <t xml:space="preserve">Casa Lunderi</t>
  </si>
  <si>
    <t xml:space="preserve">988 606 030</t>
  </si>
  <si>
    <t xml:space="preserve">Jr. Malcomayo 253</t>
  </si>
  <si>
    <t xml:space="preserve">Victor y Victoria</t>
  </si>
  <si>
    <t xml:space="preserve">967 548 213</t>
  </si>
  <si>
    <t xml:space="preserve">Jr. Arequipa 852</t>
  </si>
  <si>
    <t xml:space="preserve">La Provincial</t>
  </si>
  <si>
    <t xml:space="preserve">Comida criolla</t>
  </si>
  <si>
    <t xml:space="preserve">Aliado de PideloPuno (pidelopuno.com)</t>
  </si>
  <si>
    <t xml:space="preserve">Casa Grill Puno</t>
  </si>
  <si>
    <t xml:space="preserve">Parrillas</t>
  </si>
  <si>
    <t xml:space="preserve">951 757 970</t>
  </si>
  <si>
    <t xml:space="preserve">Jr. Moquegua 318</t>
  </si>
  <si>
    <t xml:space="preserve">Chicharronería La Red</t>
  </si>
  <si>
    <t xml:space="preserve">Chicharrón / regional</t>
  </si>
  <si>
    <t xml:space="preserve">980 678 914</t>
  </si>
  <si>
    <t xml:space="preserve">Jr. Manco Cápac 153</t>
  </si>
  <si>
    <t xml:space="preserve">Desayunos, Almuerzos</t>
  </si>
  <si>
    <t xml:space="preserve">Chicharronería Sabor Peruano</t>
  </si>
  <si>
    <t xml:space="preserve">Chicharrón / criolla</t>
  </si>
  <si>
    <t xml:space="preserve">958 662 545</t>
  </si>
  <si>
    <t xml:space="preserve">Desayunos, Almuerzos, Cenas</t>
  </si>
  <si>
    <t xml:space="preserve">Directorio Cylex Perú; Aliado de PideloPuno (pidelopuno.com)</t>
  </si>
  <si>
    <t xml:space="preserve">Chifa Cheng Xin</t>
  </si>
  <si>
    <t xml:space="preserve">979 365 588</t>
  </si>
  <si>
    <t xml:space="preserve">Jr. Moquegua 169</t>
  </si>
  <si>
    <t xml:space="preserve">Directorio chifasenperu.top; figuraba en Nora Delivery</t>
  </si>
  <si>
    <t xml:space="preserve">Chifa Nan Hua (sede Av. La Torre)</t>
  </si>
  <si>
    <t xml:space="preserve">(051) 351546</t>
  </si>
  <si>
    <t xml:space="preserve">Av. La Torre 117</t>
  </si>
  <si>
    <t xml:space="preserve">Directorio chifasenperu.top · OSM tiene dos 'Chifa Nan Hua': -15.8387430, -70.0274319 y -15.8370213, -70.0262874. Confirmar cuál es esta sede. Coordenada: © colaboradores de OpenStreetMap (ODbL).</t>
  </si>
  <si>
    <t xml:space="preserve">Chifa Nan Hua (sede Jr. Arequipa)</t>
  </si>
  <si>
    <t xml:space="preserve">(051) 365070</t>
  </si>
  <si>
    <t xml:space="preserve">Jr. Arequipa 378</t>
  </si>
  <si>
    <t xml:space="preserve">Directorio chifasenperu.top; Directorio Cylex Perú · OSM tiene dos 'Chifa Nan Hua': -15.8387430, -70.0274319 y -15.8370213, -70.0262874. Confirmar cuál es esta sede. Coordenada: © colaboradores de OpenStreetMap (ODbL).</t>
  </si>
  <si>
    <t xml:space="preserve">Chifa Mister Dragón</t>
  </si>
  <si>
    <t xml:space="preserve">963 300 765 / 982 737 962</t>
  </si>
  <si>
    <t xml:space="preserve">Jr. Tacna 420</t>
  </si>
  <si>
    <t xml:space="preserve">Directorio chifasenperu.top; Directorio Cylex Perú; Aliado de PideloPuno (pidelopuno.com)</t>
  </si>
  <si>
    <t xml:space="preserve">Chifa Jin Cheng</t>
  </si>
  <si>
    <t xml:space="preserve">923 612 356</t>
  </si>
  <si>
    <t xml:space="preserve">Jr. Fermín Arbulú 243</t>
  </si>
  <si>
    <t xml:space="preserve">Directorio chifasenperu.top</t>
  </si>
  <si>
    <t xml:space="preserve">Chifa 4 Dragones (sede Jr. Tacna)</t>
  </si>
  <si>
    <t xml:space="preserve">984 474 500</t>
  </si>
  <si>
    <t xml:space="preserve">Jr. Tacna 324</t>
  </si>
  <si>
    <t xml:space="preserve">Directorio chifasenperu.top; Aliado de PideloPuno (pidelopuno.com)</t>
  </si>
  <si>
    <t xml:space="preserve">Chifa Cuatro Dragones (sede Jr. Lima)</t>
  </si>
  <si>
    <t xml:space="preserve">Jr. Lima 371</t>
  </si>
  <si>
    <t xml:space="preserve">Directorio chifasenperu.top · Interpolada entre 'Colors Restaurant' (n.° 342) y 'Tulipan's' (n.° 394) en OSM. Error esperado ±50 m. Coordenada: © colaboradores de OpenStreetMap (ODbL).</t>
  </si>
  <si>
    <t xml:space="preserve">Chifa Chinito Wok</t>
  </si>
  <si>
    <t xml:space="preserve">929 723 573</t>
  </si>
  <si>
    <t xml:space="preserve">Av. Simón Bolívar 1050</t>
  </si>
  <si>
    <t xml:space="preserve">Chifa Shan Hong Jiu Jia</t>
  </si>
  <si>
    <t xml:space="preserve">940 861 573</t>
  </si>
  <si>
    <t xml:space="preserve">Chifa Shanghai</t>
  </si>
  <si>
    <t xml:space="preserve">Jr. Fermín Arbulú 173</t>
  </si>
  <si>
    <t xml:space="preserve">Directorio chifasenperu.top · Coordenada: © colaboradores de OpenStreetMap (ODbL).</t>
  </si>
  <si>
    <t xml:space="preserve">Chifa (Jr. Fermín Arbulú 239)</t>
  </si>
  <si>
    <t xml:space="preserve">Jr. Fermín Arbulú 239</t>
  </si>
  <si>
    <t xml:space="preserve">Directorio Cylex Perú — nombre comercial por confirmar</t>
  </si>
  <si>
    <t xml:space="preserve">Pollería El Rancho (sede Oquendo)</t>
  </si>
  <si>
    <t xml:space="preserve">947 730 043</t>
  </si>
  <si>
    <t xml:space="preserve">Jr. Oquendo 210</t>
  </si>
  <si>
    <t xml:space="preserve">Directorio polleriasenperu.one; Directorio iPerú · OSM tiene varios 'El Rancho': -15.8386145, -70.0264726; -15.8372523, -70.0269804; -15.8466950, -70.0200381. Confirmar cuál es esta sede. Coordenada: © colaboradores de OpenStreetMap (ODbL).</t>
  </si>
  <si>
    <t xml:space="preserve">Pollería El Rancho (segunda sede)</t>
  </si>
  <si>
    <t xml:space="preserve">3S 1435</t>
  </si>
  <si>
    <t xml:space="preserve">Directorio polleriasenperu.one · OSM tiene varios 'El Rancho': -15.8386145, -70.0264726; -15.8372523, -70.0269804; -15.8466950, -70.0200381. Confirmar cuál es esta sede. Coordenada: © colaboradores de OpenStreetMap (ODbL).</t>
  </si>
  <si>
    <t xml:space="preserve">Pollería El Rico Riko</t>
  </si>
  <si>
    <t xml:space="preserve">(051) 351064</t>
  </si>
  <si>
    <t xml:space="preserve">Av. La Torre 341</t>
  </si>
  <si>
    <t xml:space="preserve">Directorio polleriasenperu.one; Directorio iPerú</t>
  </si>
  <si>
    <t xml:space="preserve">Pollería El Parador</t>
  </si>
  <si>
    <t xml:space="preserve">968 574 213</t>
  </si>
  <si>
    <t xml:space="preserve">Av. El Sol 1270</t>
  </si>
  <si>
    <t xml:space="preserve">Parador Chicken</t>
  </si>
  <si>
    <t xml:space="preserve">Pollo a la brasa / broaster</t>
  </si>
  <si>
    <t xml:space="preserve">944 005 997</t>
  </si>
  <si>
    <t xml:space="preserve">Jr. Oquendo 154</t>
  </si>
  <si>
    <t xml:space="preserve">La Choza de Óscar</t>
  </si>
  <si>
    <t xml:space="preserve">(051) 351199</t>
  </si>
  <si>
    <t xml:space="preserve">Jr. Tumbes 812</t>
  </si>
  <si>
    <t xml:space="preserve">Directorio Cylex Perú; Directorio iPerú; Aliado de PideloPuno (pidelopuno.com) — iPerú indicaba Jr. Libertad 354: confirmar dirección · Coordenada: © colaboradores de OpenStreetMap (ODbL). OSM la ubica en Jr. Libertad, junto a Balcones de Puno; Cylex indica Jr. Tumbes 812 (puede ser otra sede).</t>
  </si>
  <si>
    <t xml:space="preserve">Pollería El Establo</t>
  </si>
  <si>
    <t xml:space="preserve">951 244 871</t>
  </si>
  <si>
    <t xml:space="preserve">Jr. Tacna 398</t>
  </si>
  <si>
    <t xml:space="preserve">Probable — confirmar</t>
  </si>
  <si>
    <t xml:space="preserve">Directorio Cylex Perú; Directorio polleriasenperu.one · En OSM figura como 'ElS Tablo'. Coordenada: © colaboradores de OpenStreetMap (ODbL).</t>
  </si>
  <si>
    <t xml:space="preserve">Pollería El Sabrosón</t>
  </si>
  <si>
    <t xml:space="preserve">(051) 621951</t>
  </si>
  <si>
    <t xml:space="preserve">Av. Simón Bolívar 125</t>
  </si>
  <si>
    <t xml:space="preserve">Directorio polleriasenperu.one</t>
  </si>
  <si>
    <t xml:space="preserve">Pollería Rico Ricón</t>
  </si>
  <si>
    <t xml:space="preserve">Av. Simón Bolívar 1009</t>
  </si>
  <si>
    <t xml:space="preserve">Pollería El Pechugón</t>
  </si>
  <si>
    <t xml:space="preserve">993 937 405</t>
  </si>
  <si>
    <t xml:space="preserve">Jr. Leoncio Prado 1192</t>
  </si>
  <si>
    <t xml:space="preserve">Directorio polleriasenperu.one · OSM tiene un 'Pechugon' en -15.8392465, -70.0257746 (zona céntrica); no coincide con Jr. Leoncio Prado 1192: podría ser otra sede. Coordenada: © colaboradores de OpenStreetMap (ODbL).</t>
  </si>
  <si>
    <t xml:space="preserve">Pollería Piolín</t>
  </si>
  <si>
    <t xml:space="preserve">Av. Circunvalación Sur 1711</t>
  </si>
  <si>
    <t xml:space="preserve">Pollería Brasas King</t>
  </si>
  <si>
    <t xml:space="preserve">951 235 698</t>
  </si>
  <si>
    <t xml:space="preserve">Jr. Ejército 612</t>
  </si>
  <si>
    <t xml:space="preserve">Pollería La Gran Estrella</t>
  </si>
  <si>
    <t xml:space="preserve">942 284 128</t>
  </si>
  <si>
    <t xml:space="preserve">Av. La Torre 457</t>
  </si>
  <si>
    <t xml:space="preserve">Uchu Brass Puno</t>
  </si>
  <si>
    <t xml:space="preserve">Pollo a la brasa / restaurante</t>
  </si>
  <si>
    <t xml:space="preserve">915 963 001</t>
  </si>
  <si>
    <t xml:space="preserve">Av. Simón Bolívar 1188</t>
  </si>
  <si>
    <t xml:space="preserve">Pollería Pollo Gamonal</t>
  </si>
  <si>
    <t xml:space="preserve">Av. Sesquicentenario 123</t>
  </si>
  <si>
    <t xml:space="preserve">Directorio iPerú</t>
  </si>
  <si>
    <t xml:space="preserve">Pollería Pinos Brass</t>
  </si>
  <si>
    <t xml:space="preserve">Reseñado en Tripadvisor · Coordenada: © colaboradores de OpenStreetMap (ODbL).</t>
  </si>
  <si>
    <t xml:space="preserve">Pollería Las Palmeras</t>
  </si>
  <si>
    <t xml:space="preserve">Directorio Planeta Perú</t>
  </si>
  <si>
    <t xml:space="preserve">Cevichería Puerto Grau</t>
  </si>
  <si>
    <t xml:space="preserve">Pescados y mariscos</t>
  </si>
  <si>
    <t xml:space="preserve">(051) 620243</t>
  </si>
  <si>
    <t xml:space="preserve">Jr. Melgar 175</t>
  </si>
  <si>
    <t xml:space="preserve">Bar Cevichería Puerto Eten</t>
  </si>
  <si>
    <t xml:space="preserve">988 101 105</t>
  </si>
  <si>
    <t xml:space="preserve">Jr. Santiago Giraldo 140</t>
  </si>
  <si>
    <t xml:space="preserve">21110</t>
  </si>
  <si>
    <t xml:space="preserve">Placer Marino Cevichería</t>
  </si>
  <si>
    <t xml:space="preserve">928 795 975</t>
  </si>
  <si>
    <t xml:space="preserve">Av. Costanera 102</t>
  </si>
  <si>
    <t xml:space="preserve">Cevichería Mordiscos y Mariscos</t>
  </si>
  <si>
    <t xml:space="preserve">977 133 103</t>
  </si>
  <si>
    <t xml:space="preserve">Av. El Sol 1049</t>
  </si>
  <si>
    <t xml:space="preserve">Restobar Cevichería Yaniss Puro Norte</t>
  </si>
  <si>
    <t xml:space="preserve">Pescados / comida norteña</t>
  </si>
  <si>
    <t xml:space="preserve">953 041 081</t>
  </si>
  <si>
    <t xml:space="preserve">Jr. Deza 728</t>
  </si>
  <si>
    <t xml:space="preserve">Cevichería Muelle Sur</t>
  </si>
  <si>
    <t xml:space="preserve">Cevichería Costa Brava</t>
  </si>
  <si>
    <t xml:space="preserve">Cevichería Rico Pez</t>
  </si>
  <si>
    <t xml:space="preserve">Remix Pizzería Resto Café Bar</t>
  </si>
  <si>
    <t xml:space="preserve">Pizzas / café bar</t>
  </si>
  <si>
    <t xml:space="preserve">958 169 450</t>
  </si>
  <si>
    <t xml:space="preserve">Jr. Pardo 122 (Plaza de Armas)</t>
  </si>
  <si>
    <t xml:space="preserve">Pizza e Pasta Trattoria</t>
  </si>
  <si>
    <t xml:space="preserve">Italiana</t>
  </si>
  <si>
    <t xml:space="preserve">980 709 954</t>
  </si>
  <si>
    <t xml:space="preserve">Jr. José M. Moral 155</t>
  </si>
  <si>
    <t xml:space="preserve">Pizzería Madel</t>
  </si>
  <si>
    <t xml:space="preserve">Pizzas</t>
  </si>
  <si>
    <t xml:space="preserve">950 787 314</t>
  </si>
  <si>
    <t xml:space="preserve">Jr. Lambayeque 123</t>
  </si>
  <si>
    <t xml:space="preserve">Del Búho Pizzería</t>
  </si>
  <si>
    <t xml:space="preserve">(051) 356223</t>
  </si>
  <si>
    <t xml:space="preserve">Jr. Libertad 240</t>
  </si>
  <si>
    <t xml:space="preserve">Quinua Restaurant Pizzería</t>
  </si>
  <si>
    <t xml:space="preserve">Pizzas / regional</t>
  </si>
  <si>
    <t xml:space="preserve">978 490 033</t>
  </si>
  <si>
    <t xml:space="preserve">Jr. Lambayeque 127</t>
  </si>
  <si>
    <t xml:space="preserve">Kori Pizza</t>
  </si>
  <si>
    <t xml:space="preserve">942 234 311</t>
  </si>
  <si>
    <t xml:space="preserve">Jr. Oquendo 178</t>
  </si>
  <si>
    <t xml:space="preserve">Directorio Cylex Perú · Misma cuadra que 'Parador Chicken' (n.° 154) en OSM. Error esperado ±80 m. Coordenada: © colaboradores de OpenStreetMap (ODbL).</t>
  </si>
  <si>
    <t xml:space="preserve">Pizzería Jhutmay</t>
  </si>
  <si>
    <t xml:space="preserve">951 322 905</t>
  </si>
  <si>
    <t xml:space="preserve">Jr. Libertad 334</t>
  </si>
  <si>
    <t xml:space="preserve">Directorio Cylex Perú · Interpolada entre 'Pizzeria Buho' (n.° 240) y 'Balcones de Puno' (n.° 354) en OSM. Error esperado ±50 m. Coordenada: © colaboradores de OpenStreetMap (ODbL).</t>
  </si>
  <si>
    <t xml:space="preserve">Machupizza</t>
  </si>
  <si>
    <t xml:space="preserve">Centro de Puno</t>
  </si>
  <si>
    <t xml:space="preserve">Sr. Pizza</t>
  </si>
  <si>
    <t xml:space="preserve">Aliado de PideloPuno (pidelopuno.com) · En OSM figura 'Mister Pizza's'; confirmar que sea el mismo local. Coordenada: © colaboradores de OpenStreetMap (ODbL).</t>
  </si>
  <si>
    <t xml:space="preserve">Pizzería Oasis</t>
  </si>
  <si>
    <t xml:space="preserve">Incabar</t>
  </si>
  <si>
    <t xml:space="preserve">Café / bar / desayunos</t>
  </si>
  <si>
    <t xml:space="preserve">(051) 368031</t>
  </si>
  <si>
    <t xml:space="preserve">Jr. Lima 661</t>
  </si>
  <si>
    <t xml:space="preserve">Desayunos, Jugos y aperitivos</t>
  </si>
  <si>
    <t xml:space="preserve">Directorio Cylex Perú; Directorio Wanderlog / Avalos Tours · Coordenada: © colaboradores de OpenStreetMap (ODbL). OSM tiene otro punto 'Incabar' en -15.8385740, -70.0281120; se usó 'Incabar Salon' por coincidir con Jr. Lima 661.</t>
  </si>
  <si>
    <t xml:space="preserve">RUPHA Café</t>
  </si>
  <si>
    <t xml:space="preserve">Café / bistró</t>
  </si>
  <si>
    <t xml:space="preserve">(051) 354179</t>
  </si>
  <si>
    <t xml:space="preserve">Jr. Moquegua 338</t>
  </si>
  <si>
    <t xml:space="preserve">Directorio Cylex Perú; Directorio Wanderlog / Avalos Tours · Misma cuadra que 'Casa Grill' (n.° 318) en OSM. Error esperado ±80 m. Coordenada: © colaboradores de OpenStreetMap (ODbL).</t>
  </si>
  <si>
    <t xml:space="preserve">Café Bar Casa del Corregidor</t>
  </si>
  <si>
    <t xml:space="preserve">Café / carta ligera</t>
  </si>
  <si>
    <t xml:space="preserve">950 015 551</t>
  </si>
  <si>
    <t xml:space="preserve">Jr. Deustua 576</t>
  </si>
  <si>
    <t xml:space="preserve">Directorio Cylex Perú; Directorio Wanderlog / Avalos Tours</t>
  </si>
  <si>
    <t xml:space="preserve">Café 360</t>
  </si>
  <si>
    <t xml:space="preserve">Café</t>
  </si>
  <si>
    <t xml:space="preserve">954 786 834</t>
  </si>
  <si>
    <t xml:space="preserve">Jr. Lambayeque 178</t>
  </si>
  <si>
    <t xml:space="preserve">Ricos Pan</t>
  </si>
  <si>
    <t xml:space="preserve">Jr. Moquegua 326</t>
  </si>
  <si>
    <t xml:space="preserve">Directorio Cylex Perú — comparte teléfono con RUPHA: confirmar · Misma cuadra que 'Casa Grill' (n.° 318) en OSM. Error esperado ±80 m. Coordenada: © colaboradores de OpenStreetMap (ODbL).</t>
  </si>
  <si>
    <t xml:space="preserve">Cafetería Arroyo</t>
  </si>
  <si>
    <t xml:space="preserve">916 944 767</t>
  </si>
  <si>
    <t xml:space="preserve">Jr. Independencia 151</t>
  </si>
  <si>
    <t xml:space="preserve">Cafetería Panqarani</t>
  </si>
  <si>
    <t xml:space="preserve">951 679 654</t>
  </si>
  <si>
    <t xml:space="preserve">Jr. Arequipa 1086</t>
  </si>
  <si>
    <t xml:space="preserve">Sumaq Caffé</t>
  </si>
  <si>
    <t xml:space="preserve">933 242 449</t>
  </si>
  <si>
    <t xml:space="preserve">Jr. Alfonso Ugarte 166</t>
  </si>
  <si>
    <t xml:space="preserve">KILLA Coffee Bar</t>
  </si>
  <si>
    <t xml:space="preserve">Café / bar</t>
  </si>
  <si>
    <t xml:space="preserve">976 227 909</t>
  </si>
  <si>
    <t xml:space="preserve">Jr. Arequipa 351</t>
  </si>
  <si>
    <t xml:space="preserve">Malegría Snack</t>
  </si>
  <si>
    <t xml:space="preserve">Snack / comida rápida</t>
  </si>
  <si>
    <t xml:space="preserve">964 876 677</t>
  </si>
  <si>
    <t xml:space="preserve">Av. Laykakota 104</t>
  </si>
  <si>
    <t xml:space="preserve">Rock &amp; Dogs</t>
  </si>
  <si>
    <t xml:space="preserve">Hot dogs / comida rápida</t>
  </si>
  <si>
    <t xml:space="preserve">951 929 383</t>
  </si>
  <si>
    <t xml:space="preserve">Jr. Lima 859</t>
  </si>
  <si>
    <t xml:space="preserve">El Retorno Restobar</t>
  </si>
  <si>
    <t xml:space="preserve">Restobar</t>
  </si>
  <si>
    <t xml:space="preserve">975 200 200</t>
  </si>
  <si>
    <t xml:space="preserve">Jr. Tacna 255</t>
  </si>
  <si>
    <t xml:space="preserve">MALI Lounge</t>
  </si>
  <si>
    <t xml:space="preserve">Lounge / bar</t>
  </si>
  <si>
    <t xml:space="preserve">913 548 558</t>
  </si>
  <si>
    <t xml:space="preserve">Jr. Cajamarca 800</t>
  </si>
  <si>
    <t xml:space="preserve">Cenas, Licorería</t>
  </si>
  <si>
    <t xml:space="preserve">Páramo Nocturno</t>
  </si>
  <si>
    <t xml:space="preserve">Bar / restobar</t>
  </si>
  <si>
    <t xml:space="preserve">958 481 210</t>
  </si>
  <si>
    <t xml:space="preserve">Jr. Arequipa 827</t>
  </si>
  <si>
    <t xml:space="preserve">Directorio Cylex Perú · Misma cuadra que 'Víctor &amp; Victoria' (n.° 852) en OSM. Error esperado ±80 m. Coordenada: © colaboradores de OpenStreetMap (ODbL).</t>
  </si>
  <si>
    <t xml:space="preserve">Sushi Ten Bento</t>
  </si>
  <si>
    <t xml:space="preserve">Japonesa</t>
  </si>
  <si>
    <t xml:space="preserve">970 467 603</t>
  </si>
  <si>
    <t xml:space="preserve">AriGato</t>
  </si>
  <si>
    <t xml:space="preserve">974 571 759</t>
  </si>
  <si>
    <t xml:space="preserve">Pje. San Carlos 159</t>
  </si>
  <si>
    <t xml:space="preserve">Loving Hut Puno</t>
  </si>
  <si>
    <t xml:space="preserve">Vegana</t>
  </si>
  <si>
    <t xml:space="preserve">(051) 353523</t>
  </si>
  <si>
    <t xml:space="preserve">Jr. Choque Huanca 188</t>
  </si>
  <si>
    <t xml:space="preserve">Broastería Doña Ysabel</t>
  </si>
  <si>
    <t xml:space="preserve">Broaster y salchipapa</t>
  </si>
  <si>
    <t xml:space="preserve">Mercado Central de Puno</t>
  </si>
  <si>
    <t xml:space="preserve">Desayunos, caldos, jugos, comida típica</t>
  </si>
  <si>
    <t xml:space="preserve">Jr. Oquendo / Jr. Arequipa</t>
  </si>
  <si>
    <t xml:space="preserve">Desayunos, Almuerzos, Jugos y aperitivos, Jugos y desayuno rápido</t>
  </si>
  <si>
    <t xml:space="preserve">PUNTO DE LEVANTAMIENTO — censar puesto por puesto</t>
  </si>
  <si>
    <t xml:space="preserve">Mercado Bellavista</t>
  </si>
  <si>
    <t xml:space="preserve">Comida popular y jugos</t>
  </si>
  <si>
    <t xml:space="preserve">Desayunos, Almuerzos, Jugos y desayuno rápido</t>
  </si>
  <si>
    <t xml:space="preserve">PUNTO DE LEVANTAMIENTO — censar puesto por puesto · Coordenada: © colaboradores de OpenStreetMap (ODbL). Punto del mercado en OSM.</t>
  </si>
  <si>
    <t xml:space="preserve">Mercado Laykakota</t>
  </si>
  <si>
    <t xml:space="preserve">Menú popular y jugos</t>
  </si>
  <si>
    <t xml:space="preserve">Zona Laykakota</t>
  </si>
  <si>
    <t xml:space="preserve">Almuerzos, Jugos y desayuno rápido</t>
  </si>
  <si>
    <t xml:space="preserve">PUNTO DE LEVANTAMIENTO — zona de menús de S/ 8 a S/ 10</t>
  </si>
  <si>
    <t xml:space="preserve">Carretillas Plaza de Armas / Jr. Lima</t>
  </si>
  <si>
    <t xml:space="preserve">Api, emoliente, jugos, pan con chicharrón</t>
  </si>
  <si>
    <t xml:space="preserve">Perímetro de la Plaza de Armas</t>
  </si>
  <si>
    <t xml:space="preserve">PUNTO DE LEVANTAMIENTO — censar de 05:00 a 09:00</t>
  </si>
  <si>
    <t xml:space="preserve">Carretillas Mercado Central</t>
  </si>
  <si>
    <t xml:space="preserve">Api, jugos, panes</t>
  </si>
  <si>
    <t xml:space="preserve">Alrededor del Mercado Central</t>
  </si>
  <si>
    <t xml:space="preserve">PUNTO DE LEVANTAMIENTO — censar de madrugada</t>
  </si>
  <si>
    <t xml:space="preserve">Carretillas Terminal Terrestre</t>
  </si>
  <si>
    <t xml:space="preserve">Jugos, sándwiches, emoliente</t>
  </si>
  <si>
    <t xml:space="preserve">Terminal Terrestre de Puno</t>
  </si>
  <si>
    <t xml:space="preserve">PUNTO DE LEVANTAMIENTO</t>
  </si>
  <si>
    <t xml:space="preserve">Cebichería Restaurant El Pulpo Loco</t>
  </si>
  <si>
    <t xml:space="preserve">Jr. Moquegua 575</t>
  </si>
  <si>
    <t xml:space="preserve">Directorio infoisinfo</t>
  </si>
  <si>
    <t xml:space="preserve">Restaurant Fina Estampa</t>
  </si>
  <si>
    <t xml:space="preserve">Jr. Puno 262</t>
  </si>
  <si>
    <t xml:space="preserve">Pollos El Rancho (sede Jr. Moquegua)</t>
  </si>
  <si>
    <t xml:space="preserve">Directorio infoisinfo — misma dirección que figura para Chifa Cheng Xin: confirmar · OSM tiene varios 'El Rancho': -15.8386145, -70.0264726; -15.8372523, -70.0269804; -15.8466950, -70.0200381. Confirmar cuál es esta sede. Coordenada: © colaboradores de OpenStreetMap (ODbL).</t>
  </si>
  <si>
    <t xml:space="preserve">Restaurante la Villa</t>
  </si>
  <si>
    <t xml:space="preserve">OpenStreetMap — local registrado en el mapa; faltan dirección y teléfono. Coordenada: © colaboradores de OpenStreetMap (ODbL).</t>
  </si>
  <si>
    <t xml:space="preserve">Sabor Criollo</t>
  </si>
  <si>
    <t xml:space="preserve">Sunrise</t>
  </si>
  <si>
    <t xml:space="preserve">Candelas</t>
  </si>
  <si>
    <t xml:space="preserve">Atajo</t>
  </si>
  <si>
    <t xml:space="preserve">La Hacienda</t>
  </si>
  <si>
    <t xml:space="preserve">Buen Sabor</t>
  </si>
  <si>
    <t xml:space="preserve">Cevicheria Mareas</t>
  </si>
  <si>
    <t xml:space="preserve">Chifan</t>
  </si>
  <si>
    <t xml:space="preserve">Cevicheria Rico Norte</t>
  </si>
  <si>
    <t xml:space="preserve">La Cabaña</t>
  </si>
  <si>
    <t xml:space="preserve">Cafe Restaurant Chullpas</t>
  </si>
  <si>
    <t xml:space="preserve">Sabores Peruanos</t>
  </si>
  <si>
    <t xml:space="preserve">Pizza Andina</t>
  </si>
  <si>
    <t xml:space="preserve">Palitos</t>
  </si>
  <si>
    <t xml:space="preserve">Karol's</t>
  </si>
  <si>
    <t xml:space="preserve">Viko</t>
  </si>
  <si>
    <t xml:space="preserve">Snoopy</t>
  </si>
  <si>
    <t xml:space="preserve">Remembranzas</t>
  </si>
  <si>
    <t xml:space="preserve">Restaurant El Caribe</t>
  </si>
  <si>
    <t xml:space="preserve">Huajsapata</t>
  </si>
  <si>
    <t xml:space="preserve">Ivan's</t>
  </si>
  <si>
    <t xml:space="preserve">Tacos Mexicanos</t>
  </si>
  <si>
    <t xml:space="preserve">Mexicana</t>
  </si>
  <si>
    <t xml:space="preserve">Kollasuyo</t>
  </si>
  <si>
    <t xml:space="preserve">Aqui me Quedo</t>
  </si>
  <si>
    <t xml:space="preserve">Virgen del Carmen</t>
  </si>
  <si>
    <t xml:space="preserve">Exotica</t>
  </si>
  <si>
    <t xml:space="preserve">La Cayma</t>
  </si>
  <si>
    <t xml:space="preserve">Pacifico</t>
  </si>
  <si>
    <t xml:space="preserve">El Almanecer II</t>
  </si>
  <si>
    <t xml:space="preserve">Apage</t>
  </si>
  <si>
    <t xml:space="preserve">La Wallatita</t>
  </si>
  <si>
    <t xml:space="preserve">Chiuchi Polleria</t>
  </si>
  <si>
    <t xml:space="preserve">Adobo Arequipeño</t>
  </si>
  <si>
    <t xml:space="preserve">Arequipeña</t>
  </si>
  <si>
    <t xml:space="preserve">Quinta Playa Azul</t>
  </si>
  <si>
    <t xml:space="preserve">Quni Wasi</t>
  </si>
  <si>
    <t xml:space="preserve">Pizzeria Quechuas</t>
  </si>
  <si>
    <t xml:space="preserve">Paque Mas</t>
  </si>
  <si>
    <t xml:space="preserve">Tamys</t>
  </si>
  <si>
    <t xml:space="preserve">La Huerta</t>
  </si>
  <si>
    <t xml:space="preserve">Urban</t>
  </si>
  <si>
    <t xml:space="preserve">Tommi's</t>
  </si>
  <si>
    <t xml:space="preserve">Big Chicken (1)</t>
  </si>
  <si>
    <t xml:space="preserve">Ukuku's Restaurant Pizzeria</t>
  </si>
  <si>
    <t xml:space="preserve">Wayki's</t>
  </si>
  <si>
    <t xml:space="preserve">Wiñay Titi</t>
  </si>
  <si>
    <t xml:space="preserve">Pizzería Las Tejitas</t>
  </si>
  <si>
    <t xml:space="preserve">Polleria Magda's</t>
  </si>
  <si>
    <t xml:space="preserve">Natur Center</t>
  </si>
  <si>
    <t xml:space="preserve">Restaurante Criollo El Chef Linguini</t>
  </si>
  <si>
    <t xml:space="preserve">La Receta</t>
  </si>
  <si>
    <t xml:space="preserve">Pushka</t>
  </si>
  <si>
    <t xml:space="preserve">Delicar</t>
  </si>
  <si>
    <t xml:space="preserve">Pollos Brass</t>
  </si>
  <si>
    <t xml:space="preserve">Restaurant don Juanito</t>
  </si>
  <si>
    <t xml:space="preserve">El Vecino</t>
  </si>
  <si>
    <t xml:space="preserve">Polleria Haytazo</t>
  </si>
  <si>
    <t xml:space="preserve">el tumi pizzeria</t>
  </si>
  <si>
    <t xml:space="preserve">Copacabana Chicken</t>
  </si>
  <si>
    <t xml:space="preserve">Crepecita 3812</t>
  </si>
  <si>
    <t xml:space="preserve">Crepes / café</t>
  </si>
  <si>
    <t xml:space="preserve">Manos pureñas</t>
  </si>
  <si>
    <t xml:space="preserve">Sumac</t>
  </si>
  <si>
    <t xml:space="preserve">Gringatos</t>
  </si>
  <si>
    <t xml:space="preserve">La Cascada</t>
  </si>
  <si>
    <t xml:space="preserve">Casa del Sabor - Bunker</t>
  </si>
  <si>
    <t xml:space="preserve">Bianca Pizza</t>
  </si>
  <si>
    <t xml:space="preserve">kankacho ayavireño</t>
  </si>
  <si>
    <t xml:space="preserve">Regional puneña (cancacho)</t>
  </si>
  <si>
    <t xml:space="preserve">Restaurante Campestre Virgencita De Cancharani</t>
  </si>
  <si>
    <t xml:space="preserve">Restaurant Virgencita de Copacabana</t>
  </si>
  <si>
    <t xml:space="preserve">El Juzgado Restobar</t>
  </si>
  <si>
    <t xml:space="preserve">Polleria &amp; Restaurant Kusillos Brass</t>
  </si>
  <si>
    <t xml:space="preserve">Restaurant Magdalena</t>
  </si>
  <si>
    <t xml:space="preserve">Big Chicken (2)</t>
  </si>
  <si>
    <t xml:space="preserve">Chifa Criollo Yoyad</t>
  </si>
  <si>
    <t xml:space="preserve">Pizzeria Fabio's</t>
  </si>
  <si>
    <t xml:space="preserve">Restaurant Mama Yeya</t>
  </si>
  <si>
    <t xml:space="preserve">Toscana Café &amp; Restaurant</t>
  </si>
  <si>
    <t xml:space="preserve">Restaurant Comida Criolla</t>
  </si>
  <si>
    <t xml:space="preserve">Tipika's Pizzas y Drinks</t>
  </si>
  <si>
    <t xml:space="preserve">El Brindis</t>
  </si>
  <si>
    <t xml:space="preserve">La Catedral</t>
  </si>
  <si>
    <t xml:space="preserve">La Karpa</t>
  </si>
  <si>
    <t xml:space="preserve">Pendiente — levantar en campo</t>
  </si>
  <si>
    <t xml:space="preserve">189 locales · 124 con coordenadas (110 exactas, 14 aproximadas o probables) · 70 con teléfono · 200 filas libres.</t>
  </si>
  <si>
    <t xml:space="preserve">Coordenadas exactas y anclas de cálculo: © colaboradores de OpenStreetMap, disponibles bajo la licencia ODbL (openstreetmap.org/copyright).</t>
  </si>
  <si>
    <t xml:space="preserve">Para completar una coordenada: en Google Maps, clic derecho sobre el local → clic en los números → se copian 'latitud, longitud'. Pega la latitud (empieza con -15) en LATITUD y la longitud (empieza con -70) en LONGITUD, y marca la PRECISIÓN.</t>
  </si>
  <si>
    <t xml:space="preserve">Las coordenadas aproximadas (fondo naranja) se calcularon con la numeración de la calle a partir de locales vecinos ubicados en OpenStreetMap. Confírmalas en la primera visita.</t>
  </si>
  <si>
    <t xml:space="preserve">CÓMO COMPLETAR LOS DATOS DE CONTACTO</t>
  </si>
  <si>
    <t xml:space="preserve">Dónde conseguir legalmente cada columna amarilla de la hoja 08_Restaurantes.</t>
  </si>
  <si>
    <t xml:space="preserve">DATO</t>
  </si>
  <si>
    <t xml:space="preserve">DÓNDE SE OBTIENE</t>
  </si>
  <si>
    <t xml:space="preserve">CÓMO</t>
  </si>
  <si>
    <t xml:space="preserve">Consulta RUC de SUNAT (e-consultaruc.sunat.gob.pe)</t>
  </si>
  <si>
    <t xml:space="preserve">Buscar por nombre comercial o razón social. Es gratuita y pública.</t>
  </si>
  <si>
    <t xml:space="preserve">Razón social</t>
  </si>
  <si>
    <t xml:space="preserve">Consulta RUC de SUNAT</t>
  </si>
  <si>
    <t xml:space="preserve">Aparece en la ficha RUC junto con el estado (activo/baja) y la condición (habido/no habido).</t>
  </si>
  <si>
    <t xml:space="preserve">Representante legal</t>
  </si>
  <si>
    <t xml:space="preserve">Consulta RUC de SUNAT → botón 'Representante(s) legal(es)'</t>
  </si>
  <si>
    <t xml:space="preserve">Público para personas jurídicas (S.A.C., E.I.R.L., S.R.L.). Si el negocio es persona natural con RUC 10, el titular es el propio dueño.</t>
  </si>
  <si>
    <t xml:space="preserve">Dirección fiscal</t>
  </si>
  <si>
    <t xml:space="preserve">Puede ser distinta a la dirección del local. Guardar la del local en DIRECCIÓN y la fiscal en OBSERVACIÓN.</t>
  </si>
  <si>
    <t xml:space="preserve">Teléfono y WhatsApp</t>
  </si>
  <si>
    <t xml:space="preserve">Directorios públicos, cartel del local, Google Maps, página de Facebook</t>
  </si>
  <si>
    <t xml:space="preserve">Los de esta hoja ya vienen de directorios. Confirmar en la primera llamada.</t>
  </si>
  <si>
    <t xml:space="preserve">Correo y redes sociales</t>
  </si>
  <si>
    <t xml:space="preserve">Página de Facebook o Instagram del local</t>
  </si>
  <si>
    <t xml:space="preserve">Muchos locales de Puno atienden pedidos por Facebook Messenger o WhatsApp.</t>
  </si>
  <si>
    <t xml:space="preserve">Contacto / encargado</t>
  </si>
  <si>
    <t xml:space="preserve">Visita al local o primera llamada</t>
  </si>
  <si>
    <t xml:space="preserve">Preguntar por la persona que decide sobre ventas o delivery. Registrar su cargo.</t>
  </si>
  <si>
    <t xml:space="preserve">Latitud y longitud</t>
  </si>
  <si>
    <t xml:space="preserve">Google Maps</t>
  </si>
  <si>
    <t xml:space="preserve">Clic derecho sobre el local → se copian las coordenadas. Sirven para calcular la tarifa de delivery por distancia.</t>
  </si>
  <si>
    <t xml:space="preserve">Licencia de funcionamiento</t>
  </si>
  <si>
    <t xml:space="preserve">Municipalidad Provincial de Puno — mesa de partes o portal de transparencia</t>
  </si>
  <si>
    <t xml:space="preserve">Útil para verificar que el local es formal antes de afiliarlo.</t>
  </si>
  <si>
    <t xml:space="preserve">Ubigeo</t>
  </si>
  <si>
    <t xml:space="preserve">Ya completado: 210101</t>
  </si>
  <si>
    <t xml:space="preserve">Departamento Puno (21), provincia Puno (2101), distrito Puno (210101). Si agregas un local de otro distrito, cambia el código.</t>
  </si>
  <si>
    <t xml:space="preserve">PROTECCIÓN DE DATOS PERSONALES</t>
  </si>
  <si>
    <t xml:space="preserve">El nombre y el celular personal de un representante o encargado son datos personales (Ley 29733 de Protección de Datos Personales).</t>
  </si>
  <si>
    <t xml:space="preserve">Pide su autorización al registrarlos y úsalos solo para la relación comercial con ComeYa. No los compartas ni los publiques en la app.</t>
  </si>
  <si>
    <t xml:space="preserve">Los datos de la empresa (RUC, razón social, dirección y teléfono del local) no tienen esa restricción porque son públicos.</t>
  </si>
  <si>
    <t xml:space="preserve">Cuando ComeYa ya tenga base de datos de clientes y repartidores, conviene registrar el banco de datos ante la Autoridad Nacional de Protección de Datos Personales.</t>
  </si>
  <si>
    <t xml:space="preserve">SERVICIO</t>
  </si>
  <si>
    <t xml:space="preserve">ÁMBITO</t>
  </si>
  <si>
    <t xml:space="preserve">COBERTURA EN PUNO</t>
  </si>
  <si>
    <t xml:space="preserve">CONTACTO / WEB</t>
  </si>
  <si>
    <t xml:space="preserve">COMISIÓN AL RESTAURANTE</t>
  </si>
  <si>
    <t xml:space="preserve">N° ALIADOS</t>
  </si>
  <si>
    <t xml:space="preserve">PAGO EN LÍNEA</t>
  </si>
  <si>
    <t xml:space="preserve">ESTADO AL 22/09/2026</t>
  </si>
  <si>
    <t xml:space="preserve">AMENAZA (1-5)</t>
  </si>
  <si>
    <t xml:space="preserve">LECTURA COMPETITIVA</t>
  </si>
  <si>
    <t xml:space="preserve">PideloPuno</t>
  </si>
  <si>
    <t xml:space="preserve">Plataforma de delivery local</t>
  </si>
  <si>
    <t xml:space="preserve">Local — Puno</t>
  </si>
  <si>
    <t xml:space="preserve">Ciudad de Puno</t>
  </si>
  <si>
    <t xml:space="preserve">11:00–22:00</t>
  </si>
  <si>
    <t xml:space="preserve">pidelopuno.com · WhatsApp 951530110</t>
  </si>
  <si>
    <t xml:space="preserve">+40</t>
  </si>
  <si>
    <t xml:space="preserve">Activo</t>
  </si>
  <si>
    <t xml:space="preserve">Competidor directo. Red hecha en pizzería, chifa, cevichería y pollería. SU HUECO: abre a las 11:00, así que no cubre desayunos ni carretillas de madrugada, y cierra a las 22:00, dejando libre la cena tardía y la licorería.</t>
  </si>
  <si>
    <t xml:space="preserve">Nora Delivery Puno</t>
  </si>
  <si>
    <t xml:space="preserve">noradelivery.com</t>
  </si>
  <si>
    <t xml:space="preserve">Sitio web suspendido</t>
  </si>
  <si>
    <t xml:space="preserve">Tenía directorio por rubros (ej. Chifa Cheng Xin). Si está fuera de operación, sus restaurantes quedaron sueltos: es la captación más rápida y barata que tiene ComeYa hoy.</t>
  </si>
  <si>
    <t xml:space="preserve">Delivery Puno To-Go</t>
  </si>
  <si>
    <t xml:space="preserve">Delivery por redes sociales</t>
  </si>
  <si>
    <t xml:space="preserve">Facebook: togodeliverypuno</t>
  </si>
  <si>
    <t xml:space="preserve">No</t>
  </si>
  <si>
    <t xml:space="preserve">Por verificar</t>
  </si>
  <si>
    <t xml:space="preserve">Opera por Facebook y WhatsApp, sin app ni trazabilidad. Compite por precio, no por servicio.</t>
  </si>
  <si>
    <t xml:space="preserve">Delivery Puno (Facebook)</t>
  </si>
  <si>
    <t xml:space="preserve">Facebook: DeliveryPuno2022</t>
  </si>
  <si>
    <t xml:space="preserve">Mismo modelo, barrera de entrada casi nula. La ventaja defendible de ComeYa es el pago en línea y el seguimiento del pedido, no el precio.</t>
  </si>
  <si>
    <t xml:space="preserve">Motorizados independientes</t>
  </si>
  <si>
    <t xml:space="preserve">Reparto informal</t>
  </si>
  <si>
    <t xml:space="preserve">Variable</t>
  </si>
  <si>
    <t xml:space="preserve">WhatsApp directo</t>
  </si>
  <si>
    <t xml:space="preserve">No aplica</t>
  </si>
  <si>
    <t xml:space="preserve">ES EL SUSTITUTO REAL. El restaurante llama a un motorizado conocido y no paga comisión. Para desplazarlo, ComeYa tiene que traer pedidos nuevos, no solo tecnología.</t>
  </si>
  <si>
    <t xml:space="preserve">Taxis y mototaxis locales</t>
  </si>
  <si>
    <t xml:space="preserve">Transporte con encargos</t>
  </si>
  <si>
    <t xml:space="preserve">Paradero / WhatsApp</t>
  </si>
  <si>
    <t xml:space="preserve">Cobran por carrera, no por entrega. Son la cantera natural de repartidores para el pico de almuerzo.</t>
  </si>
  <si>
    <t xml:space="preserve">Bodegas y licorerías con reparto propio</t>
  </si>
  <si>
    <t xml:space="preserve">Reparto propio del comercio</t>
  </si>
  <si>
    <t xml:space="preserve">Por barrio</t>
  </si>
  <si>
    <t xml:space="preserve">18:00–23:00</t>
  </si>
  <si>
    <t xml:space="preserve">Relevante para la lista de licorería: muchas bodegas ya reparten en su cuadra. ComeYa compite ampliando el radio, no bajando el precio.</t>
  </si>
  <si>
    <t xml:space="preserve">Carretillas y puestos de mercado</t>
  </si>
  <si>
    <t xml:space="preserve">Venta directa sin reparto</t>
  </si>
  <si>
    <t xml:space="preserve">Centro y mercados</t>
  </si>
  <si>
    <t xml:space="preserve">05:00–10:00</t>
  </si>
  <si>
    <t xml:space="preserve">Presencial</t>
  </si>
  <si>
    <t xml:space="preserve">No reparten: el cliente va al puesto. Es mercado virgen para ComeYa, pero con ticket de S/ 3 a S/ 6 solo funciona en combo o con pedidos agrupados.</t>
  </si>
  <si>
    <t xml:space="preserve">Rappi</t>
  </si>
  <si>
    <t xml:space="preserve">App nacional</t>
  </si>
  <si>
    <t xml:space="preserve">Nacional</t>
  </si>
  <si>
    <t xml:space="preserve">rappi.com.pe</t>
  </si>
  <si>
    <t xml:space="preserve">Sí</t>
  </si>
  <si>
    <t xml:space="preserve">Sin operación confirmada en Puno</t>
  </si>
  <si>
    <t xml:space="preserve">Opera en las principales ciudades del país. Mientras no llegue a Puno, ComeYa tiene ventana para asegurar exclusividades con los locales de mayor rotación.</t>
  </si>
  <si>
    <t xml:space="preserve">PedidosYa</t>
  </si>
  <si>
    <t xml:space="preserve">pedidosya.com.pe</t>
  </si>
  <si>
    <t xml:space="preserve">Su entrada sería el mayor riesgo: llega subsidiando delivery gratis, algo que ComeYa no puede igualar. La defensa es la exclusividad y el horario que ellos no cubren.</t>
  </si>
  <si>
    <t xml:space="preserve">Didi Food</t>
  </si>
  <si>
    <t xml:space="preserve">didiglobal.com</t>
  </si>
  <si>
    <t xml:space="preserve">Verificar cobertura antes de comprometer tarifas de largo plazo.</t>
  </si>
  <si>
    <t xml:space="preserve">Tarifas y comisiones de la competencia no son públicas: se obtienen llamando como cliente o preguntando a restaurantes ya afiliados.</t>
  </si>
  <si>
    <t xml:space="preserve">EMPRESA Y CONTACTO</t>
  </si>
  <si>
    <t xml:space="preserve">CAPACIDAD Y GESTIÓN</t>
  </si>
  <si>
    <t xml:space="preserve">NOMBRE / RAZÓN SOCIAL</t>
  </si>
  <si>
    <t xml:space="preserve">REFERENCIA</t>
  </si>
  <si>
    <t xml:space="preserve">N° UNIDADES (aprox)</t>
  </si>
  <si>
    <t xml:space="preserve">¿TIENE MOTOS?</t>
  </si>
  <si>
    <t xml:space="preserve">¿INTERESADO EN COMEYA?</t>
  </si>
  <si>
    <t xml:space="preserve">DIST. AL RESTAURANTE DE LA HOJA 14 (km) — cálculo automático</t>
  </si>
  <si>
    <t xml:space="preserve">Delivery de comida, +40 restaurantes aliados, 11:00–22:00</t>
  </si>
  <si>
    <t xml:space="preserve">951 530 110</t>
  </si>
  <si>
    <t xml:space="preserve">pidelopuno.com — COMPETIDOR DIRECTO</t>
  </si>
  <si>
    <t xml:space="preserve">Pide x Delivery Park</t>
  </si>
  <si>
    <t xml:space="preserve">Empresa de delivery</t>
  </si>
  <si>
    <t xml:space="preserve">Delivery local</t>
  </si>
  <si>
    <t xml:space="preserve">953 283 555</t>
  </si>
  <si>
    <t xml:space="preserve">Jr. Áncash 554</t>
  </si>
  <si>
    <t xml:space="preserve">Delivery por Facebook/WhatsApp</t>
  </si>
  <si>
    <t xml:space="preserve">facebook.com/togodeliverypuno</t>
  </si>
  <si>
    <t xml:space="preserve">Delivery Puno</t>
  </si>
  <si>
    <t xml:space="preserve">facebook.com/DeliveryPuno2022</t>
  </si>
  <si>
    <t xml:space="preserve">Delivery de comida por rubros</t>
  </si>
  <si>
    <t xml:space="preserve">noradelivery.com — sitio suspendido al 22/09/2026</t>
  </si>
  <si>
    <t xml:space="preserve">Olva Courier — Sucursal Puno</t>
  </si>
  <si>
    <t xml:space="preserve">Courier / mensajería</t>
  </si>
  <si>
    <t xml:space="preserve">Encomiendas, mensajería, paquetería</t>
  </si>
  <si>
    <t xml:space="preserve">(051) 368354</t>
  </si>
  <si>
    <t xml:space="preserve">Jr. Arequipa 120</t>
  </si>
  <si>
    <t xml:space="preserve">LGS Courier</t>
  </si>
  <si>
    <t xml:space="preserve">Mensajería nacional, regional y local</t>
  </si>
  <si>
    <t xml:space="preserve">(051) 367243</t>
  </si>
  <si>
    <t xml:space="preserve">Jr. Lima 419, of. 209</t>
  </si>
  <si>
    <t xml:space="preserve">Directorio Cylex Perú · Interpolada entre 'tradiciones del lago' (n.° 418) y 'La Casona Restaurant' (n.° 423) en OSM. Error esperado ±50 m. Coordenada: © colaboradores de OpenStreetMap (ODbL).</t>
  </si>
  <si>
    <t xml:space="preserve">Multiservicios Fonocar Titikaka S.R.L.</t>
  </si>
  <si>
    <t xml:space="preserve">Radio taxi</t>
  </si>
  <si>
    <t xml:space="preserve">Taxi por llamada</t>
  </si>
  <si>
    <t xml:space="preserve">951 071 441</t>
  </si>
  <si>
    <t xml:space="preserve">Jr. Las Malvinas 421 — San José</t>
  </si>
  <si>
    <t xml:space="preserve">Radio Taxi Milenio Al Toque (Multiservicios Milenio S.C.R.L.)</t>
  </si>
  <si>
    <t xml:space="preserve">(051) 353134</t>
  </si>
  <si>
    <t xml:space="preserve">Jr. Nepomuceno Arce 284 A / Jr. Bolognesi 410</t>
  </si>
  <si>
    <t xml:space="preserve">taxi.com.pe; infoisinfo</t>
  </si>
  <si>
    <t xml:space="preserve">Radio Taxi Kamake Ya</t>
  </si>
  <si>
    <t xml:space="preserve">951 485 733</t>
  </si>
  <si>
    <t xml:space="preserve">Jr. José Manuel Moral 241</t>
  </si>
  <si>
    <t xml:space="preserve">taxi.com.pe; facebook.com/kamake.ya</t>
  </si>
  <si>
    <t xml:space="preserve">Multitaxis Millenium Ya S.R.L.</t>
  </si>
  <si>
    <t xml:space="preserve">Jr. José Manuel Moral 241, frente al parque Gamaniel Churata</t>
  </si>
  <si>
    <t xml:space="preserve">Directorio infoisinfo — misma dirección que Kamake Ya: confirmar</t>
  </si>
  <si>
    <t xml:space="preserve">Empresa de Radio Taxi Taxitel Puno S.C.R.L.</t>
  </si>
  <si>
    <t xml:space="preserve">Jr. Orkapata 216 A</t>
  </si>
  <si>
    <t xml:space="preserve">Directorio infoisinfo; Páginas Amarillas</t>
  </si>
  <si>
    <t xml:space="preserve">Radio Taxi Fantasma S.R.L.</t>
  </si>
  <si>
    <t xml:space="preserve">Jr. Bolognesi 311</t>
  </si>
  <si>
    <t xml:space="preserve">Radio Taxi Águila VIP S.R.L.</t>
  </si>
  <si>
    <t xml:space="preserve">Páginas Amarillas</t>
  </si>
  <si>
    <t xml:space="preserve">Empresa Radio Taxi Las Águilas S.A.C.</t>
  </si>
  <si>
    <t xml:space="preserve">perupaginas.com</t>
  </si>
  <si>
    <t xml:space="preserve">Multiservicios Keros Radio Taxi S.C.R.L.</t>
  </si>
  <si>
    <t xml:space="preserve">Jr. Cajamarca 252, 3er piso</t>
  </si>
  <si>
    <t xml:space="preserve">Imperial Confort Radio Taxi S.A.</t>
  </si>
  <si>
    <t xml:space="preserve">Jr. Juli 145</t>
  </si>
  <si>
    <t xml:space="preserve">Cactus Puno</t>
  </si>
  <si>
    <t xml:space="preserve">Taxi / transporte</t>
  </si>
  <si>
    <t xml:space="preserve">Taxi</t>
  </si>
  <si>
    <t xml:space="preserve">935 944 095</t>
  </si>
  <si>
    <t xml:space="preserve">Jr. Juli 507</t>
  </si>
  <si>
    <t xml:space="preserve">taxi.com.pe</t>
  </si>
  <si>
    <t xml:space="preserve">Student</t>
  </si>
  <si>
    <t xml:space="preserve">924 666 323</t>
  </si>
  <si>
    <t xml:space="preserve">Jr. Bellavista 123</t>
  </si>
  <si>
    <t xml:space="preserve">Directorio Cylex Perú; taxi.com.pe</t>
  </si>
  <si>
    <t xml:space="preserve">Turismo Classic</t>
  </si>
  <si>
    <t xml:space="preserve">Taxi y transporte turístico</t>
  </si>
  <si>
    <t xml:space="preserve">(051) 353983</t>
  </si>
  <si>
    <t xml:space="preserve">Av. La Torre 822</t>
  </si>
  <si>
    <t xml:space="preserve">Puno Tours Servicios Turísticos</t>
  </si>
  <si>
    <t xml:space="preserve">Transporte turístico</t>
  </si>
  <si>
    <t xml:space="preserve">976 800 152</t>
  </si>
  <si>
    <t xml:space="preserve">Jr. Independencia 198</t>
  </si>
  <si>
    <t xml:space="preserve">Taxi Interprovincial Caminos del Inca</t>
  </si>
  <si>
    <t xml:space="preserve">Taxi interprovincial</t>
  </si>
  <si>
    <t xml:space="preserve">975 388 344</t>
  </si>
  <si>
    <t xml:space="preserve">Av. Simón Bolívar 400</t>
  </si>
  <si>
    <t xml:space="preserve">taxi.com.pe — interprovincial, no urbano</t>
  </si>
  <si>
    <t xml:space="preserve">Evans</t>
  </si>
  <si>
    <t xml:space="preserve">Jr. José Antonio Encinas</t>
  </si>
  <si>
    <t xml:space="preserve">Paraderos de mototaxi — Mercado Central</t>
  </si>
  <si>
    <t xml:space="preserve">Punto de reclutamiento</t>
  </si>
  <si>
    <t xml:space="preserve">Mototaxis y motorizados</t>
  </si>
  <si>
    <t xml:space="preserve">Alrededores del Mercado Central</t>
  </si>
  <si>
    <t xml:space="preserve">PUNTO DE RECLUTAMIENTO — visitar y dejar la convocatoria</t>
  </si>
  <si>
    <t xml:space="preserve">Paraderos de mototaxi — Terminal Terrestre</t>
  </si>
  <si>
    <t xml:space="preserve">Mototaxis y taxis</t>
  </si>
  <si>
    <t xml:space="preserve">PUNTO DE RECLUTAMIENTO</t>
  </si>
  <si>
    <t xml:space="preserve">Paraderos de mototaxi — Bellavista</t>
  </si>
  <si>
    <t xml:space="preserve">Mototaxis</t>
  </si>
  <si>
    <t xml:space="preserve">Paraderos de taxi — Plaza de Armas</t>
  </si>
  <si>
    <t xml:space="preserve">Taxis</t>
  </si>
  <si>
    <t xml:space="preserve">27 empresas y puntos de reclutamiento · 12 con teléfono · 1 con coordenada · 80 filas libres.</t>
  </si>
  <si>
    <t xml:space="preserve">Casi ninguna oficina de taxi o courier está registrada en OpenStreetMap: sus coordenadas se toman en la primera visita o desde Google Maps (clic derecho sobre el local).</t>
  </si>
  <si>
    <t xml:space="preserve">Para qué sirve la coordenada aquí: la hoja 14_Cercania calcula qué empresas quedan más cerca de cada restaurante.</t>
  </si>
  <si>
    <t xml:space="preserve">REGISTRO DE REPARTIDORES — ComeYa</t>
  </si>
  <si>
    <t xml:space="preserve">Se llena SOLO con personas que postulan por su cuenta y firman su autorización. No se llena con datos buscados en internet.</t>
  </si>
  <si>
    <t xml:space="preserve">La coordenada que se guarda es el PUNTO BASE donde el repartidor espera pedidos (un paradero, una esquina, un mercado), no su casa.</t>
  </si>
  <si>
    <t xml:space="preserve">REPARTIDOR</t>
  </si>
  <si>
    <t xml:space="preserve">UBICACIÓN BASE Y MAPA</t>
  </si>
  <si>
    <t xml:space="preserve">VEHÍCULO Y EQUIPO</t>
  </si>
  <si>
    <t xml:space="preserve">OPERACIÓN Y AUTORIZACIONES</t>
  </si>
  <si>
    <t xml:space="preserve">FECHA DE REGISTRO</t>
  </si>
  <si>
    <t xml:space="preserve">NOMBRES Y APELLIDOS</t>
  </si>
  <si>
    <t xml:space="preserve">DNI</t>
  </si>
  <si>
    <t xml:space="preserve">DIRECCIÓN DE DOMICILIO</t>
  </si>
  <si>
    <t xml:space="preserve">PUNTO BASE (dónde espera pedidos)</t>
  </si>
  <si>
    <t xml:space="preserve">LATITUD BASE</t>
  </si>
  <si>
    <t xml:space="preserve">LONGITUD BASE</t>
  </si>
  <si>
    <t xml:space="preserve">CÓMO SE OBTUVO LA UBICACIÓN</t>
  </si>
  <si>
    <t xml:space="preserve">TIPO DE VEHÍCULO</t>
  </si>
  <si>
    <t xml:space="preserve">PLACA</t>
  </si>
  <si>
    <t xml:space="preserve">LICENCIA DE CONDUCIR</t>
  </si>
  <si>
    <t xml:space="preserve">SOAT VIGENTE</t>
  </si>
  <si>
    <t xml:space="preserve">¿TIENE SMARTPHONE?</t>
  </si>
  <si>
    <t xml:space="preserve">¿TIENE CAJA TÉRMICA?</t>
  </si>
  <si>
    <t xml:space="preserve">DISPONIBILIDAD</t>
  </si>
  <si>
    <t xml:space="preserve">ZONAS DONDE PUEDE REPARTIR</t>
  </si>
  <si>
    <t xml:space="preserve">CÓMO SE ENTERÓ</t>
  </si>
  <si>
    <t xml:space="preserve">AUTORIZA TRATAMIENTO DE DATOS (Ley 29733)</t>
  </si>
  <si>
    <t xml:space="preserve">AUTORIZA UBICACIÓN EN TIEMPO REAL (solo en turno)</t>
  </si>
  <si>
    <t xml:space="preserve">ANTECEDENTES VERIFICADOS</t>
  </si>
  <si>
    <t xml:space="preserve">OBSERVACIONES</t>
  </si>
  <si>
    <t xml:space="preserve">2026-09-25</t>
  </si>
  <si>
    <t xml:space="preserve">EJEMPLO — borrar esta fila</t>
  </si>
  <si>
    <t xml:space="preserve">00000000</t>
  </si>
  <si>
    <t xml:space="preserve">9xx xxx xxx</t>
  </si>
  <si>
    <t xml:space="preserve">ejemplo@correo.com</t>
  </si>
  <si>
    <t xml:space="preserve">Jr. Ejemplo 123</t>
  </si>
  <si>
    <t xml:space="preserve">Paradero frente al Mercado Bellavista</t>
  </si>
  <si>
    <t xml:space="preserve">Ubicación compartida por WhatsApp</t>
  </si>
  <si>
    <t xml:space="preserve">Moto</t>
  </si>
  <si>
    <t xml:space="preserve">XX-0000</t>
  </si>
  <si>
    <t xml:space="preserve">B-IIc</t>
  </si>
  <si>
    <t xml:space="preserve">Lun–Sáb 11:00–15:00</t>
  </si>
  <si>
    <t xml:space="preserve">Centro, Bellavista</t>
  </si>
  <si>
    <t xml:space="preserve">Facebook</t>
  </si>
  <si>
    <t xml:space="preserve">Pendiente</t>
  </si>
  <si>
    <t xml:space="preserve">Postulante</t>
  </si>
  <si>
    <t xml:space="preserve">Fila de muestra del formato esperado</t>
  </si>
  <si>
    <t xml:space="preserve">CÓMO OBTENER LA UBICACIÓN DEL REPARTIDOR</t>
  </si>
  <si>
    <t xml:space="preserve">Al registrarlo</t>
  </si>
  <si>
    <t xml:space="preserve">Pídele que te comparta su ubicación por WhatsApp desde el punto donde suele esperar pedidos (clip → Ubicación → Enviar mi ubicación actual). Al abrirla en Google Maps aparecen la latitud y la longitud: cópialas en LATITUD BASE y LONGITUD BASE.</t>
  </si>
  <si>
    <t xml:space="preserve">Ubicación en tiempo real</t>
  </si>
  <si>
    <t xml:space="preserve">El Excel guarda solo el punto base. La posición en vivo durante el turno la debe tomar la app ComeYa con el GPS del celular, únicamente mientras el repartidor esté conectado y si marcó 'Sí' en AUTORIZA UBICACIÓN EN TIEMPO REAL.</t>
  </si>
  <si>
    <t xml:space="preserve">Por qué no la casa</t>
  </si>
  <si>
    <t xml:space="preserve">La dirección de domicilio es un dato personal sensible. Para asignar pedidos basta el punto base; así no se expone dónde vive cada repartidor.</t>
  </si>
  <si>
    <t xml:space="preserve">Para qué sirve</t>
  </si>
  <si>
    <t xml:space="preserve">La hoja 14_Cercania usa estas coordenadas para mostrar los 10 repartidores más cercanos a cualquier restaurante.</t>
  </si>
  <si>
    <t xml:space="preserve">DÓNDE CONSEGUIR REPARTIDORES EN PUNO</t>
  </si>
  <si>
    <t xml:space="preserve">Convenio con radio taxi y courier</t>
  </si>
  <si>
    <t xml:space="preserve">Llamar a las empresas de la hoja 09B. Ya tienen flota y conductores: un convenio puede dar varios repartidores a la vez.</t>
  </si>
  <si>
    <t xml:space="preserve">Portales de empleo</t>
  </si>
  <si>
    <t xml:space="preserve">Publicar la convocatoria en Computrabajo y Jooble, donde ya hay avisos activos de 'motorizado reparto Puno'.</t>
  </si>
  <si>
    <t xml:space="preserve">Grupos de Facebook de Puno</t>
  </si>
  <si>
    <t xml:space="preserve">Publicar en grupos de empleo y compra-venta de Puno, con un WhatsApp para postular.</t>
  </si>
  <si>
    <t xml:space="preserve">Paraderos de mototaxi y taxi</t>
  </si>
  <si>
    <t xml:space="preserve">Visitar los puntos de reclutamiento de la hoja 09B con afiches. Horario ideal: 10:00–11:00, antes del pico de almuerzo.</t>
  </si>
  <si>
    <t xml:space="preserve">Referidos</t>
  </si>
  <si>
    <t xml:space="preserve">Pagar un bono a cada repartidor activo que traiga a otro que complete 20 entregas.</t>
  </si>
  <si>
    <t xml:space="preserve">Requisitos mínimos sugeridos</t>
  </si>
  <si>
    <t xml:space="preserve">DNI, licencia vigente de la categoría del vehículo, SOAT vigente, smartphone con datos y caja térmica.</t>
  </si>
  <si>
    <t xml:space="preserve">Formalidad</t>
  </si>
  <si>
    <t xml:space="preserve">Definir si serán trabajadores o prestadores independientes con RUC 10. Consultar con un contador antes de lanzar.</t>
  </si>
  <si>
    <t xml:space="preserve">FECHA</t>
  </si>
  <si>
    <t xml:space="preserve">ENCUESTADOR</t>
  </si>
  <si>
    <t xml:space="preserve">NOMBRE DEL LOCAL / PUESTO</t>
  </si>
  <si>
    <t xml:space="preserve">DIRECCIÓN O ESQUINA</t>
  </si>
  <si>
    <t xml:space="preserve">TELÉFONO / WHATSAPP</t>
  </si>
  <si>
    <t xml:space="preserve">RESPONSABLE</t>
  </si>
  <si>
    <t xml:space="preserve">¿TIENE RUC?</t>
  </si>
  <si>
    <t xml:space="preserve">¿DESAYUNOS?</t>
  </si>
  <si>
    <t xml:space="preserve">¿ALMUERZOS?</t>
  </si>
  <si>
    <t xml:space="preserve">¿CENAS?</t>
  </si>
  <si>
    <t xml:space="preserve">¿ESPECIALES?</t>
  </si>
  <si>
    <t xml:space="preserve">¿JUGOS/APERITIVOS?</t>
  </si>
  <si>
    <t xml:space="preserve">¿DESAYUNO RÁPIDO?</t>
  </si>
  <si>
    <t xml:space="preserve">¿LICOR?</t>
  </si>
  <si>
    <t xml:space="preserve">PRECIO SEGUNDO SOLO S/</t>
  </si>
  <si>
    <t xml:space="preserve">PRODUCTO MÁS VENDIDO</t>
  </si>
  <si>
    <t xml:space="preserve">PRECIO DE ESE PRODUCTO S/</t>
  </si>
  <si>
    <t xml:space="preserve">UNIDADES/DÍA (aprox)</t>
  </si>
  <si>
    <t xml:space="preserve">¿HACE DELIVERY HOY?</t>
  </si>
  <si>
    <t xml:space="preserve">¿CON QUÉ APP?</t>
  </si>
  <si>
    <t xml:space="preserve">¿COBRA CON YAPE/PLIN?</t>
  </si>
  <si>
    <t xml:space="preserve">¿ACEPTA 7% COMISIÓN?</t>
  </si>
  <si>
    <t xml:space="preserve">INTERÉS EN COMEYA (1-5)</t>
  </si>
  <si>
    <t xml:space="preserve">CÓMO SE TOMÓ LA UBICACIÓN</t>
  </si>
  <si>
    <t xml:space="preserve">J. Quispe</t>
  </si>
  <si>
    <t xml:space="preserve">Restaurante El Buen Sabor</t>
  </si>
  <si>
    <t xml:space="preserve">Jr. Los Incas 245</t>
  </si>
  <si>
    <t xml:space="preserve">Frente al mercado</t>
  </si>
  <si>
    <t xml:space="preserve">951 000 000</t>
  </si>
  <si>
    <t xml:space="preserve">Sra. María</t>
  </si>
  <si>
    <t xml:space="preserve">07:00–16:00</t>
  </si>
  <si>
    <t xml:space="preserve">-</t>
  </si>
  <si>
    <t xml:space="preserve">EJEMPLO — borrar esta fila. Acepta si el precio en app no sube más de S/ 1.</t>
  </si>
  <si>
    <t xml:space="preserve">GPS en campo</t>
  </si>
  <si>
    <t xml:space="preserve">SIMULADOR DE UN PEDIDO — ComeYa</t>
  </si>
  <si>
    <t xml:space="preserve">Cambia solo las celdas amarillas. Todo lo demás se calcula.</t>
  </si>
  <si>
    <t xml:space="preserve">ENTRADAS</t>
  </si>
  <si>
    <t xml:space="preserve">Precio del producto en el local (S/)</t>
  </si>
  <si>
    <t xml:space="preserve">Precio que el restaurante cobra hoy en su local.</t>
  </si>
  <si>
    <t xml:space="preserve">Costo de empaque (S/)</t>
  </si>
  <si>
    <t xml:space="preserve">Comisión de ComeYa al restaurante (%)</t>
  </si>
  <si>
    <t xml:space="preserve">Viene de 99_Listas según el segmento. 7% es lo sugerido para menú económico.</t>
  </si>
  <si>
    <t xml:space="preserve">Tarifa de delivery cobrada al cliente (S/)</t>
  </si>
  <si>
    <t xml:space="preserve">Pago al repartidor por entrega (S/)</t>
  </si>
  <si>
    <t xml:space="preserve">Por debajo de S/ 3.50 el repartidor pierde interés fuera del pico de almuerzo.</t>
  </si>
  <si>
    <t xml:space="preserve">Tarifa de servicio cobrada al cliente (S/)</t>
  </si>
  <si>
    <t xml:space="preserve">Comisión de pasarela de pago (%)</t>
  </si>
  <si>
    <t xml:space="preserve">Culqi, Niubiz o Izipay cobran entre 3.5% y 4.5%. Confirmar con el proveedor.</t>
  </si>
  <si>
    <t xml:space="preserve">Comisión fija de pasarela (S/)</t>
  </si>
  <si>
    <t xml:space="preserve">LO QUE PAGA EL CLIENTE</t>
  </si>
  <si>
    <t xml:space="preserve">Precio del producto en la app</t>
  </si>
  <si>
    <t xml:space="preserve">Delivery</t>
  </si>
  <si>
    <t xml:space="preserve">Tarifa de servicio</t>
  </si>
  <si>
    <t xml:space="preserve">TOTAL QUE PAGA EL CLIENTE</t>
  </si>
  <si>
    <t xml:space="preserve">Este número decide si el cliente pide o no. Sobre S/ 15 el menú económico deja de ser atractivo.</t>
  </si>
  <si>
    <t xml:space="preserve">REPARTO DEL DINERO</t>
  </si>
  <si>
    <t xml:space="preserve">Comisión cobrada al restaurante</t>
  </si>
  <si>
    <t xml:space="preserve">Recibe el restaurante</t>
  </si>
  <si>
    <t xml:space="preserve">Recibe el repartidor</t>
  </si>
  <si>
    <t xml:space="preserve">Ingreso bruto de ComeYa</t>
  </si>
  <si>
    <t xml:space="preserve">OJO: es ingreso bruto, todavía no es ganancia.</t>
  </si>
  <si>
    <t xml:space="preserve">COSTOS DE COMEYA</t>
  </si>
  <si>
    <t xml:space="preserve">Comisión de pasarela</t>
  </si>
  <si>
    <t xml:space="preserve">MARGEN NETO POR PEDIDO</t>
  </si>
  <si>
    <t xml:space="preserve">Ganancia real por pedido, antes de marketing y promociones.</t>
  </si>
  <si>
    <t xml:space="preserve">Margen sobre el total pagado por el cliente</t>
  </si>
  <si>
    <t xml:space="preserve">Prueba con un producto de carretilla (S/ 4): verás que el margen se vuelve negativo. Por eso esa lista solo funciona en combo.</t>
  </si>
  <si>
    <t xml:space="preserve">PUNTO DE EQUILIBRIO</t>
  </si>
  <si>
    <t xml:space="preserve">Costos fijos mensuales de ComeYa (S/)</t>
  </si>
  <si>
    <t xml:space="preserve">Servidores, soporte, sueldo base del equipo, marketing.</t>
  </si>
  <si>
    <t xml:space="preserve">Pedidos necesarios al mes</t>
  </si>
  <si>
    <t xml:space="preserve">Pedidos necesarios al día (30 días)</t>
  </si>
  <si>
    <t xml:space="preserve">Este número define si el modelo es viable en Puno.</t>
  </si>
  <si>
    <t xml:space="preserve">RESUMEN POR LISTA DE CARTA</t>
  </si>
  <si>
    <t xml:space="preserve">N° PRODUCTOS</t>
  </si>
  <si>
    <t xml:space="preserve">NETO REST. PROM S/</t>
  </si>
  <si>
    <t xml:space="preserve">COMISIÓN PROM S/</t>
  </si>
  <si>
    <t xml:space="preserve">01_Desayunos</t>
  </si>
  <si>
    <t xml:space="preserve">02_Almuerzos</t>
  </si>
  <si>
    <t xml:space="preserve">03_Cenas</t>
  </si>
  <si>
    <t xml:space="preserve">04_Especiales</t>
  </si>
  <si>
    <t xml:space="preserve">05_Jugos_Aperitivos</t>
  </si>
  <si>
    <t xml:space="preserve">06_Jugos_Desayuno_Rapido</t>
  </si>
  <si>
    <t xml:space="preserve">07_Licorerias</t>
  </si>
  <si>
    <t xml:space="preserve">TOTAL</t>
  </si>
  <si>
    <t xml:space="preserve">Los promedios salen de los rangos estimados de cada lista, no de precios verificados local por local.</t>
  </si>
  <si>
    <t xml:space="preserve">PORCIÓN</t>
  </si>
  <si>
    <t xml:space="preserve">PRECIO MÍN</t>
  </si>
  <si>
    <t xml:space="preserve">PRECIO MÁX</t>
  </si>
  <si>
    <t xml:space="preserve">PRECIO PROM</t>
  </si>
  <si>
    <t xml:space="preserve">PRECIO EN APP</t>
  </si>
  <si>
    <t xml:space="preserve">COMISIÓN</t>
  </si>
  <si>
    <t xml:space="preserve">NETO REST.</t>
  </si>
  <si>
    <t xml:space="preserve">PREP</t>
  </si>
  <si>
    <t xml:space="preserve">OBSERVACIÓN</t>
  </si>
  <si>
    <t xml:space="preserve">FILA ORIGEN</t>
  </si>
  <si>
    <t xml:space="preserve">COINCIDE</t>
  </si>
  <si>
    <t xml:space="preserve">POSICIÓN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</si>
</sst>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General"/>
    <numFmt numFmtId="167" formatCode="#,##0.00"/>
    <numFmt numFmtId="168" formatCode="0.0000000"/>
    <numFmt numFmtId="169" formatCode="0.00"/>
    <numFmt numFmtId="170" formatCode="0"/>
    <numFmt numFmtId="171" formatCode="0.0"/>
    <numFmt numFmtId="172" formatCode="0%"/>
    <numFmt numFmtId="173" formatCode="@"/>
    <numFmt numFmtId="174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2E75B6"/>
        <bgColor rgb="FF0563C1"/>
      </patternFill>
    </fill>
    <fill>
      <patternFill patternType="solid">
        <fgColor rgb="FF375623"/>
        <bgColor rgb="FF595959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30" hidden="false" customHeight="true" outlineLevel="0" collapsed="false">
      <c r="A5" s="3" t="s">
        <v>3</v>
      </c>
    </row>
    <row r="6" customFormat="false" ht="43.5" hidden="false" customHeight="true" outlineLevel="0" collapsed="false">
      <c r="A6" s="3" t="s">
        <v>4</v>
      </c>
    </row>
    <row r="7" customFormat="false" ht="43.5" hidden="false" customHeight="true" outlineLevel="0" collapsed="false">
      <c r="A7" s="3" t="s">
        <v>5</v>
      </c>
    </row>
    <row r="8" customFormat="false" ht="43.5" hidden="false" customHeight="true" outlineLevel="0" collapsed="false">
      <c r="A8" s="3" t="s">
        <v>6</v>
      </c>
    </row>
    <row r="9" customFormat="false" ht="30" hidden="false" customHeight="true" outlineLevel="0" collapsed="false">
      <c r="A9" s="3" t="s">
        <v>7</v>
      </c>
    </row>
    <row r="10" customFormat="false" ht="43.5" hidden="false" customHeight="true" outlineLevel="0" collapsed="false">
      <c r="A10" s="3" t="s">
        <v>8</v>
      </c>
    </row>
    <row r="11" customFormat="false" ht="43.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10</v>
      </c>
    </row>
    <row r="14" customFormat="false" ht="43.5" hidden="false" customHeight="true" outlineLevel="0" collapsed="false">
      <c r="A14" s="3" t="s">
        <v>11</v>
      </c>
    </row>
    <row r="15" customFormat="false" ht="43.5" hidden="false" customHeight="true" outlineLevel="0" collapsed="false">
      <c r="A15" s="5" t="s">
        <v>12</v>
      </c>
    </row>
    <row r="16" customFormat="false" ht="30" hidden="false" customHeight="true" outlineLevel="0" collapsed="false">
      <c r="A16" s="3" t="s">
        <v>13</v>
      </c>
    </row>
    <row r="17" customFormat="false" ht="43.5" hidden="false" customHeight="true" outlineLevel="0" collapsed="false">
      <c r="A17" s="5" t="s">
        <v>14</v>
      </c>
    </row>
    <row r="18" customFormat="false" ht="30" hidden="false" customHeight="true" outlineLevel="0" collapsed="false">
      <c r="A18" s="3" t="s">
        <v>15</v>
      </c>
    </row>
    <row r="19" customFormat="false" ht="43.5" hidden="false" customHeight="true" outlineLevel="0" collapsed="false">
      <c r="A19" s="5" t="s">
        <v>16</v>
      </c>
    </row>
    <row r="20" customFormat="false" ht="30" hidden="false" customHeight="true" outlineLevel="0" collapsed="false">
      <c r="A20" s="5" t="s">
        <v>17</v>
      </c>
    </row>
    <row r="21" customFormat="false" ht="15" hidden="false" customHeight="true" outlineLevel="0" collapsed="false">
      <c r="A21" s="3" t="s">
        <v>18</v>
      </c>
    </row>
    <row r="22" customFormat="false" ht="15" hidden="false" customHeight="true" outlineLevel="0" collapsed="false">
      <c r="A22" s="3" t="s">
        <v>19</v>
      </c>
    </row>
    <row r="23" customFormat="false" ht="43.5" hidden="false" customHeight="true" outlineLevel="0" collapsed="false">
      <c r="A23" s="3" t="s">
        <v>20</v>
      </c>
    </row>
    <row r="24" customFormat="false" ht="15" hidden="false" customHeight="true" outlineLevel="0" collapsed="false">
      <c r="A24" s="3" t="s">
        <v>21</v>
      </c>
    </row>
    <row r="25" customFormat="false" ht="15" hidden="false" customHeight="true" outlineLevel="0" collapsed="false">
      <c r="A25" s="3"/>
    </row>
    <row r="26" customFormat="false" ht="30" hidden="false" customHeight="true" outlineLevel="0" collapsed="false">
      <c r="A26" s="4" t="s">
        <v>22</v>
      </c>
    </row>
    <row r="27" customFormat="false" ht="43.5" hidden="false" customHeight="true" outlineLevel="0" collapsed="false">
      <c r="A27" s="3" t="s">
        <v>23</v>
      </c>
    </row>
    <row r="28" customFormat="false" ht="15" hidden="false" customHeight="true" outlineLevel="0" collapsed="false">
      <c r="A28" s="3" t="s">
        <v>24</v>
      </c>
    </row>
    <row r="29" customFormat="false" ht="15" hidden="false" customHeight="true" outlineLevel="0" collapsed="false">
      <c r="A29" s="3" t="s">
        <v>25</v>
      </c>
    </row>
    <row r="30" customFormat="false" ht="43.5" hidden="false" customHeight="true" outlineLevel="0" collapsed="false">
      <c r="A30" s="3" t="s">
        <v>26</v>
      </c>
    </row>
    <row r="31" customFormat="false" ht="43.5" hidden="false" customHeight="true" outlineLevel="0" collapsed="false">
      <c r="A31" s="3" t="s">
        <v>27</v>
      </c>
    </row>
    <row r="32" customFormat="false" ht="43.5" hidden="false" customHeight="true" outlineLevel="0" collapsed="false">
      <c r="A32" s="3"/>
    </row>
    <row r="33" customFormat="false" ht="15" hidden="false" customHeight="true" outlineLevel="0" collapsed="false">
      <c r="A33" s="4" t="s">
        <v>28</v>
      </c>
    </row>
    <row r="34" customFormat="false" ht="15" hidden="false" customHeight="true" outlineLevel="0" collapsed="false">
      <c r="A34" s="3" t="s">
        <v>29</v>
      </c>
    </row>
    <row r="35" customFormat="false" ht="43.5" hidden="false" customHeight="true" outlineLevel="0" collapsed="false">
      <c r="A35" s="3" t="s">
        <v>30</v>
      </c>
    </row>
    <row r="36" customFormat="false" ht="43.5" hidden="false" customHeight="true" outlineLevel="0" collapsed="false">
      <c r="A36" s="6" t="s">
        <v>31</v>
      </c>
    </row>
    <row r="37" customFormat="false" ht="43.5" hidden="false" customHeight="true" outlineLevel="0" collapsed="false">
      <c r="A37" s="3"/>
    </row>
    <row r="38" customFormat="false" ht="43.5" hidden="false" customHeight="true" outlineLevel="0" collapsed="false">
      <c r="A38" s="4" t="s">
        <v>32</v>
      </c>
    </row>
    <row r="39" customFormat="false" ht="15" hidden="false" customHeight="true" outlineLevel="0" collapsed="false">
      <c r="A39" s="3" t="s">
        <v>33</v>
      </c>
    </row>
    <row r="40" customFormat="false" ht="15" hidden="false" customHeight="true" outlineLevel="0" collapsed="false">
      <c r="A40" s="3" t="s">
        <v>34</v>
      </c>
    </row>
    <row r="41" customFormat="false" ht="15" hidden="false" customHeight="true" outlineLevel="0" collapsed="false">
      <c r="A41" s="3" t="s">
        <v>35</v>
      </c>
    </row>
    <row r="42" customFormat="false" ht="43.5" hidden="false" customHeight="true" outlineLevel="0" collapsed="false">
      <c r="A42" s="3" t="s">
        <v>36</v>
      </c>
    </row>
    <row r="43" customFormat="false" ht="43.5" hidden="false" customHeight="true" outlineLevel="0" collapsed="false">
      <c r="A43" s="3" t="s">
        <v>37</v>
      </c>
    </row>
    <row r="44" customFormat="false" ht="43.5" hidden="false" customHeight="true" outlineLevel="0" collapsed="false">
      <c r="A44" s="3"/>
    </row>
    <row r="45" customFormat="false" ht="30" hidden="false" customHeight="true" outlineLevel="0" collapsed="false">
      <c r="A45" s="4" t="s">
        <v>38</v>
      </c>
    </row>
    <row r="46" customFormat="false" ht="15" hidden="false" customHeight="true" outlineLevel="0" collapsed="false">
      <c r="A46" s="3" t="s">
        <v>39</v>
      </c>
    </row>
    <row r="47" customFormat="false" ht="15" hidden="false" customHeight="true" outlineLevel="0" collapsed="false">
      <c r="A47" s="3" t="s">
        <v>40</v>
      </c>
    </row>
    <row r="48" customFormat="false" ht="43.5" hidden="false" customHeight="true" outlineLevel="0" collapsed="false">
      <c r="A48" s="3" t="s">
        <v>41</v>
      </c>
    </row>
    <row r="49" customFormat="false" ht="43.5" hidden="false" customHeight="true" outlineLevel="0" collapsed="false">
      <c r="A49" s="6" t="s">
        <v>42</v>
      </c>
    </row>
    <row r="50" customFormat="false" ht="15" hidden="false" customHeight="true" outlineLevel="0" collapsed="false">
      <c r="A50" s="3"/>
    </row>
    <row r="51" customFormat="false" ht="15" hidden="false" customHeight="true" outlineLevel="0" collapsed="false">
      <c r="A51" s="4" t="s">
        <v>43</v>
      </c>
    </row>
    <row r="52" customFormat="false" ht="15" hidden="false" customHeight="true" outlineLevel="0" collapsed="false">
      <c r="A52" s="3" t="s">
        <v>44</v>
      </c>
    </row>
    <row r="53" customFormat="false" ht="15" hidden="false" customHeight="true" outlineLevel="0" collapsed="false">
      <c r="A53" s="3" t="s">
        <v>45</v>
      </c>
    </row>
    <row r="54" customFormat="false" ht="15" hidden="false" customHeight="true" outlineLevel="0" collapsed="false">
      <c r="A54" s="3"/>
    </row>
    <row r="55" customFormat="false" ht="15" hidden="false" customHeight="true" outlineLevel="0" collapsed="false">
      <c r="A55" s="6" t="s">
        <v>46</v>
      </c>
    </row>
    <row r="56" customFormat="false" ht="15" hidden="false" customHeight="true" outlineLevel="0" collapsed="false">
      <c r="A56" s="3"/>
    </row>
    <row r="57" customFormat="false" ht="15" hidden="false" customHeight="true" outlineLevel="0" collapsed="false">
      <c r="A57" s="4" t="s">
        <v>47</v>
      </c>
    </row>
    <row r="58" customFormat="false" ht="15" hidden="false" customHeight="true" outlineLevel="0" collapsed="false">
      <c r="A58" s="3" t="s">
        <v>48</v>
      </c>
    </row>
    <row r="59" customFormat="false" ht="30" hidden="false" customHeight="true" outlineLevel="0" collapsed="false">
      <c r="A59" s="3" t="s">
        <v>49</v>
      </c>
    </row>
    <row r="60" customFormat="false" ht="30" hidden="false" customHeight="true" outlineLevel="0" collapsed="false">
      <c r="A60" s="3" t="s">
        <v>50</v>
      </c>
    </row>
    <row r="61" customFormat="false" ht="15" hidden="false" customHeight="true" outlineLevel="0" collapsed="false">
      <c r="A61" s="3" t="s">
        <v>51</v>
      </c>
    </row>
    <row r="62" customFormat="false" ht="15" hidden="false" customHeight="true" outlineLevel="0" collapsed="false">
      <c r="A62" s="3" t="s">
        <v>52</v>
      </c>
    </row>
    <row r="63" customFormat="false" ht="15" hidden="false" customHeight="true" outlineLevel="0" collapsed="false">
      <c r="A63" s="3" t="s">
        <v>53</v>
      </c>
    </row>
    <row r="64" customFormat="false" ht="15" hidden="false" customHeight="true" outlineLevel="0" collapsed="false">
      <c r="A64" s="3" t="s">
        <v>54</v>
      </c>
    </row>
    <row r="65" customFormat="false" ht="15" hidden="false" customHeight="false" outlineLevel="0" collapsed="false">
      <c r="A65" s="3" t="s">
        <v>55</v>
      </c>
    </row>
    <row r="66" customFormat="false" ht="23.85" hidden="false" customHeight="false" outlineLevel="0" collapsed="false">
      <c r="A66" s="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42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8" min="6" style="1" width="15"/>
  </cols>
  <sheetData>
    <row r="2" customFormat="false" ht="18" hidden="false" customHeight="true" outlineLevel="0" collapsed="false">
      <c r="B2" s="7" t="s">
        <v>57</v>
      </c>
    </row>
    <row r="3" customFormat="false" ht="15" hidden="false" customHeight="true" outlineLevel="0" collapsed="false">
      <c r="B3" s="8" t="s">
        <v>58</v>
      </c>
    </row>
    <row r="5" customFormat="false" ht="21.75" hidden="false" customHeight="true" outlineLevel="0" collapsed="false">
      <c r="B5" s="9" t="s">
        <v>59</v>
      </c>
      <c r="C5" s="10" t="s">
        <v>60</v>
      </c>
      <c r="D5" s="8" t="s">
        <v>61</v>
      </c>
    </row>
    <row r="6" customFormat="false" ht="21.75" hidden="false" customHeight="true" outlineLevel="0" collapsed="false">
      <c r="B6" s="9" t="s">
        <v>62</v>
      </c>
      <c r="C6" s="10" t="s">
        <v>63</v>
      </c>
      <c r="D6" s="8" t="s">
        <v>64</v>
      </c>
    </row>
    <row r="7" customFormat="false" ht="15" hidden="false" customHeight="true" outlineLevel="0" collapsed="false">
      <c r="B7" s="9" t="s">
        <v>65</v>
      </c>
      <c r="C7" s="11" t="n">
        <f aca="false">COUNT(98_Catalogo!$W$2:$W$788)</f>
        <v>109</v>
      </c>
    </row>
    <row r="8" customFormat="false" ht="21.75" hidden="false" customHeight="true" outlineLevel="0" collapsed="false">
      <c r="B8" s="9" t="s">
        <v>66</v>
      </c>
      <c r="C8" s="12" t="n">
        <v>1</v>
      </c>
      <c r="D8" s="8" t="s">
        <v>67</v>
      </c>
    </row>
    <row r="10" customFormat="false" ht="27.75" hidden="false" customHeight="true" outlineLevel="0" collapsed="false">
      <c r="B10" s="13" t="s">
        <v>68</v>
      </c>
      <c r="C10" s="13" t="s">
        <v>69</v>
      </c>
      <c r="D10" s="13" t="s">
        <v>70</v>
      </c>
      <c r="E10" s="13" t="s">
        <v>71</v>
      </c>
      <c r="F10" s="13" t="s">
        <v>72</v>
      </c>
      <c r="G10" s="13" t="s">
        <v>73</v>
      </c>
      <c r="H10" s="13" t="s">
        <v>74</v>
      </c>
    </row>
    <row r="11" customFormat="false" ht="15" hidden="false" customHeight="true" outlineLevel="0" collapsed="false">
      <c r="B11" s="14" t="n">
        <f aca="false">IF(1&lt;=$C$7,1,"")</f>
        <v>1</v>
      </c>
      <c r="C11" s="15" t="str">
        <f aca="false">IFERROR(INDEX(98_Catalogo!$B$2:$B$788,MATCH(1,98_Catalogo!$W$2:$W$788,0)),"")</f>
        <v>01_Desayunos</v>
      </c>
      <c r="D11" s="16" t="str">
        <f aca="false">IFERROR(INDEX(98_Catalogo!$C$2:$C$788,MATCH(1,98_Catalogo!$W$2:$W$788,0)),"")</f>
        <v>Panes y sándwiches</v>
      </c>
      <c r="E11" s="16" t="str">
        <f aca="false">IFERROR(INDEX(98_Catalogo!$D$2:$D$788,MATCH(1,98_Catalogo!$W$2:$W$788,0)),"")</f>
        <v>Sándwich de pollo</v>
      </c>
      <c r="F11" s="15" t="str">
        <f aca="false">IFERROR(INDEX(98_Catalogo!$H$2:$H$788,MATCH(1,98_Catalogo!$W$2:$W$788,0)),"")</f>
        <v>Económico</v>
      </c>
      <c r="G11" s="17" t="n">
        <f aca="false">IFERROR(INDEX(98_Catalogo!$K$2:$K$788,MATCH(1,98_Catalogo!$W$2:$W$788,0)),"")</f>
        <v>7.5</v>
      </c>
      <c r="H11" s="17" t="n">
        <f aca="false">IFERROR(INDEX(98_Catalogo!$L$2:$L$788,MATCH(1,98_Catalogo!$W$2:$W$788,0)),"")</f>
        <v>8.5</v>
      </c>
    </row>
    <row r="12" customFormat="false" ht="15" hidden="false" customHeight="true" outlineLevel="0" collapsed="false">
      <c r="B12" s="18" t="n">
        <f aca="false">IF(2&lt;=$C$7,2,"")</f>
        <v>2</v>
      </c>
      <c r="C12" s="19" t="str">
        <f aca="false">IFERROR(INDEX(98_Catalogo!$B$2:$B$788,MATCH(2,98_Catalogo!$W$2:$W$788,0)),"")</f>
        <v>01_Desayunos</v>
      </c>
      <c r="D12" s="20" t="str">
        <f aca="false">IFERROR(INDEX(98_Catalogo!$C$2:$C$788,MATCH(2,98_Catalogo!$W$2:$W$788,0)),"")</f>
        <v>Caldos de mañana</v>
      </c>
      <c r="E12" s="20" t="str">
        <f aca="false">IFERROR(INDEX(98_Catalogo!$D$2:$D$788,MATCH(2,98_Catalogo!$W$2:$W$788,0)),"")</f>
        <v>Caldo de pollo con fideo</v>
      </c>
      <c r="F12" s="19" t="str">
        <f aca="false">IFERROR(INDEX(98_Catalogo!$H$2:$H$788,MATCH(2,98_Catalogo!$W$2:$W$788,0)),"")</f>
        <v>Económico</v>
      </c>
      <c r="G12" s="21" t="n">
        <f aca="false">IFERROR(INDEX(98_Catalogo!$K$2:$K$788,MATCH(2,98_Catalogo!$W$2:$W$788,0)),"")</f>
        <v>10.5</v>
      </c>
      <c r="H12" s="21" t="n">
        <f aca="false">IFERROR(INDEX(98_Catalogo!$L$2:$L$788,MATCH(2,98_Catalogo!$W$2:$W$788,0)),"")</f>
        <v>11.5</v>
      </c>
    </row>
    <row r="13" customFormat="false" ht="15" hidden="false" customHeight="true" outlineLevel="0" collapsed="false">
      <c r="B13" s="14" t="n">
        <f aca="false">IF(3&lt;=$C$7,3,"")</f>
        <v>3</v>
      </c>
      <c r="C13" s="15" t="str">
        <f aca="false">IFERROR(INDEX(98_Catalogo!$B$2:$B$788,MATCH(3,98_Catalogo!$W$2:$W$788,0)),"")</f>
        <v>01_Desayunos</v>
      </c>
      <c r="D13" s="16" t="str">
        <f aca="false">IFERROR(INDEX(98_Catalogo!$C$2:$C$788,MATCH(3,98_Catalogo!$W$2:$W$788,0)),"")</f>
        <v>Caldos de mañana</v>
      </c>
      <c r="E13" s="16" t="str">
        <f aca="false">IFERROR(INDEX(98_Catalogo!$D$2:$D$788,MATCH(3,98_Catalogo!$W$2:$W$788,0)),"")</f>
        <v>Caldo de menudencia</v>
      </c>
      <c r="F13" s="15" t="str">
        <f aca="false">IFERROR(INDEX(98_Catalogo!$H$2:$H$788,MATCH(3,98_Catalogo!$W$2:$W$788,0)),"")</f>
        <v>Económico</v>
      </c>
      <c r="G13" s="17" t="n">
        <f aca="false">IFERROR(INDEX(98_Catalogo!$K$2:$K$788,MATCH(3,98_Catalogo!$W$2:$W$788,0)),"")</f>
        <v>9.5</v>
      </c>
      <c r="H13" s="17" t="n">
        <f aca="false">IFERROR(INDEX(98_Catalogo!$L$2:$L$788,MATCH(3,98_Catalogo!$W$2:$W$788,0)),"")</f>
        <v>10.5</v>
      </c>
    </row>
    <row r="14" customFormat="false" ht="23.25" hidden="false" customHeight="true" outlineLevel="0" collapsed="false">
      <c r="B14" s="18" t="n">
        <f aca="false">IF(4&lt;=$C$7,4,"")</f>
        <v>4</v>
      </c>
      <c r="C14" s="19" t="str">
        <f aca="false">IFERROR(INDEX(98_Catalogo!$B$2:$B$788,MATCH(4,98_Catalogo!$W$2:$W$788,0)),"")</f>
        <v>01_Desayunos</v>
      </c>
      <c r="D14" s="20" t="str">
        <f aca="false">IFERROR(INDEX(98_Catalogo!$C$2:$C$788,MATCH(4,98_Catalogo!$W$2:$W$788,0)),"")</f>
        <v>Panes y sándwiches</v>
      </c>
      <c r="E14" s="20" t="str">
        <f aca="false">IFERROR(INDEX(98_Catalogo!$D$2:$D$788,MATCH(4,98_Catalogo!$W$2:$W$788,0)),"")</f>
        <v>Sándwich de pollo deshilachado</v>
      </c>
      <c r="F14" s="19" t="str">
        <f aca="false">IFERROR(INDEX(98_Catalogo!$H$2:$H$788,MATCH(4,98_Catalogo!$W$2:$W$788,0)),"")</f>
        <v>Económico</v>
      </c>
      <c r="G14" s="21" t="n">
        <f aca="false">IFERROR(INDEX(98_Catalogo!$K$2:$K$788,MATCH(4,98_Catalogo!$W$2:$W$788,0)),"")</f>
        <v>9</v>
      </c>
      <c r="H14" s="21" t="n">
        <f aca="false">IFERROR(INDEX(98_Catalogo!$L$2:$L$788,MATCH(4,98_Catalogo!$W$2:$W$788,0)),"")</f>
        <v>10</v>
      </c>
    </row>
    <row r="15" customFormat="false" ht="15" hidden="false" customHeight="true" outlineLevel="0" collapsed="false">
      <c r="B15" s="14" t="n">
        <f aca="false">IF(5&lt;=$C$7,5,"")</f>
        <v>5</v>
      </c>
      <c r="C15" s="15" t="str">
        <f aca="false">IFERROR(INDEX(98_Catalogo!$B$2:$B$788,MATCH(5,98_Catalogo!$W$2:$W$788,0)),"")</f>
        <v>01_Desayunos</v>
      </c>
      <c r="D15" s="16" t="str">
        <f aca="false">IFERROR(INDEX(98_Catalogo!$C$2:$C$788,MATCH(5,98_Catalogo!$W$2:$W$788,0)),"")</f>
        <v>Panes y sándwiches</v>
      </c>
      <c r="E15" s="16" t="str">
        <f aca="false">IFERROR(INDEX(98_Catalogo!$D$2:$D$788,MATCH(5,98_Catalogo!$W$2:$W$788,0)),"")</f>
        <v>Pan con pollo al horno</v>
      </c>
      <c r="F15" s="15" t="str">
        <f aca="false">IFERROR(INDEX(98_Catalogo!$H$2:$H$788,MATCH(5,98_Catalogo!$W$2:$W$788,0)),"")</f>
        <v>Económico</v>
      </c>
      <c r="G15" s="17" t="n">
        <f aca="false">IFERROR(INDEX(98_Catalogo!$K$2:$K$788,MATCH(5,98_Catalogo!$W$2:$W$788,0)),"")</f>
        <v>8</v>
      </c>
      <c r="H15" s="17" t="n">
        <f aca="false">IFERROR(INDEX(98_Catalogo!$L$2:$L$788,MATCH(5,98_Catalogo!$W$2:$W$788,0)),"")</f>
        <v>9</v>
      </c>
    </row>
    <row r="16" customFormat="false" ht="15" hidden="false" customHeight="true" outlineLevel="0" collapsed="false">
      <c r="B16" s="18" t="n">
        <f aca="false">IF(6&lt;=$C$7,6,"")</f>
        <v>6</v>
      </c>
      <c r="C16" s="19" t="str">
        <f aca="false">IFERROR(INDEX(98_Catalogo!$B$2:$B$788,MATCH(6,98_Catalogo!$W$2:$W$788,0)),"")</f>
        <v>01_Desayunos</v>
      </c>
      <c r="D16" s="20" t="str">
        <f aca="false">IFERROR(INDEX(98_Catalogo!$C$2:$C$788,MATCH(6,98_Catalogo!$W$2:$W$788,0)),"")</f>
        <v>Panes y sándwiches</v>
      </c>
      <c r="E16" s="20" t="str">
        <f aca="false">IFERROR(INDEX(98_Catalogo!$D$2:$D$788,MATCH(6,98_Catalogo!$W$2:$W$788,0)),"")</f>
        <v>Enrollado de pollo</v>
      </c>
      <c r="F16" s="19" t="str">
        <f aca="false">IFERROR(INDEX(98_Catalogo!$H$2:$H$788,MATCH(6,98_Catalogo!$W$2:$W$788,0)),"")</f>
        <v>Estándar</v>
      </c>
      <c r="G16" s="21" t="n">
        <f aca="false">IFERROR(INDEX(98_Catalogo!$K$2:$K$788,MATCH(6,98_Catalogo!$W$2:$W$788,0)),"")</f>
        <v>12</v>
      </c>
      <c r="H16" s="21" t="n">
        <f aca="false">IFERROR(INDEX(98_Catalogo!$L$2:$L$788,MATCH(6,98_Catalogo!$W$2:$W$788,0)),"")</f>
        <v>13</v>
      </c>
    </row>
    <row r="17" customFormat="false" ht="15" hidden="false" customHeight="true" outlineLevel="0" collapsed="false">
      <c r="B17" s="14" t="n">
        <f aca="false">IF(7&lt;=$C$7,7,"")</f>
        <v>7</v>
      </c>
      <c r="C17" s="15" t="str">
        <f aca="false">IFERROR(INDEX(98_Catalogo!$B$2:$B$788,MATCH(7,98_Catalogo!$W$2:$W$788,0)),"")</f>
        <v>02_Almuerzos</v>
      </c>
      <c r="D17" s="16" t="str">
        <f aca="false">IFERROR(INDEX(98_Catalogo!$C$2:$C$788,MATCH(7,98_Catalogo!$W$2:$W$788,0)),"")</f>
        <v>Sopas</v>
      </c>
      <c r="E17" s="16" t="str">
        <f aca="false">IFERROR(INDEX(98_Catalogo!$D$2:$D$788,MATCH(7,98_Catalogo!$W$2:$W$788,0)),"")</f>
        <v>Sopa de wantán</v>
      </c>
      <c r="F17" s="15" t="str">
        <f aca="false">IFERROR(INDEX(98_Catalogo!$H$2:$H$788,MATCH(7,98_Catalogo!$W$2:$W$788,0)),"")</f>
        <v>Estándar</v>
      </c>
      <c r="G17" s="17" t="n">
        <f aca="false">IFERROR(INDEX(98_Catalogo!$K$2:$K$788,MATCH(7,98_Catalogo!$W$2:$W$788,0)),"")</f>
        <v>13</v>
      </c>
      <c r="H17" s="17" t="n">
        <f aca="false">IFERROR(INDEX(98_Catalogo!$L$2:$L$788,MATCH(7,98_Catalogo!$W$2:$W$788,0)),"")</f>
        <v>14</v>
      </c>
    </row>
    <row r="18" customFormat="false" ht="15" hidden="false" customHeight="true" outlineLevel="0" collapsed="false">
      <c r="B18" s="18" t="n">
        <f aca="false">IF(8&lt;=$C$7,8,"")</f>
        <v>8</v>
      </c>
      <c r="C18" s="19" t="str">
        <f aca="false">IFERROR(INDEX(98_Catalogo!$B$2:$B$788,MATCH(8,98_Catalogo!$W$2:$W$788,0)),"")</f>
        <v>02_Almuerzos</v>
      </c>
      <c r="D18" s="20" t="str">
        <f aca="false">IFERROR(INDEX(98_Catalogo!$C$2:$C$788,MATCH(8,98_Catalogo!$W$2:$W$788,0)),"")</f>
        <v>Segundos criollos</v>
      </c>
      <c r="E18" s="20" t="str">
        <f aca="false">IFERROR(INDEX(98_Catalogo!$D$2:$D$788,MATCH(8,98_Catalogo!$W$2:$W$788,0)),"")</f>
        <v>Milanesa de pollo</v>
      </c>
      <c r="F18" s="19" t="str">
        <f aca="false">IFERROR(INDEX(98_Catalogo!$H$2:$H$788,MATCH(8,98_Catalogo!$W$2:$W$788,0)),"")</f>
        <v>Estándar</v>
      </c>
      <c r="G18" s="21" t="n">
        <f aca="false">IFERROR(INDEX(98_Catalogo!$K$2:$K$788,MATCH(8,98_Catalogo!$W$2:$W$788,0)),"")</f>
        <v>13</v>
      </c>
      <c r="H18" s="21" t="n">
        <f aca="false">IFERROR(INDEX(98_Catalogo!$L$2:$L$788,MATCH(8,98_Catalogo!$W$2:$W$788,0)),"")</f>
        <v>14</v>
      </c>
    </row>
    <row r="19" customFormat="false" ht="15" hidden="false" customHeight="true" outlineLevel="0" collapsed="false">
      <c r="B19" s="14" t="n">
        <f aca="false">IF(9&lt;=$C$7,9,"")</f>
        <v>9</v>
      </c>
      <c r="C19" s="15" t="str">
        <f aca="false">IFERROR(INDEX(98_Catalogo!$B$2:$B$788,MATCH(9,98_Catalogo!$W$2:$W$788,0)),"")</f>
        <v>02_Almuerzos</v>
      </c>
      <c r="D19" s="16" t="str">
        <f aca="false">IFERROR(INDEX(98_Catalogo!$C$2:$C$788,MATCH(9,98_Catalogo!$W$2:$W$788,0)),"")</f>
        <v>Segundos criollos</v>
      </c>
      <c r="E19" s="16" t="str">
        <f aca="false">IFERROR(INDEX(98_Catalogo!$D$2:$D$788,MATCH(9,98_Catalogo!$W$2:$W$788,0)),"")</f>
        <v>Milanesa de carne</v>
      </c>
      <c r="F19" s="15" t="str">
        <f aca="false">IFERROR(INDEX(98_Catalogo!$H$2:$H$788,MATCH(9,98_Catalogo!$W$2:$W$788,0)),"")</f>
        <v>Estándar</v>
      </c>
      <c r="G19" s="17" t="n">
        <f aca="false">IFERROR(INDEX(98_Catalogo!$K$2:$K$788,MATCH(9,98_Catalogo!$W$2:$W$788,0)),"")</f>
        <v>15</v>
      </c>
      <c r="H19" s="17" t="n">
        <f aca="false">IFERROR(INDEX(98_Catalogo!$L$2:$L$788,MATCH(9,98_Catalogo!$W$2:$W$788,0)),"")</f>
        <v>16</v>
      </c>
    </row>
    <row r="20" customFormat="false" ht="15" hidden="false" customHeight="true" outlineLevel="0" collapsed="false">
      <c r="B20" s="18" t="n">
        <f aca="false">IF(10&lt;=$C$7,10,"")</f>
        <v>10</v>
      </c>
      <c r="C20" s="19" t="str">
        <f aca="false">IFERROR(INDEX(98_Catalogo!$B$2:$B$788,MATCH(10,98_Catalogo!$W$2:$W$788,0)),"")</f>
        <v>02_Almuerzos</v>
      </c>
      <c r="D20" s="20" t="str">
        <f aca="false">IFERROR(INDEX(98_Catalogo!$C$2:$C$788,MATCH(10,98_Catalogo!$W$2:$W$788,0)),"")</f>
        <v>Segundos criollos</v>
      </c>
      <c r="E20" s="20" t="str">
        <f aca="false">IFERROR(INDEX(98_Catalogo!$D$2:$D$788,MATCH(10,98_Catalogo!$W$2:$W$788,0)),"")</f>
        <v>Estofado de pollo</v>
      </c>
      <c r="F20" s="19" t="str">
        <f aca="false">IFERROR(INDEX(98_Catalogo!$H$2:$H$788,MATCH(10,98_Catalogo!$W$2:$W$788,0)),"")</f>
        <v>Económico</v>
      </c>
      <c r="G20" s="21" t="n">
        <f aca="false">IFERROR(INDEX(98_Catalogo!$K$2:$K$788,MATCH(10,98_Catalogo!$W$2:$W$788,0)),"")</f>
        <v>11.5</v>
      </c>
      <c r="H20" s="21" t="n">
        <f aca="false">IFERROR(INDEX(98_Catalogo!$L$2:$L$788,MATCH(10,98_Catalogo!$W$2:$W$788,0)),"")</f>
        <v>12.5</v>
      </c>
    </row>
    <row r="21" customFormat="false" ht="15" hidden="false" customHeight="true" outlineLevel="0" collapsed="false">
      <c r="B21" s="14" t="n">
        <f aca="false">IF(11&lt;=$C$7,11,"")</f>
        <v>11</v>
      </c>
      <c r="C21" s="15" t="str">
        <f aca="false">IFERROR(INDEX(98_Catalogo!$B$2:$B$788,MATCH(11,98_Catalogo!$W$2:$W$788,0)),"")</f>
        <v>02_Almuerzos</v>
      </c>
      <c r="D21" s="16" t="str">
        <f aca="false">IFERROR(INDEX(98_Catalogo!$C$2:$C$788,MATCH(11,98_Catalogo!$W$2:$W$788,0)),"")</f>
        <v>Segundos criollos</v>
      </c>
      <c r="E21" s="16" t="str">
        <f aca="false">IFERROR(INDEX(98_Catalogo!$D$2:$D$788,MATCH(11,98_Catalogo!$W$2:$W$788,0)),"")</f>
        <v>Escabeche de pollo</v>
      </c>
      <c r="F21" s="15" t="str">
        <f aca="false">IFERROR(INDEX(98_Catalogo!$H$2:$H$788,MATCH(11,98_Catalogo!$W$2:$W$788,0)),"")</f>
        <v>Estándar</v>
      </c>
      <c r="G21" s="17" t="n">
        <f aca="false">IFERROR(INDEX(98_Catalogo!$K$2:$K$788,MATCH(11,98_Catalogo!$W$2:$W$788,0)),"")</f>
        <v>13</v>
      </c>
      <c r="H21" s="17" t="n">
        <f aca="false">IFERROR(INDEX(98_Catalogo!$L$2:$L$788,MATCH(11,98_Catalogo!$W$2:$W$788,0)),"")</f>
        <v>14</v>
      </c>
    </row>
    <row r="22" customFormat="false" ht="15" hidden="false" customHeight="true" outlineLevel="0" collapsed="false">
      <c r="B22" s="18" t="n">
        <f aca="false">IF(12&lt;=$C$7,12,"")</f>
        <v>12</v>
      </c>
      <c r="C22" s="19" t="str">
        <f aca="false">IFERROR(INDEX(98_Catalogo!$B$2:$B$788,MATCH(12,98_Catalogo!$W$2:$W$788,0)),"")</f>
        <v>02_Almuerzos</v>
      </c>
      <c r="D22" s="20" t="str">
        <f aca="false">IFERROR(INDEX(98_Catalogo!$C$2:$C$788,MATCH(12,98_Catalogo!$W$2:$W$788,0)),"")</f>
        <v>Segundos criollos</v>
      </c>
      <c r="E22" s="20" t="str">
        <f aca="false">IFERROR(INDEX(98_Catalogo!$D$2:$D$788,MATCH(12,98_Catalogo!$W$2:$W$788,0)),"")</f>
        <v>Arroz con pollo</v>
      </c>
      <c r="F22" s="19" t="str">
        <f aca="false">IFERROR(INDEX(98_Catalogo!$H$2:$H$788,MATCH(12,98_Catalogo!$W$2:$W$788,0)),"")</f>
        <v>Estándar</v>
      </c>
      <c r="G22" s="21" t="n">
        <f aca="false">IFERROR(INDEX(98_Catalogo!$K$2:$K$788,MATCH(12,98_Catalogo!$W$2:$W$788,0)),"")</f>
        <v>12</v>
      </c>
      <c r="H22" s="21" t="n">
        <f aca="false">IFERROR(INDEX(98_Catalogo!$L$2:$L$788,MATCH(12,98_Catalogo!$W$2:$W$788,0)),"")</f>
        <v>13</v>
      </c>
    </row>
    <row r="23" customFormat="false" ht="15" hidden="false" customHeight="true" outlineLevel="0" collapsed="false">
      <c r="B23" s="14" t="n">
        <f aca="false">IF(13&lt;=$C$7,13,"")</f>
        <v>13</v>
      </c>
      <c r="C23" s="15" t="str">
        <f aca="false">IFERROR(INDEX(98_Catalogo!$B$2:$B$788,MATCH(13,98_Catalogo!$W$2:$W$788,0)),"")</f>
        <v>02_Almuerzos</v>
      </c>
      <c r="D23" s="16" t="str">
        <f aca="false">IFERROR(INDEX(98_Catalogo!$C$2:$C$788,MATCH(13,98_Catalogo!$W$2:$W$788,0)),"")</f>
        <v>Segundos criollos</v>
      </c>
      <c r="E23" s="16" t="str">
        <f aca="false">IFERROR(INDEX(98_Catalogo!$D$2:$D$788,MATCH(13,98_Catalogo!$W$2:$W$788,0)),"")</f>
        <v>Tallarín rojo</v>
      </c>
      <c r="F23" s="15" t="str">
        <f aca="false">IFERROR(INDEX(98_Catalogo!$H$2:$H$788,MATCH(13,98_Catalogo!$W$2:$W$788,0)),"")</f>
        <v>Económico</v>
      </c>
      <c r="G23" s="17" t="n">
        <f aca="false">IFERROR(INDEX(98_Catalogo!$K$2:$K$788,MATCH(13,98_Catalogo!$W$2:$W$788,0)),"")</f>
        <v>11.5</v>
      </c>
      <c r="H23" s="17" t="n">
        <f aca="false">IFERROR(INDEX(98_Catalogo!$L$2:$L$788,MATCH(13,98_Catalogo!$W$2:$W$788,0)),"")</f>
        <v>12.5</v>
      </c>
    </row>
    <row r="24" customFormat="false" ht="15" hidden="false" customHeight="true" outlineLevel="0" collapsed="false">
      <c r="B24" s="18" t="n">
        <f aca="false">IF(14&lt;=$C$7,14,"")</f>
        <v>14</v>
      </c>
      <c r="C24" s="19" t="str">
        <f aca="false">IFERROR(INDEX(98_Catalogo!$B$2:$B$788,MATCH(14,98_Catalogo!$W$2:$W$788,0)),"")</f>
        <v>02_Almuerzos</v>
      </c>
      <c r="D24" s="20" t="str">
        <f aca="false">IFERROR(INDEX(98_Catalogo!$C$2:$C$788,MATCH(14,98_Catalogo!$W$2:$W$788,0)),"")</f>
        <v>Segundos criollos</v>
      </c>
      <c r="E24" s="20" t="str">
        <f aca="false">IFERROR(INDEX(98_Catalogo!$D$2:$D$788,MATCH(14,98_Catalogo!$W$2:$W$788,0)),"")</f>
        <v>Saltado de pollo</v>
      </c>
      <c r="F24" s="19" t="str">
        <f aca="false">IFERROR(INDEX(98_Catalogo!$H$2:$H$788,MATCH(14,98_Catalogo!$W$2:$W$788,0)),"")</f>
        <v>Estándar</v>
      </c>
      <c r="G24" s="21" t="n">
        <f aca="false">IFERROR(INDEX(98_Catalogo!$K$2:$K$788,MATCH(14,98_Catalogo!$W$2:$W$788,0)),"")</f>
        <v>15</v>
      </c>
      <c r="H24" s="21" t="n">
        <f aca="false">IFERROR(INDEX(98_Catalogo!$L$2:$L$788,MATCH(14,98_Catalogo!$W$2:$W$788,0)),"")</f>
        <v>16</v>
      </c>
    </row>
    <row r="25" customFormat="false" ht="15" hidden="false" customHeight="true" outlineLevel="0" collapsed="false">
      <c r="B25" s="14" t="n">
        <f aca="false">IF(15&lt;=$C$7,15,"")</f>
        <v>15</v>
      </c>
      <c r="C25" s="15" t="str">
        <f aca="false">IFERROR(INDEX(98_Catalogo!$B$2:$B$788,MATCH(15,98_Catalogo!$W$2:$W$788,0)),"")</f>
        <v>02_Almuerzos</v>
      </c>
      <c r="D25" s="16" t="str">
        <f aca="false">IFERROR(INDEX(98_Catalogo!$C$2:$C$788,MATCH(15,98_Catalogo!$W$2:$W$788,0)),"")</f>
        <v>Segundos criollos</v>
      </c>
      <c r="E25" s="16" t="str">
        <f aca="false">IFERROR(INDEX(98_Catalogo!$D$2:$D$788,MATCH(15,98_Catalogo!$W$2:$W$788,0)),"")</f>
        <v>Saltado de carne</v>
      </c>
      <c r="F25" s="15" t="str">
        <f aca="false">IFERROR(INDEX(98_Catalogo!$H$2:$H$788,MATCH(15,98_Catalogo!$W$2:$W$788,0)),"")</f>
        <v>Estándar</v>
      </c>
      <c r="G25" s="17" t="n">
        <f aca="false">IFERROR(INDEX(98_Catalogo!$K$2:$K$788,MATCH(15,98_Catalogo!$W$2:$W$788,0)),"")</f>
        <v>16.5</v>
      </c>
      <c r="H25" s="17" t="n">
        <f aca="false">IFERROR(INDEX(98_Catalogo!$L$2:$L$788,MATCH(15,98_Catalogo!$W$2:$W$788,0)),"")</f>
        <v>17.5</v>
      </c>
    </row>
    <row r="26" customFormat="false" ht="15" hidden="false" customHeight="true" outlineLevel="0" collapsed="false">
      <c r="B26" s="18" t="n">
        <f aca="false">IF(16&lt;=$C$7,16,"")</f>
        <v>16</v>
      </c>
      <c r="C26" s="19" t="str">
        <f aca="false">IFERROR(INDEX(98_Catalogo!$B$2:$B$788,MATCH(16,98_Catalogo!$W$2:$W$788,0)),"")</f>
        <v>02_Almuerzos</v>
      </c>
      <c r="D26" s="20" t="str">
        <f aca="false">IFERROR(INDEX(98_Catalogo!$C$2:$C$788,MATCH(16,98_Catalogo!$W$2:$W$788,0)),"")</f>
        <v>Segundos criollos</v>
      </c>
      <c r="E26" s="20" t="str">
        <f aca="false">IFERROR(INDEX(98_Catalogo!$D$2:$D$788,MATCH(16,98_Catalogo!$W$2:$W$788,0)),"")</f>
        <v>Pollo al horno con papas</v>
      </c>
      <c r="F26" s="19" t="str">
        <f aca="false">IFERROR(INDEX(98_Catalogo!$H$2:$H$788,MATCH(16,98_Catalogo!$W$2:$W$788,0)),"")</f>
        <v>Estándar</v>
      </c>
      <c r="G26" s="21" t="n">
        <f aca="false">IFERROR(INDEX(98_Catalogo!$K$2:$K$788,MATCH(16,98_Catalogo!$W$2:$W$788,0)),"")</f>
        <v>13</v>
      </c>
      <c r="H26" s="21" t="n">
        <f aca="false">IFERROR(INDEX(98_Catalogo!$L$2:$L$788,MATCH(16,98_Catalogo!$W$2:$W$788,0)),"")</f>
        <v>14</v>
      </c>
    </row>
    <row r="27" customFormat="false" ht="15" hidden="false" customHeight="true" outlineLevel="0" collapsed="false">
      <c r="B27" s="14" t="n">
        <f aca="false">IF(17&lt;=$C$7,17,"")</f>
        <v>17</v>
      </c>
      <c r="C27" s="15" t="str">
        <f aca="false">IFERROR(INDEX(98_Catalogo!$B$2:$B$788,MATCH(17,98_Catalogo!$W$2:$W$788,0)),"")</f>
        <v>02_Almuerzos</v>
      </c>
      <c r="D27" s="16" t="str">
        <f aca="false">IFERROR(INDEX(98_Catalogo!$C$2:$C$788,MATCH(17,98_Catalogo!$W$2:$W$788,0)),"")</f>
        <v>Segundos criollos</v>
      </c>
      <c r="E27" s="16" t="str">
        <f aca="false">IFERROR(INDEX(98_Catalogo!$D$2:$D$788,MATCH(17,98_Catalogo!$W$2:$W$788,0)),"")</f>
        <v>Pollo broaster con papas</v>
      </c>
      <c r="F27" s="15" t="str">
        <f aca="false">IFERROR(INDEX(98_Catalogo!$H$2:$H$788,MATCH(17,98_Catalogo!$W$2:$W$788,0)),"")</f>
        <v>Estándar</v>
      </c>
      <c r="G27" s="17" t="n">
        <f aca="false">IFERROR(INDEX(98_Catalogo!$K$2:$K$788,MATCH(17,98_Catalogo!$W$2:$W$788,0)),"")</f>
        <v>13</v>
      </c>
      <c r="H27" s="17" t="n">
        <f aca="false">IFERROR(INDEX(98_Catalogo!$L$2:$L$788,MATCH(17,98_Catalogo!$W$2:$W$788,0)),"")</f>
        <v>14</v>
      </c>
    </row>
    <row r="28" customFormat="false" ht="15" hidden="false" customHeight="true" outlineLevel="0" collapsed="false">
      <c r="B28" s="18" t="n">
        <f aca="false">IF(18&lt;=$C$7,18,"")</f>
        <v>18</v>
      </c>
      <c r="C28" s="19" t="str">
        <f aca="false">IFERROR(INDEX(98_Catalogo!$B$2:$B$788,MATCH(18,98_Catalogo!$W$2:$W$788,0)),"")</f>
        <v>02_Almuerzos</v>
      </c>
      <c r="D28" s="20" t="str">
        <f aca="false">IFERROR(INDEX(98_Catalogo!$C$2:$C$788,MATCH(18,98_Catalogo!$W$2:$W$788,0)),"")</f>
        <v>Chifa</v>
      </c>
      <c r="E28" s="20" t="str">
        <f aca="false">IFERROR(INDEX(98_Catalogo!$D$2:$D$788,MATCH(18,98_Catalogo!$W$2:$W$788,0)),"")</f>
        <v>Arroz chaufa de pollo</v>
      </c>
      <c r="F28" s="19" t="str">
        <f aca="false">IFERROR(INDEX(98_Catalogo!$H$2:$H$788,MATCH(18,98_Catalogo!$W$2:$W$788,0)),"")</f>
        <v>Estándar</v>
      </c>
      <c r="G28" s="21" t="n">
        <f aca="false">IFERROR(INDEX(98_Catalogo!$K$2:$K$788,MATCH(18,98_Catalogo!$W$2:$W$788,0)),"")</f>
        <v>13</v>
      </c>
      <c r="H28" s="21" t="n">
        <f aca="false">IFERROR(INDEX(98_Catalogo!$L$2:$L$788,MATCH(18,98_Catalogo!$W$2:$W$788,0)),"")</f>
        <v>14</v>
      </c>
    </row>
    <row r="29" customFormat="false" ht="15" hidden="false" customHeight="true" outlineLevel="0" collapsed="false">
      <c r="B29" s="14" t="n">
        <f aca="false">IF(19&lt;=$C$7,19,"")</f>
        <v>19</v>
      </c>
      <c r="C29" s="15" t="str">
        <f aca="false">IFERROR(INDEX(98_Catalogo!$B$2:$B$788,MATCH(19,98_Catalogo!$W$2:$W$788,0)),"")</f>
        <v>02_Almuerzos</v>
      </c>
      <c r="D29" s="16" t="str">
        <f aca="false">IFERROR(INDEX(98_Catalogo!$C$2:$C$788,MATCH(19,98_Catalogo!$W$2:$W$788,0)),"")</f>
        <v>Chifa</v>
      </c>
      <c r="E29" s="16" t="str">
        <f aca="false">IFERROR(INDEX(98_Catalogo!$D$2:$D$788,MATCH(19,98_Catalogo!$W$2:$W$788,0)),"")</f>
        <v>Arroz chaufa de carne</v>
      </c>
      <c r="F29" s="15" t="str">
        <f aca="false">IFERROR(INDEX(98_Catalogo!$H$2:$H$788,MATCH(19,98_Catalogo!$W$2:$W$788,0)),"")</f>
        <v>Estándar</v>
      </c>
      <c r="G29" s="17" t="n">
        <f aca="false">IFERROR(INDEX(98_Catalogo!$K$2:$K$788,MATCH(19,98_Catalogo!$W$2:$W$788,0)),"")</f>
        <v>15</v>
      </c>
      <c r="H29" s="17" t="n">
        <f aca="false">IFERROR(INDEX(98_Catalogo!$L$2:$L$788,MATCH(19,98_Catalogo!$W$2:$W$788,0)),"")</f>
        <v>16</v>
      </c>
    </row>
    <row r="30" customFormat="false" ht="15" hidden="false" customHeight="true" outlineLevel="0" collapsed="false">
      <c r="B30" s="18" t="n">
        <f aca="false">IF(20&lt;=$C$7,20,"")</f>
        <v>20</v>
      </c>
      <c r="C30" s="19" t="str">
        <f aca="false">IFERROR(INDEX(98_Catalogo!$B$2:$B$788,MATCH(20,98_Catalogo!$W$2:$W$788,0)),"")</f>
        <v>02_Almuerzos</v>
      </c>
      <c r="D30" s="20" t="str">
        <f aca="false">IFERROR(INDEX(98_Catalogo!$C$2:$C$788,MATCH(20,98_Catalogo!$W$2:$W$788,0)),"")</f>
        <v>Chifa</v>
      </c>
      <c r="E30" s="20" t="str">
        <f aca="false">IFERROR(INDEX(98_Catalogo!$D$2:$D$788,MATCH(20,98_Catalogo!$W$2:$W$788,0)),"")</f>
        <v>Arroz chaufa especial</v>
      </c>
      <c r="F30" s="19" t="str">
        <f aca="false">IFERROR(INDEX(98_Catalogo!$H$2:$H$788,MATCH(20,98_Catalogo!$W$2:$W$788,0)),"")</f>
        <v>Medio</v>
      </c>
      <c r="G30" s="21" t="n">
        <f aca="false">IFERROR(INDEX(98_Catalogo!$K$2:$K$788,MATCH(20,98_Catalogo!$W$2:$W$788,0)),"")</f>
        <v>20</v>
      </c>
      <c r="H30" s="21" t="n">
        <f aca="false">IFERROR(INDEX(98_Catalogo!$L$2:$L$788,MATCH(20,98_Catalogo!$W$2:$W$788,0)),"")</f>
        <v>21</v>
      </c>
    </row>
    <row r="31" customFormat="false" ht="15" hidden="false" customHeight="true" outlineLevel="0" collapsed="false">
      <c r="B31" s="14" t="n">
        <f aca="false">IF(21&lt;=$C$7,21,"")</f>
        <v>21</v>
      </c>
      <c r="C31" s="15" t="str">
        <f aca="false">IFERROR(INDEX(98_Catalogo!$B$2:$B$788,MATCH(21,98_Catalogo!$W$2:$W$788,0)),"")</f>
        <v>02_Almuerzos</v>
      </c>
      <c r="D31" s="16" t="str">
        <f aca="false">IFERROR(INDEX(98_Catalogo!$C$2:$C$788,MATCH(21,98_Catalogo!$W$2:$W$788,0)),"")</f>
        <v>Chifa</v>
      </c>
      <c r="E31" s="16" t="str">
        <f aca="false">IFERROR(INDEX(98_Catalogo!$D$2:$D$788,MATCH(21,98_Catalogo!$W$2:$W$788,0)),"")</f>
        <v>Tallarín saltado de pollo</v>
      </c>
      <c r="F31" s="15" t="str">
        <f aca="false">IFERROR(INDEX(98_Catalogo!$H$2:$H$788,MATCH(21,98_Catalogo!$W$2:$W$788,0)),"")</f>
        <v>Estándar</v>
      </c>
      <c r="G31" s="17" t="n">
        <f aca="false">IFERROR(INDEX(98_Catalogo!$K$2:$K$788,MATCH(21,98_Catalogo!$W$2:$W$788,0)),"")</f>
        <v>14</v>
      </c>
      <c r="H31" s="17" t="n">
        <f aca="false">IFERROR(INDEX(98_Catalogo!$L$2:$L$788,MATCH(21,98_Catalogo!$W$2:$W$788,0)),"")</f>
        <v>15</v>
      </c>
    </row>
    <row r="32" customFormat="false" ht="15" hidden="false" customHeight="true" outlineLevel="0" collapsed="false">
      <c r="B32" s="18" t="n">
        <f aca="false">IF(22&lt;=$C$7,22,"")</f>
        <v>22</v>
      </c>
      <c r="C32" s="19" t="str">
        <f aca="false">IFERROR(INDEX(98_Catalogo!$B$2:$B$788,MATCH(22,98_Catalogo!$W$2:$W$788,0)),"")</f>
        <v>02_Almuerzos</v>
      </c>
      <c r="D32" s="20" t="str">
        <f aca="false">IFERROR(INDEX(98_Catalogo!$C$2:$C$788,MATCH(22,98_Catalogo!$W$2:$W$788,0)),"")</f>
        <v>Chifa</v>
      </c>
      <c r="E32" s="20" t="str">
        <f aca="false">IFERROR(INDEX(98_Catalogo!$D$2:$D$788,MATCH(22,98_Catalogo!$W$2:$W$788,0)),"")</f>
        <v>Aeropuerto</v>
      </c>
      <c r="F32" s="19" t="str">
        <f aca="false">IFERROR(INDEX(98_Catalogo!$H$2:$H$788,MATCH(22,98_Catalogo!$W$2:$W$788,0)),"")</f>
        <v>Estándar</v>
      </c>
      <c r="G32" s="21" t="n">
        <f aca="false">IFERROR(INDEX(98_Catalogo!$K$2:$K$788,MATCH(22,98_Catalogo!$W$2:$W$788,0)),"")</f>
        <v>16</v>
      </c>
      <c r="H32" s="21" t="n">
        <f aca="false">IFERROR(INDEX(98_Catalogo!$L$2:$L$788,MATCH(22,98_Catalogo!$W$2:$W$788,0)),"")</f>
        <v>17</v>
      </c>
    </row>
    <row r="33" customFormat="false" ht="15" hidden="false" customHeight="true" outlineLevel="0" collapsed="false">
      <c r="B33" s="14" t="n">
        <f aca="false">IF(23&lt;=$C$7,23,"")</f>
        <v>23</v>
      </c>
      <c r="C33" s="15" t="str">
        <f aca="false">IFERROR(INDEX(98_Catalogo!$B$2:$B$788,MATCH(23,98_Catalogo!$W$2:$W$788,0)),"")</f>
        <v>02_Almuerzos</v>
      </c>
      <c r="D33" s="16" t="str">
        <f aca="false">IFERROR(INDEX(98_Catalogo!$C$2:$C$788,MATCH(23,98_Catalogo!$W$2:$W$788,0)),"")</f>
        <v>Chifa</v>
      </c>
      <c r="E33" s="16" t="str">
        <f aca="false">IFERROR(INDEX(98_Catalogo!$D$2:$D$788,MATCH(23,98_Catalogo!$W$2:$W$788,0)),"")</f>
        <v>Pollo enrollado</v>
      </c>
      <c r="F33" s="15" t="str">
        <f aca="false">IFERROR(INDEX(98_Catalogo!$H$2:$H$788,MATCH(23,98_Catalogo!$W$2:$W$788,0)),"")</f>
        <v>Medio</v>
      </c>
      <c r="G33" s="17" t="n">
        <f aca="false">IFERROR(INDEX(98_Catalogo!$K$2:$K$788,MATCH(23,98_Catalogo!$W$2:$W$788,0)),"")</f>
        <v>18</v>
      </c>
      <c r="H33" s="17" t="n">
        <f aca="false">IFERROR(INDEX(98_Catalogo!$L$2:$L$788,MATCH(23,98_Catalogo!$W$2:$W$788,0)),"")</f>
        <v>19</v>
      </c>
    </row>
    <row r="34" customFormat="false" ht="15" hidden="false" customHeight="true" outlineLevel="0" collapsed="false">
      <c r="B34" s="18" t="n">
        <f aca="false">IF(24&lt;=$C$7,24,"")</f>
        <v>24</v>
      </c>
      <c r="C34" s="19" t="str">
        <f aca="false">IFERROR(INDEX(98_Catalogo!$B$2:$B$788,MATCH(24,98_Catalogo!$W$2:$W$788,0)),"")</f>
        <v>02_Almuerzos</v>
      </c>
      <c r="D34" s="20" t="str">
        <f aca="false">IFERROR(INDEX(98_Catalogo!$C$2:$C$788,MATCH(24,98_Catalogo!$W$2:$W$788,0)),"")</f>
        <v>Chifa</v>
      </c>
      <c r="E34" s="20" t="str">
        <f aca="false">IFERROR(INDEX(98_Catalogo!$D$2:$D$788,MATCH(24,98_Catalogo!$W$2:$W$788,0)),"")</f>
        <v>Pollo chi jau kay</v>
      </c>
      <c r="F34" s="19" t="str">
        <f aca="false">IFERROR(INDEX(98_Catalogo!$H$2:$H$788,MATCH(24,98_Catalogo!$W$2:$W$788,0)),"")</f>
        <v>Medio</v>
      </c>
      <c r="G34" s="21" t="n">
        <f aca="false">IFERROR(INDEX(98_Catalogo!$K$2:$K$788,MATCH(24,98_Catalogo!$W$2:$W$788,0)),"")</f>
        <v>18</v>
      </c>
      <c r="H34" s="21" t="n">
        <f aca="false">IFERROR(INDEX(98_Catalogo!$L$2:$L$788,MATCH(24,98_Catalogo!$W$2:$W$788,0)),"")</f>
        <v>19</v>
      </c>
    </row>
    <row r="35" customFormat="false" ht="15" hidden="false" customHeight="true" outlineLevel="0" collapsed="false">
      <c r="B35" s="14" t="n">
        <f aca="false">IF(25&lt;=$C$7,25,"")</f>
        <v>25</v>
      </c>
      <c r="C35" s="15" t="str">
        <f aca="false">IFERROR(INDEX(98_Catalogo!$B$2:$B$788,MATCH(25,98_Catalogo!$W$2:$W$788,0)),"")</f>
        <v>02_Almuerzos</v>
      </c>
      <c r="D35" s="16" t="str">
        <f aca="false">IFERROR(INDEX(98_Catalogo!$C$2:$C$788,MATCH(25,98_Catalogo!$W$2:$W$788,0)),"")</f>
        <v>Chifa</v>
      </c>
      <c r="E35" s="16" t="str">
        <f aca="false">IFERROR(INDEX(98_Catalogo!$D$2:$D$788,MATCH(25,98_Catalogo!$W$2:$W$788,0)),"")</f>
        <v>Combinado chifa</v>
      </c>
      <c r="F35" s="15" t="str">
        <f aca="false">IFERROR(INDEX(98_Catalogo!$H$2:$H$788,MATCH(25,98_Catalogo!$W$2:$W$788,0)),"")</f>
        <v>Medio</v>
      </c>
      <c r="G35" s="17" t="n">
        <f aca="false">IFERROR(INDEX(98_Catalogo!$K$2:$K$788,MATCH(25,98_Catalogo!$W$2:$W$788,0)),"")</f>
        <v>20</v>
      </c>
      <c r="H35" s="17" t="n">
        <f aca="false">IFERROR(INDEX(98_Catalogo!$L$2:$L$788,MATCH(25,98_Catalogo!$W$2:$W$788,0)),"")</f>
        <v>21</v>
      </c>
    </row>
    <row r="36" customFormat="false" ht="15" hidden="false" customHeight="true" outlineLevel="0" collapsed="false">
      <c r="B36" s="8" t="s">
        <v>75</v>
      </c>
    </row>
    <row r="38" customFormat="false" ht="18" hidden="false" customHeight="true" outlineLevel="0" collapsed="false">
      <c r="B38" s="7" t="s">
        <v>76</v>
      </c>
    </row>
    <row r="39" customFormat="false" ht="15" hidden="false" customHeight="true" outlineLevel="0" collapsed="false">
      <c r="B39" s="8" t="s">
        <v>77</v>
      </c>
    </row>
    <row r="40" customFormat="false" ht="15" hidden="false" customHeight="true" outlineLevel="0" collapsed="false">
      <c r="B40" s="22" t="s">
        <v>78</v>
      </c>
      <c r="C40" s="23"/>
      <c r="D40" s="23"/>
      <c r="E40" s="23"/>
      <c r="F40" s="23"/>
      <c r="G40" s="23"/>
      <c r="H40" s="23"/>
    </row>
    <row r="41" customFormat="false" ht="24" hidden="false" customHeight="true" outlineLevel="0" collapsed="false">
      <c r="B41" s="24" t="s">
        <v>79</v>
      </c>
      <c r="C41" s="25" t="str">
        <f aca="false">IFERROR(INDEX(98_Catalogo!$D$2:$D$788,MATCH($C$8,98_Catalogo!$W$2:$W$788,0)),"—")</f>
        <v>Sándwich de pollo</v>
      </c>
    </row>
    <row r="42" customFormat="false" ht="15" hidden="false" customHeight="true" outlineLevel="0" collapsed="false">
      <c r="B42" s="24" t="s">
        <v>80</v>
      </c>
      <c r="C42" s="15" t="str">
        <f aca="false">IFERROR(INDEX(98_Catalogo!$B$2:$B$788,MATCH($C$8,98_Catalogo!$W$2:$W$788,0)),"—")</f>
        <v>01_Desayunos</v>
      </c>
    </row>
    <row r="43" customFormat="false" ht="15" hidden="false" customHeight="true" outlineLevel="0" collapsed="false">
      <c r="B43" s="24" t="s">
        <v>81</v>
      </c>
      <c r="C43" s="15" t="str">
        <f aca="false">IFERROR(INDEX(98_Catalogo!$C$2:$C$788,MATCH($C$8,98_Catalogo!$W$2:$W$788,0)),"—")</f>
        <v>Panes y sándwiches</v>
      </c>
    </row>
    <row r="44" customFormat="false" ht="33.75" hidden="false" customHeight="true" outlineLevel="0" collapsed="false">
      <c r="B44" s="24" t="s">
        <v>82</v>
      </c>
      <c r="C44" s="16" t="str">
        <f aca="false">IFERROR(INDEX(98_Catalogo!$E$2:$E$788,MATCH($C$8,98_Catalogo!$W$2:$W$788,0)),"—")</f>
        <v>Pollo deshilachado, vegetales</v>
      </c>
      <c r="D44" s="16"/>
      <c r="E44" s="16"/>
      <c r="F44" s="16"/>
      <c r="G44" s="16"/>
      <c r="H44" s="16"/>
    </row>
    <row r="45" customFormat="false" ht="33.75" hidden="false" customHeight="true" outlineLevel="0" collapsed="false">
      <c r="B45" s="24" t="s">
        <v>83</v>
      </c>
      <c r="C45" s="16" t="str">
        <f aca="false">IFERROR(INDEX(98_Catalogo!$F$2:$F$788,MATCH($C$8,98_Catalogo!$W$2:$W$788,0)),"—")</f>
        <v>pan, pollo deshilachado, lechuga, tomate, mayonesa</v>
      </c>
      <c r="D45" s="16"/>
      <c r="E45" s="16"/>
      <c r="F45" s="16"/>
      <c r="G45" s="16"/>
      <c r="H45" s="16"/>
    </row>
    <row r="46" customFormat="false" ht="15" hidden="false" customHeight="true" outlineLevel="0" collapsed="false">
      <c r="B46" s="24" t="s">
        <v>84</v>
      </c>
      <c r="C46" s="15" t="str">
        <f aca="false">IFERROR(INDEX(98_Catalogo!$G$2:$G$788,MATCH($C$8,98_Catalogo!$W$2:$W$788,0)),"—")</f>
        <v>1 unidad</v>
      </c>
    </row>
    <row r="48" customFormat="false" ht="15" hidden="false" customHeight="true" outlineLevel="0" collapsed="false">
      <c r="B48" s="22" t="s">
        <v>85</v>
      </c>
      <c r="C48" s="23"/>
      <c r="D48" s="23"/>
      <c r="E48" s="23"/>
      <c r="F48" s="23"/>
      <c r="G48" s="23"/>
      <c r="H48" s="23"/>
    </row>
    <row r="49" customFormat="false" ht="15" hidden="false" customHeight="true" outlineLevel="0" collapsed="false">
      <c r="B49" s="24" t="s">
        <v>86</v>
      </c>
      <c r="C49" s="15" t="str">
        <f aca="false">IFERROR(INDEX(98_Catalogo!$H$2:$H$788,MATCH($C$8,98_Catalogo!$W$2:$W$788,0)),"—")</f>
        <v>Económico</v>
      </c>
    </row>
    <row r="50" customFormat="false" ht="15" hidden="false" customHeight="true" outlineLevel="0" collapsed="false">
      <c r="B50" s="24" t="s">
        <v>87</v>
      </c>
      <c r="C50" s="17" t="n">
        <f aca="false">IFERROR(INDEX(98_Catalogo!$I$2:$I$788,MATCH($C$8,98_Catalogo!$W$2:$W$788,0)),"—")</f>
        <v>5</v>
      </c>
    </row>
    <row r="51" customFormat="false" ht="15" hidden="false" customHeight="true" outlineLevel="0" collapsed="false">
      <c r="B51" s="24" t="s">
        <v>88</v>
      </c>
      <c r="C51" s="17" t="n">
        <f aca="false">IFERROR(INDEX(98_Catalogo!$J$2:$J$788,MATCH($C$8,98_Catalogo!$W$2:$W$788,0)),"—")</f>
        <v>10</v>
      </c>
    </row>
    <row r="52" customFormat="false" ht="15" hidden="false" customHeight="true" outlineLevel="0" collapsed="false">
      <c r="B52" s="24" t="s">
        <v>89</v>
      </c>
      <c r="C52" s="26" t="n">
        <f aca="false">IFERROR(INDEX(98_Catalogo!$K$2:$K$788,MATCH($C$8,98_Catalogo!$W$2:$W$788,0)),"—")</f>
        <v>7.5</v>
      </c>
    </row>
    <row r="53" customFormat="false" ht="15" hidden="false" customHeight="true" outlineLevel="0" collapsed="false">
      <c r="B53" s="24" t="s">
        <v>90</v>
      </c>
      <c r="C53" s="26" t="n">
        <f aca="false">IFERROR(INDEX(98_Catalogo!$L$2:$L$788,MATCH($C$8,98_Catalogo!$W$2:$W$788,0)),"—")</f>
        <v>8.5</v>
      </c>
    </row>
    <row r="54" customFormat="false" ht="15" hidden="false" customHeight="true" outlineLevel="0" collapsed="false">
      <c r="B54" s="24" t="s">
        <v>91</v>
      </c>
      <c r="C54" s="17" t="n">
        <f aca="false">IFERROR(INDEX(98_Catalogo!$M$2:$M$788,MATCH($C$8,98_Catalogo!$W$2:$W$788,0)),"—")</f>
        <v>0.53</v>
      </c>
    </row>
    <row r="55" customFormat="false" ht="15" hidden="false" customHeight="true" outlineLevel="0" collapsed="false">
      <c r="B55" s="24" t="s">
        <v>92</v>
      </c>
      <c r="C55" s="17" t="n">
        <f aca="false">IFERROR(INDEX(98_Catalogo!$N$2:$N$788,MATCH($C$8,98_Catalogo!$W$2:$W$788,0)),"—")</f>
        <v>6.97</v>
      </c>
    </row>
    <row r="57" customFormat="false" ht="15" hidden="false" customHeight="true" outlineLevel="0" collapsed="false">
      <c r="B57" s="22" t="s">
        <v>93</v>
      </c>
      <c r="C57" s="23"/>
      <c r="D57" s="23"/>
      <c r="E57" s="23"/>
      <c r="F57" s="23"/>
      <c r="G57" s="23"/>
      <c r="H57" s="23"/>
    </row>
    <row r="58" customFormat="false" ht="15" hidden="false" customHeight="true" outlineLevel="0" collapsed="false">
      <c r="B58" s="24" t="s">
        <v>94</v>
      </c>
      <c r="C58" s="15" t="str">
        <f aca="false">IFERROR(INDEX(98_Catalogo!$O$2:$O$788,MATCH($C$8,98_Catalogo!$W$2:$W$788,0)),"—")</f>
        <v>06:00-10:00</v>
      </c>
    </row>
    <row r="59" customFormat="false" ht="15" hidden="false" customHeight="true" outlineLevel="0" collapsed="false">
      <c r="B59" s="24" t="s">
        <v>95</v>
      </c>
      <c r="C59" s="15" t="n">
        <f aca="false">IFERROR(INDEX(98_Catalogo!$P$2:$P$788,MATCH($C$8,98_Catalogo!$W$2:$W$788,0)),"—")</f>
        <v>5</v>
      </c>
    </row>
    <row r="60" customFormat="false" ht="15" hidden="false" customHeight="true" outlineLevel="0" collapsed="false">
      <c r="B60" s="24" t="s">
        <v>96</v>
      </c>
      <c r="C60" s="15" t="str">
        <f aca="false">IFERROR(INDEX(98_Catalogo!$Q$2:$Q$788,MATCH($C$8,98_Catalogo!$W$2:$W$788,0)),"—")</f>
        <v>Alto</v>
      </c>
    </row>
    <row r="61" customFormat="false" ht="15" hidden="false" customHeight="true" outlineLevel="0" collapsed="false">
      <c r="B61" s="24" t="s">
        <v>97</v>
      </c>
      <c r="C61" s="15" t="str">
        <f aca="false">IFERROR(INDEX(98_Catalogo!$R$2:$R$788,MATCH($C$8,98_Catalogo!$W$2:$W$788,0)),"—")</f>
        <v>Todo el año</v>
      </c>
    </row>
    <row r="62" customFormat="false" ht="15" hidden="false" customHeight="true" outlineLevel="0" collapsed="false">
      <c r="B62" s="24" t="s">
        <v>98</v>
      </c>
      <c r="C62" s="15" t="str">
        <f aca="false">IFERROR(INDEX(98_Catalogo!$S$2:$S$788,MATCH($C$8,98_Catalogo!$W$2:$W$788,0)),"—")</f>
        <v>Cafetería</v>
      </c>
    </row>
    <row r="63" customFormat="false" ht="33.75" hidden="false" customHeight="true" outlineLevel="0" collapsed="false">
      <c r="B63" s="24" t="s">
        <v>99</v>
      </c>
      <c r="C63" s="16" t="str">
        <f aca="false">IFERROR(INDEX(98_Catalogo!$T$2:$T$788,MATCH($C$8,98_Catalogo!$W$2:$W$788,0)),"—")</f>
        <v/>
      </c>
      <c r="D63" s="16"/>
      <c r="E63" s="16"/>
      <c r="F63" s="16"/>
      <c r="G63" s="16"/>
      <c r="H63" s="16"/>
    </row>
    <row r="65" customFormat="false" ht="15" hidden="false" customHeight="true" outlineLevel="0" collapsed="false">
      <c r="B65" s="22" t="s">
        <v>100</v>
      </c>
      <c r="C65" s="23"/>
      <c r="D65" s="23"/>
      <c r="E65" s="23"/>
      <c r="F65" s="23"/>
      <c r="G65" s="23"/>
      <c r="H65" s="23"/>
    </row>
    <row r="66" customFormat="false" ht="15" hidden="false" customHeight="true" outlineLevel="0" collapsed="false">
      <c r="B66" s="24" t="s">
        <v>101</v>
      </c>
      <c r="C66" s="15" t="str">
        <f aca="false">IFERROR(INDEX(98_Catalogo!$B$2:$B$788,MATCH($C$8,98_Catalogo!$W$2:$W$788,0)),"—")</f>
        <v>01_Desayunos</v>
      </c>
    </row>
    <row r="67" customFormat="false" ht="15" hidden="false" customHeight="true" outlineLevel="0" collapsed="false">
      <c r="B67" s="24" t="s">
        <v>102</v>
      </c>
      <c r="C67" s="15" t="n">
        <f aca="false">IFERROR(INDEX(98_Catalogo!$U$2:$U$788,MATCH($C$8,98_Catalogo!$W$2:$W$788,0)),"—")</f>
        <v>18</v>
      </c>
    </row>
    <row r="68" customFormat="false" ht="33.75" hidden="false" customHeight="true" outlineLevel="0" collapsed="false">
      <c r="B68" s="24" t="s">
        <v>103</v>
      </c>
      <c r="C68" s="16" t="s">
        <v>104</v>
      </c>
      <c r="D68" s="16"/>
      <c r="E68" s="16"/>
      <c r="F68" s="16"/>
      <c r="G68" s="16"/>
      <c r="H68" s="16"/>
    </row>
  </sheetData>
  <mergeCells count="4">
    <mergeCell ref="C44:H44"/>
    <mergeCell ref="C45:H45"/>
    <mergeCell ref="C63:H63"/>
    <mergeCell ref="C68:H68"/>
  </mergeCells>
  <dataValidations count="1">
    <dataValidation allowBlank="true" errorStyle="stop" operator="between" showDropDown="false" showErrorMessage="false" showInputMessage="false" sqref="C6" type="list">
      <formula1>"Todas las listas,01_Desayunos,02_Almuerzos,03_Cenas,04_Especiales,05_Jugos_Aperitivos,06_Jugos_Desayuno_Rapido,07_Licorerias"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3"/>
    <col collapsed="false" customWidth="true" hidden="false" outlineLevel="0" max="8" min="8" style="0" width="12"/>
  </cols>
  <sheetData>
    <row r="2" customFormat="false" ht="18.55" hidden="false" customHeight="false" outlineLevel="0" collapsed="false">
      <c r="B2" s="27" t="s">
        <v>105</v>
      </c>
    </row>
    <row r="3" customFormat="false" ht="15" hidden="false" customHeight="false" outlineLevel="0" collapsed="false">
      <c r="B3" s="28" t="s">
        <v>106</v>
      </c>
    </row>
    <row r="4" customFormat="false" ht="15" hidden="false" customHeight="false" outlineLevel="0" collapsed="false">
      <c r="B4" s="29" t="s">
        <v>107</v>
      </c>
    </row>
    <row r="5" customFormat="false" ht="15" hidden="false" customHeight="false" outlineLevel="0" collapsed="false">
      <c r="B5" s="30" t="s">
        <v>108</v>
      </c>
      <c r="C5" s="31" t="s">
        <v>109</v>
      </c>
      <c r="D5" s="28" t="s">
        <v>110</v>
      </c>
    </row>
    <row r="6" customFormat="false" ht="15" hidden="false" customHeight="false" outlineLevel="0" collapsed="false">
      <c r="B6" s="32" t="s">
        <v>111</v>
      </c>
      <c r="C6" s="33" t="n">
        <f aca="false">IFERROR(IF(INDEX(08_Restaurantes!$U$3:$U$391,MATCH($C$5,08_Restaurantes!$B$3:$B$391,0))="","",INDEX(08_Restaurantes!$U$3:$U$391,MATCH($C$5,08_Restaurantes!$B$3:$B$391,0))),"")</f>
        <v>-15.8405096</v>
      </c>
    </row>
    <row r="7" customFormat="false" ht="15" hidden="false" customHeight="false" outlineLevel="0" collapsed="false">
      <c r="B7" s="32" t="s">
        <v>112</v>
      </c>
      <c r="C7" s="33" t="n">
        <f aca="false">IFERROR(IF(INDEX(08_Restaurantes!$V$3:$V$391,MATCH($C$5,08_Restaurantes!$B$3:$B$391,0))="","",INDEX(08_Restaurantes!$V$3:$V$391,MATCH($C$5,08_Restaurantes!$B$3:$B$391,0))),"")</f>
        <v>-70.0275175</v>
      </c>
    </row>
    <row r="8" customFormat="false" ht="15" hidden="false" customHeight="false" outlineLevel="0" collapsed="false">
      <c r="B8" s="32" t="s">
        <v>113</v>
      </c>
      <c r="C8" s="34" t="str">
        <f aca="false">IFERROR(INDEX(08_Restaurantes!$W$3:$W$391,MATCH($C$5,08_Restaurantes!$B$3:$B$391,0)),"")</f>
        <v>Exacta — OpenStreetMap</v>
      </c>
    </row>
    <row r="9" customFormat="false" ht="15" hidden="false" customHeight="false" outlineLevel="0" collapsed="false">
      <c r="B9" s="32" t="s">
        <v>114</v>
      </c>
      <c r="C9" s="35" t="str">
        <f aca="false">IF(ISNUMBER(C6),HYPERLINK("https://www.google.com/maps/search/?api=1&amp;query="&amp;C6&amp;","&amp;C7,"Ver en mapa"),"")</f>
        <v>Ver en mapa</v>
      </c>
    </row>
    <row r="10" customFormat="false" ht="15" hidden="false" customHeight="false" outlineLevel="0" collapsed="false">
      <c r="B10" s="36" t="str">
        <f aca="false">IF(ISNUMBER(C6),"","⚠ Este local todavía no tiene coordenadas: complétalas en la hoja 08_Restaurantes.")</f>
        <v/>
      </c>
    </row>
    <row r="12" customFormat="false" ht="15" hidden="false" customHeight="false" outlineLevel="0" collapsed="false">
      <c r="B12" s="29" t="s">
        <v>115</v>
      </c>
      <c r="D12" s="28" t="s">
        <v>116</v>
      </c>
    </row>
    <row r="13" customFormat="false" ht="15" hidden="false" customHeight="false" outlineLevel="0" collapsed="false">
      <c r="B13" s="30" t="s">
        <v>117</v>
      </c>
      <c r="C13" s="37" t="n">
        <v>-15.8334622</v>
      </c>
      <c r="D13" s="28" t="s">
        <v>118</v>
      </c>
    </row>
    <row r="14" customFormat="false" ht="15" hidden="false" customHeight="false" outlineLevel="0" collapsed="false">
      <c r="B14" s="30" t="s">
        <v>119</v>
      </c>
      <c r="C14" s="37" t="n">
        <v>-70.0234387</v>
      </c>
    </row>
    <row r="15" customFormat="false" ht="15" hidden="false" customHeight="false" outlineLevel="0" collapsed="false">
      <c r="B15" s="32" t="s">
        <v>120</v>
      </c>
      <c r="C15" s="38" t="n">
        <f aca="false">IF(AND(ISNUMBER(C6),ISNUMBER(C7),ISNUMBER(C13),ISNUMBER(C14)),6371*2*ASIN(SQRT(SIN(RADIANS(C13-C6)/2)^2+COS(RADIANS(C6))*COS(RADIANS(C13))*SIN(RADIANS(C14-C7)/2)^2)),"")</f>
        <v>0.896919552438331</v>
      </c>
    </row>
    <row r="16" customFormat="false" ht="15" hidden="false" customHeight="false" outlineLevel="0" collapsed="false">
      <c r="B16" s="32" t="s">
        <v>121</v>
      </c>
      <c r="C16" s="38" t="n">
        <f aca="false">IF(ISNUMBER(C15),C15*$C$24,"")</f>
        <v>1.16599541816983</v>
      </c>
    </row>
    <row r="17" customFormat="false" ht="15" hidden="false" customHeight="false" outlineLevel="0" collapsed="false">
      <c r="B17" s="32" t="s">
        <v>122</v>
      </c>
      <c r="C17" s="39" t="n">
        <f aca="false">IF(ISNUMBER(C16),ROUND(C16/$C$25*60+$C$26,0),"")</f>
        <v>9</v>
      </c>
    </row>
    <row r="18" customFormat="false" ht="15" hidden="false" customHeight="false" outlineLevel="0" collapsed="false">
      <c r="B18" s="30" t="s">
        <v>123</v>
      </c>
      <c r="C18" s="40" t="n">
        <f aca="false">IF(ISNUMBER(C16),MIN($C$30,$C$27+ROUNDUP(MAX(0,C16-$C$28),0)*$C$29),"")</f>
        <v>3</v>
      </c>
    </row>
    <row r="19" customFormat="false" ht="15" hidden="false" customHeight="false" outlineLevel="0" collapsed="false">
      <c r="B19" s="32" t="s">
        <v>124</v>
      </c>
      <c r="C19" s="35" t="str">
        <f aca="false">IF(AND(ISNUMBER(C6),ISNUMBER(C13)),HYPERLINK("https://www.google.com/maps/dir/?api=1&amp;origin="&amp;C6&amp;","&amp;C7&amp;"&amp;destination="&amp;C13&amp;","&amp;C14&amp;"&amp;travelmode=driving","Ver ruta"),"")</f>
        <v>Ver ruta</v>
      </c>
    </row>
    <row r="22" customFormat="false" ht="15" hidden="false" customHeight="false" outlineLevel="0" collapsed="false">
      <c r="B22" s="29" t="s">
        <v>125</v>
      </c>
    </row>
    <row r="24" customFormat="false" ht="15" hidden="false" customHeight="false" outlineLevel="0" collapsed="false">
      <c r="B24" s="32" t="s">
        <v>126</v>
      </c>
      <c r="C24" s="41" t="n">
        <v>1.3</v>
      </c>
    </row>
    <row r="25" customFormat="false" ht="15" hidden="false" customHeight="false" outlineLevel="0" collapsed="false">
      <c r="B25" s="32" t="s">
        <v>127</v>
      </c>
      <c r="C25" s="42" t="n">
        <v>20</v>
      </c>
    </row>
    <row r="26" customFormat="false" ht="15" hidden="false" customHeight="false" outlineLevel="0" collapsed="false">
      <c r="B26" s="32" t="s">
        <v>128</v>
      </c>
      <c r="C26" s="42" t="n">
        <v>6</v>
      </c>
    </row>
    <row r="27" customFormat="false" ht="15" hidden="false" customHeight="false" outlineLevel="0" collapsed="false">
      <c r="B27" s="32" t="s">
        <v>129</v>
      </c>
      <c r="C27" s="43" t="n">
        <v>3</v>
      </c>
    </row>
    <row r="28" customFormat="false" ht="15" hidden="false" customHeight="false" outlineLevel="0" collapsed="false">
      <c r="B28" s="32" t="s">
        <v>130</v>
      </c>
      <c r="C28" s="44" t="n">
        <v>1.5</v>
      </c>
    </row>
    <row r="29" customFormat="false" ht="15" hidden="false" customHeight="false" outlineLevel="0" collapsed="false">
      <c r="B29" s="32" t="s">
        <v>131</v>
      </c>
      <c r="C29" s="43" t="n">
        <v>1</v>
      </c>
    </row>
    <row r="30" customFormat="false" ht="15" hidden="false" customHeight="false" outlineLevel="0" collapsed="false">
      <c r="B30" s="32" t="s">
        <v>132</v>
      </c>
      <c r="C30" s="43" t="n">
        <v>8</v>
      </c>
    </row>
    <row r="31" customFormat="false" ht="15" hidden="false" customHeight="false" outlineLevel="0" collapsed="false">
      <c r="B31" s="28" t="s">
        <v>133</v>
      </c>
    </row>
    <row r="34" customFormat="false" ht="15" hidden="false" customHeight="false" outlineLevel="0" collapsed="false">
      <c r="B34" s="29" t="s">
        <v>134</v>
      </c>
    </row>
    <row r="35" customFormat="false" ht="27.75" hidden="false" customHeight="true" outlineLevel="0" collapsed="false">
      <c r="B35" s="13" t="s">
        <v>68</v>
      </c>
      <c r="C35" s="13" t="s">
        <v>135</v>
      </c>
      <c r="D35" s="13" t="s">
        <v>136</v>
      </c>
      <c r="E35" s="13" t="s">
        <v>137</v>
      </c>
      <c r="F35" s="13" t="s">
        <v>138</v>
      </c>
      <c r="G35" s="13" t="s">
        <v>139</v>
      </c>
      <c r="H35" s="13" t="s">
        <v>140</v>
      </c>
    </row>
    <row r="36" customFormat="false" ht="15" hidden="false" customHeight="false" outlineLevel="0" collapsed="false">
      <c r="B36" s="14" t="str">
        <f aca="false">IF(ISNUMBER(SMALL(09C_Registro_Repartidores!$AE$7:$AE$306,1)),1,"")</f>
        <v/>
      </c>
      <c r="C36" s="45" t="str">
        <f aca="false">IFERROR(INDEX(09C_Registro_Repartidores!$D$7:$D$306,MATCH(SMALL(09C_Registro_Repartidores!$AE$7:$AE$306,1),09C_Registro_Repartidores!$AE$7:$AE$306,0))&amp;"","")</f>
        <v/>
      </c>
      <c r="D36" s="45" t="str">
        <f aca="false">IFERROR(INDEX(09C_Registro_Repartidores!$F$7:$F$306,MATCH(SMALL(09C_Registro_Repartidores!$AE$7:$AE$306,1),09C_Registro_Repartidores!$AE$7:$AE$306,0))&amp;"","")</f>
        <v/>
      </c>
      <c r="E36" s="45" t="str">
        <f aca="false">IFERROR(INDEX(09C_Registro_Repartidores!$P$7:$P$306,MATCH(SMALL(09C_Registro_Repartidores!$AE$7:$AE$306,1),09C_Registro_Repartidores!$AE$7:$AE$306,0))&amp;"","")</f>
        <v/>
      </c>
      <c r="F36" s="45" t="str">
        <f aca="false">IFERROR(INDEX(09C_Registro_Repartidores!$AC$7:$AC$306,MATCH(SMALL(09C_Registro_Repartidores!$AE$7:$AE$306,1),09C_Registro_Repartidores!$AE$7:$AE$306,0))&amp;"","")</f>
        <v/>
      </c>
      <c r="G36" s="35" t="str">
        <f aca="false">IFERROR(INDEX(09C_Registro_Repartidores!$O$7:$O$306,MATCH(SMALL(09C_Registro_Repartidores!$AE$7:$AE$306,1),09C_Registro_Repartidores!$AE$7:$AE$306,0)),"")</f>
        <v/>
      </c>
      <c r="H36" s="46" t="str">
        <f aca="false">IFERROR(ROUND(SMALL(09C_Registro_Repartidores!$AE$7:$AE$306,1),2),"")</f>
        <v/>
      </c>
    </row>
    <row r="37" customFormat="false" ht="15" hidden="false" customHeight="false" outlineLevel="0" collapsed="false">
      <c r="B37" s="18" t="str">
        <f aca="false">IF(ISNUMBER(SMALL(09C_Registro_Repartidores!$AE$7:$AE$306,2)),2,"")</f>
        <v/>
      </c>
      <c r="C37" s="47" t="str">
        <f aca="false">IFERROR(INDEX(09C_Registro_Repartidores!$D$7:$D$306,MATCH(SMALL(09C_Registro_Repartidores!$AE$7:$AE$306,2),09C_Registro_Repartidores!$AE$7:$AE$306,0))&amp;"","")</f>
        <v/>
      </c>
      <c r="D37" s="47" t="str">
        <f aca="false">IFERROR(INDEX(09C_Registro_Repartidores!$F$7:$F$306,MATCH(SMALL(09C_Registro_Repartidores!$AE$7:$AE$306,2),09C_Registro_Repartidores!$AE$7:$AE$306,0))&amp;"","")</f>
        <v/>
      </c>
      <c r="E37" s="47" t="str">
        <f aca="false">IFERROR(INDEX(09C_Registro_Repartidores!$P$7:$P$306,MATCH(SMALL(09C_Registro_Repartidores!$AE$7:$AE$306,2),09C_Registro_Repartidores!$AE$7:$AE$306,0))&amp;"","")</f>
        <v/>
      </c>
      <c r="F37" s="47" t="str">
        <f aca="false">IFERROR(INDEX(09C_Registro_Repartidores!$AC$7:$AC$306,MATCH(SMALL(09C_Registro_Repartidores!$AE$7:$AE$306,2),09C_Registro_Repartidores!$AE$7:$AE$306,0))&amp;"","")</f>
        <v/>
      </c>
      <c r="G37" s="48" t="str">
        <f aca="false">IFERROR(INDEX(09C_Registro_Repartidores!$O$7:$O$306,MATCH(SMALL(09C_Registro_Repartidores!$AE$7:$AE$306,2),09C_Registro_Repartidores!$AE$7:$AE$306,0)),"")</f>
        <v/>
      </c>
      <c r="H37" s="49" t="str">
        <f aca="false">IFERROR(ROUND(SMALL(09C_Registro_Repartidores!$AE$7:$AE$306,2),2),"")</f>
        <v/>
      </c>
    </row>
    <row r="38" customFormat="false" ht="15" hidden="false" customHeight="false" outlineLevel="0" collapsed="false">
      <c r="B38" s="14" t="str">
        <f aca="false">IF(ISNUMBER(SMALL(09C_Registro_Repartidores!$AE$7:$AE$306,3)),3,"")</f>
        <v/>
      </c>
      <c r="C38" s="45" t="str">
        <f aca="false">IFERROR(INDEX(09C_Registro_Repartidores!$D$7:$D$306,MATCH(SMALL(09C_Registro_Repartidores!$AE$7:$AE$306,3),09C_Registro_Repartidores!$AE$7:$AE$306,0))&amp;"","")</f>
        <v/>
      </c>
      <c r="D38" s="45" t="str">
        <f aca="false">IFERROR(INDEX(09C_Registro_Repartidores!$F$7:$F$306,MATCH(SMALL(09C_Registro_Repartidores!$AE$7:$AE$306,3),09C_Registro_Repartidores!$AE$7:$AE$306,0))&amp;"","")</f>
        <v/>
      </c>
      <c r="E38" s="45" t="str">
        <f aca="false">IFERROR(INDEX(09C_Registro_Repartidores!$P$7:$P$306,MATCH(SMALL(09C_Registro_Repartidores!$AE$7:$AE$306,3),09C_Registro_Repartidores!$AE$7:$AE$306,0))&amp;"","")</f>
        <v/>
      </c>
      <c r="F38" s="45" t="str">
        <f aca="false">IFERROR(INDEX(09C_Registro_Repartidores!$AC$7:$AC$306,MATCH(SMALL(09C_Registro_Repartidores!$AE$7:$AE$306,3),09C_Registro_Repartidores!$AE$7:$AE$306,0))&amp;"","")</f>
        <v/>
      </c>
      <c r="G38" s="35" t="str">
        <f aca="false">IFERROR(INDEX(09C_Registro_Repartidores!$O$7:$O$306,MATCH(SMALL(09C_Registro_Repartidores!$AE$7:$AE$306,3),09C_Registro_Repartidores!$AE$7:$AE$306,0)),"")</f>
        <v/>
      </c>
      <c r="H38" s="46" t="str">
        <f aca="false">IFERROR(ROUND(SMALL(09C_Registro_Repartidores!$AE$7:$AE$306,3),2),"")</f>
        <v/>
      </c>
    </row>
    <row r="39" customFormat="false" ht="15" hidden="false" customHeight="false" outlineLevel="0" collapsed="false">
      <c r="B39" s="18" t="str">
        <f aca="false">IF(ISNUMBER(SMALL(09C_Registro_Repartidores!$AE$7:$AE$306,4)),4,"")</f>
        <v/>
      </c>
      <c r="C39" s="47" t="str">
        <f aca="false">IFERROR(INDEX(09C_Registro_Repartidores!$D$7:$D$306,MATCH(SMALL(09C_Registro_Repartidores!$AE$7:$AE$306,4),09C_Registro_Repartidores!$AE$7:$AE$306,0))&amp;"","")</f>
        <v/>
      </c>
      <c r="D39" s="47" t="str">
        <f aca="false">IFERROR(INDEX(09C_Registro_Repartidores!$F$7:$F$306,MATCH(SMALL(09C_Registro_Repartidores!$AE$7:$AE$306,4),09C_Registro_Repartidores!$AE$7:$AE$306,0))&amp;"","")</f>
        <v/>
      </c>
      <c r="E39" s="47" t="str">
        <f aca="false">IFERROR(INDEX(09C_Registro_Repartidores!$P$7:$P$306,MATCH(SMALL(09C_Registro_Repartidores!$AE$7:$AE$306,4),09C_Registro_Repartidores!$AE$7:$AE$306,0))&amp;"","")</f>
        <v/>
      </c>
      <c r="F39" s="47" t="str">
        <f aca="false">IFERROR(INDEX(09C_Registro_Repartidores!$AC$7:$AC$306,MATCH(SMALL(09C_Registro_Repartidores!$AE$7:$AE$306,4),09C_Registro_Repartidores!$AE$7:$AE$306,0))&amp;"","")</f>
        <v/>
      </c>
      <c r="G39" s="48" t="str">
        <f aca="false">IFERROR(INDEX(09C_Registro_Repartidores!$O$7:$O$306,MATCH(SMALL(09C_Registro_Repartidores!$AE$7:$AE$306,4),09C_Registro_Repartidores!$AE$7:$AE$306,0)),"")</f>
        <v/>
      </c>
      <c r="H39" s="49" t="str">
        <f aca="false">IFERROR(ROUND(SMALL(09C_Registro_Repartidores!$AE$7:$AE$306,4),2),"")</f>
        <v/>
      </c>
    </row>
    <row r="40" customFormat="false" ht="15" hidden="false" customHeight="false" outlineLevel="0" collapsed="false">
      <c r="B40" s="14" t="str">
        <f aca="false">IF(ISNUMBER(SMALL(09C_Registro_Repartidores!$AE$7:$AE$306,5)),5,"")</f>
        <v/>
      </c>
      <c r="C40" s="45" t="str">
        <f aca="false">IFERROR(INDEX(09C_Registro_Repartidores!$D$7:$D$306,MATCH(SMALL(09C_Registro_Repartidores!$AE$7:$AE$306,5),09C_Registro_Repartidores!$AE$7:$AE$306,0))&amp;"","")</f>
        <v/>
      </c>
      <c r="D40" s="45" t="str">
        <f aca="false">IFERROR(INDEX(09C_Registro_Repartidores!$F$7:$F$306,MATCH(SMALL(09C_Registro_Repartidores!$AE$7:$AE$306,5),09C_Registro_Repartidores!$AE$7:$AE$306,0))&amp;"","")</f>
        <v/>
      </c>
      <c r="E40" s="45" t="str">
        <f aca="false">IFERROR(INDEX(09C_Registro_Repartidores!$P$7:$P$306,MATCH(SMALL(09C_Registro_Repartidores!$AE$7:$AE$306,5),09C_Registro_Repartidores!$AE$7:$AE$306,0))&amp;"","")</f>
        <v/>
      </c>
      <c r="F40" s="45" t="str">
        <f aca="false">IFERROR(INDEX(09C_Registro_Repartidores!$AC$7:$AC$306,MATCH(SMALL(09C_Registro_Repartidores!$AE$7:$AE$306,5),09C_Registro_Repartidores!$AE$7:$AE$306,0))&amp;"","")</f>
        <v/>
      </c>
      <c r="G40" s="35" t="str">
        <f aca="false">IFERROR(INDEX(09C_Registro_Repartidores!$O$7:$O$306,MATCH(SMALL(09C_Registro_Repartidores!$AE$7:$AE$306,5),09C_Registro_Repartidores!$AE$7:$AE$306,0)),"")</f>
        <v/>
      </c>
      <c r="H40" s="46" t="str">
        <f aca="false">IFERROR(ROUND(SMALL(09C_Registro_Repartidores!$AE$7:$AE$306,5),2),"")</f>
        <v/>
      </c>
    </row>
    <row r="41" customFormat="false" ht="15" hidden="false" customHeight="false" outlineLevel="0" collapsed="false">
      <c r="B41" s="18" t="str">
        <f aca="false">IF(ISNUMBER(SMALL(09C_Registro_Repartidores!$AE$7:$AE$306,6)),6,"")</f>
        <v/>
      </c>
      <c r="C41" s="47" t="str">
        <f aca="false">IFERROR(INDEX(09C_Registro_Repartidores!$D$7:$D$306,MATCH(SMALL(09C_Registro_Repartidores!$AE$7:$AE$306,6),09C_Registro_Repartidores!$AE$7:$AE$306,0))&amp;"","")</f>
        <v/>
      </c>
      <c r="D41" s="47" t="str">
        <f aca="false">IFERROR(INDEX(09C_Registro_Repartidores!$F$7:$F$306,MATCH(SMALL(09C_Registro_Repartidores!$AE$7:$AE$306,6),09C_Registro_Repartidores!$AE$7:$AE$306,0))&amp;"","")</f>
        <v/>
      </c>
      <c r="E41" s="47" t="str">
        <f aca="false">IFERROR(INDEX(09C_Registro_Repartidores!$P$7:$P$306,MATCH(SMALL(09C_Registro_Repartidores!$AE$7:$AE$306,6),09C_Registro_Repartidores!$AE$7:$AE$306,0))&amp;"","")</f>
        <v/>
      </c>
      <c r="F41" s="47" t="str">
        <f aca="false">IFERROR(INDEX(09C_Registro_Repartidores!$AC$7:$AC$306,MATCH(SMALL(09C_Registro_Repartidores!$AE$7:$AE$306,6),09C_Registro_Repartidores!$AE$7:$AE$306,0))&amp;"","")</f>
        <v/>
      </c>
      <c r="G41" s="48" t="str">
        <f aca="false">IFERROR(INDEX(09C_Registro_Repartidores!$O$7:$O$306,MATCH(SMALL(09C_Registro_Repartidores!$AE$7:$AE$306,6),09C_Registro_Repartidores!$AE$7:$AE$306,0)),"")</f>
        <v/>
      </c>
      <c r="H41" s="49" t="str">
        <f aca="false">IFERROR(ROUND(SMALL(09C_Registro_Repartidores!$AE$7:$AE$306,6),2),"")</f>
        <v/>
      </c>
    </row>
    <row r="42" customFormat="false" ht="15" hidden="false" customHeight="false" outlineLevel="0" collapsed="false">
      <c r="B42" s="14" t="str">
        <f aca="false">IF(ISNUMBER(SMALL(09C_Registro_Repartidores!$AE$7:$AE$306,7)),7,"")</f>
        <v/>
      </c>
      <c r="C42" s="45" t="str">
        <f aca="false">IFERROR(INDEX(09C_Registro_Repartidores!$D$7:$D$306,MATCH(SMALL(09C_Registro_Repartidores!$AE$7:$AE$306,7),09C_Registro_Repartidores!$AE$7:$AE$306,0))&amp;"","")</f>
        <v/>
      </c>
      <c r="D42" s="45" t="str">
        <f aca="false">IFERROR(INDEX(09C_Registro_Repartidores!$F$7:$F$306,MATCH(SMALL(09C_Registro_Repartidores!$AE$7:$AE$306,7),09C_Registro_Repartidores!$AE$7:$AE$306,0))&amp;"","")</f>
        <v/>
      </c>
      <c r="E42" s="45" t="str">
        <f aca="false">IFERROR(INDEX(09C_Registro_Repartidores!$P$7:$P$306,MATCH(SMALL(09C_Registro_Repartidores!$AE$7:$AE$306,7),09C_Registro_Repartidores!$AE$7:$AE$306,0))&amp;"","")</f>
        <v/>
      </c>
      <c r="F42" s="45" t="str">
        <f aca="false">IFERROR(INDEX(09C_Registro_Repartidores!$AC$7:$AC$306,MATCH(SMALL(09C_Registro_Repartidores!$AE$7:$AE$306,7),09C_Registro_Repartidores!$AE$7:$AE$306,0))&amp;"","")</f>
        <v/>
      </c>
      <c r="G42" s="35" t="str">
        <f aca="false">IFERROR(INDEX(09C_Registro_Repartidores!$O$7:$O$306,MATCH(SMALL(09C_Registro_Repartidores!$AE$7:$AE$306,7),09C_Registro_Repartidores!$AE$7:$AE$306,0)),"")</f>
        <v/>
      </c>
      <c r="H42" s="46" t="str">
        <f aca="false">IFERROR(ROUND(SMALL(09C_Registro_Repartidores!$AE$7:$AE$306,7),2),"")</f>
        <v/>
      </c>
    </row>
    <row r="43" customFormat="false" ht="15" hidden="false" customHeight="false" outlineLevel="0" collapsed="false">
      <c r="B43" s="18" t="str">
        <f aca="false">IF(ISNUMBER(SMALL(09C_Registro_Repartidores!$AE$7:$AE$306,8)),8,"")</f>
        <v/>
      </c>
      <c r="C43" s="47" t="str">
        <f aca="false">IFERROR(INDEX(09C_Registro_Repartidores!$D$7:$D$306,MATCH(SMALL(09C_Registro_Repartidores!$AE$7:$AE$306,8),09C_Registro_Repartidores!$AE$7:$AE$306,0))&amp;"","")</f>
        <v/>
      </c>
      <c r="D43" s="47" t="str">
        <f aca="false">IFERROR(INDEX(09C_Registro_Repartidores!$F$7:$F$306,MATCH(SMALL(09C_Registro_Repartidores!$AE$7:$AE$306,8),09C_Registro_Repartidores!$AE$7:$AE$306,0))&amp;"","")</f>
        <v/>
      </c>
      <c r="E43" s="47" t="str">
        <f aca="false">IFERROR(INDEX(09C_Registro_Repartidores!$P$7:$P$306,MATCH(SMALL(09C_Registro_Repartidores!$AE$7:$AE$306,8),09C_Registro_Repartidores!$AE$7:$AE$306,0))&amp;"","")</f>
        <v/>
      </c>
      <c r="F43" s="47" t="str">
        <f aca="false">IFERROR(INDEX(09C_Registro_Repartidores!$AC$7:$AC$306,MATCH(SMALL(09C_Registro_Repartidores!$AE$7:$AE$306,8),09C_Registro_Repartidores!$AE$7:$AE$306,0))&amp;"","")</f>
        <v/>
      </c>
      <c r="G43" s="48" t="str">
        <f aca="false">IFERROR(INDEX(09C_Registro_Repartidores!$O$7:$O$306,MATCH(SMALL(09C_Registro_Repartidores!$AE$7:$AE$306,8),09C_Registro_Repartidores!$AE$7:$AE$306,0)),"")</f>
        <v/>
      </c>
      <c r="H43" s="49" t="str">
        <f aca="false">IFERROR(ROUND(SMALL(09C_Registro_Repartidores!$AE$7:$AE$306,8),2),"")</f>
        <v/>
      </c>
    </row>
    <row r="44" customFormat="false" ht="15" hidden="false" customHeight="false" outlineLevel="0" collapsed="false">
      <c r="B44" s="14" t="str">
        <f aca="false">IF(ISNUMBER(SMALL(09C_Registro_Repartidores!$AE$7:$AE$306,9)),9,"")</f>
        <v/>
      </c>
      <c r="C44" s="45" t="str">
        <f aca="false">IFERROR(INDEX(09C_Registro_Repartidores!$D$7:$D$306,MATCH(SMALL(09C_Registro_Repartidores!$AE$7:$AE$306,9),09C_Registro_Repartidores!$AE$7:$AE$306,0))&amp;"","")</f>
        <v/>
      </c>
      <c r="D44" s="45" t="str">
        <f aca="false">IFERROR(INDEX(09C_Registro_Repartidores!$F$7:$F$306,MATCH(SMALL(09C_Registro_Repartidores!$AE$7:$AE$306,9),09C_Registro_Repartidores!$AE$7:$AE$306,0))&amp;"","")</f>
        <v/>
      </c>
      <c r="E44" s="45" t="str">
        <f aca="false">IFERROR(INDEX(09C_Registro_Repartidores!$P$7:$P$306,MATCH(SMALL(09C_Registro_Repartidores!$AE$7:$AE$306,9),09C_Registro_Repartidores!$AE$7:$AE$306,0))&amp;"","")</f>
        <v/>
      </c>
      <c r="F44" s="45" t="str">
        <f aca="false">IFERROR(INDEX(09C_Registro_Repartidores!$AC$7:$AC$306,MATCH(SMALL(09C_Registro_Repartidores!$AE$7:$AE$306,9),09C_Registro_Repartidores!$AE$7:$AE$306,0))&amp;"","")</f>
        <v/>
      </c>
      <c r="G44" s="35" t="str">
        <f aca="false">IFERROR(INDEX(09C_Registro_Repartidores!$O$7:$O$306,MATCH(SMALL(09C_Registro_Repartidores!$AE$7:$AE$306,9),09C_Registro_Repartidores!$AE$7:$AE$306,0)),"")</f>
        <v/>
      </c>
      <c r="H44" s="46" t="str">
        <f aca="false">IFERROR(ROUND(SMALL(09C_Registro_Repartidores!$AE$7:$AE$306,9),2),"")</f>
        <v/>
      </c>
    </row>
    <row r="45" customFormat="false" ht="15" hidden="false" customHeight="false" outlineLevel="0" collapsed="false">
      <c r="B45" s="18" t="str">
        <f aca="false">IF(ISNUMBER(SMALL(09C_Registro_Repartidores!$AE$7:$AE$306,10)),10,"")</f>
        <v/>
      </c>
      <c r="C45" s="47" t="str">
        <f aca="false">IFERROR(INDEX(09C_Registro_Repartidores!$D$7:$D$306,MATCH(SMALL(09C_Registro_Repartidores!$AE$7:$AE$306,10),09C_Registro_Repartidores!$AE$7:$AE$306,0))&amp;"","")</f>
        <v/>
      </c>
      <c r="D45" s="47" t="str">
        <f aca="false">IFERROR(INDEX(09C_Registro_Repartidores!$F$7:$F$306,MATCH(SMALL(09C_Registro_Repartidores!$AE$7:$AE$306,10),09C_Registro_Repartidores!$AE$7:$AE$306,0))&amp;"","")</f>
        <v/>
      </c>
      <c r="E45" s="47" t="str">
        <f aca="false">IFERROR(INDEX(09C_Registro_Repartidores!$P$7:$P$306,MATCH(SMALL(09C_Registro_Repartidores!$AE$7:$AE$306,10),09C_Registro_Repartidores!$AE$7:$AE$306,0))&amp;"","")</f>
        <v/>
      </c>
      <c r="F45" s="47" t="str">
        <f aca="false">IFERROR(INDEX(09C_Registro_Repartidores!$AC$7:$AC$306,MATCH(SMALL(09C_Registro_Repartidores!$AE$7:$AE$306,10),09C_Registro_Repartidores!$AE$7:$AE$306,0))&amp;"","")</f>
        <v/>
      </c>
      <c r="G45" s="48" t="str">
        <f aca="false">IFERROR(INDEX(09C_Registro_Repartidores!$O$7:$O$306,MATCH(SMALL(09C_Registro_Repartidores!$AE$7:$AE$306,10),09C_Registro_Repartidores!$AE$7:$AE$306,0)),"")</f>
        <v/>
      </c>
      <c r="H45" s="49" t="str">
        <f aca="false">IFERROR(ROUND(SMALL(09C_Registro_Repartidores!$AE$7:$AE$306,10),2),"")</f>
        <v/>
      </c>
    </row>
    <row r="46" customFormat="false" ht="15" hidden="false" customHeight="false" outlineLevel="0" collapsed="false">
      <c r="B46" s="28" t="s">
        <v>141</v>
      </c>
    </row>
    <row r="48" customFormat="false" ht="15" hidden="false" customHeight="false" outlineLevel="0" collapsed="false">
      <c r="B48" s="29" t="s">
        <v>142</v>
      </c>
    </row>
    <row r="49" customFormat="false" ht="27.75" hidden="false" customHeight="true" outlineLevel="0" collapsed="false">
      <c r="B49" s="13" t="s">
        <v>68</v>
      </c>
      <c r="C49" s="13" t="s">
        <v>143</v>
      </c>
      <c r="D49" s="13" t="s">
        <v>144</v>
      </c>
      <c r="E49" s="13" t="s">
        <v>145</v>
      </c>
      <c r="F49" s="13" t="s">
        <v>138</v>
      </c>
      <c r="G49" s="13" t="s">
        <v>139</v>
      </c>
      <c r="H49" s="13" t="s">
        <v>140</v>
      </c>
    </row>
    <row r="50" customFormat="false" ht="15" hidden="false" customHeight="false" outlineLevel="0" collapsed="false">
      <c r="B50" s="14" t="n">
        <f aca="false">IF(ISNUMBER(SMALL(09B_Empresas_Reparto_Taxi!$AC$3:$AC$109,1)),1,"")</f>
        <v>1</v>
      </c>
      <c r="C50" s="45" t="str">
        <f aca="false">IFERROR(INDEX(09B_Empresas_Reparto_Taxi!$B$3:$B$109,MATCH(SMALL(09B_Empresas_Reparto_Taxi!$AC$3:$AC$109,1),09B_Empresas_Reparto_Taxi!$AC$3:$AC$109,0))&amp;"","")</f>
        <v>LGS Courier</v>
      </c>
      <c r="D50" s="45" t="str">
        <f aca="false">IFERROR(TRIM(INDEX(09B_Empresas_Reparto_Taxi!$H$3:$H$109,MATCH(SMALL(09B_Empresas_Reparto_Taxi!$AC$3:$AC$109,1),09B_Empresas_Reparto_Taxi!$AC$3:$AC$109,0))&amp;"  "&amp;INDEX(09B_Empresas_Reparto_Taxi!$I$3:$I$109,MATCH(SMALL(09B_Empresas_Reparto_Taxi!$AC$3:$AC$109,1),09B_Empresas_Reparto_Taxi!$AC$3:$AC$109,0))),"")</f>
        <v>(051) 367243</v>
      </c>
      <c r="E50" s="45" t="str">
        <f aca="false">IFERROR(INDEX(09B_Empresas_Reparto_Taxi!$C$3:$C$109,MATCH(SMALL(09B_Empresas_Reparto_Taxi!$AC$3:$AC$109,1),09B_Empresas_Reparto_Taxi!$AC$3:$AC$109,0))&amp;"","")</f>
        <v>Courier / mensajería</v>
      </c>
      <c r="F50" s="45" t="str">
        <f aca="false">IFERROR(INDEX(09B_Empresas_Reparto_Taxi!$Z$3:$Z$109,MATCH(SMALL(09B_Empresas_Reparto_Taxi!$AC$3:$AC$109,1),09B_Empresas_Reparto_Taxi!$AC$3:$AC$109,0))&amp;"","")</f>
        <v>Sin contactar</v>
      </c>
      <c r="G50" s="35" t="str">
        <f aca="false">IFERROR(INDEX(09B_Empresas_Reparto_Taxi!$V$3:$V$109,MATCH(SMALL(09B_Empresas_Reparto_Taxi!$AC$3:$AC$109,1),09B_Empresas_Reparto_Taxi!$AC$3:$AC$109,0)),"")</f>
        <v>Ver en mapa</v>
      </c>
      <c r="H50" s="46" t="n">
        <f aca="false">IFERROR(ROUND(SMALL(09B_Empresas_Reparto_Taxi!$AC$3:$AC$109,1),2),"")</f>
        <v>0.15</v>
      </c>
    </row>
    <row r="51" customFormat="false" ht="15" hidden="false" customHeight="false" outlineLevel="0" collapsed="false">
      <c r="B51" s="18" t="str">
        <f aca="false">IF(ISNUMBER(SMALL(09B_Empresas_Reparto_Taxi!$AC$3:$AC$109,2)),2,"")</f>
        <v/>
      </c>
      <c r="C51" s="47" t="str">
        <f aca="false">IFERROR(INDEX(09B_Empresas_Reparto_Taxi!$B$3:$B$109,MATCH(SMALL(09B_Empresas_Reparto_Taxi!$AC$3:$AC$109,2),09B_Empresas_Reparto_Taxi!$AC$3:$AC$109,0))&amp;"","")</f>
        <v/>
      </c>
      <c r="D51" s="47" t="str">
        <f aca="false">IFERROR(TRIM(INDEX(09B_Empresas_Reparto_Taxi!$H$3:$H$109,MATCH(SMALL(09B_Empresas_Reparto_Taxi!$AC$3:$AC$109,2),09B_Empresas_Reparto_Taxi!$AC$3:$AC$109,0))&amp;"  "&amp;INDEX(09B_Empresas_Reparto_Taxi!$I$3:$I$109,MATCH(SMALL(09B_Empresas_Reparto_Taxi!$AC$3:$AC$109,2),09B_Empresas_Reparto_Taxi!$AC$3:$AC$109,0))),"")</f>
        <v/>
      </c>
      <c r="E51" s="47" t="str">
        <f aca="false">IFERROR(INDEX(09B_Empresas_Reparto_Taxi!$C$3:$C$109,MATCH(SMALL(09B_Empresas_Reparto_Taxi!$AC$3:$AC$109,2),09B_Empresas_Reparto_Taxi!$AC$3:$AC$109,0))&amp;"","")</f>
        <v/>
      </c>
      <c r="F51" s="47" t="str">
        <f aca="false">IFERROR(INDEX(09B_Empresas_Reparto_Taxi!$Z$3:$Z$109,MATCH(SMALL(09B_Empresas_Reparto_Taxi!$AC$3:$AC$109,2),09B_Empresas_Reparto_Taxi!$AC$3:$AC$109,0))&amp;"","")</f>
        <v/>
      </c>
      <c r="G51" s="48" t="str">
        <f aca="false">IFERROR(INDEX(09B_Empresas_Reparto_Taxi!$V$3:$V$109,MATCH(SMALL(09B_Empresas_Reparto_Taxi!$AC$3:$AC$109,2),09B_Empresas_Reparto_Taxi!$AC$3:$AC$109,0)),"")</f>
        <v/>
      </c>
      <c r="H51" s="49" t="str">
        <f aca="false">IFERROR(ROUND(SMALL(09B_Empresas_Reparto_Taxi!$AC$3:$AC$109,2),2),"")</f>
        <v/>
      </c>
    </row>
    <row r="52" customFormat="false" ht="15" hidden="false" customHeight="false" outlineLevel="0" collapsed="false">
      <c r="B52" s="14" t="str">
        <f aca="false">IF(ISNUMBER(SMALL(09B_Empresas_Reparto_Taxi!$AC$3:$AC$109,3)),3,"")</f>
        <v/>
      </c>
      <c r="C52" s="45" t="str">
        <f aca="false">IFERROR(INDEX(09B_Empresas_Reparto_Taxi!$B$3:$B$109,MATCH(SMALL(09B_Empresas_Reparto_Taxi!$AC$3:$AC$109,3),09B_Empresas_Reparto_Taxi!$AC$3:$AC$109,0))&amp;"","")</f>
        <v/>
      </c>
      <c r="D52" s="45" t="str">
        <f aca="false">IFERROR(TRIM(INDEX(09B_Empresas_Reparto_Taxi!$H$3:$H$109,MATCH(SMALL(09B_Empresas_Reparto_Taxi!$AC$3:$AC$109,3),09B_Empresas_Reparto_Taxi!$AC$3:$AC$109,0))&amp;"  "&amp;INDEX(09B_Empresas_Reparto_Taxi!$I$3:$I$109,MATCH(SMALL(09B_Empresas_Reparto_Taxi!$AC$3:$AC$109,3),09B_Empresas_Reparto_Taxi!$AC$3:$AC$109,0))),"")</f>
        <v/>
      </c>
      <c r="E52" s="45" t="str">
        <f aca="false">IFERROR(INDEX(09B_Empresas_Reparto_Taxi!$C$3:$C$109,MATCH(SMALL(09B_Empresas_Reparto_Taxi!$AC$3:$AC$109,3),09B_Empresas_Reparto_Taxi!$AC$3:$AC$109,0))&amp;"","")</f>
        <v/>
      </c>
      <c r="F52" s="45" t="str">
        <f aca="false">IFERROR(INDEX(09B_Empresas_Reparto_Taxi!$Z$3:$Z$109,MATCH(SMALL(09B_Empresas_Reparto_Taxi!$AC$3:$AC$109,3),09B_Empresas_Reparto_Taxi!$AC$3:$AC$109,0))&amp;"","")</f>
        <v/>
      </c>
      <c r="G52" s="35" t="str">
        <f aca="false">IFERROR(INDEX(09B_Empresas_Reparto_Taxi!$V$3:$V$109,MATCH(SMALL(09B_Empresas_Reparto_Taxi!$AC$3:$AC$109,3),09B_Empresas_Reparto_Taxi!$AC$3:$AC$109,0)),"")</f>
        <v/>
      </c>
      <c r="H52" s="46" t="str">
        <f aca="false">IFERROR(ROUND(SMALL(09B_Empresas_Reparto_Taxi!$AC$3:$AC$109,3),2),"")</f>
        <v/>
      </c>
    </row>
    <row r="53" customFormat="false" ht="15" hidden="false" customHeight="false" outlineLevel="0" collapsed="false">
      <c r="B53" s="18" t="str">
        <f aca="false">IF(ISNUMBER(SMALL(09B_Empresas_Reparto_Taxi!$AC$3:$AC$109,4)),4,"")</f>
        <v/>
      </c>
      <c r="C53" s="47" t="str">
        <f aca="false">IFERROR(INDEX(09B_Empresas_Reparto_Taxi!$B$3:$B$109,MATCH(SMALL(09B_Empresas_Reparto_Taxi!$AC$3:$AC$109,4),09B_Empresas_Reparto_Taxi!$AC$3:$AC$109,0))&amp;"","")</f>
        <v/>
      </c>
      <c r="D53" s="47" t="str">
        <f aca="false">IFERROR(TRIM(INDEX(09B_Empresas_Reparto_Taxi!$H$3:$H$109,MATCH(SMALL(09B_Empresas_Reparto_Taxi!$AC$3:$AC$109,4),09B_Empresas_Reparto_Taxi!$AC$3:$AC$109,0))&amp;"  "&amp;INDEX(09B_Empresas_Reparto_Taxi!$I$3:$I$109,MATCH(SMALL(09B_Empresas_Reparto_Taxi!$AC$3:$AC$109,4),09B_Empresas_Reparto_Taxi!$AC$3:$AC$109,0))),"")</f>
        <v/>
      </c>
      <c r="E53" s="47" t="str">
        <f aca="false">IFERROR(INDEX(09B_Empresas_Reparto_Taxi!$C$3:$C$109,MATCH(SMALL(09B_Empresas_Reparto_Taxi!$AC$3:$AC$109,4),09B_Empresas_Reparto_Taxi!$AC$3:$AC$109,0))&amp;"","")</f>
        <v/>
      </c>
      <c r="F53" s="47" t="str">
        <f aca="false">IFERROR(INDEX(09B_Empresas_Reparto_Taxi!$Z$3:$Z$109,MATCH(SMALL(09B_Empresas_Reparto_Taxi!$AC$3:$AC$109,4),09B_Empresas_Reparto_Taxi!$AC$3:$AC$109,0))&amp;"","")</f>
        <v/>
      </c>
      <c r="G53" s="48" t="str">
        <f aca="false">IFERROR(INDEX(09B_Empresas_Reparto_Taxi!$V$3:$V$109,MATCH(SMALL(09B_Empresas_Reparto_Taxi!$AC$3:$AC$109,4),09B_Empresas_Reparto_Taxi!$AC$3:$AC$109,0)),"")</f>
        <v/>
      </c>
      <c r="H53" s="49" t="str">
        <f aca="false">IFERROR(ROUND(SMALL(09B_Empresas_Reparto_Taxi!$AC$3:$AC$109,4),2),"")</f>
        <v/>
      </c>
    </row>
    <row r="54" customFormat="false" ht="15" hidden="false" customHeight="false" outlineLevel="0" collapsed="false">
      <c r="B54" s="14" t="str">
        <f aca="false">IF(ISNUMBER(SMALL(09B_Empresas_Reparto_Taxi!$AC$3:$AC$109,5)),5,"")</f>
        <v/>
      </c>
      <c r="C54" s="45" t="str">
        <f aca="false">IFERROR(INDEX(09B_Empresas_Reparto_Taxi!$B$3:$B$109,MATCH(SMALL(09B_Empresas_Reparto_Taxi!$AC$3:$AC$109,5),09B_Empresas_Reparto_Taxi!$AC$3:$AC$109,0))&amp;"","")</f>
        <v/>
      </c>
      <c r="D54" s="45" t="str">
        <f aca="false">IFERROR(TRIM(INDEX(09B_Empresas_Reparto_Taxi!$H$3:$H$109,MATCH(SMALL(09B_Empresas_Reparto_Taxi!$AC$3:$AC$109,5),09B_Empresas_Reparto_Taxi!$AC$3:$AC$109,0))&amp;"  "&amp;INDEX(09B_Empresas_Reparto_Taxi!$I$3:$I$109,MATCH(SMALL(09B_Empresas_Reparto_Taxi!$AC$3:$AC$109,5),09B_Empresas_Reparto_Taxi!$AC$3:$AC$109,0))),"")</f>
        <v/>
      </c>
      <c r="E54" s="45" t="str">
        <f aca="false">IFERROR(INDEX(09B_Empresas_Reparto_Taxi!$C$3:$C$109,MATCH(SMALL(09B_Empresas_Reparto_Taxi!$AC$3:$AC$109,5),09B_Empresas_Reparto_Taxi!$AC$3:$AC$109,0))&amp;"","")</f>
        <v/>
      </c>
      <c r="F54" s="45" t="str">
        <f aca="false">IFERROR(INDEX(09B_Empresas_Reparto_Taxi!$Z$3:$Z$109,MATCH(SMALL(09B_Empresas_Reparto_Taxi!$AC$3:$AC$109,5),09B_Empresas_Reparto_Taxi!$AC$3:$AC$109,0))&amp;"","")</f>
        <v/>
      </c>
      <c r="G54" s="35" t="str">
        <f aca="false">IFERROR(INDEX(09B_Empresas_Reparto_Taxi!$V$3:$V$109,MATCH(SMALL(09B_Empresas_Reparto_Taxi!$AC$3:$AC$109,5),09B_Empresas_Reparto_Taxi!$AC$3:$AC$109,0)),"")</f>
        <v/>
      </c>
      <c r="H54" s="46" t="str">
        <f aca="false">IFERROR(ROUND(SMALL(09B_Empresas_Reparto_Taxi!$AC$3:$AC$109,5),2),"")</f>
        <v/>
      </c>
    </row>
    <row r="55" customFormat="false" ht="15" hidden="false" customHeight="false" outlineLevel="0" collapsed="false">
      <c r="B55" s="28" t="s">
        <v>146</v>
      </c>
    </row>
    <row r="57" customFormat="false" ht="15" hidden="false" customHeight="false" outlineLevel="0" collapsed="false">
      <c r="B57" s="29" t="s">
        <v>147</v>
      </c>
    </row>
    <row r="58" customFormat="false" ht="27.75" hidden="false" customHeight="true" outlineLevel="0" collapsed="false">
      <c r="B58" s="13" t="s">
        <v>68</v>
      </c>
      <c r="C58" s="13" t="s">
        <v>148</v>
      </c>
      <c r="D58" s="13" t="s">
        <v>145</v>
      </c>
      <c r="E58" s="13" t="s">
        <v>144</v>
      </c>
      <c r="F58" s="13" t="s">
        <v>149</v>
      </c>
      <c r="G58" s="13" t="s">
        <v>139</v>
      </c>
      <c r="H58" s="13" t="s">
        <v>140</v>
      </c>
    </row>
    <row r="59" customFormat="false" ht="15" hidden="false" customHeight="false" outlineLevel="0" collapsed="false">
      <c r="B59" s="14" t="n">
        <f aca="false">IF(ISNUMBER(SMALL(08_Restaurantes!$AK$3:$AK$391,1)),1,"")</f>
        <v>1</v>
      </c>
      <c r="C59" s="45" t="str">
        <f aca="false">IFERROR(INDEX(08_Restaurantes!$B$3:$B$391,MATCH(SMALL(08_Restaurantes!$AK$3:$AK$391,1),08_Restaurantes!$AK$3:$AK$391,0))&amp;"","")</f>
        <v>Mercado Bellavista</v>
      </c>
      <c r="D59" s="45" t="str">
        <f aca="false">IFERROR(INDEX(08_Restaurantes!$C$3:$C$391,MATCH(SMALL(08_Restaurantes!$AK$3:$AK$391,1),08_Restaurantes!$AK$3:$AK$391,0))&amp;"","")</f>
        <v>Puesto de mercado</v>
      </c>
      <c r="E59" s="45" t="str">
        <f aca="false">IFERROR(TRIM(INDEX(08_Restaurantes!$I$3:$I$391,MATCH(SMALL(08_Restaurantes!$AK$3:$AK$391,1),08_Restaurantes!$AK$3:$AK$391,0))&amp;"  "&amp;INDEX(08_Restaurantes!$J$3:$J$391,MATCH(SMALL(08_Restaurantes!$AK$3:$AK$391,1),08_Restaurantes!$AK$3:$AK$391,0))),"")</f>
        <v/>
      </c>
      <c r="F59" s="45" t="str">
        <f aca="false">IFERROR(INDEX(08_Restaurantes!$W$3:$W$391,MATCH(SMALL(08_Restaurantes!$AK$3:$AK$391,1),08_Restaurantes!$AK$3:$AK$391,0))&amp;"","")</f>
        <v>Exacta — OpenStreetMap</v>
      </c>
      <c r="G59" s="35" t="str">
        <f aca="false">IFERROR(INDEX(08_Restaurantes!$X$3:$X$391,MATCH(SMALL(08_Restaurantes!$AK$3:$AK$391,1),08_Restaurantes!$AK$3:$AK$391,0)),"")</f>
        <v>Ver en mapa</v>
      </c>
      <c r="H59" s="46" t="n">
        <f aca="false">IFERROR(ROUND(SMALL(08_Restaurantes!$AK$3:$AK$391,1),2),"")</f>
        <v>0</v>
      </c>
    </row>
    <row r="60" customFormat="false" ht="15" hidden="false" customHeight="false" outlineLevel="0" collapsed="false">
      <c r="B60" s="18" t="n">
        <f aca="false">IF(ISNUMBER(SMALL(08_Restaurantes!$AK$3:$AK$391,2)),2,"")</f>
        <v>2</v>
      </c>
      <c r="C60" s="47" t="str">
        <f aca="false">IFERROR(INDEX(08_Restaurantes!$B$3:$B$391,MATCH(SMALL(08_Restaurantes!$AK$3:$AK$391,2),08_Restaurantes!$AK$3:$AK$391,0))&amp;"","")</f>
        <v>Pollos Brass</v>
      </c>
      <c r="D60" s="47" t="str">
        <f aca="false">IFERROR(INDEX(08_Restaurantes!$C$3:$C$391,MATCH(SMALL(08_Restaurantes!$AK$3:$AK$391,2),08_Restaurantes!$AK$3:$AK$391,0))&amp;"","")</f>
        <v>Pollería</v>
      </c>
      <c r="E60" s="47" t="str">
        <f aca="false">IFERROR(TRIM(INDEX(08_Restaurantes!$I$3:$I$391,MATCH(SMALL(08_Restaurantes!$AK$3:$AK$391,2),08_Restaurantes!$AK$3:$AK$391,0))&amp;"  "&amp;INDEX(08_Restaurantes!$J$3:$J$391,MATCH(SMALL(08_Restaurantes!$AK$3:$AK$391,2),08_Restaurantes!$AK$3:$AK$391,0))),"")</f>
        <v/>
      </c>
      <c r="F60" s="47" t="str">
        <f aca="false">IFERROR(INDEX(08_Restaurantes!$W$3:$W$391,MATCH(SMALL(08_Restaurantes!$AK$3:$AK$391,2),08_Restaurantes!$AK$3:$AK$391,0))&amp;"","")</f>
        <v>Exacta — OpenStreetMap</v>
      </c>
      <c r="G60" s="48" t="str">
        <f aca="false">IFERROR(INDEX(08_Restaurantes!$X$3:$X$391,MATCH(SMALL(08_Restaurantes!$AK$3:$AK$391,2),08_Restaurantes!$AK$3:$AK$391,0)),"")</f>
        <v>Ver en mapa</v>
      </c>
      <c r="H60" s="49" t="n">
        <f aca="false">IFERROR(ROUND(SMALL(08_Restaurantes!$AK$3:$AK$391,2),2),"")</f>
        <v>0.12</v>
      </c>
    </row>
    <row r="61" customFormat="false" ht="15" hidden="false" customHeight="false" outlineLevel="0" collapsed="false">
      <c r="B61" s="14" t="n">
        <f aca="false">IF(ISNUMBER(SMALL(08_Restaurantes!$AK$3:$AK$391,3)),3,"")</f>
        <v>3</v>
      </c>
      <c r="C61" s="45" t="str">
        <f aca="false">IFERROR(INDEX(08_Restaurantes!$B$3:$B$391,MATCH(SMALL(08_Restaurantes!$AK$3:$AK$391,3),08_Restaurantes!$AK$3:$AK$391,0))&amp;"","")</f>
        <v>Restaurant don Juanito</v>
      </c>
      <c r="D61" s="45" t="str">
        <f aca="false">IFERROR(INDEX(08_Restaurantes!$C$3:$C$391,MATCH(SMALL(08_Restaurantes!$AK$3:$AK$391,3),08_Restaurantes!$AK$3:$AK$391,0))&amp;"","")</f>
        <v>Restaurante</v>
      </c>
      <c r="E61" s="45" t="str">
        <f aca="false">IFERROR(TRIM(INDEX(08_Restaurantes!$I$3:$I$391,MATCH(SMALL(08_Restaurantes!$AK$3:$AK$391,3),08_Restaurantes!$AK$3:$AK$391,0))&amp;"  "&amp;INDEX(08_Restaurantes!$J$3:$J$391,MATCH(SMALL(08_Restaurantes!$AK$3:$AK$391,3),08_Restaurantes!$AK$3:$AK$391,0))),"")</f>
        <v/>
      </c>
      <c r="F61" s="45" t="str">
        <f aca="false">IFERROR(INDEX(08_Restaurantes!$W$3:$W$391,MATCH(SMALL(08_Restaurantes!$AK$3:$AK$391,3),08_Restaurantes!$AK$3:$AK$391,0))&amp;"","")</f>
        <v>Exacta — OpenStreetMap</v>
      </c>
      <c r="G61" s="35" t="str">
        <f aca="false">IFERROR(INDEX(08_Restaurantes!$X$3:$X$391,MATCH(SMALL(08_Restaurantes!$AK$3:$AK$391,3),08_Restaurantes!$AK$3:$AK$391,0)),"")</f>
        <v>Ver en mapa</v>
      </c>
      <c r="H61" s="46" t="n">
        <f aca="false">IFERROR(ROUND(SMALL(08_Restaurantes!$AK$3:$AK$391,3),2),"")</f>
        <v>0.29</v>
      </c>
    </row>
    <row r="62" customFormat="false" ht="15" hidden="false" customHeight="false" outlineLevel="0" collapsed="false">
      <c r="B62" s="18" t="n">
        <f aca="false">IF(ISNUMBER(SMALL(08_Restaurantes!$AK$3:$AK$391,4)),4,"")</f>
        <v>4</v>
      </c>
      <c r="C62" s="47" t="str">
        <f aca="false">IFERROR(INDEX(08_Restaurantes!$B$3:$B$391,MATCH(SMALL(08_Restaurantes!$AK$3:$AK$391,4),08_Restaurantes!$AK$3:$AK$391,0))&amp;"","")</f>
        <v>La Karpa</v>
      </c>
      <c r="D62" s="47" t="str">
        <f aca="false">IFERROR(INDEX(08_Restaurantes!$C$3:$C$391,MATCH(SMALL(08_Restaurantes!$AK$3:$AK$391,4),08_Restaurantes!$AK$3:$AK$391,0))&amp;"","")</f>
        <v>Restaurante</v>
      </c>
      <c r="E62" s="47" t="str">
        <f aca="false">IFERROR(TRIM(INDEX(08_Restaurantes!$I$3:$I$391,MATCH(SMALL(08_Restaurantes!$AK$3:$AK$391,4),08_Restaurantes!$AK$3:$AK$391,0))&amp;"  "&amp;INDEX(08_Restaurantes!$J$3:$J$391,MATCH(SMALL(08_Restaurantes!$AK$3:$AK$391,4),08_Restaurantes!$AK$3:$AK$391,0))),"")</f>
        <v/>
      </c>
      <c r="F62" s="47" t="str">
        <f aca="false">IFERROR(INDEX(08_Restaurantes!$W$3:$W$391,MATCH(SMALL(08_Restaurantes!$AK$3:$AK$391,4),08_Restaurantes!$AK$3:$AK$391,0))&amp;"","")</f>
        <v>Exacta — OpenStreetMap</v>
      </c>
      <c r="G62" s="48" t="str">
        <f aca="false">IFERROR(INDEX(08_Restaurantes!$X$3:$X$391,MATCH(SMALL(08_Restaurantes!$AK$3:$AK$391,4),08_Restaurantes!$AK$3:$AK$391,0)),"")</f>
        <v>Ver en mapa</v>
      </c>
      <c r="H62" s="49" t="n">
        <f aca="false">IFERROR(ROUND(SMALL(08_Restaurantes!$AK$3:$AK$391,4),2),"")</f>
        <v>0.3</v>
      </c>
    </row>
    <row r="63" customFormat="false" ht="15" hidden="false" customHeight="false" outlineLevel="0" collapsed="false">
      <c r="B63" s="14" t="n">
        <f aca="false">IF(ISNUMBER(SMALL(08_Restaurantes!$AK$3:$AK$391,5)),5,"")</f>
        <v>5</v>
      </c>
      <c r="C63" s="45" t="str">
        <f aca="false">IFERROR(INDEX(08_Restaurantes!$B$3:$B$391,MATCH(SMALL(08_Restaurantes!$AK$3:$AK$391,5),08_Restaurantes!$AK$3:$AK$391,0))&amp;"","")</f>
        <v>Delicar</v>
      </c>
      <c r="D63" s="45" t="str">
        <f aca="false">IFERROR(INDEX(08_Restaurantes!$C$3:$C$391,MATCH(SMALL(08_Restaurantes!$AK$3:$AK$391,5),08_Restaurantes!$AK$3:$AK$391,0))&amp;"","")</f>
        <v>Restaurante</v>
      </c>
      <c r="E63" s="45" t="str">
        <f aca="false">IFERROR(TRIM(INDEX(08_Restaurantes!$I$3:$I$391,MATCH(SMALL(08_Restaurantes!$AK$3:$AK$391,5),08_Restaurantes!$AK$3:$AK$391,0))&amp;"  "&amp;INDEX(08_Restaurantes!$J$3:$J$391,MATCH(SMALL(08_Restaurantes!$AK$3:$AK$391,5),08_Restaurantes!$AK$3:$AK$391,0))),"")</f>
        <v/>
      </c>
      <c r="F63" s="45" t="str">
        <f aca="false">IFERROR(INDEX(08_Restaurantes!$W$3:$W$391,MATCH(SMALL(08_Restaurantes!$AK$3:$AK$391,5),08_Restaurantes!$AK$3:$AK$391,0))&amp;"","")</f>
        <v>Exacta — OpenStreetMap</v>
      </c>
      <c r="G63" s="35" t="str">
        <f aca="false">IFERROR(INDEX(08_Restaurantes!$X$3:$X$391,MATCH(SMALL(08_Restaurantes!$AK$3:$AK$391,5),08_Restaurantes!$AK$3:$AK$391,0)),"")</f>
        <v>Ver en mapa</v>
      </c>
      <c r="H63" s="46" t="n">
        <f aca="false">IFERROR(ROUND(SMALL(08_Restaurantes!$AK$3:$AK$391,5),2),"")</f>
        <v>0.33</v>
      </c>
    </row>
    <row r="64" customFormat="false" ht="15" hidden="false" customHeight="false" outlineLevel="0" collapsed="false">
      <c r="B64" s="18" t="n">
        <f aca="false">IF(ISNUMBER(SMALL(08_Restaurantes!$AK$3:$AK$391,6)),6,"")</f>
        <v>6</v>
      </c>
      <c r="C64" s="47" t="str">
        <f aca="false">IFERROR(INDEX(08_Restaurantes!$B$3:$B$391,MATCH(SMALL(08_Restaurantes!$AK$3:$AK$391,6),08_Restaurantes!$AK$3:$AK$391,0))&amp;"","")</f>
        <v>El Vecino</v>
      </c>
      <c r="D64" s="47" t="str">
        <f aca="false">IFERROR(INDEX(08_Restaurantes!$C$3:$C$391,MATCH(SMALL(08_Restaurantes!$AK$3:$AK$391,6),08_Restaurantes!$AK$3:$AK$391,0))&amp;"","")</f>
        <v>Restaurante</v>
      </c>
      <c r="E64" s="47" t="str">
        <f aca="false">IFERROR(TRIM(INDEX(08_Restaurantes!$I$3:$I$391,MATCH(SMALL(08_Restaurantes!$AK$3:$AK$391,6),08_Restaurantes!$AK$3:$AK$391,0))&amp;"  "&amp;INDEX(08_Restaurantes!$J$3:$J$391,MATCH(SMALL(08_Restaurantes!$AK$3:$AK$391,6),08_Restaurantes!$AK$3:$AK$391,0))),"")</f>
        <v/>
      </c>
      <c r="F64" s="47" t="str">
        <f aca="false">IFERROR(INDEX(08_Restaurantes!$W$3:$W$391,MATCH(SMALL(08_Restaurantes!$AK$3:$AK$391,6),08_Restaurantes!$AK$3:$AK$391,0))&amp;"","")</f>
        <v>Exacta — OpenStreetMap</v>
      </c>
      <c r="G64" s="48" t="str">
        <f aca="false">IFERROR(INDEX(08_Restaurantes!$X$3:$X$391,MATCH(SMALL(08_Restaurantes!$AK$3:$AK$391,6),08_Restaurantes!$AK$3:$AK$391,0)),"")</f>
        <v>Ver en mapa</v>
      </c>
      <c r="H64" s="49" t="n">
        <f aca="false">IFERROR(ROUND(SMALL(08_Restaurantes!$AK$3:$AK$391,6),2),"")</f>
        <v>0.34</v>
      </c>
    </row>
    <row r="65" customFormat="false" ht="15" hidden="false" customHeight="false" outlineLevel="0" collapsed="false">
      <c r="B65" s="14" t="n">
        <f aca="false">IF(ISNUMBER(SMALL(08_Restaurantes!$AK$3:$AK$391,7)),7,"")</f>
        <v>7</v>
      </c>
      <c r="C65" s="45" t="str">
        <f aca="false">IFERROR(INDEX(08_Restaurantes!$B$3:$B$391,MATCH(SMALL(08_Restaurantes!$AK$3:$AK$391,7),08_Restaurantes!$AK$3:$AK$391,0))&amp;"","")</f>
        <v>Polleria Haytazo</v>
      </c>
      <c r="D65" s="45" t="str">
        <f aca="false">IFERROR(INDEX(08_Restaurantes!$C$3:$C$391,MATCH(SMALL(08_Restaurantes!$AK$3:$AK$391,7),08_Restaurantes!$AK$3:$AK$391,0))&amp;"","")</f>
        <v>Pollería</v>
      </c>
      <c r="E65" s="45" t="str">
        <f aca="false">IFERROR(TRIM(INDEX(08_Restaurantes!$I$3:$I$391,MATCH(SMALL(08_Restaurantes!$AK$3:$AK$391,7),08_Restaurantes!$AK$3:$AK$391,0))&amp;"  "&amp;INDEX(08_Restaurantes!$J$3:$J$391,MATCH(SMALL(08_Restaurantes!$AK$3:$AK$391,7),08_Restaurantes!$AK$3:$AK$391,0))),"")</f>
        <v/>
      </c>
      <c r="F65" s="45" t="str">
        <f aca="false">IFERROR(INDEX(08_Restaurantes!$W$3:$W$391,MATCH(SMALL(08_Restaurantes!$AK$3:$AK$391,7),08_Restaurantes!$AK$3:$AK$391,0))&amp;"","")</f>
        <v>Exacta — OpenStreetMap</v>
      </c>
      <c r="G65" s="35" t="str">
        <f aca="false">IFERROR(INDEX(08_Restaurantes!$X$3:$X$391,MATCH(SMALL(08_Restaurantes!$AK$3:$AK$391,7),08_Restaurantes!$AK$3:$AK$391,0)),"")</f>
        <v>Ver en mapa</v>
      </c>
      <c r="H65" s="46" t="n">
        <f aca="false">IFERROR(ROUND(SMALL(08_Restaurantes!$AK$3:$AK$391,7),2),"")</f>
        <v>0.35</v>
      </c>
    </row>
    <row r="66" customFormat="false" ht="15" hidden="false" customHeight="false" outlineLevel="0" collapsed="false">
      <c r="B66" s="18" t="n">
        <f aca="false">IF(ISNUMBER(SMALL(08_Restaurantes!$AK$3:$AK$391,8)),8,"")</f>
        <v>8</v>
      </c>
      <c r="C66" s="47" t="str">
        <f aca="false">IFERROR(INDEX(08_Restaurantes!$B$3:$B$391,MATCH(SMALL(08_Restaurantes!$AK$3:$AK$391,8),08_Restaurantes!$AK$3:$AK$391,0))&amp;"","")</f>
        <v>Casa del Sabor - Bunker</v>
      </c>
      <c r="D66" s="47" t="str">
        <f aca="false">IFERROR(INDEX(08_Restaurantes!$C$3:$C$391,MATCH(SMALL(08_Restaurantes!$AK$3:$AK$391,8),08_Restaurantes!$AK$3:$AK$391,0))&amp;"","")</f>
        <v>Restaurante</v>
      </c>
      <c r="E66" s="47" t="str">
        <f aca="false">IFERROR(TRIM(INDEX(08_Restaurantes!$I$3:$I$391,MATCH(SMALL(08_Restaurantes!$AK$3:$AK$391,8),08_Restaurantes!$AK$3:$AK$391,0))&amp;"  "&amp;INDEX(08_Restaurantes!$J$3:$J$391,MATCH(SMALL(08_Restaurantes!$AK$3:$AK$391,8),08_Restaurantes!$AK$3:$AK$391,0))),"")</f>
        <v/>
      </c>
      <c r="F66" s="47" t="str">
        <f aca="false">IFERROR(INDEX(08_Restaurantes!$W$3:$W$391,MATCH(SMALL(08_Restaurantes!$AK$3:$AK$391,8),08_Restaurantes!$AK$3:$AK$391,0))&amp;"","")</f>
        <v>Exacta — OpenStreetMap</v>
      </c>
      <c r="G66" s="48" t="str">
        <f aca="false">IFERROR(INDEX(08_Restaurantes!$X$3:$X$391,MATCH(SMALL(08_Restaurantes!$AK$3:$AK$391,8),08_Restaurantes!$AK$3:$AK$391,0)),"")</f>
        <v>Ver en mapa</v>
      </c>
      <c r="H66" s="49" t="n">
        <f aca="false">IFERROR(ROUND(SMALL(08_Restaurantes!$AK$3:$AK$391,8),2),"")</f>
        <v>0.36</v>
      </c>
    </row>
    <row r="67" customFormat="false" ht="15" hidden="false" customHeight="false" outlineLevel="0" collapsed="false">
      <c r="B67" s="14" t="n">
        <f aca="false">IF(ISNUMBER(SMALL(08_Restaurantes!$AK$3:$AK$391,9)),9,"")</f>
        <v>9</v>
      </c>
      <c r="C67" s="45" t="str">
        <f aca="false">IFERROR(INDEX(08_Restaurantes!$B$3:$B$391,MATCH(SMALL(08_Restaurantes!$AK$3:$AK$391,9),08_Restaurantes!$AK$3:$AK$391,0))&amp;"","")</f>
        <v>Cevicheria Rico Norte</v>
      </c>
      <c r="D67" s="45" t="str">
        <f aca="false">IFERROR(INDEX(08_Restaurantes!$C$3:$C$391,MATCH(SMALL(08_Restaurantes!$AK$3:$AK$391,9),08_Restaurantes!$AK$3:$AK$391,0))&amp;"","")</f>
        <v>Cevichería</v>
      </c>
      <c r="E67" s="45" t="str">
        <f aca="false">IFERROR(TRIM(INDEX(08_Restaurantes!$I$3:$I$391,MATCH(SMALL(08_Restaurantes!$AK$3:$AK$391,9),08_Restaurantes!$AK$3:$AK$391,0))&amp;"  "&amp;INDEX(08_Restaurantes!$J$3:$J$391,MATCH(SMALL(08_Restaurantes!$AK$3:$AK$391,9),08_Restaurantes!$AK$3:$AK$391,0))),"")</f>
        <v/>
      </c>
      <c r="F67" s="45" t="str">
        <f aca="false">IFERROR(INDEX(08_Restaurantes!$W$3:$W$391,MATCH(SMALL(08_Restaurantes!$AK$3:$AK$391,9),08_Restaurantes!$AK$3:$AK$391,0))&amp;"","")</f>
        <v>Exacta — OpenStreetMap</v>
      </c>
      <c r="G67" s="35" t="str">
        <f aca="false">IFERROR(INDEX(08_Restaurantes!$X$3:$X$391,MATCH(SMALL(08_Restaurantes!$AK$3:$AK$391,9),08_Restaurantes!$AK$3:$AK$391,0)),"")</f>
        <v>Ver en mapa</v>
      </c>
      <c r="H67" s="46" t="n">
        <f aca="false">IFERROR(ROUND(SMALL(08_Restaurantes!$AK$3:$AK$391,9),2),"")</f>
        <v>0.37</v>
      </c>
    </row>
    <row r="68" customFormat="false" ht="15" hidden="false" customHeight="false" outlineLevel="0" collapsed="false">
      <c r="B68" s="18" t="n">
        <f aca="false">IF(ISNUMBER(SMALL(08_Restaurantes!$AK$3:$AK$391,10)),10,"")</f>
        <v>10</v>
      </c>
      <c r="C68" s="47" t="str">
        <f aca="false">IFERROR(INDEX(08_Restaurantes!$B$3:$B$391,MATCH(SMALL(08_Restaurantes!$AK$3:$AK$391,10),08_Restaurantes!$AK$3:$AK$391,0))&amp;"","")</f>
        <v>Copacabana Chicken</v>
      </c>
      <c r="D68" s="47" t="str">
        <f aca="false">IFERROR(INDEX(08_Restaurantes!$C$3:$C$391,MATCH(SMALL(08_Restaurantes!$AK$3:$AK$391,10),08_Restaurantes!$AK$3:$AK$391,0))&amp;"","")</f>
        <v>Pollería</v>
      </c>
      <c r="E68" s="47" t="str">
        <f aca="false">IFERROR(TRIM(INDEX(08_Restaurantes!$I$3:$I$391,MATCH(SMALL(08_Restaurantes!$AK$3:$AK$391,10),08_Restaurantes!$AK$3:$AK$391,0))&amp;"  "&amp;INDEX(08_Restaurantes!$J$3:$J$391,MATCH(SMALL(08_Restaurantes!$AK$3:$AK$391,10),08_Restaurantes!$AK$3:$AK$391,0))),"")</f>
        <v/>
      </c>
      <c r="F68" s="47" t="str">
        <f aca="false">IFERROR(INDEX(08_Restaurantes!$W$3:$W$391,MATCH(SMALL(08_Restaurantes!$AK$3:$AK$391,10),08_Restaurantes!$AK$3:$AK$391,0))&amp;"","")</f>
        <v>Exacta — OpenStreetMap</v>
      </c>
      <c r="G68" s="48" t="str">
        <f aca="false">IFERROR(INDEX(08_Restaurantes!$X$3:$X$391,MATCH(SMALL(08_Restaurantes!$AK$3:$AK$391,10),08_Restaurantes!$AK$3:$AK$391,0)),"")</f>
        <v>Ver en mapa</v>
      </c>
      <c r="H68" s="49" t="n">
        <f aca="false">IFERROR(ROUND(SMALL(08_Restaurantes!$AK$3:$AK$391,10),2),"")</f>
        <v>0.4</v>
      </c>
    </row>
    <row r="69" customFormat="false" ht="15" hidden="false" customHeight="false" outlineLevel="0" collapsed="false">
      <c r="B69" s="28" t="s">
        <v>150</v>
      </c>
    </row>
  </sheetData>
  <dataValidations count="1">
    <dataValidation allowBlank="false" errorStyle="stop" operator="between" showDropDown="false" showErrorMessage="false" showInputMessage="false" sqref="C5" type="list">
      <formula1>08_Restaurantes!$B$3:$B$391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24"/>
    <col collapsed="false" customWidth="true" hidden="false" outlineLevel="0" max="6" min="6" style="1" width="28"/>
  </cols>
  <sheetData>
    <row r="1" customFormat="false" ht="33.75" hidden="false" customHeight="true" outlineLevel="0" collapsed="false">
      <c r="A1" s="13" t="s">
        <v>151</v>
      </c>
      <c r="B1" s="13" t="s">
        <v>72</v>
      </c>
      <c r="C1" s="13" t="s">
        <v>152</v>
      </c>
      <c r="D1" s="13" t="s">
        <v>153</v>
      </c>
      <c r="E1" s="13" t="s">
        <v>154</v>
      </c>
      <c r="F1" s="13" t="s">
        <v>155</v>
      </c>
    </row>
    <row r="2" customFormat="false" ht="15" hidden="false" customHeight="true" outlineLevel="0" collapsed="false">
      <c r="A2" s="50" t="s">
        <v>156</v>
      </c>
      <c r="B2" s="50" t="s">
        <v>157</v>
      </c>
      <c r="C2" s="51" t="n">
        <v>0.07</v>
      </c>
      <c r="D2" s="50" t="s">
        <v>158</v>
      </c>
      <c r="E2" s="52" t="n">
        <v>3</v>
      </c>
      <c r="F2" s="50" t="s">
        <v>159</v>
      </c>
    </row>
    <row r="3" customFormat="false" ht="15" hidden="false" customHeight="true" outlineLevel="0" collapsed="false">
      <c r="A3" s="50" t="s">
        <v>160</v>
      </c>
      <c r="B3" s="50" t="s">
        <v>161</v>
      </c>
      <c r="C3" s="51" t="n">
        <v>0.09</v>
      </c>
      <c r="D3" s="50" t="s">
        <v>162</v>
      </c>
      <c r="E3" s="52" t="n">
        <v>3</v>
      </c>
      <c r="F3" s="50" t="s">
        <v>163</v>
      </c>
    </row>
    <row r="4" customFormat="false" ht="15" hidden="false" customHeight="true" outlineLevel="0" collapsed="false">
      <c r="A4" s="50" t="s">
        <v>164</v>
      </c>
      <c r="B4" s="50" t="s">
        <v>165</v>
      </c>
      <c r="C4" s="51" t="n">
        <v>0.11</v>
      </c>
      <c r="D4" s="50" t="s">
        <v>166</v>
      </c>
      <c r="E4" s="52" t="n">
        <v>4</v>
      </c>
      <c r="F4" s="50" t="s">
        <v>167</v>
      </c>
    </row>
    <row r="5" customFormat="false" ht="15" hidden="false" customHeight="true" outlineLevel="0" collapsed="false">
      <c r="A5" s="50" t="s">
        <v>168</v>
      </c>
      <c r="B5" s="50" t="s">
        <v>169</v>
      </c>
      <c r="C5" s="51" t="n">
        <v>0.13</v>
      </c>
      <c r="D5" s="50" t="s">
        <v>170</v>
      </c>
      <c r="E5" s="52" t="n">
        <v>4</v>
      </c>
      <c r="F5" s="50" t="s">
        <v>171</v>
      </c>
    </row>
    <row r="6" customFormat="false" ht="15" hidden="false" customHeight="true" outlineLevel="0" collapsed="false">
      <c r="A6" s="50" t="s">
        <v>172</v>
      </c>
      <c r="D6" s="50" t="s">
        <v>173</v>
      </c>
      <c r="E6" s="52" t="n">
        <v>3.5</v>
      </c>
      <c r="F6" s="50" t="s">
        <v>174</v>
      </c>
    </row>
    <row r="7" customFormat="false" ht="15" hidden="false" customHeight="true" outlineLevel="0" collapsed="false">
      <c r="A7" s="50" t="s">
        <v>175</v>
      </c>
      <c r="D7" s="50" t="s">
        <v>176</v>
      </c>
      <c r="E7" s="52" t="n">
        <v>3.5</v>
      </c>
      <c r="F7" s="50" t="s">
        <v>177</v>
      </c>
    </row>
    <row r="8" customFormat="false" ht="15" hidden="false" customHeight="true" outlineLevel="0" collapsed="false">
      <c r="A8" s="50" t="s">
        <v>178</v>
      </c>
      <c r="D8" s="50" t="s">
        <v>179</v>
      </c>
      <c r="E8" s="52" t="n">
        <v>4</v>
      </c>
      <c r="F8" s="50" t="s">
        <v>180</v>
      </c>
    </row>
    <row r="9" customFormat="false" ht="15" hidden="false" customHeight="true" outlineLevel="0" collapsed="false">
      <c r="D9" s="50" t="s">
        <v>181</v>
      </c>
      <c r="E9" s="52" t="n">
        <v>4.5</v>
      </c>
      <c r="F9" s="50" t="s">
        <v>182</v>
      </c>
    </row>
    <row r="10" customFormat="false" ht="15" hidden="false" customHeight="true" outlineLevel="0" collapsed="false">
      <c r="D10" s="50" t="s">
        <v>183</v>
      </c>
      <c r="E10" s="52" t="n">
        <v>4</v>
      </c>
      <c r="F10" s="50" t="s">
        <v>184</v>
      </c>
    </row>
    <row r="11" customFormat="false" ht="15" hidden="false" customHeight="true" outlineLevel="0" collapsed="false">
      <c r="D11" s="50" t="s">
        <v>185</v>
      </c>
      <c r="E11" s="52" t="n">
        <v>4.5</v>
      </c>
      <c r="F11" s="50" t="s">
        <v>186</v>
      </c>
    </row>
    <row r="12" customFormat="false" ht="15" hidden="false" customHeight="true" outlineLevel="0" collapsed="false">
      <c r="D12" s="50" t="s">
        <v>187</v>
      </c>
      <c r="E12" s="52" t="n">
        <v>5</v>
      </c>
      <c r="F12" s="50" t="s">
        <v>188</v>
      </c>
    </row>
    <row r="13" customFormat="false" ht="15" hidden="false" customHeight="true" outlineLevel="0" collapsed="false">
      <c r="D13" s="50" t="s">
        <v>189</v>
      </c>
      <c r="E13" s="52" t="n">
        <v>6</v>
      </c>
      <c r="F13" s="50" t="s">
        <v>190</v>
      </c>
    </row>
    <row r="14" customFormat="false" ht="15" hidden="false" customHeight="true" outlineLevel="0" collapsed="false">
      <c r="D14" s="50" t="s">
        <v>191</v>
      </c>
      <c r="E14" s="52" t="n">
        <v>6.5</v>
      </c>
      <c r="F14" s="50" t="s">
        <v>192</v>
      </c>
    </row>
    <row r="15" customFormat="false" ht="15" hidden="false" customHeight="true" outlineLevel="0" collapsed="false">
      <c r="D15" s="50" t="s">
        <v>193</v>
      </c>
      <c r="E15" s="52" t="n">
        <v>6.5</v>
      </c>
      <c r="F15" s="50" t="s">
        <v>194</v>
      </c>
    </row>
    <row r="16" customFormat="false" ht="15" hidden="false" customHeight="true" outlineLevel="0" collapsed="false">
      <c r="D16" s="50" t="s">
        <v>195</v>
      </c>
      <c r="E16" s="52" t="n">
        <v>5</v>
      </c>
      <c r="F16" s="50" t="s">
        <v>196</v>
      </c>
    </row>
    <row r="17" customFormat="false" ht="15" hidden="false" customHeight="true" outlineLevel="0" collapsed="false">
      <c r="D17" s="50" t="s">
        <v>197</v>
      </c>
      <c r="E17" s="53"/>
      <c r="F17" s="50" t="s">
        <v>178</v>
      </c>
    </row>
    <row r="18" customFormat="false" ht="15" hidden="false" customHeight="true" outlineLevel="0" collapsed="false">
      <c r="F18" s="50" t="s">
        <v>198</v>
      </c>
    </row>
    <row r="19" customFormat="false" ht="15" hidden="false" customHeight="true" outlineLevel="0" collapsed="false">
      <c r="F19" s="50" t="s">
        <v>199</v>
      </c>
    </row>
    <row r="20" customFormat="false" ht="15" hidden="false" customHeight="true" outlineLevel="0" collapsed="false">
      <c r="F20" s="50" t="s">
        <v>200</v>
      </c>
    </row>
    <row r="21" customFormat="false" ht="15" hidden="false" customHeight="true" outlineLevel="0" collapsed="false">
      <c r="F21" s="50" t="s">
        <v>201</v>
      </c>
    </row>
    <row r="22" customFormat="false" ht="15" hidden="false" customHeight="true" outlineLevel="0" collapsed="false">
      <c r="F22" s="50" t="s">
        <v>202</v>
      </c>
    </row>
    <row r="23" customFormat="false" ht="15" hidden="false" customHeight="false" outlineLevel="0" collapsed="false">
      <c r="F23" s="45" t="s">
        <v>203</v>
      </c>
    </row>
    <row r="24" customFormat="false" ht="15" hidden="false" customHeight="true" outlineLevel="0" collapsed="false">
      <c r="A24" s="8" t="s">
        <v>204</v>
      </c>
    </row>
    <row r="25" customFormat="false" ht="15" hidden="false" customHeight="true" outlineLevel="0" collapsed="false">
      <c r="A25" s="8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6" min="15" style="1" width="14"/>
    <col collapsed="false" customWidth="true" hidden="false" outlineLevel="0" max="17" min="17" style="1" width="9"/>
    <col collapsed="false" customWidth="true" hidden="false" outlineLevel="0" max="18" min="18" style="1" width="13"/>
    <col collapsed="false" customWidth="true" hidden="false" outlineLevel="0" max="19" min="19" style="1" width="22"/>
    <col collapsed="false" customWidth="true" hidden="false" outlineLevel="0" max="20" min="20" style="1" width="24"/>
    <col collapsed="false" customWidth="true" hidden="false" outlineLevel="0" max="21" min="21" style="1" width="46"/>
  </cols>
  <sheetData>
    <row r="1" customFormat="false" ht="33.75" hidden="false" customHeight="true" outlineLevel="0" collapsed="false">
      <c r="A1" s="13" t="s">
        <v>206</v>
      </c>
      <c r="B1" s="13" t="s">
        <v>70</v>
      </c>
      <c r="C1" s="13" t="s">
        <v>207</v>
      </c>
      <c r="D1" s="13" t="s">
        <v>208</v>
      </c>
      <c r="E1" s="13" t="s">
        <v>209</v>
      </c>
      <c r="F1" s="13" t="s">
        <v>210</v>
      </c>
      <c r="G1" s="13" t="s">
        <v>72</v>
      </c>
      <c r="H1" s="13" t="s">
        <v>211</v>
      </c>
      <c r="I1" s="13" t="s">
        <v>212</v>
      </c>
      <c r="J1" s="13" t="s">
        <v>73</v>
      </c>
      <c r="K1" s="13" t="s">
        <v>213</v>
      </c>
      <c r="L1" s="13" t="s">
        <v>74</v>
      </c>
      <c r="M1" s="13" t="s">
        <v>214</v>
      </c>
      <c r="N1" s="13" t="s">
        <v>215</v>
      </c>
      <c r="O1" s="13" t="s">
        <v>216</v>
      </c>
      <c r="P1" s="13" t="s">
        <v>217</v>
      </c>
      <c r="Q1" s="13" t="s">
        <v>218</v>
      </c>
      <c r="R1" s="13" t="s">
        <v>219</v>
      </c>
      <c r="S1" s="13" t="s">
        <v>220</v>
      </c>
      <c r="T1" s="13" t="s">
        <v>155</v>
      </c>
      <c r="U1" s="13" t="s">
        <v>221</v>
      </c>
    </row>
    <row r="2" customFormat="false" ht="23.25" hidden="false" customHeight="true" outlineLevel="0" collapsed="false">
      <c r="A2" s="54" t="n">
        <v>1</v>
      </c>
      <c r="B2" s="55" t="s">
        <v>222</v>
      </c>
      <c r="C2" s="56" t="s">
        <v>223</v>
      </c>
      <c r="D2" s="56" t="s">
        <v>224</v>
      </c>
      <c r="E2" s="57" t="s">
        <v>225</v>
      </c>
      <c r="F2" s="55" t="s">
        <v>226</v>
      </c>
      <c r="G2" s="55" t="s">
        <v>157</v>
      </c>
      <c r="H2" s="58" t="n">
        <v>10</v>
      </c>
      <c r="I2" s="58" t="n">
        <v>15</v>
      </c>
      <c r="J2" s="58" t="n">
        <f aca="false">ROUND(AVERAGE(H2:I2),1)</f>
        <v>12.5</v>
      </c>
      <c r="K2" s="59" t="n">
        <v>1</v>
      </c>
      <c r="L2" s="58" t="n">
        <f aca="false">J2+K2</f>
        <v>13.5</v>
      </c>
      <c r="M2" s="60" t="n">
        <f aca="false">IFERROR(INDEX(99_Listas!$C$2:$C$5,MATCH(G2,99_Listas!$B$2:$B$5,0)),0)</f>
        <v>0.07</v>
      </c>
      <c r="N2" s="58" t="n">
        <f aca="false">ROUND(J2*M2,2)</f>
        <v>0.88</v>
      </c>
      <c r="O2" s="58" t="n">
        <f aca="false">ROUND(J2-N2,2)</f>
        <v>11.62</v>
      </c>
      <c r="P2" s="55" t="s">
        <v>227</v>
      </c>
      <c r="Q2" s="54" t="n">
        <v>10</v>
      </c>
      <c r="R2" s="55" t="s">
        <v>165</v>
      </c>
      <c r="S2" s="56" t="s">
        <v>228</v>
      </c>
      <c r="T2" s="56" t="s">
        <v>229</v>
      </c>
      <c r="U2" s="56" t="s">
        <v>230</v>
      </c>
    </row>
    <row r="3" customFormat="false" ht="15" hidden="false" customHeight="true" outlineLevel="0" collapsed="false">
      <c r="A3" s="61" t="n">
        <v>2</v>
      </c>
      <c r="B3" s="62" t="s">
        <v>222</v>
      </c>
      <c r="C3" s="63" t="s">
        <v>231</v>
      </c>
      <c r="D3" s="63" t="s">
        <v>232</v>
      </c>
      <c r="E3" s="57" t="s">
        <v>233</v>
      </c>
      <c r="F3" s="62" t="s">
        <v>226</v>
      </c>
      <c r="G3" s="62" t="s">
        <v>161</v>
      </c>
      <c r="H3" s="64" t="n">
        <v>12</v>
      </c>
      <c r="I3" s="64" t="n">
        <v>18</v>
      </c>
      <c r="J3" s="64" t="n">
        <f aca="false">ROUND(AVERAGE(H3:I3),1)</f>
        <v>15</v>
      </c>
      <c r="K3" s="59" t="n">
        <v>1</v>
      </c>
      <c r="L3" s="64" t="n">
        <f aca="false">J3+K3</f>
        <v>16</v>
      </c>
      <c r="M3" s="65" t="n">
        <f aca="false">IFERROR(INDEX(99_Listas!$C$2:$C$5,MATCH(G3,99_Listas!$B$2:$B$5,0)),0)</f>
        <v>0.09</v>
      </c>
      <c r="N3" s="64" t="n">
        <f aca="false">ROUND(J3*M3,2)</f>
        <v>1.35</v>
      </c>
      <c r="O3" s="64" t="n">
        <f aca="false">ROUND(J3-N3,2)</f>
        <v>13.65</v>
      </c>
      <c r="P3" s="62" t="s">
        <v>227</v>
      </c>
      <c r="Q3" s="61" t="n">
        <v>10</v>
      </c>
      <c r="R3" s="62" t="s">
        <v>165</v>
      </c>
      <c r="S3" s="63" t="s">
        <v>228</v>
      </c>
      <c r="T3" s="63" t="s">
        <v>229</v>
      </c>
      <c r="U3" s="63" t="s">
        <v>234</v>
      </c>
    </row>
    <row r="4" customFormat="false" ht="23.25" hidden="false" customHeight="true" outlineLevel="0" collapsed="false">
      <c r="A4" s="54" t="n">
        <v>3</v>
      </c>
      <c r="B4" s="55" t="s">
        <v>222</v>
      </c>
      <c r="C4" s="56" t="s">
        <v>235</v>
      </c>
      <c r="D4" s="56" t="s">
        <v>236</v>
      </c>
      <c r="E4" s="57" t="s">
        <v>237</v>
      </c>
      <c r="F4" s="55" t="s">
        <v>226</v>
      </c>
      <c r="G4" s="55" t="s">
        <v>161</v>
      </c>
      <c r="H4" s="58" t="n">
        <v>12</v>
      </c>
      <c r="I4" s="58" t="n">
        <v>18</v>
      </c>
      <c r="J4" s="58" t="n">
        <f aca="false">ROUND(AVERAGE(H4:I4),1)</f>
        <v>15</v>
      </c>
      <c r="K4" s="59" t="n">
        <v>1</v>
      </c>
      <c r="L4" s="58" t="n">
        <f aca="false">J4+K4</f>
        <v>16</v>
      </c>
      <c r="M4" s="60" t="n">
        <f aca="false">IFERROR(INDEX(99_Listas!$C$2:$C$5,MATCH(G4,99_Listas!$B$2:$B$5,0)),0)</f>
        <v>0.09</v>
      </c>
      <c r="N4" s="58" t="n">
        <f aca="false">ROUND(J4*M4,2)</f>
        <v>1.35</v>
      </c>
      <c r="O4" s="58" t="n">
        <f aca="false">ROUND(J4-N4,2)</f>
        <v>13.65</v>
      </c>
      <c r="P4" s="55" t="s">
        <v>227</v>
      </c>
      <c r="Q4" s="54" t="n">
        <v>10</v>
      </c>
      <c r="R4" s="55" t="s">
        <v>165</v>
      </c>
      <c r="S4" s="56" t="s">
        <v>228</v>
      </c>
      <c r="T4" s="56" t="s">
        <v>229</v>
      </c>
      <c r="U4" s="56"/>
    </row>
    <row r="5" customFormat="false" ht="15" hidden="false" customHeight="true" outlineLevel="0" collapsed="false">
      <c r="A5" s="61" t="n">
        <v>4</v>
      </c>
      <c r="B5" s="62" t="s">
        <v>222</v>
      </c>
      <c r="C5" s="63" t="s">
        <v>238</v>
      </c>
      <c r="D5" s="63" t="s">
        <v>239</v>
      </c>
      <c r="E5" s="57" t="s">
        <v>240</v>
      </c>
      <c r="F5" s="62" t="s">
        <v>226</v>
      </c>
      <c r="G5" s="62" t="s">
        <v>161</v>
      </c>
      <c r="H5" s="64" t="n">
        <v>10</v>
      </c>
      <c r="I5" s="64" t="n">
        <v>16</v>
      </c>
      <c r="J5" s="64" t="n">
        <f aca="false">ROUND(AVERAGE(H5:I5),1)</f>
        <v>13</v>
      </c>
      <c r="K5" s="59" t="n">
        <v>1</v>
      </c>
      <c r="L5" s="64" t="n">
        <f aca="false">J5+K5</f>
        <v>14</v>
      </c>
      <c r="M5" s="65" t="n">
        <f aca="false">IFERROR(INDEX(99_Listas!$C$2:$C$5,MATCH(G5,99_Listas!$B$2:$B$5,0)),0)</f>
        <v>0.09</v>
      </c>
      <c r="N5" s="64" t="n">
        <f aca="false">ROUND(J5*M5,2)</f>
        <v>1.17</v>
      </c>
      <c r="O5" s="64" t="n">
        <f aca="false">ROUND(J5-N5,2)</f>
        <v>11.83</v>
      </c>
      <c r="P5" s="62" t="s">
        <v>227</v>
      </c>
      <c r="Q5" s="61" t="n">
        <v>10</v>
      </c>
      <c r="R5" s="62" t="s">
        <v>165</v>
      </c>
      <c r="S5" s="63" t="s">
        <v>228</v>
      </c>
      <c r="T5" s="63" t="s">
        <v>229</v>
      </c>
      <c r="U5" s="63"/>
    </row>
    <row r="6" customFormat="false" ht="15" hidden="false" customHeight="true" outlineLevel="0" collapsed="false">
      <c r="A6" s="54" t="n">
        <v>5</v>
      </c>
      <c r="B6" s="55" t="s">
        <v>222</v>
      </c>
      <c r="C6" s="56" t="s">
        <v>241</v>
      </c>
      <c r="D6" s="56" t="s">
        <v>242</v>
      </c>
      <c r="E6" s="57" t="s">
        <v>243</v>
      </c>
      <c r="F6" s="55" t="s">
        <v>226</v>
      </c>
      <c r="G6" s="55" t="s">
        <v>161</v>
      </c>
      <c r="H6" s="58" t="n">
        <v>10</v>
      </c>
      <c r="I6" s="58" t="n">
        <v>16</v>
      </c>
      <c r="J6" s="58" t="n">
        <f aca="false">ROUND(AVERAGE(H6:I6),1)</f>
        <v>13</v>
      </c>
      <c r="K6" s="59" t="n">
        <v>1</v>
      </c>
      <c r="L6" s="58" t="n">
        <f aca="false">J6+K6</f>
        <v>14</v>
      </c>
      <c r="M6" s="60" t="n">
        <f aca="false">IFERROR(INDEX(99_Listas!$C$2:$C$5,MATCH(G6,99_Listas!$B$2:$B$5,0)),0)</f>
        <v>0.09</v>
      </c>
      <c r="N6" s="58" t="n">
        <f aca="false">ROUND(J6*M6,2)</f>
        <v>1.17</v>
      </c>
      <c r="O6" s="58" t="n">
        <f aca="false">ROUND(J6-N6,2)</f>
        <v>11.83</v>
      </c>
      <c r="P6" s="55" t="s">
        <v>227</v>
      </c>
      <c r="Q6" s="54" t="n">
        <v>10</v>
      </c>
      <c r="R6" s="55" t="s">
        <v>165</v>
      </c>
      <c r="S6" s="56" t="s">
        <v>228</v>
      </c>
      <c r="T6" s="56" t="s">
        <v>229</v>
      </c>
      <c r="U6" s="56"/>
    </row>
    <row r="7" customFormat="false" ht="23.25" hidden="false" customHeight="true" outlineLevel="0" collapsed="false">
      <c r="A7" s="61" t="n">
        <v>6</v>
      </c>
      <c r="B7" s="62" t="s">
        <v>222</v>
      </c>
      <c r="C7" s="63" t="s">
        <v>244</v>
      </c>
      <c r="D7" s="63" t="s">
        <v>245</v>
      </c>
      <c r="E7" s="57" t="s">
        <v>246</v>
      </c>
      <c r="F7" s="62" t="s">
        <v>226</v>
      </c>
      <c r="G7" s="62" t="s">
        <v>157</v>
      </c>
      <c r="H7" s="64" t="n">
        <v>10</v>
      </c>
      <c r="I7" s="64" t="n">
        <v>16</v>
      </c>
      <c r="J7" s="64" t="n">
        <f aca="false">ROUND(AVERAGE(H7:I7),1)</f>
        <v>13</v>
      </c>
      <c r="K7" s="59" t="n">
        <v>1</v>
      </c>
      <c r="L7" s="64" t="n">
        <f aca="false">J7+K7</f>
        <v>14</v>
      </c>
      <c r="M7" s="65" t="n">
        <f aca="false">IFERROR(INDEX(99_Listas!$C$2:$C$5,MATCH(G7,99_Listas!$B$2:$B$5,0)),0)</f>
        <v>0.07</v>
      </c>
      <c r="N7" s="64" t="n">
        <f aca="false">ROUND(J7*M7,2)</f>
        <v>0.91</v>
      </c>
      <c r="O7" s="64" t="n">
        <f aca="false">ROUND(J7-N7,2)</f>
        <v>12.09</v>
      </c>
      <c r="P7" s="62" t="s">
        <v>247</v>
      </c>
      <c r="Q7" s="61" t="n">
        <v>10</v>
      </c>
      <c r="R7" s="62" t="s">
        <v>165</v>
      </c>
      <c r="S7" s="63" t="s">
        <v>248</v>
      </c>
      <c r="T7" s="63" t="s">
        <v>249</v>
      </c>
      <c r="U7" s="63" t="s">
        <v>250</v>
      </c>
    </row>
    <row r="8" customFormat="false" ht="15" hidden="false" customHeight="true" outlineLevel="0" collapsed="false">
      <c r="A8" s="54" t="n">
        <v>7</v>
      </c>
      <c r="B8" s="55" t="s">
        <v>222</v>
      </c>
      <c r="C8" s="56" t="s">
        <v>251</v>
      </c>
      <c r="D8" s="56" t="s">
        <v>252</v>
      </c>
      <c r="E8" s="57" t="s">
        <v>253</v>
      </c>
      <c r="F8" s="55" t="s">
        <v>226</v>
      </c>
      <c r="G8" s="55" t="s">
        <v>157</v>
      </c>
      <c r="H8" s="58" t="n">
        <v>8</v>
      </c>
      <c r="I8" s="58" t="n">
        <v>12</v>
      </c>
      <c r="J8" s="58" t="n">
        <f aca="false">ROUND(AVERAGE(H8:I8),1)</f>
        <v>10</v>
      </c>
      <c r="K8" s="59" t="n">
        <v>1</v>
      </c>
      <c r="L8" s="58" t="n">
        <f aca="false">J8+K8</f>
        <v>11</v>
      </c>
      <c r="M8" s="60" t="n">
        <f aca="false">IFERROR(INDEX(99_Listas!$C$2:$C$5,MATCH(G8,99_Listas!$B$2:$B$5,0)),0)</f>
        <v>0.07</v>
      </c>
      <c r="N8" s="58" t="n">
        <f aca="false">ROUND(J8*M8,2)</f>
        <v>0.7</v>
      </c>
      <c r="O8" s="58" t="n">
        <f aca="false">ROUND(J8-N8,2)</f>
        <v>9.3</v>
      </c>
      <c r="P8" s="55" t="s">
        <v>247</v>
      </c>
      <c r="Q8" s="54" t="n">
        <v>10</v>
      </c>
      <c r="R8" s="55" t="s">
        <v>165</v>
      </c>
      <c r="S8" s="56" t="s">
        <v>228</v>
      </c>
      <c r="T8" s="56" t="s">
        <v>254</v>
      </c>
      <c r="U8" s="56"/>
    </row>
    <row r="9" customFormat="false" ht="15" hidden="false" customHeight="true" outlineLevel="0" collapsed="false">
      <c r="A9" s="61" t="n">
        <v>8</v>
      </c>
      <c r="B9" s="62" t="s">
        <v>222</v>
      </c>
      <c r="C9" s="63" t="s">
        <v>255</v>
      </c>
      <c r="D9" s="63" t="s">
        <v>256</v>
      </c>
      <c r="E9" s="57" t="s">
        <v>257</v>
      </c>
      <c r="F9" s="62" t="s">
        <v>226</v>
      </c>
      <c r="G9" s="62" t="s">
        <v>161</v>
      </c>
      <c r="H9" s="64" t="n">
        <v>12</v>
      </c>
      <c r="I9" s="64" t="n">
        <v>20</v>
      </c>
      <c r="J9" s="64" t="n">
        <f aca="false">ROUND(AVERAGE(H9:I9),1)</f>
        <v>16</v>
      </c>
      <c r="K9" s="59" t="n">
        <v>1</v>
      </c>
      <c r="L9" s="64" t="n">
        <f aca="false">J9+K9</f>
        <v>17</v>
      </c>
      <c r="M9" s="65" t="n">
        <f aca="false">IFERROR(INDEX(99_Listas!$C$2:$C$5,MATCH(G9,99_Listas!$B$2:$B$5,0)),0)</f>
        <v>0.09</v>
      </c>
      <c r="N9" s="64" t="n">
        <f aca="false">ROUND(J9*M9,2)</f>
        <v>1.44</v>
      </c>
      <c r="O9" s="64" t="n">
        <f aca="false">ROUND(J9-N9,2)</f>
        <v>14.56</v>
      </c>
      <c r="P9" s="62" t="s">
        <v>247</v>
      </c>
      <c r="Q9" s="61" t="n">
        <v>15</v>
      </c>
      <c r="R9" s="62" t="s">
        <v>258</v>
      </c>
      <c r="S9" s="63" t="s">
        <v>259</v>
      </c>
      <c r="T9" s="63" t="s">
        <v>260</v>
      </c>
      <c r="U9" s="63" t="s">
        <v>261</v>
      </c>
    </row>
    <row r="10" customFormat="false" ht="15" hidden="false" customHeight="true" outlineLevel="0" collapsed="false">
      <c r="A10" s="54" t="n">
        <v>9</v>
      </c>
      <c r="B10" s="55" t="s">
        <v>262</v>
      </c>
      <c r="C10" s="56" t="s">
        <v>263</v>
      </c>
      <c r="D10" s="56" t="s">
        <v>264</v>
      </c>
      <c r="E10" s="57" t="s">
        <v>265</v>
      </c>
      <c r="F10" s="55" t="s">
        <v>266</v>
      </c>
      <c r="G10" s="55" t="s">
        <v>157</v>
      </c>
      <c r="H10" s="58" t="n">
        <v>2</v>
      </c>
      <c r="I10" s="58" t="n">
        <v>5</v>
      </c>
      <c r="J10" s="58" t="n">
        <f aca="false">ROUND(AVERAGE(H10:I10),1)</f>
        <v>3.5</v>
      </c>
      <c r="K10" s="59" t="n">
        <v>1</v>
      </c>
      <c r="L10" s="58" t="n">
        <f aca="false">J10+K10</f>
        <v>4.5</v>
      </c>
      <c r="M10" s="60" t="n">
        <f aca="false">IFERROR(INDEX(99_Listas!$C$2:$C$5,MATCH(G10,99_Listas!$B$2:$B$5,0)),0)</f>
        <v>0.07</v>
      </c>
      <c r="N10" s="58" t="n">
        <f aca="false">ROUND(J10*M10,2)</f>
        <v>0.25</v>
      </c>
      <c r="O10" s="58" t="n">
        <f aca="false">ROUND(J10-N10,2)</f>
        <v>3.25</v>
      </c>
      <c r="P10" s="55" t="s">
        <v>247</v>
      </c>
      <c r="Q10" s="54" t="n">
        <v>2</v>
      </c>
      <c r="R10" s="55" t="s">
        <v>165</v>
      </c>
      <c r="S10" s="56" t="s">
        <v>228</v>
      </c>
      <c r="T10" s="56" t="s">
        <v>267</v>
      </c>
      <c r="U10" s="56" t="s">
        <v>268</v>
      </c>
    </row>
    <row r="11" customFormat="false" ht="15" hidden="false" customHeight="true" outlineLevel="0" collapsed="false">
      <c r="A11" s="61" t="n">
        <v>10</v>
      </c>
      <c r="B11" s="62" t="s">
        <v>262</v>
      </c>
      <c r="C11" s="63" t="s">
        <v>269</v>
      </c>
      <c r="D11" s="63" t="s">
        <v>270</v>
      </c>
      <c r="E11" s="57" t="s">
        <v>271</v>
      </c>
      <c r="F11" s="62" t="s">
        <v>266</v>
      </c>
      <c r="G11" s="62" t="s">
        <v>157</v>
      </c>
      <c r="H11" s="64" t="n">
        <v>2</v>
      </c>
      <c r="I11" s="64" t="n">
        <v>5</v>
      </c>
      <c r="J11" s="64" t="n">
        <f aca="false">ROUND(AVERAGE(H11:I11),1)</f>
        <v>3.5</v>
      </c>
      <c r="K11" s="59" t="n">
        <v>1</v>
      </c>
      <c r="L11" s="64" t="n">
        <f aca="false">J11+K11</f>
        <v>4.5</v>
      </c>
      <c r="M11" s="65" t="n">
        <f aca="false">IFERROR(INDEX(99_Listas!$C$2:$C$5,MATCH(G11,99_Listas!$B$2:$B$5,0)),0)</f>
        <v>0.07</v>
      </c>
      <c r="N11" s="64" t="n">
        <f aca="false">ROUND(J11*M11,2)</f>
        <v>0.25</v>
      </c>
      <c r="O11" s="64" t="n">
        <f aca="false">ROUND(J11-N11,2)</f>
        <v>3.25</v>
      </c>
      <c r="P11" s="62" t="s">
        <v>247</v>
      </c>
      <c r="Q11" s="61" t="n">
        <v>2</v>
      </c>
      <c r="R11" s="62" t="s">
        <v>165</v>
      </c>
      <c r="S11" s="63" t="s">
        <v>228</v>
      </c>
      <c r="T11" s="63" t="s">
        <v>267</v>
      </c>
      <c r="U11" s="63"/>
    </row>
    <row r="12" customFormat="false" ht="15" hidden="false" customHeight="true" outlineLevel="0" collapsed="false">
      <c r="A12" s="54" t="n">
        <v>11</v>
      </c>
      <c r="B12" s="55" t="s">
        <v>262</v>
      </c>
      <c r="C12" s="56" t="s">
        <v>272</v>
      </c>
      <c r="D12" s="56" t="s">
        <v>273</v>
      </c>
      <c r="E12" s="57" t="s">
        <v>274</v>
      </c>
      <c r="F12" s="55" t="s">
        <v>266</v>
      </c>
      <c r="G12" s="55" t="s">
        <v>157</v>
      </c>
      <c r="H12" s="58" t="n">
        <v>3</v>
      </c>
      <c r="I12" s="58" t="n">
        <v>8</v>
      </c>
      <c r="J12" s="58" t="n">
        <f aca="false">ROUND(AVERAGE(H12:I12),1)</f>
        <v>5.5</v>
      </c>
      <c r="K12" s="59" t="n">
        <v>1</v>
      </c>
      <c r="L12" s="58" t="n">
        <f aca="false">J12+K12</f>
        <v>6.5</v>
      </c>
      <c r="M12" s="60" t="n">
        <f aca="false">IFERROR(INDEX(99_Listas!$C$2:$C$5,MATCH(G12,99_Listas!$B$2:$B$5,0)),0)</f>
        <v>0.07</v>
      </c>
      <c r="N12" s="58" t="n">
        <f aca="false">ROUND(J12*M12,2)</f>
        <v>0.39</v>
      </c>
      <c r="O12" s="58" t="n">
        <f aca="false">ROUND(J12-N12,2)</f>
        <v>5.11</v>
      </c>
      <c r="P12" s="55" t="s">
        <v>275</v>
      </c>
      <c r="Q12" s="54" t="n">
        <v>3</v>
      </c>
      <c r="R12" s="55" t="s">
        <v>276</v>
      </c>
      <c r="S12" s="56" t="s">
        <v>228</v>
      </c>
      <c r="T12" s="56" t="s">
        <v>182</v>
      </c>
      <c r="U12" s="56"/>
    </row>
    <row r="13" customFormat="false" ht="15" hidden="false" customHeight="true" outlineLevel="0" collapsed="false">
      <c r="A13" s="61" t="n">
        <v>12</v>
      </c>
      <c r="B13" s="62" t="s">
        <v>262</v>
      </c>
      <c r="C13" s="63" t="s">
        <v>277</v>
      </c>
      <c r="D13" s="63" t="s">
        <v>278</v>
      </c>
      <c r="E13" s="57" t="s">
        <v>279</v>
      </c>
      <c r="F13" s="62" t="s">
        <v>266</v>
      </c>
      <c r="G13" s="62" t="s">
        <v>161</v>
      </c>
      <c r="H13" s="64" t="n">
        <v>6</v>
      </c>
      <c r="I13" s="64" t="n">
        <v>14</v>
      </c>
      <c r="J13" s="64" t="n">
        <f aca="false">ROUND(AVERAGE(H13:I13),1)</f>
        <v>10</v>
      </c>
      <c r="K13" s="59" t="n">
        <v>1</v>
      </c>
      <c r="L13" s="64" t="n">
        <f aca="false">J13+K13</f>
        <v>11</v>
      </c>
      <c r="M13" s="65" t="n">
        <f aca="false">IFERROR(INDEX(99_Listas!$C$2:$C$5,MATCH(G13,99_Listas!$B$2:$B$5,0)),0)</f>
        <v>0.09</v>
      </c>
      <c r="N13" s="64" t="n">
        <f aca="false">ROUND(J13*M13,2)</f>
        <v>0.9</v>
      </c>
      <c r="O13" s="64" t="n">
        <f aca="false">ROUND(J13-N13,2)</f>
        <v>9.1</v>
      </c>
      <c r="P13" s="62" t="s">
        <v>280</v>
      </c>
      <c r="Q13" s="61" t="n">
        <v>5</v>
      </c>
      <c r="R13" s="62" t="s">
        <v>165</v>
      </c>
      <c r="S13" s="63" t="s">
        <v>228</v>
      </c>
      <c r="T13" s="63" t="s">
        <v>182</v>
      </c>
      <c r="U13" s="63" t="s">
        <v>281</v>
      </c>
    </row>
    <row r="14" customFormat="false" ht="15" hidden="false" customHeight="true" outlineLevel="0" collapsed="false">
      <c r="A14" s="54" t="n">
        <v>13</v>
      </c>
      <c r="B14" s="55" t="s">
        <v>262</v>
      </c>
      <c r="C14" s="56" t="s">
        <v>282</v>
      </c>
      <c r="D14" s="56" t="s">
        <v>283</v>
      </c>
      <c r="E14" s="57" t="s">
        <v>284</v>
      </c>
      <c r="F14" s="55" t="s">
        <v>266</v>
      </c>
      <c r="G14" s="55" t="s">
        <v>157</v>
      </c>
      <c r="H14" s="58" t="n">
        <v>4</v>
      </c>
      <c r="I14" s="58" t="n">
        <v>10</v>
      </c>
      <c r="J14" s="58" t="n">
        <f aca="false">ROUND(AVERAGE(H14:I14),1)</f>
        <v>7</v>
      </c>
      <c r="K14" s="59" t="n">
        <v>1</v>
      </c>
      <c r="L14" s="58" t="n">
        <f aca="false">J14+K14</f>
        <v>8</v>
      </c>
      <c r="M14" s="60" t="n">
        <f aca="false">IFERROR(INDEX(99_Listas!$C$2:$C$5,MATCH(G14,99_Listas!$B$2:$B$5,0)),0)</f>
        <v>0.07</v>
      </c>
      <c r="N14" s="58" t="n">
        <f aca="false">ROUND(J14*M14,2)</f>
        <v>0.49</v>
      </c>
      <c r="O14" s="58" t="n">
        <f aca="false">ROUND(J14-N14,2)</f>
        <v>6.51</v>
      </c>
      <c r="P14" s="55" t="s">
        <v>247</v>
      </c>
      <c r="Q14" s="54" t="n">
        <v>5</v>
      </c>
      <c r="R14" s="55" t="s">
        <v>276</v>
      </c>
      <c r="S14" s="56" t="s">
        <v>248</v>
      </c>
      <c r="T14" s="56" t="s">
        <v>182</v>
      </c>
      <c r="U14" s="56"/>
    </row>
    <row r="15" customFormat="false" ht="15" hidden="false" customHeight="true" outlineLevel="0" collapsed="false">
      <c r="A15" s="61" t="n">
        <v>14</v>
      </c>
      <c r="B15" s="62" t="s">
        <v>262</v>
      </c>
      <c r="C15" s="63" t="s">
        <v>285</v>
      </c>
      <c r="D15" s="63" t="s">
        <v>286</v>
      </c>
      <c r="E15" s="57" t="s">
        <v>287</v>
      </c>
      <c r="F15" s="62" t="s">
        <v>288</v>
      </c>
      <c r="G15" s="62" t="s">
        <v>157</v>
      </c>
      <c r="H15" s="64" t="n">
        <v>3</v>
      </c>
      <c r="I15" s="64" t="n">
        <v>6</v>
      </c>
      <c r="J15" s="64" t="n">
        <f aca="false">ROUND(AVERAGE(H15:I15),1)</f>
        <v>4.5</v>
      </c>
      <c r="K15" s="59" t="n">
        <v>1</v>
      </c>
      <c r="L15" s="64" t="n">
        <f aca="false">J15+K15</f>
        <v>5.5</v>
      </c>
      <c r="M15" s="65" t="n">
        <f aca="false">IFERROR(INDEX(99_Listas!$C$2:$C$5,MATCH(G15,99_Listas!$B$2:$B$5,0)),0)</f>
        <v>0.07</v>
      </c>
      <c r="N15" s="64" t="n">
        <f aca="false">ROUND(J15*M15,2)</f>
        <v>0.32</v>
      </c>
      <c r="O15" s="64" t="n">
        <f aca="false">ROUND(J15-N15,2)</f>
        <v>4.18</v>
      </c>
      <c r="P15" s="62" t="s">
        <v>227</v>
      </c>
      <c r="Q15" s="61" t="n">
        <v>3</v>
      </c>
      <c r="R15" s="62" t="s">
        <v>276</v>
      </c>
      <c r="S15" s="63" t="s">
        <v>228</v>
      </c>
      <c r="T15" s="63" t="s">
        <v>289</v>
      </c>
      <c r="U15" s="63"/>
    </row>
    <row r="16" customFormat="false" ht="23.25" hidden="false" customHeight="true" outlineLevel="0" collapsed="false">
      <c r="A16" s="54" t="n">
        <v>15</v>
      </c>
      <c r="B16" s="55" t="s">
        <v>290</v>
      </c>
      <c r="C16" s="56" t="s">
        <v>291</v>
      </c>
      <c r="D16" s="56" t="s">
        <v>292</v>
      </c>
      <c r="E16" s="57" t="s">
        <v>293</v>
      </c>
      <c r="F16" s="55" t="s">
        <v>294</v>
      </c>
      <c r="G16" s="55" t="s">
        <v>157</v>
      </c>
      <c r="H16" s="58" t="n">
        <v>5</v>
      </c>
      <c r="I16" s="58" t="n">
        <v>10</v>
      </c>
      <c r="J16" s="58" t="n">
        <f aca="false">ROUND(AVERAGE(H16:I16),1)</f>
        <v>7.5</v>
      </c>
      <c r="K16" s="59" t="n">
        <v>1</v>
      </c>
      <c r="L16" s="58" t="n">
        <f aca="false">J16+K16</f>
        <v>8.5</v>
      </c>
      <c r="M16" s="60" t="n">
        <f aca="false">IFERROR(INDEX(99_Listas!$C$2:$C$5,MATCH(G16,99_Listas!$B$2:$B$5,0)),0)</f>
        <v>0.07</v>
      </c>
      <c r="N16" s="58" t="n">
        <f aca="false">ROUND(J16*M16,2)</f>
        <v>0.53</v>
      </c>
      <c r="O16" s="58" t="n">
        <f aca="false">ROUND(J16-N16,2)</f>
        <v>6.97</v>
      </c>
      <c r="P16" s="55" t="s">
        <v>247</v>
      </c>
      <c r="Q16" s="54" t="n">
        <v>5</v>
      </c>
      <c r="R16" s="55" t="s">
        <v>276</v>
      </c>
      <c r="S16" s="56" t="s">
        <v>228</v>
      </c>
      <c r="T16" s="56" t="s">
        <v>295</v>
      </c>
      <c r="U16" s="56" t="s">
        <v>296</v>
      </c>
    </row>
    <row r="17" customFormat="false" ht="15" hidden="false" customHeight="true" outlineLevel="0" collapsed="false">
      <c r="A17" s="61" t="n">
        <v>16</v>
      </c>
      <c r="B17" s="62" t="s">
        <v>290</v>
      </c>
      <c r="C17" s="63" t="s">
        <v>297</v>
      </c>
      <c r="D17" s="63" t="s">
        <v>298</v>
      </c>
      <c r="E17" s="57" t="s">
        <v>299</v>
      </c>
      <c r="F17" s="62" t="s">
        <v>294</v>
      </c>
      <c r="G17" s="62" t="s">
        <v>157</v>
      </c>
      <c r="H17" s="64" t="n">
        <v>4</v>
      </c>
      <c r="I17" s="64" t="n">
        <v>8</v>
      </c>
      <c r="J17" s="64" t="n">
        <f aca="false">ROUND(AVERAGE(H17:I17),1)</f>
        <v>6</v>
      </c>
      <c r="K17" s="59" t="n">
        <v>1</v>
      </c>
      <c r="L17" s="64" t="n">
        <f aca="false">J17+K17</f>
        <v>7</v>
      </c>
      <c r="M17" s="65" t="n">
        <f aca="false">IFERROR(INDEX(99_Listas!$C$2:$C$5,MATCH(G17,99_Listas!$B$2:$B$5,0)),0)</f>
        <v>0.07</v>
      </c>
      <c r="N17" s="64" t="n">
        <f aca="false">ROUND(J17*M17,2)</f>
        <v>0.42</v>
      </c>
      <c r="O17" s="64" t="n">
        <f aca="false">ROUND(J17-N17,2)</f>
        <v>5.58</v>
      </c>
      <c r="P17" s="62" t="s">
        <v>247</v>
      </c>
      <c r="Q17" s="61" t="n">
        <v>5</v>
      </c>
      <c r="R17" s="62" t="s">
        <v>276</v>
      </c>
      <c r="S17" s="63" t="s">
        <v>228</v>
      </c>
      <c r="T17" s="63" t="s">
        <v>300</v>
      </c>
      <c r="U17" s="63"/>
    </row>
    <row r="18" customFormat="false" ht="15" hidden="false" customHeight="true" outlineLevel="0" collapsed="false">
      <c r="A18" s="54" t="n">
        <v>17</v>
      </c>
      <c r="B18" s="55" t="s">
        <v>290</v>
      </c>
      <c r="C18" s="56" t="s">
        <v>301</v>
      </c>
      <c r="D18" s="56" t="s">
        <v>302</v>
      </c>
      <c r="E18" s="57" t="s">
        <v>303</v>
      </c>
      <c r="F18" s="55" t="s">
        <v>294</v>
      </c>
      <c r="G18" s="55" t="s">
        <v>157</v>
      </c>
      <c r="H18" s="58" t="n">
        <v>5</v>
      </c>
      <c r="I18" s="58" t="n">
        <v>10</v>
      </c>
      <c r="J18" s="58" t="n">
        <f aca="false">ROUND(AVERAGE(H18:I18),1)</f>
        <v>7.5</v>
      </c>
      <c r="K18" s="59" t="n">
        <v>1</v>
      </c>
      <c r="L18" s="58" t="n">
        <f aca="false">J18+K18</f>
        <v>8.5</v>
      </c>
      <c r="M18" s="60" t="n">
        <f aca="false">IFERROR(INDEX(99_Listas!$C$2:$C$5,MATCH(G18,99_Listas!$B$2:$B$5,0)),0)</f>
        <v>0.07</v>
      </c>
      <c r="N18" s="58" t="n">
        <f aca="false">ROUND(J18*M18,2)</f>
        <v>0.53</v>
      </c>
      <c r="O18" s="58" t="n">
        <f aca="false">ROUND(J18-N18,2)</f>
        <v>6.97</v>
      </c>
      <c r="P18" s="55" t="s">
        <v>247</v>
      </c>
      <c r="Q18" s="54" t="n">
        <v>5</v>
      </c>
      <c r="R18" s="55" t="s">
        <v>276</v>
      </c>
      <c r="S18" s="56" t="s">
        <v>228</v>
      </c>
      <c r="T18" s="56" t="s">
        <v>182</v>
      </c>
      <c r="U18" s="56"/>
    </row>
    <row r="19" customFormat="false" ht="15" hidden="false" customHeight="true" outlineLevel="0" collapsed="false">
      <c r="A19" s="61" t="n">
        <v>18</v>
      </c>
      <c r="B19" s="62" t="s">
        <v>290</v>
      </c>
      <c r="C19" s="63" t="s">
        <v>304</v>
      </c>
      <c r="D19" s="63" t="s">
        <v>305</v>
      </c>
      <c r="E19" s="57" t="s">
        <v>306</v>
      </c>
      <c r="F19" s="62" t="s">
        <v>294</v>
      </c>
      <c r="G19" s="62" t="s">
        <v>157</v>
      </c>
      <c r="H19" s="64" t="n">
        <v>4</v>
      </c>
      <c r="I19" s="64" t="n">
        <v>9</v>
      </c>
      <c r="J19" s="64" t="n">
        <f aca="false">ROUND(AVERAGE(H19:I19),1)</f>
        <v>6.5</v>
      </c>
      <c r="K19" s="59" t="n">
        <v>1</v>
      </c>
      <c r="L19" s="64" t="n">
        <f aca="false">J19+K19</f>
        <v>7.5</v>
      </c>
      <c r="M19" s="65" t="n">
        <f aca="false">IFERROR(INDEX(99_Listas!$C$2:$C$5,MATCH(G19,99_Listas!$B$2:$B$5,0)),0)</f>
        <v>0.07</v>
      </c>
      <c r="N19" s="64" t="n">
        <f aca="false">ROUND(J19*M19,2)</f>
        <v>0.46</v>
      </c>
      <c r="O19" s="64" t="n">
        <f aca="false">ROUND(J19-N19,2)</f>
        <v>6.04</v>
      </c>
      <c r="P19" s="62" t="s">
        <v>247</v>
      </c>
      <c r="Q19" s="61" t="n">
        <v>4</v>
      </c>
      <c r="R19" s="62" t="s">
        <v>276</v>
      </c>
      <c r="S19" s="63" t="s">
        <v>228</v>
      </c>
      <c r="T19" s="63" t="s">
        <v>182</v>
      </c>
      <c r="U19" s="63"/>
    </row>
    <row r="20" customFormat="false" ht="15" hidden="false" customHeight="true" outlineLevel="0" collapsed="false">
      <c r="A20" s="54" t="n">
        <v>19</v>
      </c>
      <c r="B20" s="55" t="s">
        <v>290</v>
      </c>
      <c r="C20" s="56" t="s">
        <v>307</v>
      </c>
      <c r="D20" s="56" t="s">
        <v>308</v>
      </c>
      <c r="E20" s="57" t="s">
        <v>309</v>
      </c>
      <c r="F20" s="55" t="s">
        <v>294</v>
      </c>
      <c r="G20" s="55" t="s">
        <v>157</v>
      </c>
      <c r="H20" s="58" t="n">
        <v>3</v>
      </c>
      <c r="I20" s="58" t="n">
        <v>7</v>
      </c>
      <c r="J20" s="58" t="n">
        <f aca="false">ROUND(AVERAGE(H20:I20),1)</f>
        <v>5</v>
      </c>
      <c r="K20" s="59" t="n">
        <v>1</v>
      </c>
      <c r="L20" s="58" t="n">
        <f aca="false">J20+K20</f>
        <v>6</v>
      </c>
      <c r="M20" s="60" t="n">
        <f aca="false">IFERROR(INDEX(99_Listas!$C$2:$C$5,MATCH(G20,99_Listas!$B$2:$B$5,0)),0)</f>
        <v>0.07</v>
      </c>
      <c r="N20" s="58" t="n">
        <f aca="false">ROUND(J20*M20,2)</f>
        <v>0.35</v>
      </c>
      <c r="O20" s="58" t="n">
        <f aca="false">ROUND(J20-N20,2)</f>
        <v>4.65</v>
      </c>
      <c r="P20" s="55" t="s">
        <v>247</v>
      </c>
      <c r="Q20" s="54" t="n">
        <v>4</v>
      </c>
      <c r="R20" s="55" t="s">
        <v>276</v>
      </c>
      <c r="S20" s="56" t="s">
        <v>228</v>
      </c>
      <c r="T20" s="56" t="s">
        <v>289</v>
      </c>
      <c r="U20" s="56"/>
    </row>
    <row r="21" customFormat="false" ht="15" hidden="false" customHeight="true" outlineLevel="0" collapsed="false">
      <c r="A21" s="61" t="n">
        <v>20</v>
      </c>
      <c r="B21" s="62" t="s">
        <v>290</v>
      </c>
      <c r="C21" s="63" t="s">
        <v>310</v>
      </c>
      <c r="D21" s="63" t="s">
        <v>311</v>
      </c>
      <c r="E21" s="57" t="s">
        <v>312</v>
      </c>
      <c r="F21" s="62" t="s">
        <v>313</v>
      </c>
      <c r="G21" s="62" t="s">
        <v>157</v>
      </c>
      <c r="H21" s="64" t="n">
        <v>4</v>
      </c>
      <c r="I21" s="64" t="n">
        <v>9</v>
      </c>
      <c r="J21" s="64" t="n">
        <f aca="false">ROUND(AVERAGE(H21:I21),1)</f>
        <v>6.5</v>
      </c>
      <c r="K21" s="59" t="n">
        <v>1</v>
      </c>
      <c r="L21" s="64" t="n">
        <f aca="false">J21+K21</f>
        <v>7.5</v>
      </c>
      <c r="M21" s="65" t="n">
        <f aca="false">IFERROR(INDEX(99_Listas!$C$2:$C$5,MATCH(G21,99_Listas!$B$2:$B$5,0)),0)</f>
        <v>0.07</v>
      </c>
      <c r="N21" s="64" t="n">
        <f aca="false">ROUND(J21*M21,2)</f>
        <v>0.46</v>
      </c>
      <c r="O21" s="64" t="n">
        <f aca="false">ROUND(J21-N21,2)</f>
        <v>6.04</v>
      </c>
      <c r="P21" s="62" t="s">
        <v>247</v>
      </c>
      <c r="Q21" s="61" t="n">
        <v>4</v>
      </c>
      <c r="R21" s="62" t="s">
        <v>276</v>
      </c>
      <c r="S21" s="63" t="s">
        <v>228</v>
      </c>
      <c r="T21" s="63" t="s">
        <v>267</v>
      </c>
      <c r="U21" s="63"/>
    </row>
    <row r="22" customFormat="false" ht="15" hidden="false" customHeight="true" outlineLevel="0" collapsed="false">
      <c r="A22" s="54" t="n">
        <v>21</v>
      </c>
      <c r="B22" s="55" t="s">
        <v>290</v>
      </c>
      <c r="C22" s="56" t="s">
        <v>314</v>
      </c>
      <c r="D22" s="56" t="s">
        <v>315</v>
      </c>
      <c r="E22" s="57" t="s">
        <v>316</v>
      </c>
      <c r="F22" s="55" t="s">
        <v>294</v>
      </c>
      <c r="G22" s="55" t="s">
        <v>157</v>
      </c>
      <c r="H22" s="58" t="n">
        <v>3</v>
      </c>
      <c r="I22" s="58" t="n">
        <v>7</v>
      </c>
      <c r="J22" s="58" t="n">
        <f aca="false">ROUND(AVERAGE(H22:I22),1)</f>
        <v>5</v>
      </c>
      <c r="K22" s="59" t="n">
        <v>1</v>
      </c>
      <c r="L22" s="58" t="n">
        <f aca="false">J22+K22</f>
        <v>6</v>
      </c>
      <c r="M22" s="60" t="n">
        <f aca="false">IFERROR(INDEX(99_Listas!$C$2:$C$5,MATCH(G22,99_Listas!$B$2:$B$5,0)),0)</f>
        <v>0.07</v>
      </c>
      <c r="N22" s="58" t="n">
        <f aca="false">ROUND(J22*M22,2)</f>
        <v>0.35</v>
      </c>
      <c r="O22" s="58" t="n">
        <f aca="false">ROUND(J22-N22,2)</f>
        <v>4.65</v>
      </c>
      <c r="P22" s="55" t="s">
        <v>275</v>
      </c>
      <c r="Q22" s="54" t="n">
        <v>3</v>
      </c>
      <c r="R22" s="55" t="s">
        <v>276</v>
      </c>
      <c r="S22" s="56" t="s">
        <v>228</v>
      </c>
      <c r="T22" s="56" t="s">
        <v>317</v>
      </c>
      <c r="U22" s="56"/>
    </row>
    <row r="23" customFormat="false" ht="15" hidden="false" customHeight="true" outlineLevel="0" collapsed="false">
      <c r="A23" s="61" t="n">
        <v>22</v>
      </c>
      <c r="B23" s="62" t="s">
        <v>290</v>
      </c>
      <c r="C23" s="63" t="s">
        <v>318</v>
      </c>
      <c r="D23" s="63" t="s">
        <v>315</v>
      </c>
      <c r="E23" s="57" t="s">
        <v>319</v>
      </c>
      <c r="F23" s="62" t="s">
        <v>294</v>
      </c>
      <c r="G23" s="62" t="s">
        <v>157</v>
      </c>
      <c r="H23" s="64" t="n">
        <v>3</v>
      </c>
      <c r="I23" s="64" t="n">
        <v>6</v>
      </c>
      <c r="J23" s="64" t="n">
        <f aca="false">ROUND(AVERAGE(H23:I23),1)</f>
        <v>4.5</v>
      </c>
      <c r="K23" s="59" t="n">
        <v>1</v>
      </c>
      <c r="L23" s="64" t="n">
        <f aca="false">J23+K23</f>
        <v>5.5</v>
      </c>
      <c r="M23" s="65" t="n">
        <f aca="false">IFERROR(INDEX(99_Listas!$C$2:$C$5,MATCH(G23,99_Listas!$B$2:$B$5,0)),0)</f>
        <v>0.07</v>
      </c>
      <c r="N23" s="64" t="n">
        <f aca="false">ROUND(J23*M23,2)</f>
        <v>0.32</v>
      </c>
      <c r="O23" s="64" t="n">
        <f aca="false">ROUND(J23-N23,2)</f>
        <v>4.18</v>
      </c>
      <c r="P23" s="62" t="s">
        <v>275</v>
      </c>
      <c r="Q23" s="61" t="n">
        <v>3</v>
      </c>
      <c r="R23" s="62" t="s">
        <v>276</v>
      </c>
      <c r="S23" s="63" t="s">
        <v>228</v>
      </c>
      <c r="T23" s="63" t="s">
        <v>317</v>
      </c>
      <c r="U23" s="63"/>
    </row>
    <row r="24" customFormat="false" ht="23.25" hidden="false" customHeight="true" outlineLevel="0" collapsed="false">
      <c r="A24" s="54" t="n">
        <v>23</v>
      </c>
      <c r="B24" s="55" t="s">
        <v>320</v>
      </c>
      <c r="C24" s="56" t="s">
        <v>321</v>
      </c>
      <c r="D24" s="56" t="s">
        <v>322</v>
      </c>
      <c r="E24" s="57" t="s">
        <v>323</v>
      </c>
      <c r="F24" s="55" t="s">
        <v>324</v>
      </c>
      <c r="G24" s="55" t="s">
        <v>157</v>
      </c>
      <c r="H24" s="58" t="n">
        <v>8</v>
      </c>
      <c r="I24" s="58" t="n">
        <v>15</v>
      </c>
      <c r="J24" s="58" t="n">
        <f aca="false">ROUND(AVERAGE(H24:I24),1)</f>
        <v>11.5</v>
      </c>
      <c r="K24" s="59" t="n">
        <v>1</v>
      </c>
      <c r="L24" s="58" t="n">
        <f aca="false">J24+K24</f>
        <v>12.5</v>
      </c>
      <c r="M24" s="60" t="n">
        <f aca="false">IFERROR(INDEX(99_Listas!$C$2:$C$5,MATCH(G24,99_Listas!$B$2:$B$5,0)),0)</f>
        <v>0.07</v>
      </c>
      <c r="N24" s="58" t="n">
        <f aca="false">ROUND(J24*M24,2)</f>
        <v>0.81</v>
      </c>
      <c r="O24" s="58" t="n">
        <f aca="false">ROUND(J24-N24,2)</f>
        <v>10.69</v>
      </c>
      <c r="P24" s="55" t="s">
        <v>325</v>
      </c>
      <c r="Q24" s="54" t="n">
        <v>12</v>
      </c>
      <c r="R24" s="55" t="s">
        <v>276</v>
      </c>
      <c r="S24" s="56" t="s">
        <v>228</v>
      </c>
      <c r="T24" s="56" t="s">
        <v>267</v>
      </c>
      <c r="U24" s="56" t="s">
        <v>326</v>
      </c>
    </row>
    <row r="25" customFormat="false" ht="15" hidden="false" customHeight="true" outlineLevel="0" collapsed="false">
      <c r="A25" s="61" t="n">
        <v>24</v>
      </c>
      <c r="B25" s="62" t="s">
        <v>320</v>
      </c>
      <c r="C25" s="63" t="s">
        <v>327</v>
      </c>
      <c r="D25" s="63" t="s">
        <v>328</v>
      </c>
      <c r="E25" s="57" t="s">
        <v>329</v>
      </c>
      <c r="F25" s="62" t="s">
        <v>324</v>
      </c>
      <c r="G25" s="62" t="s">
        <v>157</v>
      </c>
      <c r="H25" s="64" t="n">
        <v>7</v>
      </c>
      <c r="I25" s="64" t="n">
        <v>14</v>
      </c>
      <c r="J25" s="64" t="n">
        <f aca="false">ROUND(AVERAGE(H25:I25),1)</f>
        <v>10.5</v>
      </c>
      <c r="K25" s="59" t="n">
        <v>1</v>
      </c>
      <c r="L25" s="64" t="n">
        <f aca="false">J25+K25</f>
        <v>11.5</v>
      </c>
      <c r="M25" s="65" t="n">
        <f aca="false">IFERROR(INDEX(99_Listas!$C$2:$C$5,MATCH(G25,99_Listas!$B$2:$B$5,0)),0)</f>
        <v>0.07</v>
      </c>
      <c r="N25" s="64" t="n">
        <f aca="false">ROUND(J25*M25,2)</f>
        <v>0.74</v>
      </c>
      <c r="O25" s="64" t="n">
        <f aca="false">ROUND(J25-N25,2)</f>
        <v>9.76</v>
      </c>
      <c r="P25" s="62" t="s">
        <v>325</v>
      </c>
      <c r="Q25" s="61" t="n">
        <v>8</v>
      </c>
      <c r="R25" s="62" t="s">
        <v>276</v>
      </c>
      <c r="S25" s="63" t="s">
        <v>228</v>
      </c>
      <c r="T25" s="63" t="s">
        <v>330</v>
      </c>
      <c r="U25" s="63"/>
    </row>
    <row r="26" customFormat="false" ht="15" hidden="false" customHeight="true" outlineLevel="0" collapsed="false">
      <c r="A26" s="54" t="n">
        <v>25</v>
      </c>
      <c r="B26" s="55" t="s">
        <v>320</v>
      </c>
      <c r="C26" s="56" t="s">
        <v>331</v>
      </c>
      <c r="D26" s="56" t="s">
        <v>332</v>
      </c>
      <c r="E26" s="57" t="s">
        <v>333</v>
      </c>
      <c r="F26" s="55" t="s">
        <v>324</v>
      </c>
      <c r="G26" s="55" t="s">
        <v>161</v>
      </c>
      <c r="H26" s="58" t="n">
        <v>10</v>
      </c>
      <c r="I26" s="58" t="n">
        <v>18</v>
      </c>
      <c r="J26" s="58" t="n">
        <f aca="false">ROUND(AVERAGE(H26:I26),1)</f>
        <v>14</v>
      </c>
      <c r="K26" s="59" t="n">
        <v>1</v>
      </c>
      <c r="L26" s="58" t="n">
        <f aca="false">J26+K26</f>
        <v>15</v>
      </c>
      <c r="M26" s="60" t="n">
        <f aca="false">IFERROR(INDEX(99_Listas!$C$2:$C$5,MATCH(G26,99_Listas!$B$2:$B$5,0)),0)</f>
        <v>0.09</v>
      </c>
      <c r="N26" s="58" t="n">
        <f aca="false">ROUND(J26*M26,2)</f>
        <v>1.26</v>
      </c>
      <c r="O26" s="58" t="n">
        <f aca="false">ROUND(J26-N26,2)</f>
        <v>12.74</v>
      </c>
      <c r="P26" s="55" t="s">
        <v>325</v>
      </c>
      <c r="Q26" s="54" t="n">
        <v>12</v>
      </c>
      <c r="R26" s="55" t="s">
        <v>276</v>
      </c>
      <c r="S26" s="56" t="s">
        <v>228</v>
      </c>
      <c r="T26" s="56" t="s">
        <v>334</v>
      </c>
      <c r="U26" s="56" t="s">
        <v>335</v>
      </c>
    </row>
    <row r="27" customFormat="false" ht="15" hidden="false" customHeight="true" outlineLevel="0" collapsed="false">
      <c r="A27" s="61" t="n">
        <v>26</v>
      </c>
      <c r="B27" s="62" t="s">
        <v>320</v>
      </c>
      <c r="C27" s="63" t="s">
        <v>336</v>
      </c>
      <c r="D27" s="63" t="s">
        <v>337</v>
      </c>
      <c r="E27" s="57" t="s">
        <v>338</v>
      </c>
      <c r="F27" s="62" t="s">
        <v>324</v>
      </c>
      <c r="G27" s="62" t="s">
        <v>161</v>
      </c>
      <c r="H27" s="64" t="n">
        <v>10</v>
      </c>
      <c r="I27" s="64" t="n">
        <v>16</v>
      </c>
      <c r="J27" s="64" t="n">
        <f aca="false">ROUND(AVERAGE(H27:I27),1)</f>
        <v>13</v>
      </c>
      <c r="K27" s="59" t="n">
        <v>1</v>
      </c>
      <c r="L27" s="64" t="n">
        <f aca="false">J27+K27</f>
        <v>14</v>
      </c>
      <c r="M27" s="65" t="n">
        <f aca="false">IFERROR(INDEX(99_Listas!$C$2:$C$5,MATCH(G27,99_Listas!$B$2:$B$5,0)),0)</f>
        <v>0.09</v>
      </c>
      <c r="N27" s="64" t="n">
        <f aca="false">ROUND(J27*M27,2)</f>
        <v>1.17</v>
      </c>
      <c r="O27" s="64" t="n">
        <f aca="false">ROUND(J27-N27,2)</f>
        <v>11.83</v>
      </c>
      <c r="P27" s="62" t="s">
        <v>247</v>
      </c>
      <c r="Q27" s="61" t="n">
        <v>12</v>
      </c>
      <c r="R27" s="62" t="s">
        <v>165</v>
      </c>
      <c r="S27" s="63" t="s">
        <v>228</v>
      </c>
      <c r="T27" s="63" t="s">
        <v>339</v>
      </c>
      <c r="U27" s="63" t="s">
        <v>340</v>
      </c>
    </row>
    <row r="28" customFormat="false" ht="15" hidden="false" customHeight="true" outlineLevel="0" collapsed="false">
      <c r="A28" s="54" t="n">
        <v>27</v>
      </c>
      <c r="B28" s="55" t="s">
        <v>320</v>
      </c>
      <c r="C28" s="56" t="s">
        <v>341</v>
      </c>
      <c r="D28" s="56" t="s">
        <v>342</v>
      </c>
      <c r="E28" s="57" t="s">
        <v>343</v>
      </c>
      <c r="F28" s="55" t="s">
        <v>344</v>
      </c>
      <c r="G28" s="55" t="s">
        <v>157</v>
      </c>
      <c r="H28" s="58" t="n">
        <v>6</v>
      </c>
      <c r="I28" s="58" t="n">
        <v>12</v>
      </c>
      <c r="J28" s="58" t="n">
        <f aca="false">ROUND(AVERAGE(H28:I28),1)</f>
        <v>9</v>
      </c>
      <c r="K28" s="59" t="n">
        <v>1</v>
      </c>
      <c r="L28" s="58" t="n">
        <f aca="false">J28+K28</f>
        <v>10</v>
      </c>
      <c r="M28" s="60" t="n">
        <f aca="false">IFERROR(INDEX(99_Listas!$C$2:$C$5,MATCH(G28,99_Listas!$B$2:$B$5,0)),0)</f>
        <v>0.07</v>
      </c>
      <c r="N28" s="58" t="n">
        <f aca="false">ROUND(J28*M28,2)</f>
        <v>0.63</v>
      </c>
      <c r="O28" s="58" t="n">
        <f aca="false">ROUND(J28-N28,2)</f>
        <v>8.37</v>
      </c>
      <c r="P28" s="55" t="s">
        <v>325</v>
      </c>
      <c r="Q28" s="54" t="n">
        <v>8</v>
      </c>
      <c r="R28" s="55" t="s">
        <v>276</v>
      </c>
      <c r="S28" s="56" t="s">
        <v>228</v>
      </c>
      <c r="T28" s="56" t="s">
        <v>182</v>
      </c>
      <c r="U28" s="56"/>
    </row>
    <row r="29" customFormat="false" ht="15" hidden="false" customHeight="true" outlineLevel="0" collapsed="false">
      <c r="A29" s="61" t="n">
        <v>28</v>
      </c>
      <c r="B29" s="62" t="s">
        <v>320</v>
      </c>
      <c r="C29" s="63" t="s">
        <v>345</v>
      </c>
      <c r="D29" s="63" t="s">
        <v>346</v>
      </c>
      <c r="E29" s="57" t="s">
        <v>347</v>
      </c>
      <c r="F29" s="62" t="s">
        <v>344</v>
      </c>
      <c r="G29" s="62" t="s">
        <v>157</v>
      </c>
      <c r="H29" s="64" t="n">
        <v>6</v>
      </c>
      <c r="I29" s="64" t="n">
        <v>12</v>
      </c>
      <c r="J29" s="64" t="n">
        <f aca="false">ROUND(AVERAGE(H29:I29),1)</f>
        <v>9</v>
      </c>
      <c r="K29" s="59" t="n">
        <v>1</v>
      </c>
      <c r="L29" s="64" t="n">
        <f aca="false">J29+K29</f>
        <v>10</v>
      </c>
      <c r="M29" s="65" t="n">
        <f aca="false">IFERROR(INDEX(99_Listas!$C$2:$C$5,MATCH(G29,99_Listas!$B$2:$B$5,0)),0)</f>
        <v>0.07</v>
      </c>
      <c r="N29" s="64" t="n">
        <f aca="false">ROUND(J29*M29,2)</f>
        <v>0.63</v>
      </c>
      <c r="O29" s="64" t="n">
        <f aca="false">ROUND(J29-N29,2)</f>
        <v>8.37</v>
      </c>
      <c r="P29" s="62" t="s">
        <v>325</v>
      </c>
      <c r="Q29" s="61" t="n">
        <v>8</v>
      </c>
      <c r="R29" s="62" t="s">
        <v>276</v>
      </c>
      <c r="S29" s="63" t="s">
        <v>228</v>
      </c>
      <c r="T29" s="63" t="s">
        <v>254</v>
      </c>
      <c r="U29" s="63"/>
    </row>
    <row r="30" customFormat="false" ht="15" hidden="false" customHeight="true" outlineLevel="0" collapsed="false">
      <c r="A30" s="54" t="n">
        <v>29</v>
      </c>
      <c r="B30" s="55" t="s">
        <v>290</v>
      </c>
      <c r="C30" s="56" t="s">
        <v>348</v>
      </c>
      <c r="D30" s="56" t="s">
        <v>349</v>
      </c>
      <c r="E30" s="57" t="s">
        <v>350</v>
      </c>
      <c r="F30" s="55" t="s">
        <v>294</v>
      </c>
      <c r="G30" s="55" t="s">
        <v>157</v>
      </c>
      <c r="H30" s="58" t="n">
        <v>3</v>
      </c>
      <c r="I30" s="58" t="n">
        <v>7</v>
      </c>
      <c r="J30" s="58" t="n">
        <f aca="false">ROUND(AVERAGE(H30:I30),1)</f>
        <v>5</v>
      </c>
      <c r="K30" s="59" t="n">
        <v>1</v>
      </c>
      <c r="L30" s="58" t="n">
        <f aca="false">J30+K30</f>
        <v>6</v>
      </c>
      <c r="M30" s="60" t="n">
        <f aca="false">IFERROR(INDEX(99_Listas!$C$2:$C$5,MATCH(G30,99_Listas!$B$2:$B$5,0)),0)</f>
        <v>0.07</v>
      </c>
      <c r="N30" s="58" t="n">
        <f aca="false">ROUND(J30*M30,2)</f>
        <v>0.35</v>
      </c>
      <c r="O30" s="58" t="n">
        <f aca="false">ROUND(J30-N30,2)</f>
        <v>4.65</v>
      </c>
      <c r="P30" s="55" t="s">
        <v>247</v>
      </c>
      <c r="Q30" s="54" t="n">
        <v>3</v>
      </c>
      <c r="R30" s="55" t="s">
        <v>276</v>
      </c>
      <c r="S30" s="56" t="s">
        <v>228</v>
      </c>
      <c r="T30" s="56" t="s">
        <v>289</v>
      </c>
      <c r="U30" s="56"/>
    </row>
    <row r="31" customFormat="false" ht="15" hidden="false" customHeight="true" outlineLevel="0" collapsed="false">
      <c r="A31" s="61" t="n">
        <v>30</v>
      </c>
      <c r="B31" s="62" t="s">
        <v>290</v>
      </c>
      <c r="C31" s="63" t="s">
        <v>351</v>
      </c>
      <c r="D31" s="63" t="s">
        <v>352</v>
      </c>
      <c r="E31" s="57" t="s">
        <v>353</v>
      </c>
      <c r="F31" s="62" t="s">
        <v>313</v>
      </c>
      <c r="G31" s="62" t="s">
        <v>157</v>
      </c>
      <c r="H31" s="64" t="n">
        <v>2</v>
      </c>
      <c r="I31" s="64" t="n">
        <v>5</v>
      </c>
      <c r="J31" s="64" t="n">
        <f aca="false">ROUND(AVERAGE(H31:I31),1)</f>
        <v>3.5</v>
      </c>
      <c r="K31" s="59" t="n">
        <v>1</v>
      </c>
      <c r="L31" s="64" t="n">
        <f aca="false">J31+K31</f>
        <v>4.5</v>
      </c>
      <c r="M31" s="65" t="n">
        <f aca="false">IFERROR(INDEX(99_Listas!$C$2:$C$5,MATCH(G31,99_Listas!$B$2:$B$5,0)),0)</f>
        <v>0.07</v>
      </c>
      <c r="N31" s="64" t="n">
        <f aca="false">ROUND(J31*M31,2)</f>
        <v>0.25</v>
      </c>
      <c r="O31" s="64" t="n">
        <f aca="false">ROUND(J31-N31,2)</f>
        <v>3.25</v>
      </c>
      <c r="P31" s="62" t="s">
        <v>247</v>
      </c>
      <c r="Q31" s="61" t="n">
        <v>2</v>
      </c>
      <c r="R31" s="62" t="s">
        <v>276</v>
      </c>
      <c r="S31" s="63" t="s">
        <v>228</v>
      </c>
      <c r="T31" s="63" t="s">
        <v>354</v>
      </c>
      <c r="U31" s="63" t="s">
        <v>355</v>
      </c>
    </row>
    <row r="32" customFormat="false" ht="15" hidden="false" customHeight="true" outlineLevel="0" collapsed="false">
      <c r="A32" s="54" t="n">
        <v>31</v>
      </c>
      <c r="B32" s="55" t="s">
        <v>290</v>
      </c>
      <c r="C32" s="56" t="s">
        <v>356</v>
      </c>
      <c r="D32" s="56" t="s">
        <v>357</v>
      </c>
      <c r="E32" s="57" t="s">
        <v>358</v>
      </c>
      <c r="F32" s="55" t="s">
        <v>359</v>
      </c>
      <c r="G32" s="55" t="s">
        <v>157</v>
      </c>
      <c r="H32" s="58" t="n">
        <v>1</v>
      </c>
      <c r="I32" s="58" t="n">
        <v>3</v>
      </c>
      <c r="J32" s="58" t="n">
        <f aca="false">ROUND(AVERAGE(H32:I32),1)</f>
        <v>2</v>
      </c>
      <c r="K32" s="59" t="n">
        <v>1</v>
      </c>
      <c r="L32" s="58" t="n">
        <f aca="false">J32+K32</f>
        <v>3</v>
      </c>
      <c r="M32" s="60" t="n">
        <f aca="false">IFERROR(INDEX(99_Listas!$C$2:$C$5,MATCH(G32,99_Listas!$B$2:$B$5,0)),0)</f>
        <v>0.07</v>
      </c>
      <c r="N32" s="58" t="n">
        <f aca="false">ROUND(J32*M32,2)</f>
        <v>0.14</v>
      </c>
      <c r="O32" s="58" t="n">
        <f aca="false">ROUND(J32-N32,2)</f>
        <v>1.86</v>
      </c>
      <c r="P32" s="55" t="s">
        <v>360</v>
      </c>
      <c r="Q32" s="54" t="n">
        <v>1</v>
      </c>
      <c r="R32" s="55" t="s">
        <v>276</v>
      </c>
      <c r="S32" s="56" t="s">
        <v>228</v>
      </c>
      <c r="T32" s="56" t="s">
        <v>317</v>
      </c>
      <c r="U32" s="56" t="s">
        <v>361</v>
      </c>
    </row>
    <row r="33" customFormat="false" ht="15" hidden="false" customHeight="true" outlineLevel="0" collapsed="false">
      <c r="A33" s="61" t="n">
        <v>32</v>
      </c>
      <c r="B33" s="62" t="s">
        <v>222</v>
      </c>
      <c r="C33" s="63" t="s">
        <v>362</v>
      </c>
      <c r="D33" s="63" t="s">
        <v>363</v>
      </c>
      <c r="E33" s="57" t="s">
        <v>364</v>
      </c>
      <c r="F33" s="62" t="s">
        <v>226</v>
      </c>
      <c r="G33" s="62" t="s">
        <v>157</v>
      </c>
      <c r="H33" s="64" t="n">
        <v>8</v>
      </c>
      <c r="I33" s="64" t="n">
        <v>13</v>
      </c>
      <c r="J33" s="64" t="n">
        <f aca="false">ROUND(AVERAGE(H33:I33),1)</f>
        <v>10.5</v>
      </c>
      <c r="K33" s="59" t="n">
        <v>1</v>
      </c>
      <c r="L33" s="64" t="n">
        <f aca="false">J33+K33</f>
        <v>11.5</v>
      </c>
      <c r="M33" s="65" t="n">
        <f aca="false">IFERROR(INDEX(99_Listas!$C$2:$C$5,MATCH(G33,99_Listas!$B$2:$B$5,0)),0)</f>
        <v>0.07</v>
      </c>
      <c r="N33" s="64" t="n">
        <f aca="false">ROUND(J33*M33,2)</f>
        <v>0.74</v>
      </c>
      <c r="O33" s="64" t="n">
        <f aca="false">ROUND(J33-N33,2)</f>
        <v>9.76</v>
      </c>
      <c r="P33" s="62" t="s">
        <v>227</v>
      </c>
      <c r="Q33" s="61" t="n">
        <v>10</v>
      </c>
      <c r="R33" s="62" t="s">
        <v>165</v>
      </c>
      <c r="S33" s="63" t="s">
        <v>228</v>
      </c>
      <c r="T33" s="63" t="s">
        <v>186</v>
      </c>
      <c r="U33" s="63" t="s">
        <v>365</v>
      </c>
    </row>
    <row r="34" customFormat="false" ht="15" hidden="false" customHeight="true" outlineLevel="0" collapsed="false">
      <c r="A34" s="54" t="n">
        <v>33</v>
      </c>
      <c r="B34" s="55" t="s">
        <v>222</v>
      </c>
      <c r="C34" s="56" t="s">
        <v>366</v>
      </c>
      <c r="D34" s="56" t="s">
        <v>367</v>
      </c>
      <c r="E34" s="57" t="s">
        <v>368</v>
      </c>
      <c r="F34" s="55" t="s">
        <v>226</v>
      </c>
      <c r="G34" s="55" t="s">
        <v>157</v>
      </c>
      <c r="H34" s="58" t="n">
        <v>7</v>
      </c>
      <c r="I34" s="58" t="n">
        <v>12</v>
      </c>
      <c r="J34" s="58" t="n">
        <f aca="false">ROUND(AVERAGE(H34:I34),1)</f>
        <v>9.5</v>
      </c>
      <c r="K34" s="59" t="n">
        <v>1</v>
      </c>
      <c r="L34" s="58" t="n">
        <f aca="false">J34+K34</f>
        <v>10.5</v>
      </c>
      <c r="M34" s="60" t="n">
        <f aca="false">IFERROR(INDEX(99_Listas!$C$2:$C$5,MATCH(G34,99_Listas!$B$2:$B$5,0)),0)</f>
        <v>0.07</v>
      </c>
      <c r="N34" s="58" t="n">
        <f aca="false">ROUND(J34*M34,2)</f>
        <v>0.67</v>
      </c>
      <c r="O34" s="58" t="n">
        <f aca="false">ROUND(J34-N34,2)</f>
        <v>8.83</v>
      </c>
      <c r="P34" s="55" t="s">
        <v>227</v>
      </c>
      <c r="Q34" s="54" t="n">
        <v>10</v>
      </c>
      <c r="R34" s="55" t="s">
        <v>165</v>
      </c>
      <c r="S34" s="56" t="s">
        <v>228</v>
      </c>
      <c r="T34" s="56" t="s">
        <v>229</v>
      </c>
      <c r="U34" s="56"/>
    </row>
    <row r="35" customFormat="false" ht="15" hidden="false" customHeight="true" outlineLevel="0" collapsed="false">
      <c r="A35" s="61" t="n">
        <v>34</v>
      </c>
      <c r="B35" s="62" t="s">
        <v>222</v>
      </c>
      <c r="C35" s="63" t="s">
        <v>369</v>
      </c>
      <c r="D35" s="63" t="s">
        <v>370</v>
      </c>
      <c r="E35" s="57" t="s">
        <v>371</v>
      </c>
      <c r="F35" s="62" t="s">
        <v>226</v>
      </c>
      <c r="G35" s="62" t="s">
        <v>157</v>
      </c>
      <c r="H35" s="64" t="n">
        <v>8</v>
      </c>
      <c r="I35" s="64" t="n">
        <v>14</v>
      </c>
      <c r="J35" s="64" t="n">
        <f aca="false">ROUND(AVERAGE(H35:I35),1)</f>
        <v>11</v>
      </c>
      <c r="K35" s="59" t="n">
        <v>1</v>
      </c>
      <c r="L35" s="64" t="n">
        <f aca="false">J35+K35</f>
        <v>12</v>
      </c>
      <c r="M35" s="65" t="n">
        <f aca="false">IFERROR(INDEX(99_Listas!$C$2:$C$5,MATCH(G35,99_Listas!$B$2:$B$5,0)),0)</f>
        <v>0.07</v>
      </c>
      <c r="N35" s="64" t="n">
        <f aca="false">ROUND(J35*M35,2)</f>
        <v>0.77</v>
      </c>
      <c r="O35" s="64" t="n">
        <f aca="false">ROUND(J35-N35,2)</f>
        <v>10.23</v>
      </c>
      <c r="P35" s="62" t="s">
        <v>227</v>
      </c>
      <c r="Q35" s="61" t="n">
        <v>12</v>
      </c>
      <c r="R35" s="62" t="s">
        <v>165</v>
      </c>
      <c r="S35" s="63" t="s">
        <v>248</v>
      </c>
      <c r="T35" s="63" t="s">
        <v>372</v>
      </c>
      <c r="U35" s="63"/>
    </row>
    <row r="36" customFormat="false" ht="15" hidden="false" customHeight="true" outlineLevel="0" collapsed="false">
      <c r="A36" s="54" t="n">
        <v>35</v>
      </c>
      <c r="B36" s="55" t="s">
        <v>222</v>
      </c>
      <c r="C36" s="56" t="s">
        <v>373</v>
      </c>
      <c r="D36" s="56" t="s">
        <v>374</v>
      </c>
      <c r="E36" s="57" t="s">
        <v>375</v>
      </c>
      <c r="F36" s="55" t="s">
        <v>226</v>
      </c>
      <c r="G36" s="55" t="s">
        <v>161</v>
      </c>
      <c r="H36" s="58" t="n">
        <v>10</v>
      </c>
      <c r="I36" s="58" t="n">
        <v>16</v>
      </c>
      <c r="J36" s="58" t="n">
        <f aca="false">ROUND(AVERAGE(H36:I36),1)</f>
        <v>13</v>
      </c>
      <c r="K36" s="59" t="n">
        <v>1</v>
      </c>
      <c r="L36" s="58" t="n">
        <f aca="false">J36+K36</f>
        <v>14</v>
      </c>
      <c r="M36" s="60" t="n">
        <f aca="false">IFERROR(INDEX(99_Listas!$C$2:$C$5,MATCH(G36,99_Listas!$B$2:$B$5,0)),0)</f>
        <v>0.09</v>
      </c>
      <c r="N36" s="58" t="n">
        <f aca="false">ROUND(J36*M36,2)</f>
        <v>1.17</v>
      </c>
      <c r="O36" s="58" t="n">
        <f aca="false">ROUND(J36-N36,2)</f>
        <v>11.83</v>
      </c>
      <c r="P36" s="55" t="s">
        <v>247</v>
      </c>
      <c r="Q36" s="54" t="n">
        <v>12</v>
      </c>
      <c r="R36" s="55" t="s">
        <v>165</v>
      </c>
      <c r="S36" s="56" t="s">
        <v>228</v>
      </c>
      <c r="T36" s="56" t="s">
        <v>372</v>
      </c>
      <c r="U36" s="56" t="s">
        <v>376</v>
      </c>
    </row>
    <row r="37" customFormat="false" ht="15" hidden="false" customHeight="true" outlineLevel="0" collapsed="false">
      <c r="A37" s="61" t="n">
        <v>36</v>
      </c>
      <c r="B37" s="62" t="s">
        <v>222</v>
      </c>
      <c r="C37" s="63" t="s">
        <v>377</v>
      </c>
      <c r="D37" s="63" t="s">
        <v>378</v>
      </c>
      <c r="E37" s="57" t="s">
        <v>379</v>
      </c>
      <c r="F37" s="62" t="s">
        <v>226</v>
      </c>
      <c r="G37" s="62" t="s">
        <v>161</v>
      </c>
      <c r="H37" s="64" t="n">
        <v>10</v>
      </c>
      <c r="I37" s="64" t="n">
        <v>16</v>
      </c>
      <c r="J37" s="64" t="n">
        <f aca="false">ROUND(AVERAGE(H37:I37),1)</f>
        <v>13</v>
      </c>
      <c r="K37" s="59" t="n">
        <v>1</v>
      </c>
      <c r="L37" s="64" t="n">
        <f aca="false">J37+K37</f>
        <v>14</v>
      </c>
      <c r="M37" s="65" t="n">
        <f aca="false">IFERROR(INDEX(99_Listas!$C$2:$C$5,MATCH(G37,99_Listas!$B$2:$B$5,0)),0)</f>
        <v>0.09</v>
      </c>
      <c r="N37" s="64" t="n">
        <f aca="false">ROUND(J37*M37,2)</f>
        <v>1.17</v>
      </c>
      <c r="O37" s="64" t="n">
        <f aca="false">ROUND(J37-N37,2)</f>
        <v>11.83</v>
      </c>
      <c r="P37" s="62" t="s">
        <v>227</v>
      </c>
      <c r="Q37" s="61" t="n">
        <v>12</v>
      </c>
      <c r="R37" s="62" t="s">
        <v>165</v>
      </c>
      <c r="S37" s="63" t="s">
        <v>380</v>
      </c>
      <c r="T37" s="63" t="s">
        <v>186</v>
      </c>
      <c r="U37" s="63"/>
    </row>
    <row r="38" customFormat="false" ht="15" hidden="false" customHeight="true" outlineLevel="0" collapsed="false">
      <c r="A38" s="54" t="n">
        <v>37</v>
      </c>
      <c r="B38" s="55" t="s">
        <v>222</v>
      </c>
      <c r="C38" s="56" t="s">
        <v>381</v>
      </c>
      <c r="D38" s="56" t="s">
        <v>382</v>
      </c>
      <c r="E38" s="57" t="s">
        <v>383</v>
      </c>
      <c r="F38" s="55" t="s">
        <v>226</v>
      </c>
      <c r="G38" s="55" t="s">
        <v>161</v>
      </c>
      <c r="H38" s="58" t="n">
        <v>10</v>
      </c>
      <c r="I38" s="58" t="n">
        <v>18</v>
      </c>
      <c r="J38" s="58" t="n">
        <f aca="false">ROUND(AVERAGE(H38:I38),1)</f>
        <v>14</v>
      </c>
      <c r="K38" s="59" t="n">
        <v>1</v>
      </c>
      <c r="L38" s="58" t="n">
        <f aca="false">J38+K38</f>
        <v>15</v>
      </c>
      <c r="M38" s="60" t="n">
        <f aca="false">IFERROR(INDEX(99_Listas!$C$2:$C$5,MATCH(G38,99_Listas!$B$2:$B$5,0)),0)</f>
        <v>0.09</v>
      </c>
      <c r="N38" s="58" t="n">
        <f aca="false">ROUND(J38*M38,2)</f>
        <v>1.26</v>
      </c>
      <c r="O38" s="58" t="n">
        <f aca="false">ROUND(J38-N38,2)</f>
        <v>12.74</v>
      </c>
      <c r="P38" s="55" t="s">
        <v>227</v>
      </c>
      <c r="Q38" s="54" t="n">
        <v>12</v>
      </c>
      <c r="R38" s="55" t="s">
        <v>165</v>
      </c>
      <c r="S38" s="56" t="s">
        <v>228</v>
      </c>
      <c r="T38" s="56" t="s">
        <v>186</v>
      </c>
      <c r="U38" s="56" t="s">
        <v>384</v>
      </c>
    </row>
    <row r="39" customFormat="false" ht="15" hidden="false" customHeight="true" outlineLevel="0" collapsed="false">
      <c r="A39" s="61" t="n">
        <v>38</v>
      </c>
      <c r="B39" s="62" t="s">
        <v>320</v>
      </c>
      <c r="C39" s="63" t="s">
        <v>385</v>
      </c>
      <c r="D39" s="63" t="s">
        <v>386</v>
      </c>
      <c r="E39" s="57" t="s">
        <v>387</v>
      </c>
      <c r="F39" s="62" t="s">
        <v>388</v>
      </c>
      <c r="G39" s="62" t="s">
        <v>169</v>
      </c>
      <c r="H39" s="64" t="n">
        <v>25</v>
      </c>
      <c r="I39" s="64" t="n">
        <v>55</v>
      </c>
      <c r="J39" s="64" t="n">
        <f aca="false">ROUND(AVERAGE(H39:I39),1)</f>
        <v>40</v>
      </c>
      <c r="K39" s="59" t="n">
        <v>1</v>
      </c>
      <c r="L39" s="64" t="n">
        <f aca="false">J39+K39</f>
        <v>41</v>
      </c>
      <c r="M39" s="65" t="n">
        <f aca="false">IFERROR(INDEX(99_Listas!$C$2:$C$5,MATCH(G39,99_Listas!$B$2:$B$5,0)),0)</f>
        <v>0.13</v>
      </c>
      <c r="N39" s="64" t="n">
        <f aca="false">ROUND(J39*M39,2)</f>
        <v>5.2</v>
      </c>
      <c r="O39" s="64" t="n">
        <f aca="false">ROUND(J39-N39,2)</f>
        <v>34.8</v>
      </c>
      <c r="P39" s="62" t="s">
        <v>247</v>
      </c>
      <c r="Q39" s="61" t="n">
        <v>0</v>
      </c>
      <c r="R39" s="62" t="s">
        <v>258</v>
      </c>
      <c r="S39" s="63" t="s">
        <v>389</v>
      </c>
      <c r="T39" s="63" t="s">
        <v>390</v>
      </c>
      <c r="U39" s="63" t="s">
        <v>391</v>
      </c>
    </row>
    <row r="40" customFormat="false" ht="15" hidden="false" customHeight="true" outlineLevel="0" collapsed="false">
      <c r="A40" s="54" t="n">
        <v>39</v>
      </c>
      <c r="B40" s="55" t="s">
        <v>320</v>
      </c>
      <c r="C40" s="56" t="s">
        <v>392</v>
      </c>
      <c r="D40" s="56" t="s">
        <v>393</v>
      </c>
      <c r="E40" s="57" t="s">
        <v>338</v>
      </c>
      <c r="F40" s="55" t="s">
        <v>324</v>
      </c>
      <c r="G40" s="55" t="s">
        <v>161</v>
      </c>
      <c r="H40" s="58" t="n">
        <v>12</v>
      </c>
      <c r="I40" s="58" t="n">
        <v>22</v>
      </c>
      <c r="J40" s="58" t="n">
        <f aca="false">ROUND(AVERAGE(H40:I40),1)</f>
        <v>17</v>
      </c>
      <c r="K40" s="59" t="n">
        <v>1</v>
      </c>
      <c r="L40" s="58" t="n">
        <f aca="false">J40+K40</f>
        <v>18</v>
      </c>
      <c r="M40" s="60" t="n">
        <f aca="false">IFERROR(INDEX(99_Listas!$C$2:$C$5,MATCH(G40,99_Listas!$B$2:$B$5,0)),0)</f>
        <v>0.09</v>
      </c>
      <c r="N40" s="58" t="n">
        <f aca="false">ROUND(J40*M40,2)</f>
        <v>1.53</v>
      </c>
      <c r="O40" s="58" t="n">
        <f aca="false">ROUND(J40-N40,2)</f>
        <v>15.47</v>
      </c>
      <c r="P40" s="55" t="s">
        <v>325</v>
      </c>
      <c r="Q40" s="54" t="n">
        <v>12</v>
      </c>
      <c r="R40" s="55" t="s">
        <v>276</v>
      </c>
      <c r="S40" s="56" t="s">
        <v>228</v>
      </c>
      <c r="T40" s="56" t="s">
        <v>182</v>
      </c>
      <c r="U40" s="56" t="s">
        <v>394</v>
      </c>
    </row>
    <row r="41" customFormat="false" ht="15" hidden="false" customHeight="true" outlineLevel="0" collapsed="false">
      <c r="A41" s="61" t="n">
        <v>40</v>
      </c>
      <c r="B41" s="62" t="s">
        <v>320</v>
      </c>
      <c r="C41" s="63" t="s">
        <v>395</v>
      </c>
      <c r="D41" s="63" t="s">
        <v>396</v>
      </c>
      <c r="E41" s="57" t="s">
        <v>338</v>
      </c>
      <c r="F41" s="62" t="s">
        <v>397</v>
      </c>
      <c r="G41" s="62" t="s">
        <v>165</v>
      </c>
      <c r="H41" s="64" t="n">
        <v>40</v>
      </c>
      <c r="I41" s="64" t="n">
        <v>70</v>
      </c>
      <c r="J41" s="64" t="n">
        <f aca="false">ROUND(AVERAGE(H41:I41),1)</f>
        <v>55</v>
      </c>
      <c r="K41" s="59" t="n">
        <v>1</v>
      </c>
      <c r="L41" s="64" t="n">
        <f aca="false">J41+K41</f>
        <v>56</v>
      </c>
      <c r="M41" s="65" t="n">
        <f aca="false">IFERROR(INDEX(99_Listas!$C$2:$C$5,MATCH(G41,99_Listas!$B$2:$B$5,0)),0)</f>
        <v>0.11</v>
      </c>
      <c r="N41" s="64" t="n">
        <f aca="false">ROUND(J41*M41,2)</f>
        <v>6.05</v>
      </c>
      <c r="O41" s="64" t="n">
        <f aca="false">ROUND(J41-N41,2)</f>
        <v>48.95</v>
      </c>
      <c r="P41" s="62" t="s">
        <v>280</v>
      </c>
      <c r="Q41" s="61" t="n">
        <v>30</v>
      </c>
      <c r="R41" s="62" t="s">
        <v>276</v>
      </c>
      <c r="S41" s="63" t="s">
        <v>380</v>
      </c>
      <c r="T41" s="63" t="s">
        <v>398</v>
      </c>
      <c r="U41" s="63" t="s">
        <v>399</v>
      </c>
    </row>
    <row r="42" customFormat="false" ht="15" hidden="false" customHeight="true" outlineLevel="0" collapsed="false">
      <c r="A42" s="54" t="n">
        <v>41</v>
      </c>
      <c r="B42" s="55" t="s">
        <v>320</v>
      </c>
      <c r="C42" s="56" t="s">
        <v>400</v>
      </c>
      <c r="D42" s="56" t="s">
        <v>401</v>
      </c>
      <c r="E42" s="57" t="s">
        <v>338</v>
      </c>
      <c r="F42" s="55" t="s">
        <v>324</v>
      </c>
      <c r="G42" s="55" t="s">
        <v>165</v>
      </c>
      <c r="H42" s="58" t="n">
        <v>14</v>
      </c>
      <c r="I42" s="58" t="n">
        <v>25</v>
      </c>
      <c r="J42" s="58" t="n">
        <f aca="false">ROUND(AVERAGE(H42:I42),1)</f>
        <v>19.5</v>
      </c>
      <c r="K42" s="59" t="n">
        <v>1</v>
      </c>
      <c r="L42" s="58" t="n">
        <f aca="false">J42+K42</f>
        <v>20.5</v>
      </c>
      <c r="M42" s="60" t="n">
        <f aca="false">IFERROR(INDEX(99_Listas!$C$2:$C$5,MATCH(G42,99_Listas!$B$2:$B$5,0)),0)</f>
        <v>0.11</v>
      </c>
      <c r="N42" s="58" t="n">
        <f aca="false">ROUND(J42*M42,2)</f>
        <v>2.15</v>
      </c>
      <c r="O42" s="58" t="n">
        <f aca="false">ROUND(J42-N42,2)</f>
        <v>17.35</v>
      </c>
      <c r="P42" s="55" t="s">
        <v>247</v>
      </c>
      <c r="Q42" s="54" t="n">
        <v>12</v>
      </c>
      <c r="R42" s="55" t="s">
        <v>276</v>
      </c>
      <c r="S42" s="56" t="s">
        <v>228</v>
      </c>
      <c r="T42" s="56" t="s">
        <v>402</v>
      </c>
      <c r="U42" s="56" t="s">
        <v>403</v>
      </c>
    </row>
    <row r="43" customFormat="false" ht="15" hidden="false" customHeight="true" outlineLevel="0" collapsed="false">
      <c r="A43" s="61" t="n">
        <v>42</v>
      </c>
      <c r="B43" s="62" t="s">
        <v>320</v>
      </c>
      <c r="C43" s="63" t="s">
        <v>404</v>
      </c>
      <c r="D43" s="63" t="s">
        <v>405</v>
      </c>
      <c r="E43" s="57" t="s">
        <v>406</v>
      </c>
      <c r="F43" s="62" t="s">
        <v>344</v>
      </c>
      <c r="G43" s="62" t="s">
        <v>161</v>
      </c>
      <c r="H43" s="64" t="n">
        <v>10</v>
      </c>
      <c r="I43" s="64" t="n">
        <v>20</v>
      </c>
      <c r="J43" s="64" t="n">
        <f aca="false">ROUND(AVERAGE(H43:I43),1)</f>
        <v>15</v>
      </c>
      <c r="K43" s="59" t="n">
        <v>1</v>
      </c>
      <c r="L43" s="64" t="n">
        <f aca="false">J43+K43</f>
        <v>16</v>
      </c>
      <c r="M43" s="65" t="n">
        <f aca="false">IFERROR(INDEX(99_Listas!$C$2:$C$5,MATCH(G43,99_Listas!$B$2:$B$5,0)),0)</f>
        <v>0.09</v>
      </c>
      <c r="N43" s="64" t="n">
        <f aca="false">ROUND(J43*M43,2)</f>
        <v>1.35</v>
      </c>
      <c r="O43" s="64" t="n">
        <f aca="false">ROUND(J43-N43,2)</f>
        <v>13.65</v>
      </c>
      <c r="P43" s="62" t="s">
        <v>280</v>
      </c>
      <c r="Q43" s="61" t="n">
        <v>12</v>
      </c>
      <c r="R43" s="62" t="s">
        <v>276</v>
      </c>
      <c r="S43" s="63" t="s">
        <v>228</v>
      </c>
      <c r="T43" s="63" t="s">
        <v>182</v>
      </c>
      <c r="U43" s="63"/>
    </row>
    <row r="44" customFormat="false" ht="15" hidden="false" customHeight="true" outlineLevel="0" collapsed="false">
      <c r="A44" s="54" t="n">
        <v>43</v>
      </c>
      <c r="B44" s="55" t="s">
        <v>320</v>
      </c>
      <c r="C44" s="56" t="s">
        <v>407</v>
      </c>
      <c r="D44" s="56" t="s">
        <v>408</v>
      </c>
      <c r="E44" s="57" t="s">
        <v>406</v>
      </c>
      <c r="F44" s="55" t="s">
        <v>344</v>
      </c>
      <c r="G44" s="55" t="s">
        <v>161</v>
      </c>
      <c r="H44" s="58" t="n">
        <v>12</v>
      </c>
      <c r="I44" s="58" t="n">
        <v>22</v>
      </c>
      <c r="J44" s="58" t="n">
        <f aca="false">ROUND(AVERAGE(H44:I44),1)</f>
        <v>17</v>
      </c>
      <c r="K44" s="59" t="n">
        <v>1</v>
      </c>
      <c r="L44" s="58" t="n">
        <f aca="false">J44+K44</f>
        <v>18</v>
      </c>
      <c r="M44" s="60" t="n">
        <f aca="false">IFERROR(INDEX(99_Listas!$C$2:$C$5,MATCH(G44,99_Listas!$B$2:$B$5,0)),0)</f>
        <v>0.09</v>
      </c>
      <c r="N44" s="58" t="n">
        <f aca="false">ROUND(J44*M44,2)</f>
        <v>1.53</v>
      </c>
      <c r="O44" s="58" t="n">
        <f aca="false">ROUND(J44-N44,2)</f>
        <v>15.47</v>
      </c>
      <c r="P44" s="55" t="s">
        <v>280</v>
      </c>
      <c r="Q44" s="54" t="n">
        <v>12</v>
      </c>
      <c r="R44" s="55" t="s">
        <v>165</v>
      </c>
      <c r="S44" s="56" t="s">
        <v>228</v>
      </c>
      <c r="T44" s="56" t="s">
        <v>182</v>
      </c>
      <c r="U44" s="56" t="s">
        <v>409</v>
      </c>
    </row>
    <row r="45" customFormat="false" ht="15" hidden="false" customHeight="true" outlineLevel="0" collapsed="false">
      <c r="A45" s="61" t="n">
        <v>44</v>
      </c>
      <c r="B45" s="62" t="s">
        <v>320</v>
      </c>
      <c r="C45" s="63" t="s">
        <v>410</v>
      </c>
      <c r="D45" s="63" t="s">
        <v>411</v>
      </c>
      <c r="E45" s="57" t="s">
        <v>412</v>
      </c>
      <c r="F45" s="62" t="s">
        <v>344</v>
      </c>
      <c r="G45" s="62" t="s">
        <v>165</v>
      </c>
      <c r="H45" s="64" t="n">
        <v>18</v>
      </c>
      <c r="I45" s="64" t="n">
        <v>32</v>
      </c>
      <c r="J45" s="64" t="n">
        <f aca="false">ROUND(AVERAGE(H45:I45),1)</f>
        <v>25</v>
      </c>
      <c r="K45" s="59" t="n">
        <v>1</v>
      </c>
      <c r="L45" s="64" t="n">
        <f aca="false">J45+K45</f>
        <v>26</v>
      </c>
      <c r="M45" s="65" t="n">
        <f aca="false">IFERROR(INDEX(99_Listas!$C$2:$C$5,MATCH(G45,99_Listas!$B$2:$B$5,0)),0)</f>
        <v>0.11</v>
      </c>
      <c r="N45" s="64" t="n">
        <f aca="false">ROUND(J45*M45,2)</f>
        <v>2.75</v>
      </c>
      <c r="O45" s="64" t="n">
        <f aca="false">ROUND(J45-N45,2)</f>
        <v>22.25</v>
      </c>
      <c r="P45" s="62" t="s">
        <v>280</v>
      </c>
      <c r="Q45" s="61" t="n">
        <v>15</v>
      </c>
      <c r="R45" s="62" t="s">
        <v>165</v>
      </c>
      <c r="S45" s="63" t="s">
        <v>228</v>
      </c>
      <c r="T45" s="63" t="s">
        <v>334</v>
      </c>
      <c r="U45" s="63"/>
    </row>
    <row r="46" customFormat="false" ht="15" hidden="false" customHeight="true" outlineLevel="0" collapsed="false">
      <c r="A46" s="54" t="n">
        <v>45</v>
      </c>
      <c r="B46" s="55" t="s">
        <v>320</v>
      </c>
      <c r="C46" s="56" t="s">
        <v>413</v>
      </c>
      <c r="D46" s="56" t="s">
        <v>414</v>
      </c>
      <c r="E46" s="57" t="s">
        <v>343</v>
      </c>
      <c r="F46" s="55" t="s">
        <v>344</v>
      </c>
      <c r="G46" s="55" t="s">
        <v>161</v>
      </c>
      <c r="H46" s="58" t="n">
        <v>10</v>
      </c>
      <c r="I46" s="58" t="n">
        <v>18</v>
      </c>
      <c r="J46" s="58" t="n">
        <f aca="false">ROUND(AVERAGE(H46:I46),1)</f>
        <v>14</v>
      </c>
      <c r="K46" s="59" t="n">
        <v>1</v>
      </c>
      <c r="L46" s="58" t="n">
        <f aca="false">J46+K46</f>
        <v>15</v>
      </c>
      <c r="M46" s="60" t="n">
        <f aca="false">IFERROR(INDEX(99_Listas!$C$2:$C$5,MATCH(G46,99_Listas!$B$2:$B$5,0)),0)</f>
        <v>0.09</v>
      </c>
      <c r="N46" s="58" t="n">
        <f aca="false">ROUND(J46*M46,2)</f>
        <v>1.26</v>
      </c>
      <c r="O46" s="58" t="n">
        <f aca="false">ROUND(J46-N46,2)</f>
        <v>12.74</v>
      </c>
      <c r="P46" s="55" t="s">
        <v>280</v>
      </c>
      <c r="Q46" s="54" t="n">
        <v>10</v>
      </c>
      <c r="R46" s="55" t="s">
        <v>276</v>
      </c>
      <c r="S46" s="56" t="s">
        <v>228</v>
      </c>
      <c r="T46" s="56" t="s">
        <v>182</v>
      </c>
      <c r="U46" s="56"/>
    </row>
    <row r="47" customFormat="false" ht="15" hidden="false" customHeight="true" outlineLevel="0" collapsed="false">
      <c r="A47" s="61" t="n">
        <v>46</v>
      </c>
      <c r="B47" s="62" t="s">
        <v>320</v>
      </c>
      <c r="C47" s="63" t="s">
        <v>415</v>
      </c>
      <c r="D47" s="63" t="s">
        <v>416</v>
      </c>
      <c r="E47" s="57" t="s">
        <v>417</v>
      </c>
      <c r="F47" s="62" t="s">
        <v>418</v>
      </c>
      <c r="G47" s="62" t="s">
        <v>157</v>
      </c>
      <c r="H47" s="64" t="n">
        <v>6</v>
      </c>
      <c r="I47" s="64" t="n">
        <v>14</v>
      </c>
      <c r="J47" s="64" t="n">
        <f aca="false">ROUND(AVERAGE(H47:I47),1)</f>
        <v>10</v>
      </c>
      <c r="K47" s="59" t="n">
        <v>1</v>
      </c>
      <c r="L47" s="64" t="n">
        <f aca="false">J47+K47</f>
        <v>11</v>
      </c>
      <c r="M47" s="65" t="n">
        <f aca="false">IFERROR(INDEX(99_Listas!$C$2:$C$5,MATCH(G47,99_Listas!$B$2:$B$5,0)),0)</f>
        <v>0.07</v>
      </c>
      <c r="N47" s="64" t="n">
        <f aca="false">ROUND(J47*M47,2)</f>
        <v>0.7</v>
      </c>
      <c r="O47" s="64" t="n">
        <f aca="false">ROUND(J47-N47,2)</f>
        <v>9.3</v>
      </c>
      <c r="P47" s="62" t="s">
        <v>275</v>
      </c>
      <c r="Q47" s="61" t="n">
        <v>4</v>
      </c>
      <c r="R47" s="62" t="s">
        <v>276</v>
      </c>
      <c r="S47" s="63" t="s">
        <v>228</v>
      </c>
      <c r="T47" s="63" t="s">
        <v>419</v>
      </c>
      <c r="U47" s="63"/>
    </row>
    <row r="48" customFormat="false" ht="15" hidden="false" customHeight="true" outlineLevel="0" collapsed="false">
      <c r="A48" s="54" t="n">
        <v>47</v>
      </c>
      <c r="B48" s="55" t="s">
        <v>320</v>
      </c>
      <c r="C48" s="56" t="s">
        <v>420</v>
      </c>
      <c r="D48" s="56" t="s">
        <v>421</v>
      </c>
      <c r="E48" s="57" t="s">
        <v>287</v>
      </c>
      <c r="F48" s="55" t="s">
        <v>422</v>
      </c>
      <c r="G48" s="55" t="s">
        <v>157</v>
      </c>
      <c r="H48" s="58" t="n">
        <v>3</v>
      </c>
      <c r="I48" s="58" t="n">
        <v>7</v>
      </c>
      <c r="J48" s="58" t="n">
        <f aca="false">ROUND(AVERAGE(H48:I48),1)</f>
        <v>5</v>
      </c>
      <c r="K48" s="59" t="n">
        <v>1</v>
      </c>
      <c r="L48" s="58" t="n">
        <f aca="false">J48+K48</f>
        <v>6</v>
      </c>
      <c r="M48" s="60" t="n">
        <f aca="false">IFERROR(INDEX(99_Listas!$C$2:$C$5,MATCH(G48,99_Listas!$B$2:$B$5,0)),0)</f>
        <v>0.07</v>
      </c>
      <c r="N48" s="58" t="n">
        <f aca="false">ROUND(J48*M48,2)</f>
        <v>0.35</v>
      </c>
      <c r="O48" s="58" t="n">
        <f aca="false">ROUND(J48-N48,2)</f>
        <v>4.65</v>
      </c>
      <c r="P48" s="55" t="s">
        <v>360</v>
      </c>
      <c r="Q48" s="54" t="n">
        <v>4</v>
      </c>
      <c r="R48" s="55" t="s">
        <v>276</v>
      </c>
      <c r="S48" s="56" t="s">
        <v>248</v>
      </c>
      <c r="T48" s="56" t="s">
        <v>300</v>
      </c>
      <c r="U48" s="56"/>
    </row>
    <row r="49" customFormat="false" ht="15" hidden="false" customHeight="true" outlineLevel="0" collapsed="false">
      <c r="A49" s="61" t="n">
        <v>48</v>
      </c>
      <c r="B49" s="62" t="s">
        <v>290</v>
      </c>
      <c r="C49" s="63" t="s">
        <v>423</v>
      </c>
      <c r="D49" s="63" t="s">
        <v>424</v>
      </c>
      <c r="E49" s="57" t="s">
        <v>303</v>
      </c>
      <c r="F49" s="62" t="s">
        <v>294</v>
      </c>
      <c r="G49" s="62" t="s">
        <v>157</v>
      </c>
      <c r="H49" s="64" t="n">
        <v>6</v>
      </c>
      <c r="I49" s="64" t="n">
        <v>12</v>
      </c>
      <c r="J49" s="64" t="n">
        <f aca="false">ROUND(AVERAGE(H49:I49),1)</f>
        <v>9</v>
      </c>
      <c r="K49" s="59" t="n">
        <v>1</v>
      </c>
      <c r="L49" s="64" t="n">
        <f aca="false">J49+K49</f>
        <v>10</v>
      </c>
      <c r="M49" s="65" t="n">
        <f aca="false">IFERROR(INDEX(99_Listas!$C$2:$C$5,MATCH(G49,99_Listas!$B$2:$B$5,0)),0)</f>
        <v>0.07</v>
      </c>
      <c r="N49" s="64" t="n">
        <f aca="false">ROUND(J49*M49,2)</f>
        <v>0.63</v>
      </c>
      <c r="O49" s="64" t="n">
        <f aca="false">ROUND(J49-N49,2)</f>
        <v>8.37</v>
      </c>
      <c r="P49" s="62" t="s">
        <v>275</v>
      </c>
      <c r="Q49" s="61" t="n">
        <v>6</v>
      </c>
      <c r="R49" s="62" t="s">
        <v>276</v>
      </c>
      <c r="S49" s="63" t="s">
        <v>228</v>
      </c>
      <c r="T49" s="63" t="s">
        <v>182</v>
      </c>
      <c r="U49" s="63"/>
    </row>
    <row r="50" customFormat="false" ht="15" hidden="false" customHeight="true" outlineLevel="0" collapsed="false">
      <c r="A50" s="54" t="n">
        <v>49</v>
      </c>
      <c r="B50" s="55" t="s">
        <v>290</v>
      </c>
      <c r="C50" s="56" t="s">
        <v>425</v>
      </c>
      <c r="D50" s="56" t="s">
        <v>426</v>
      </c>
      <c r="E50" s="57" t="s">
        <v>427</v>
      </c>
      <c r="F50" s="55" t="s">
        <v>294</v>
      </c>
      <c r="G50" s="55" t="s">
        <v>161</v>
      </c>
      <c r="H50" s="58" t="n">
        <v>8</v>
      </c>
      <c r="I50" s="58" t="n">
        <v>16</v>
      </c>
      <c r="J50" s="58" t="n">
        <f aca="false">ROUND(AVERAGE(H50:I50),1)</f>
        <v>12</v>
      </c>
      <c r="K50" s="59" t="n">
        <v>1</v>
      </c>
      <c r="L50" s="58" t="n">
        <f aca="false">J50+K50</f>
        <v>13</v>
      </c>
      <c r="M50" s="60" t="n">
        <f aca="false">IFERROR(INDEX(99_Listas!$C$2:$C$5,MATCH(G50,99_Listas!$B$2:$B$5,0)),0)</f>
        <v>0.09</v>
      </c>
      <c r="N50" s="58" t="n">
        <f aca="false">ROUND(J50*M50,2)</f>
        <v>1.08</v>
      </c>
      <c r="O50" s="58" t="n">
        <f aca="false">ROUND(J50-N50,2)</f>
        <v>10.92</v>
      </c>
      <c r="P50" s="55" t="s">
        <v>275</v>
      </c>
      <c r="Q50" s="54" t="n">
        <v>8</v>
      </c>
      <c r="R50" s="55" t="s">
        <v>276</v>
      </c>
      <c r="S50" s="56" t="s">
        <v>228</v>
      </c>
      <c r="T50" s="56" t="s">
        <v>182</v>
      </c>
      <c r="U50" s="56"/>
    </row>
    <row r="51" customFormat="false" ht="15" hidden="false" customHeight="true" outlineLevel="0" collapsed="false">
      <c r="A51" s="61" t="n">
        <v>50</v>
      </c>
      <c r="B51" s="62" t="s">
        <v>290</v>
      </c>
      <c r="C51" s="63" t="s">
        <v>428</v>
      </c>
      <c r="D51" s="63" t="s">
        <v>429</v>
      </c>
      <c r="E51" s="57" t="s">
        <v>430</v>
      </c>
      <c r="F51" s="62" t="s">
        <v>294</v>
      </c>
      <c r="G51" s="62" t="s">
        <v>161</v>
      </c>
      <c r="H51" s="64" t="n">
        <v>6</v>
      </c>
      <c r="I51" s="64" t="n">
        <v>14</v>
      </c>
      <c r="J51" s="64" t="n">
        <f aca="false">ROUND(AVERAGE(H51:I51),1)</f>
        <v>10</v>
      </c>
      <c r="K51" s="59" t="n">
        <v>1</v>
      </c>
      <c r="L51" s="64" t="n">
        <f aca="false">J51+K51</f>
        <v>11</v>
      </c>
      <c r="M51" s="65" t="n">
        <f aca="false">IFERROR(INDEX(99_Listas!$C$2:$C$5,MATCH(G51,99_Listas!$B$2:$B$5,0)),0)</f>
        <v>0.09</v>
      </c>
      <c r="N51" s="64" t="n">
        <f aca="false">ROUND(J51*M51,2)</f>
        <v>0.9</v>
      </c>
      <c r="O51" s="64" t="n">
        <f aca="false">ROUND(J51-N51,2)</f>
        <v>9.1</v>
      </c>
      <c r="P51" s="62" t="s">
        <v>280</v>
      </c>
      <c r="Q51" s="61" t="n">
        <v>5</v>
      </c>
      <c r="R51" s="62" t="s">
        <v>276</v>
      </c>
      <c r="S51" s="63" t="s">
        <v>228</v>
      </c>
      <c r="T51" s="63" t="s">
        <v>431</v>
      </c>
      <c r="U51" s="63"/>
    </row>
    <row r="52" customFormat="false" ht="15" hidden="false" customHeight="true" outlineLevel="0" collapsed="false">
      <c r="A52" s="54" t="n">
        <v>51</v>
      </c>
      <c r="B52" s="55" t="s">
        <v>290</v>
      </c>
      <c r="C52" s="56" t="s">
        <v>432</v>
      </c>
      <c r="D52" s="56" t="s">
        <v>433</v>
      </c>
      <c r="E52" s="57" t="s">
        <v>434</v>
      </c>
      <c r="F52" s="55" t="s">
        <v>294</v>
      </c>
      <c r="G52" s="55" t="s">
        <v>157</v>
      </c>
      <c r="H52" s="58" t="n">
        <v>4</v>
      </c>
      <c r="I52" s="58" t="n">
        <v>9</v>
      </c>
      <c r="J52" s="58" t="n">
        <f aca="false">ROUND(AVERAGE(H52:I52),1)</f>
        <v>6.5</v>
      </c>
      <c r="K52" s="59" t="n">
        <v>1</v>
      </c>
      <c r="L52" s="58" t="n">
        <f aca="false">J52+K52</f>
        <v>7.5</v>
      </c>
      <c r="M52" s="60" t="n">
        <f aca="false">IFERROR(INDEX(99_Listas!$C$2:$C$5,MATCH(G52,99_Listas!$B$2:$B$5,0)),0)</f>
        <v>0.07</v>
      </c>
      <c r="N52" s="58" t="n">
        <f aca="false">ROUND(J52*M52,2)</f>
        <v>0.46</v>
      </c>
      <c r="O52" s="58" t="n">
        <f aca="false">ROUND(J52-N52,2)</f>
        <v>6.04</v>
      </c>
      <c r="P52" s="55" t="s">
        <v>247</v>
      </c>
      <c r="Q52" s="54" t="n">
        <v>5</v>
      </c>
      <c r="R52" s="55" t="s">
        <v>276</v>
      </c>
      <c r="S52" s="56" t="s">
        <v>228</v>
      </c>
      <c r="T52" s="56" t="s">
        <v>435</v>
      </c>
      <c r="U52" s="56" t="s">
        <v>436</v>
      </c>
    </row>
    <row r="53" customFormat="false" ht="15" hidden="false" customHeight="true" outlineLevel="0" collapsed="false">
      <c r="A53" s="61" t="n">
        <v>52</v>
      </c>
      <c r="B53" s="62" t="s">
        <v>290</v>
      </c>
      <c r="C53" s="63" t="s">
        <v>437</v>
      </c>
      <c r="D53" s="63" t="s">
        <v>438</v>
      </c>
      <c r="E53" s="57" t="s">
        <v>439</v>
      </c>
      <c r="F53" s="62" t="s">
        <v>294</v>
      </c>
      <c r="G53" s="62" t="s">
        <v>157</v>
      </c>
      <c r="H53" s="64" t="n">
        <v>3</v>
      </c>
      <c r="I53" s="64" t="n">
        <v>7</v>
      </c>
      <c r="J53" s="64" t="n">
        <f aca="false">ROUND(AVERAGE(H53:I53),1)</f>
        <v>5</v>
      </c>
      <c r="K53" s="59" t="n">
        <v>1</v>
      </c>
      <c r="L53" s="64" t="n">
        <f aca="false">J53+K53</f>
        <v>6</v>
      </c>
      <c r="M53" s="65" t="n">
        <f aca="false">IFERROR(INDEX(99_Listas!$C$2:$C$5,MATCH(G53,99_Listas!$B$2:$B$5,0)),0)</f>
        <v>0.07</v>
      </c>
      <c r="N53" s="64" t="n">
        <f aca="false">ROUND(J53*M53,2)</f>
        <v>0.35</v>
      </c>
      <c r="O53" s="64" t="n">
        <f aca="false">ROUND(J53-N53,2)</f>
        <v>4.65</v>
      </c>
      <c r="P53" s="62" t="s">
        <v>247</v>
      </c>
      <c r="Q53" s="61" t="n">
        <v>4</v>
      </c>
      <c r="R53" s="62" t="s">
        <v>276</v>
      </c>
      <c r="S53" s="63" t="s">
        <v>228</v>
      </c>
      <c r="T53" s="63" t="s">
        <v>289</v>
      </c>
      <c r="U53" s="63"/>
    </row>
    <row r="54" customFormat="false" ht="15" hidden="false" customHeight="true" outlineLevel="0" collapsed="false">
      <c r="A54" s="54" t="n">
        <v>53</v>
      </c>
      <c r="B54" s="55" t="s">
        <v>262</v>
      </c>
      <c r="C54" s="56" t="s">
        <v>440</v>
      </c>
      <c r="D54" s="56" t="s">
        <v>441</v>
      </c>
      <c r="E54" s="57" t="s">
        <v>274</v>
      </c>
      <c r="F54" s="55" t="s">
        <v>266</v>
      </c>
      <c r="G54" s="55" t="s">
        <v>157</v>
      </c>
      <c r="H54" s="58" t="n">
        <v>4</v>
      </c>
      <c r="I54" s="58" t="n">
        <v>10</v>
      </c>
      <c r="J54" s="58" t="n">
        <f aca="false">ROUND(AVERAGE(H54:I54),1)</f>
        <v>7</v>
      </c>
      <c r="K54" s="59" t="n">
        <v>1</v>
      </c>
      <c r="L54" s="58" t="n">
        <f aca="false">J54+K54</f>
        <v>8</v>
      </c>
      <c r="M54" s="60" t="n">
        <f aca="false">IFERROR(INDEX(99_Listas!$C$2:$C$5,MATCH(G54,99_Listas!$B$2:$B$5,0)),0)</f>
        <v>0.07</v>
      </c>
      <c r="N54" s="58" t="n">
        <f aca="false">ROUND(J54*M54,2)</f>
        <v>0.49</v>
      </c>
      <c r="O54" s="58" t="n">
        <f aca="false">ROUND(J54-N54,2)</f>
        <v>6.51</v>
      </c>
      <c r="P54" s="55" t="s">
        <v>275</v>
      </c>
      <c r="Q54" s="54" t="n">
        <v>3</v>
      </c>
      <c r="R54" s="55" t="s">
        <v>276</v>
      </c>
      <c r="S54" s="56" t="s">
        <v>228</v>
      </c>
      <c r="T54" s="56" t="s">
        <v>182</v>
      </c>
      <c r="U54" s="56"/>
    </row>
    <row r="55" customFormat="false" ht="15" hidden="false" customHeight="true" outlineLevel="0" collapsed="false">
      <c r="A55" s="61" t="n">
        <v>54</v>
      </c>
      <c r="B55" s="62" t="s">
        <v>262</v>
      </c>
      <c r="C55" s="63" t="s">
        <v>442</v>
      </c>
      <c r="D55" s="63" t="s">
        <v>443</v>
      </c>
      <c r="E55" s="57" t="s">
        <v>274</v>
      </c>
      <c r="F55" s="62" t="s">
        <v>266</v>
      </c>
      <c r="G55" s="62" t="s">
        <v>157</v>
      </c>
      <c r="H55" s="64" t="n">
        <v>4</v>
      </c>
      <c r="I55" s="64" t="n">
        <v>10</v>
      </c>
      <c r="J55" s="64" t="n">
        <f aca="false">ROUND(AVERAGE(H55:I55),1)</f>
        <v>7</v>
      </c>
      <c r="K55" s="59" t="n">
        <v>1</v>
      </c>
      <c r="L55" s="64" t="n">
        <f aca="false">J55+K55</f>
        <v>8</v>
      </c>
      <c r="M55" s="65" t="n">
        <f aca="false">IFERROR(INDEX(99_Listas!$C$2:$C$5,MATCH(G55,99_Listas!$B$2:$B$5,0)),0)</f>
        <v>0.07</v>
      </c>
      <c r="N55" s="64" t="n">
        <f aca="false">ROUND(J55*M55,2)</f>
        <v>0.49</v>
      </c>
      <c r="O55" s="64" t="n">
        <f aca="false">ROUND(J55-N55,2)</f>
        <v>6.51</v>
      </c>
      <c r="P55" s="62" t="s">
        <v>275</v>
      </c>
      <c r="Q55" s="61" t="n">
        <v>4</v>
      </c>
      <c r="R55" s="62" t="s">
        <v>276</v>
      </c>
      <c r="S55" s="63" t="s">
        <v>228</v>
      </c>
      <c r="T55" s="63" t="s">
        <v>182</v>
      </c>
      <c r="U55" s="63"/>
    </row>
    <row r="56" customFormat="false" ht="15" hidden="false" customHeight="true" outlineLevel="0" collapsed="false">
      <c r="A56" s="54" t="n">
        <v>55</v>
      </c>
      <c r="B56" s="55" t="s">
        <v>262</v>
      </c>
      <c r="C56" s="56" t="s">
        <v>444</v>
      </c>
      <c r="D56" s="56" t="s">
        <v>445</v>
      </c>
      <c r="E56" s="57" t="s">
        <v>279</v>
      </c>
      <c r="F56" s="55" t="s">
        <v>266</v>
      </c>
      <c r="G56" s="55" t="s">
        <v>161</v>
      </c>
      <c r="H56" s="58" t="n">
        <v>8</v>
      </c>
      <c r="I56" s="58" t="n">
        <v>16</v>
      </c>
      <c r="J56" s="58" t="n">
        <f aca="false">ROUND(AVERAGE(H56:I56),1)</f>
        <v>12</v>
      </c>
      <c r="K56" s="59" t="n">
        <v>1</v>
      </c>
      <c r="L56" s="58" t="n">
        <f aca="false">J56+K56</f>
        <v>13</v>
      </c>
      <c r="M56" s="60" t="n">
        <f aca="false">IFERROR(INDEX(99_Listas!$C$2:$C$5,MATCH(G56,99_Listas!$B$2:$B$5,0)),0)</f>
        <v>0.09</v>
      </c>
      <c r="N56" s="58" t="n">
        <f aca="false">ROUND(J56*M56,2)</f>
        <v>1.08</v>
      </c>
      <c r="O56" s="58" t="n">
        <f aca="false">ROUND(J56-N56,2)</f>
        <v>10.92</v>
      </c>
      <c r="P56" s="55" t="s">
        <v>280</v>
      </c>
      <c r="Q56" s="54" t="n">
        <v>6</v>
      </c>
      <c r="R56" s="55" t="s">
        <v>165</v>
      </c>
      <c r="S56" s="56" t="s">
        <v>228</v>
      </c>
      <c r="T56" s="56" t="s">
        <v>182</v>
      </c>
      <c r="U56" s="56" t="s">
        <v>446</v>
      </c>
    </row>
    <row r="57" customFormat="false" ht="15" hidden="false" customHeight="true" outlineLevel="0" collapsed="false">
      <c r="A57" s="61" t="n">
        <v>56</v>
      </c>
      <c r="B57" s="62" t="s">
        <v>262</v>
      </c>
      <c r="C57" s="63" t="s">
        <v>447</v>
      </c>
      <c r="D57" s="63" t="s">
        <v>448</v>
      </c>
      <c r="E57" s="57" t="s">
        <v>449</v>
      </c>
      <c r="F57" s="62" t="s">
        <v>266</v>
      </c>
      <c r="G57" s="62" t="s">
        <v>157</v>
      </c>
      <c r="H57" s="64" t="n">
        <v>2</v>
      </c>
      <c r="I57" s="64" t="n">
        <v>5</v>
      </c>
      <c r="J57" s="64" t="n">
        <f aca="false">ROUND(AVERAGE(H57:I57),1)</f>
        <v>3.5</v>
      </c>
      <c r="K57" s="59" t="n">
        <v>1</v>
      </c>
      <c r="L57" s="64" t="n">
        <f aca="false">J57+K57</f>
        <v>4.5</v>
      </c>
      <c r="M57" s="65" t="n">
        <f aca="false">IFERROR(INDEX(99_Listas!$C$2:$C$5,MATCH(G57,99_Listas!$B$2:$B$5,0)),0)</f>
        <v>0.07</v>
      </c>
      <c r="N57" s="64" t="n">
        <f aca="false">ROUND(J57*M57,2)</f>
        <v>0.25</v>
      </c>
      <c r="O57" s="64" t="n">
        <f aca="false">ROUND(J57-N57,2)</f>
        <v>3.25</v>
      </c>
      <c r="P57" s="62" t="s">
        <v>275</v>
      </c>
      <c r="Q57" s="61" t="n">
        <v>2</v>
      </c>
      <c r="R57" s="62" t="s">
        <v>276</v>
      </c>
      <c r="S57" s="63" t="s">
        <v>228</v>
      </c>
      <c r="T57" s="63" t="s">
        <v>300</v>
      </c>
      <c r="U57" s="63"/>
    </row>
    <row r="58" customFormat="false" ht="15" hidden="false" customHeight="true" outlineLevel="0" collapsed="false">
      <c r="A58" s="54" t="n">
        <v>57</v>
      </c>
      <c r="B58" s="55" t="s">
        <v>262</v>
      </c>
      <c r="C58" s="56" t="s">
        <v>450</v>
      </c>
      <c r="D58" s="56" t="s">
        <v>451</v>
      </c>
      <c r="E58" s="57" t="s">
        <v>284</v>
      </c>
      <c r="F58" s="55" t="s">
        <v>266</v>
      </c>
      <c r="G58" s="55" t="s">
        <v>157</v>
      </c>
      <c r="H58" s="58" t="n">
        <v>5</v>
      </c>
      <c r="I58" s="58" t="n">
        <v>10</v>
      </c>
      <c r="J58" s="58" t="n">
        <f aca="false">ROUND(AVERAGE(H58:I58),1)</f>
        <v>7.5</v>
      </c>
      <c r="K58" s="59" t="n">
        <v>1</v>
      </c>
      <c r="L58" s="58" t="n">
        <f aca="false">J58+K58</f>
        <v>8.5</v>
      </c>
      <c r="M58" s="60" t="n">
        <f aca="false">IFERROR(INDEX(99_Listas!$C$2:$C$5,MATCH(G58,99_Listas!$B$2:$B$5,0)),0)</f>
        <v>0.07</v>
      </c>
      <c r="N58" s="58" t="n">
        <f aca="false">ROUND(J58*M58,2)</f>
        <v>0.53</v>
      </c>
      <c r="O58" s="58" t="n">
        <f aca="false">ROUND(J58-N58,2)</f>
        <v>6.97</v>
      </c>
      <c r="P58" s="55" t="s">
        <v>247</v>
      </c>
      <c r="Q58" s="54" t="n">
        <v>5</v>
      </c>
      <c r="R58" s="55" t="s">
        <v>276</v>
      </c>
      <c r="S58" s="56" t="s">
        <v>248</v>
      </c>
      <c r="T58" s="56" t="s">
        <v>182</v>
      </c>
      <c r="U58" s="56"/>
    </row>
    <row r="59" customFormat="false" ht="15" hidden="false" customHeight="true" outlineLevel="0" collapsed="false">
      <c r="A59" s="61" t="n">
        <v>58</v>
      </c>
      <c r="B59" s="62" t="s">
        <v>222</v>
      </c>
      <c r="C59" s="63" t="s">
        <v>452</v>
      </c>
      <c r="D59" s="63" t="s">
        <v>453</v>
      </c>
      <c r="E59" s="57" t="s">
        <v>454</v>
      </c>
      <c r="F59" s="62" t="s">
        <v>226</v>
      </c>
      <c r="G59" s="62" t="s">
        <v>157</v>
      </c>
      <c r="H59" s="64" t="n">
        <v>6</v>
      </c>
      <c r="I59" s="64" t="n">
        <v>11</v>
      </c>
      <c r="J59" s="64" t="n">
        <f aca="false">ROUND(AVERAGE(H59:I59),1)</f>
        <v>8.5</v>
      </c>
      <c r="K59" s="59" t="n">
        <v>1</v>
      </c>
      <c r="L59" s="64" t="n">
        <f aca="false">J59+K59</f>
        <v>9.5</v>
      </c>
      <c r="M59" s="65" t="n">
        <f aca="false">IFERROR(INDEX(99_Listas!$C$2:$C$5,MATCH(G59,99_Listas!$B$2:$B$5,0)),0)</f>
        <v>0.07</v>
      </c>
      <c r="N59" s="64" t="n">
        <f aca="false">ROUND(J59*M59,2)</f>
        <v>0.6</v>
      </c>
      <c r="O59" s="64" t="n">
        <f aca="false">ROUND(J59-N59,2)</f>
        <v>7.9</v>
      </c>
      <c r="P59" s="62" t="s">
        <v>227</v>
      </c>
      <c r="Q59" s="61" t="n">
        <v>8</v>
      </c>
      <c r="R59" s="62" t="s">
        <v>165</v>
      </c>
      <c r="S59" s="63" t="s">
        <v>228</v>
      </c>
      <c r="T59" s="63" t="s">
        <v>186</v>
      </c>
      <c r="U59" s="63" t="s">
        <v>455</v>
      </c>
    </row>
    <row r="60" customFormat="false" ht="15" hidden="false" customHeight="true" outlineLevel="0" collapsed="false">
      <c r="A60" s="54" t="n">
        <v>59</v>
      </c>
      <c r="B60" s="55" t="s">
        <v>222</v>
      </c>
      <c r="C60" s="56" t="s">
        <v>456</v>
      </c>
      <c r="D60" s="56" t="s">
        <v>457</v>
      </c>
      <c r="E60" s="57" t="s">
        <v>458</v>
      </c>
      <c r="F60" s="55" t="s">
        <v>226</v>
      </c>
      <c r="G60" s="55" t="s">
        <v>157</v>
      </c>
      <c r="H60" s="58" t="n">
        <v>6</v>
      </c>
      <c r="I60" s="58" t="n">
        <v>11</v>
      </c>
      <c r="J60" s="58" t="n">
        <f aca="false">ROUND(AVERAGE(H60:I60),1)</f>
        <v>8.5</v>
      </c>
      <c r="K60" s="59" t="n">
        <v>1</v>
      </c>
      <c r="L60" s="58" t="n">
        <f aca="false">J60+K60</f>
        <v>9.5</v>
      </c>
      <c r="M60" s="60" t="n">
        <f aca="false">IFERROR(INDEX(99_Listas!$C$2:$C$5,MATCH(G60,99_Listas!$B$2:$B$5,0)),0)</f>
        <v>0.07</v>
      </c>
      <c r="N60" s="58" t="n">
        <f aca="false">ROUND(J60*M60,2)</f>
        <v>0.6</v>
      </c>
      <c r="O60" s="58" t="n">
        <f aca="false">ROUND(J60-N60,2)</f>
        <v>7.9</v>
      </c>
      <c r="P60" s="55" t="s">
        <v>227</v>
      </c>
      <c r="Q60" s="54" t="n">
        <v>8</v>
      </c>
      <c r="R60" s="55" t="s">
        <v>165</v>
      </c>
      <c r="S60" s="56" t="s">
        <v>228</v>
      </c>
      <c r="T60" s="56" t="s">
        <v>249</v>
      </c>
      <c r="U60" s="56"/>
    </row>
    <row r="61" customFormat="false" ht="15" hidden="false" customHeight="true" outlineLevel="0" collapsed="false">
      <c r="A61" s="61" t="n">
        <v>60</v>
      </c>
      <c r="B61" s="62" t="s">
        <v>222</v>
      </c>
      <c r="C61" s="63" t="s">
        <v>459</v>
      </c>
      <c r="D61" s="63" t="s">
        <v>460</v>
      </c>
      <c r="E61" s="57" t="s">
        <v>243</v>
      </c>
      <c r="F61" s="62" t="s">
        <v>226</v>
      </c>
      <c r="G61" s="62" t="s">
        <v>161</v>
      </c>
      <c r="H61" s="64" t="n">
        <v>11</v>
      </c>
      <c r="I61" s="64" t="n">
        <v>18</v>
      </c>
      <c r="J61" s="64" t="n">
        <f aca="false">ROUND(AVERAGE(H61:I61),1)</f>
        <v>14.5</v>
      </c>
      <c r="K61" s="59" t="n">
        <v>1</v>
      </c>
      <c r="L61" s="64" t="n">
        <f aca="false">J61+K61</f>
        <v>15.5</v>
      </c>
      <c r="M61" s="65" t="n">
        <f aca="false">IFERROR(INDEX(99_Listas!$C$2:$C$5,MATCH(G61,99_Listas!$B$2:$B$5,0)),0)</f>
        <v>0.09</v>
      </c>
      <c r="N61" s="64" t="n">
        <f aca="false">ROUND(J61*M61,2)</f>
        <v>1.31</v>
      </c>
      <c r="O61" s="64" t="n">
        <f aca="false">ROUND(J61-N61,2)</f>
        <v>13.19</v>
      </c>
      <c r="P61" s="62" t="s">
        <v>227</v>
      </c>
      <c r="Q61" s="61" t="n">
        <v>12</v>
      </c>
      <c r="R61" s="62" t="s">
        <v>165</v>
      </c>
      <c r="S61" s="63" t="s">
        <v>380</v>
      </c>
      <c r="T61" s="63" t="s">
        <v>186</v>
      </c>
      <c r="U61" s="63"/>
    </row>
    <row r="62" customFormat="false" ht="23.25" hidden="false" customHeight="true" outlineLevel="0" collapsed="false">
      <c r="A62" s="54" t="n">
        <v>61</v>
      </c>
      <c r="B62" s="55" t="s">
        <v>222</v>
      </c>
      <c r="C62" s="56" t="s">
        <v>461</v>
      </c>
      <c r="D62" s="56" t="s">
        <v>462</v>
      </c>
      <c r="E62" s="57" t="s">
        <v>237</v>
      </c>
      <c r="F62" s="55" t="s">
        <v>226</v>
      </c>
      <c r="G62" s="55" t="s">
        <v>161</v>
      </c>
      <c r="H62" s="58" t="n">
        <v>13</v>
      </c>
      <c r="I62" s="58" t="n">
        <v>20</v>
      </c>
      <c r="J62" s="58" t="n">
        <f aca="false">ROUND(AVERAGE(H62:I62),1)</f>
        <v>16.5</v>
      </c>
      <c r="K62" s="59" t="n">
        <v>1</v>
      </c>
      <c r="L62" s="58" t="n">
        <f aca="false">J62+K62</f>
        <v>17.5</v>
      </c>
      <c r="M62" s="60" t="n">
        <f aca="false">IFERROR(INDEX(99_Listas!$C$2:$C$5,MATCH(G62,99_Listas!$B$2:$B$5,0)),0)</f>
        <v>0.09</v>
      </c>
      <c r="N62" s="58" t="n">
        <f aca="false">ROUND(J62*M62,2)</f>
        <v>1.49</v>
      </c>
      <c r="O62" s="58" t="n">
        <f aca="false">ROUND(J62-N62,2)</f>
        <v>15.01</v>
      </c>
      <c r="P62" s="55" t="s">
        <v>227</v>
      </c>
      <c r="Q62" s="54" t="n">
        <v>12</v>
      </c>
      <c r="R62" s="55" t="s">
        <v>165</v>
      </c>
      <c r="S62" s="56" t="s">
        <v>248</v>
      </c>
      <c r="T62" s="56" t="s">
        <v>186</v>
      </c>
      <c r="U62" s="56"/>
    </row>
    <row r="63" customFormat="false" ht="15" hidden="false" customHeight="true" outlineLevel="0" collapsed="false">
      <c r="A63" s="61" t="n">
        <v>62</v>
      </c>
      <c r="B63" s="62" t="s">
        <v>222</v>
      </c>
      <c r="C63" s="63" t="s">
        <v>463</v>
      </c>
      <c r="D63" s="63" t="s">
        <v>464</v>
      </c>
      <c r="E63" s="57" t="s">
        <v>465</v>
      </c>
      <c r="F63" s="62" t="s">
        <v>226</v>
      </c>
      <c r="G63" s="62" t="s">
        <v>161</v>
      </c>
      <c r="H63" s="64" t="n">
        <v>10</v>
      </c>
      <c r="I63" s="64" t="n">
        <v>18</v>
      </c>
      <c r="J63" s="64" t="n">
        <f aca="false">ROUND(AVERAGE(H63:I63),1)</f>
        <v>14</v>
      </c>
      <c r="K63" s="59" t="n">
        <v>1</v>
      </c>
      <c r="L63" s="64" t="n">
        <f aca="false">J63+K63</f>
        <v>15</v>
      </c>
      <c r="M63" s="65" t="n">
        <f aca="false">IFERROR(INDEX(99_Listas!$C$2:$C$5,MATCH(G63,99_Listas!$B$2:$B$5,0)),0)</f>
        <v>0.09</v>
      </c>
      <c r="N63" s="64" t="n">
        <f aca="false">ROUND(J63*M63,2)</f>
        <v>1.26</v>
      </c>
      <c r="O63" s="64" t="n">
        <f aca="false">ROUND(J63-N63,2)</f>
        <v>12.74</v>
      </c>
      <c r="P63" s="62" t="s">
        <v>247</v>
      </c>
      <c r="Q63" s="61" t="n">
        <v>12</v>
      </c>
      <c r="R63" s="62" t="s">
        <v>165</v>
      </c>
      <c r="S63" s="63" t="s">
        <v>228</v>
      </c>
      <c r="T63" s="63" t="s">
        <v>372</v>
      </c>
      <c r="U63" s="63"/>
    </row>
    <row r="64" customFormat="false" ht="15" hidden="false" customHeight="true" outlineLevel="0" collapsed="false">
      <c r="A64" s="54" t="n">
        <v>63</v>
      </c>
      <c r="B64" s="55" t="s">
        <v>222</v>
      </c>
      <c r="C64" s="56" t="s">
        <v>466</v>
      </c>
      <c r="D64" s="56" t="s">
        <v>467</v>
      </c>
      <c r="E64" s="57" t="s">
        <v>253</v>
      </c>
      <c r="F64" s="55" t="s">
        <v>226</v>
      </c>
      <c r="G64" s="55" t="s">
        <v>157</v>
      </c>
      <c r="H64" s="58" t="n">
        <v>7</v>
      </c>
      <c r="I64" s="58" t="n">
        <v>13</v>
      </c>
      <c r="J64" s="58" t="n">
        <f aca="false">ROUND(AVERAGE(H64:I64),1)</f>
        <v>10</v>
      </c>
      <c r="K64" s="59" t="n">
        <v>1</v>
      </c>
      <c r="L64" s="58" t="n">
        <f aca="false">J64+K64</f>
        <v>11</v>
      </c>
      <c r="M64" s="60" t="n">
        <f aca="false">IFERROR(INDEX(99_Listas!$C$2:$C$5,MATCH(G64,99_Listas!$B$2:$B$5,0)),0)</f>
        <v>0.07</v>
      </c>
      <c r="N64" s="58" t="n">
        <f aca="false">ROUND(J64*M64,2)</f>
        <v>0.7</v>
      </c>
      <c r="O64" s="58" t="n">
        <f aca="false">ROUND(J64-N64,2)</f>
        <v>9.3</v>
      </c>
      <c r="P64" s="55" t="s">
        <v>247</v>
      </c>
      <c r="Q64" s="54" t="n">
        <v>10</v>
      </c>
      <c r="R64" s="55" t="s">
        <v>165</v>
      </c>
      <c r="S64" s="56" t="s">
        <v>228</v>
      </c>
      <c r="T64" s="56" t="s">
        <v>468</v>
      </c>
      <c r="U64" s="56"/>
    </row>
    <row r="65" customFormat="false" ht="15" hidden="false" customHeight="true" outlineLevel="0" collapsed="false">
      <c r="A65" s="61" t="n">
        <v>64</v>
      </c>
      <c r="B65" s="62" t="s">
        <v>320</v>
      </c>
      <c r="C65" s="63" t="s">
        <v>469</v>
      </c>
      <c r="D65" s="63" t="s">
        <v>470</v>
      </c>
      <c r="E65" s="57" t="s">
        <v>338</v>
      </c>
      <c r="F65" s="62" t="s">
        <v>324</v>
      </c>
      <c r="G65" s="62" t="s">
        <v>157</v>
      </c>
      <c r="H65" s="64" t="n">
        <v>9</v>
      </c>
      <c r="I65" s="64" t="n">
        <v>15</v>
      </c>
      <c r="J65" s="64" t="n">
        <f aca="false">ROUND(AVERAGE(H65:I65),1)</f>
        <v>12</v>
      </c>
      <c r="K65" s="59" t="n">
        <v>1</v>
      </c>
      <c r="L65" s="64" t="n">
        <f aca="false">J65+K65</f>
        <v>13</v>
      </c>
      <c r="M65" s="65" t="n">
        <f aca="false">IFERROR(INDEX(99_Listas!$C$2:$C$5,MATCH(G65,99_Listas!$B$2:$B$5,0)),0)</f>
        <v>0.07</v>
      </c>
      <c r="N65" s="64" t="n">
        <f aca="false">ROUND(J65*M65,2)</f>
        <v>0.84</v>
      </c>
      <c r="O65" s="64" t="n">
        <f aca="false">ROUND(J65-N65,2)</f>
        <v>11.16</v>
      </c>
      <c r="P65" s="62" t="s">
        <v>471</v>
      </c>
      <c r="Q65" s="61" t="n">
        <v>12</v>
      </c>
      <c r="R65" s="62" t="s">
        <v>276</v>
      </c>
      <c r="S65" s="63" t="s">
        <v>228</v>
      </c>
      <c r="T65" s="63" t="s">
        <v>159</v>
      </c>
      <c r="U65" s="63" t="s">
        <v>472</v>
      </c>
    </row>
    <row r="66" customFormat="false" ht="15" hidden="false" customHeight="true" outlineLevel="0" collapsed="false">
      <c r="A66" s="54" t="n">
        <v>65</v>
      </c>
      <c r="B66" s="55" t="s">
        <v>320</v>
      </c>
      <c r="C66" s="56" t="s">
        <v>473</v>
      </c>
      <c r="D66" s="56" t="s">
        <v>474</v>
      </c>
      <c r="E66" s="57" t="s">
        <v>338</v>
      </c>
      <c r="F66" s="55" t="s">
        <v>324</v>
      </c>
      <c r="G66" s="55" t="s">
        <v>161</v>
      </c>
      <c r="H66" s="58" t="n">
        <v>14</v>
      </c>
      <c r="I66" s="58" t="n">
        <v>26</v>
      </c>
      <c r="J66" s="58" t="n">
        <f aca="false">ROUND(AVERAGE(H66:I66),1)</f>
        <v>20</v>
      </c>
      <c r="K66" s="59" t="n">
        <v>1</v>
      </c>
      <c r="L66" s="58" t="n">
        <f aca="false">J66+K66</f>
        <v>21</v>
      </c>
      <c r="M66" s="60" t="n">
        <f aca="false">IFERROR(INDEX(99_Listas!$C$2:$C$5,MATCH(G66,99_Listas!$B$2:$B$5,0)),0)</f>
        <v>0.09</v>
      </c>
      <c r="N66" s="58" t="n">
        <f aca="false">ROUND(J66*M66,2)</f>
        <v>1.8</v>
      </c>
      <c r="O66" s="58" t="n">
        <f aca="false">ROUND(J66-N66,2)</f>
        <v>18.2</v>
      </c>
      <c r="P66" s="55" t="s">
        <v>247</v>
      </c>
      <c r="Q66" s="54" t="n">
        <v>12</v>
      </c>
      <c r="R66" s="55" t="s">
        <v>276</v>
      </c>
      <c r="S66" s="56" t="s">
        <v>389</v>
      </c>
      <c r="T66" s="56" t="s">
        <v>330</v>
      </c>
      <c r="U66" s="56"/>
    </row>
    <row r="67" customFormat="false" ht="15" hidden="false" customHeight="true" outlineLevel="0" collapsed="false">
      <c r="A67" s="61" t="n">
        <v>66</v>
      </c>
      <c r="B67" s="62" t="s">
        <v>320</v>
      </c>
      <c r="C67" s="63" t="s">
        <v>475</v>
      </c>
      <c r="D67" s="63" t="s">
        <v>476</v>
      </c>
      <c r="E67" s="57" t="s">
        <v>477</v>
      </c>
      <c r="F67" s="62" t="s">
        <v>397</v>
      </c>
      <c r="G67" s="62" t="s">
        <v>161</v>
      </c>
      <c r="H67" s="64" t="n">
        <v>20</v>
      </c>
      <c r="I67" s="64" t="n">
        <v>38</v>
      </c>
      <c r="J67" s="64" t="n">
        <f aca="false">ROUND(AVERAGE(H67:I67),1)</f>
        <v>29</v>
      </c>
      <c r="K67" s="59" t="n">
        <v>1</v>
      </c>
      <c r="L67" s="64" t="n">
        <f aca="false">J67+K67</f>
        <v>30</v>
      </c>
      <c r="M67" s="65" t="n">
        <f aca="false">IFERROR(INDEX(99_Listas!$C$2:$C$5,MATCH(G67,99_Listas!$B$2:$B$5,0)),0)</f>
        <v>0.09</v>
      </c>
      <c r="N67" s="64" t="n">
        <f aca="false">ROUND(J67*M67,2)</f>
        <v>2.61</v>
      </c>
      <c r="O67" s="64" t="n">
        <f aca="false">ROUND(J67-N67,2)</f>
        <v>26.39</v>
      </c>
      <c r="P67" s="62" t="s">
        <v>275</v>
      </c>
      <c r="Q67" s="61" t="n">
        <v>18</v>
      </c>
      <c r="R67" s="62" t="s">
        <v>276</v>
      </c>
      <c r="S67" s="63" t="s">
        <v>228</v>
      </c>
      <c r="T67" s="63" t="s">
        <v>182</v>
      </c>
      <c r="U67" s="63"/>
    </row>
    <row r="68" customFormat="false" ht="15" hidden="false" customHeight="true" outlineLevel="0" collapsed="false">
      <c r="A68" s="54" t="n">
        <v>67</v>
      </c>
      <c r="B68" s="55" t="s">
        <v>320</v>
      </c>
      <c r="C68" s="56" t="s">
        <v>478</v>
      </c>
      <c r="D68" s="56" t="s">
        <v>479</v>
      </c>
      <c r="E68" s="57" t="s">
        <v>343</v>
      </c>
      <c r="F68" s="55" t="s">
        <v>344</v>
      </c>
      <c r="G68" s="55" t="s">
        <v>157</v>
      </c>
      <c r="H68" s="58" t="n">
        <v>6</v>
      </c>
      <c r="I68" s="58" t="n">
        <v>12</v>
      </c>
      <c r="J68" s="58" t="n">
        <f aca="false">ROUND(AVERAGE(H68:I68),1)</f>
        <v>9</v>
      </c>
      <c r="K68" s="59" t="n">
        <v>1</v>
      </c>
      <c r="L68" s="58" t="n">
        <f aca="false">J68+K68</f>
        <v>10</v>
      </c>
      <c r="M68" s="60" t="n">
        <f aca="false">IFERROR(INDEX(99_Listas!$C$2:$C$5,MATCH(G68,99_Listas!$B$2:$B$5,0)),0)</f>
        <v>0.07</v>
      </c>
      <c r="N68" s="58" t="n">
        <f aca="false">ROUND(J68*M68,2)</f>
        <v>0.63</v>
      </c>
      <c r="O68" s="58" t="n">
        <f aca="false">ROUND(J68-N68,2)</f>
        <v>8.37</v>
      </c>
      <c r="P68" s="55" t="s">
        <v>247</v>
      </c>
      <c r="Q68" s="54" t="n">
        <v>8</v>
      </c>
      <c r="R68" s="55" t="s">
        <v>276</v>
      </c>
      <c r="S68" s="56" t="s">
        <v>228</v>
      </c>
      <c r="T68" s="56" t="s">
        <v>339</v>
      </c>
      <c r="U68" s="56"/>
    </row>
    <row r="69" customFormat="false" ht="15" hidden="false" customHeight="true" outlineLevel="0" collapsed="false">
      <c r="A69" s="61" t="n">
        <v>68</v>
      </c>
      <c r="B69" s="62" t="s">
        <v>320</v>
      </c>
      <c r="C69" s="63" t="s">
        <v>480</v>
      </c>
      <c r="D69" s="63" t="s">
        <v>481</v>
      </c>
      <c r="E69" s="57" t="s">
        <v>343</v>
      </c>
      <c r="F69" s="62" t="s">
        <v>482</v>
      </c>
      <c r="G69" s="62" t="s">
        <v>157</v>
      </c>
      <c r="H69" s="64" t="n">
        <v>4</v>
      </c>
      <c r="I69" s="64" t="n">
        <v>9</v>
      </c>
      <c r="J69" s="64" t="n">
        <f aca="false">ROUND(AVERAGE(H69:I69),1)</f>
        <v>6.5</v>
      </c>
      <c r="K69" s="59" t="n">
        <v>1</v>
      </c>
      <c r="L69" s="64" t="n">
        <f aca="false">J69+K69</f>
        <v>7.5</v>
      </c>
      <c r="M69" s="65" t="n">
        <f aca="false">IFERROR(INDEX(99_Listas!$C$2:$C$5,MATCH(G69,99_Listas!$B$2:$B$5,0)),0)</f>
        <v>0.07</v>
      </c>
      <c r="N69" s="64" t="n">
        <f aca="false">ROUND(J69*M69,2)</f>
        <v>0.46</v>
      </c>
      <c r="O69" s="64" t="n">
        <f aca="false">ROUND(J69-N69,2)</f>
        <v>6.04</v>
      </c>
      <c r="P69" s="62" t="s">
        <v>247</v>
      </c>
      <c r="Q69" s="61" t="n">
        <v>6</v>
      </c>
      <c r="R69" s="62" t="s">
        <v>165</v>
      </c>
      <c r="S69" s="63" t="s">
        <v>228</v>
      </c>
      <c r="T69" s="63" t="s">
        <v>182</v>
      </c>
      <c r="U69" s="63"/>
    </row>
    <row r="70" customFormat="false" ht="15" hidden="false" customHeight="true" outlineLevel="0" collapsed="false">
      <c r="A70" s="54" t="n">
        <v>69</v>
      </c>
      <c r="B70" s="55" t="s">
        <v>320</v>
      </c>
      <c r="C70" s="56" t="s">
        <v>483</v>
      </c>
      <c r="D70" s="56" t="s">
        <v>484</v>
      </c>
      <c r="E70" s="57" t="s">
        <v>485</v>
      </c>
      <c r="F70" s="55" t="s">
        <v>344</v>
      </c>
      <c r="G70" s="55" t="s">
        <v>157</v>
      </c>
      <c r="H70" s="58" t="n">
        <v>7</v>
      </c>
      <c r="I70" s="58" t="n">
        <v>13</v>
      </c>
      <c r="J70" s="58" t="n">
        <f aca="false">ROUND(AVERAGE(H70:I70),1)</f>
        <v>10</v>
      </c>
      <c r="K70" s="59" t="n">
        <v>1</v>
      </c>
      <c r="L70" s="58" t="n">
        <f aca="false">J70+K70</f>
        <v>11</v>
      </c>
      <c r="M70" s="60" t="n">
        <f aca="false">IFERROR(INDEX(99_Listas!$C$2:$C$5,MATCH(G70,99_Listas!$B$2:$B$5,0)),0)</f>
        <v>0.07</v>
      </c>
      <c r="N70" s="58" t="n">
        <f aca="false">ROUND(J70*M70,2)</f>
        <v>0.7</v>
      </c>
      <c r="O70" s="58" t="n">
        <f aca="false">ROUND(J70-N70,2)</f>
        <v>9.3</v>
      </c>
      <c r="P70" s="55" t="s">
        <v>247</v>
      </c>
      <c r="Q70" s="54" t="n">
        <v>10</v>
      </c>
      <c r="R70" s="55" t="s">
        <v>276</v>
      </c>
      <c r="S70" s="56" t="s">
        <v>228</v>
      </c>
      <c r="T70" s="56" t="s">
        <v>486</v>
      </c>
      <c r="U70" s="56" t="s">
        <v>487</v>
      </c>
    </row>
    <row r="71" customFormat="false" ht="15" hidden="false" customHeight="true" outlineLevel="0" collapsed="false">
      <c r="A71" s="61" t="n">
        <v>70</v>
      </c>
      <c r="B71" s="62" t="s">
        <v>320</v>
      </c>
      <c r="C71" s="63" t="s">
        <v>488</v>
      </c>
      <c r="D71" s="63" t="s">
        <v>489</v>
      </c>
      <c r="E71" s="57" t="s">
        <v>490</v>
      </c>
      <c r="F71" s="62" t="s">
        <v>482</v>
      </c>
      <c r="G71" s="62" t="s">
        <v>157</v>
      </c>
      <c r="H71" s="64" t="n">
        <v>6</v>
      </c>
      <c r="I71" s="64" t="n">
        <v>12</v>
      </c>
      <c r="J71" s="64" t="n">
        <f aca="false">ROUND(AVERAGE(H71:I71),1)</f>
        <v>9</v>
      </c>
      <c r="K71" s="59" t="n">
        <v>1</v>
      </c>
      <c r="L71" s="64" t="n">
        <f aca="false">J71+K71</f>
        <v>10</v>
      </c>
      <c r="M71" s="65" t="n">
        <f aca="false">IFERROR(INDEX(99_Listas!$C$2:$C$5,MATCH(G71,99_Listas!$B$2:$B$5,0)),0)</f>
        <v>0.07</v>
      </c>
      <c r="N71" s="64" t="n">
        <f aca="false">ROUND(J71*M71,2)</f>
        <v>0.63</v>
      </c>
      <c r="O71" s="64" t="n">
        <f aca="false">ROUND(J71-N71,2)</f>
        <v>8.37</v>
      </c>
      <c r="P71" s="62" t="s">
        <v>275</v>
      </c>
      <c r="Q71" s="61" t="n">
        <v>8</v>
      </c>
      <c r="R71" s="62" t="s">
        <v>276</v>
      </c>
      <c r="S71" s="63" t="s">
        <v>228</v>
      </c>
      <c r="T71" s="63" t="s">
        <v>491</v>
      </c>
      <c r="U71" s="63"/>
    </row>
    <row r="72" customFormat="false" ht="15" hidden="false" customHeight="true" outlineLevel="0" collapsed="false">
      <c r="A72" s="54" t="n">
        <v>71</v>
      </c>
      <c r="B72" s="55" t="s">
        <v>320</v>
      </c>
      <c r="C72" s="56" t="s">
        <v>492</v>
      </c>
      <c r="D72" s="56" t="s">
        <v>493</v>
      </c>
      <c r="E72" s="57" t="s">
        <v>417</v>
      </c>
      <c r="F72" s="55" t="s">
        <v>494</v>
      </c>
      <c r="G72" s="55" t="s">
        <v>157</v>
      </c>
      <c r="H72" s="58" t="n">
        <v>7</v>
      </c>
      <c r="I72" s="58" t="n">
        <v>14</v>
      </c>
      <c r="J72" s="58" t="n">
        <f aca="false">ROUND(AVERAGE(H72:I72),1)</f>
        <v>10.5</v>
      </c>
      <c r="K72" s="59" t="n">
        <v>1</v>
      </c>
      <c r="L72" s="58" t="n">
        <f aca="false">J72+K72</f>
        <v>11.5</v>
      </c>
      <c r="M72" s="60" t="n">
        <f aca="false">IFERROR(INDEX(99_Listas!$C$2:$C$5,MATCH(G72,99_Listas!$B$2:$B$5,0)),0)</f>
        <v>0.07</v>
      </c>
      <c r="N72" s="58" t="n">
        <f aca="false">ROUND(J72*M72,2)</f>
        <v>0.74</v>
      </c>
      <c r="O72" s="58" t="n">
        <f aca="false">ROUND(J72-N72,2)</f>
        <v>9.76</v>
      </c>
      <c r="P72" s="55" t="s">
        <v>275</v>
      </c>
      <c r="Q72" s="54" t="n">
        <v>5</v>
      </c>
      <c r="R72" s="55" t="s">
        <v>276</v>
      </c>
      <c r="S72" s="56" t="s">
        <v>228</v>
      </c>
      <c r="T72" s="56" t="s">
        <v>495</v>
      </c>
      <c r="U72" s="56"/>
    </row>
    <row r="73" customFormat="false" ht="15" hidden="false" customHeight="true" outlineLevel="0" collapsed="false">
      <c r="A73" s="61" t="n">
        <v>72</v>
      </c>
      <c r="B73" s="62" t="s">
        <v>320</v>
      </c>
      <c r="C73" s="63" t="s">
        <v>496</v>
      </c>
      <c r="D73" s="63" t="s">
        <v>497</v>
      </c>
      <c r="E73" s="57" t="s">
        <v>498</v>
      </c>
      <c r="F73" s="62" t="s">
        <v>344</v>
      </c>
      <c r="G73" s="62" t="s">
        <v>157</v>
      </c>
      <c r="H73" s="64" t="n">
        <v>6</v>
      </c>
      <c r="I73" s="64" t="n">
        <v>12</v>
      </c>
      <c r="J73" s="64" t="n">
        <f aca="false">ROUND(AVERAGE(H73:I73),1)</f>
        <v>9</v>
      </c>
      <c r="K73" s="59" t="n">
        <v>1</v>
      </c>
      <c r="L73" s="64" t="n">
        <f aca="false">J73+K73</f>
        <v>10</v>
      </c>
      <c r="M73" s="65" t="n">
        <f aca="false">IFERROR(INDEX(99_Listas!$C$2:$C$5,MATCH(G73,99_Listas!$B$2:$B$5,0)),0)</f>
        <v>0.07</v>
      </c>
      <c r="N73" s="64" t="n">
        <f aca="false">ROUND(J73*M73,2)</f>
        <v>0.63</v>
      </c>
      <c r="O73" s="64" t="n">
        <f aca="false">ROUND(J73-N73,2)</f>
        <v>8.37</v>
      </c>
      <c r="P73" s="62" t="s">
        <v>275</v>
      </c>
      <c r="Q73" s="61" t="n">
        <v>5</v>
      </c>
      <c r="R73" s="62" t="s">
        <v>276</v>
      </c>
      <c r="S73" s="63" t="s">
        <v>228</v>
      </c>
      <c r="T73" s="63" t="s">
        <v>419</v>
      </c>
      <c r="U73" s="63"/>
    </row>
    <row r="74" customFormat="false" ht="15" hidden="false" customHeight="true" outlineLevel="0" collapsed="false">
      <c r="A74" s="54" t="n">
        <v>73</v>
      </c>
      <c r="B74" s="55" t="s">
        <v>320</v>
      </c>
      <c r="C74" s="56" t="s">
        <v>499</v>
      </c>
      <c r="D74" s="56" t="s">
        <v>500</v>
      </c>
      <c r="E74" s="57" t="s">
        <v>417</v>
      </c>
      <c r="F74" s="55" t="s">
        <v>418</v>
      </c>
      <c r="G74" s="55" t="s">
        <v>157</v>
      </c>
      <c r="H74" s="58" t="n">
        <v>5</v>
      </c>
      <c r="I74" s="58" t="n">
        <v>11</v>
      </c>
      <c r="J74" s="58" t="n">
        <f aca="false">ROUND(AVERAGE(H74:I74),1)</f>
        <v>8</v>
      </c>
      <c r="K74" s="59" t="n">
        <v>1</v>
      </c>
      <c r="L74" s="58" t="n">
        <f aca="false">J74+K74</f>
        <v>9</v>
      </c>
      <c r="M74" s="60" t="n">
        <f aca="false">IFERROR(INDEX(99_Listas!$C$2:$C$5,MATCH(G74,99_Listas!$B$2:$B$5,0)),0)</f>
        <v>0.07</v>
      </c>
      <c r="N74" s="58" t="n">
        <f aca="false">ROUND(J74*M74,2)</f>
        <v>0.56</v>
      </c>
      <c r="O74" s="58" t="n">
        <f aca="false">ROUND(J74-N74,2)</f>
        <v>7.44</v>
      </c>
      <c r="P74" s="55" t="s">
        <v>275</v>
      </c>
      <c r="Q74" s="54" t="n">
        <v>4</v>
      </c>
      <c r="R74" s="55" t="s">
        <v>276</v>
      </c>
      <c r="S74" s="56" t="s">
        <v>228</v>
      </c>
      <c r="T74" s="56" t="s">
        <v>184</v>
      </c>
      <c r="U74" s="56"/>
    </row>
    <row r="75" customFormat="false" ht="15" hidden="false" customHeight="true" outlineLevel="0" collapsed="false">
      <c r="A75" s="61" t="n">
        <v>74</v>
      </c>
      <c r="B75" s="62" t="s">
        <v>290</v>
      </c>
      <c r="C75" s="63" t="s">
        <v>501</v>
      </c>
      <c r="D75" s="63" t="s">
        <v>502</v>
      </c>
      <c r="E75" s="57" t="s">
        <v>503</v>
      </c>
      <c r="F75" s="62" t="s">
        <v>294</v>
      </c>
      <c r="G75" s="62" t="s">
        <v>157</v>
      </c>
      <c r="H75" s="64" t="n">
        <v>2</v>
      </c>
      <c r="I75" s="64" t="n">
        <v>6</v>
      </c>
      <c r="J75" s="64" t="n">
        <f aca="false">ROUND(AVERAGE(H75:I75),1)</f>
        <v>4</v>
      </c>
      <c r="K75" s="59" t="n">
        <v>1</v>
      </c>
      <c r="L75" s="64" t="n">
        <f aca="false">J75+K75</f>
        <v>5</v>
      </c>
      <c r="M75" s="65" t="n">
        <f aca="false">IFERROR(INDEX(99_Listas!$C$2:$C$5,MATCH(G75,99_Listas!$B$2:$B$5,0)),0)</f>
        <v>0.07</v>
      </c>
      <c r="N75" s="64" t="n">
        <f aca="false">ROUND(J75*M75,2)</f>
        <v>0.28</v>
      </c>
      <c r="O75" s="64" t="n">
        <f aca="false">ROUND(J75-N75,2)</f>
        <v>3.72</v>
      </c>
      <c r="P75" s="62" t="s">
        <v>247</v>
      </c>
      <c r="Q75" s="61" t="n">
        <v>3</v>
      </c>
      <c r="R75" s="62" t="s">
        <v>276</v>
      </c>
      <c r="S75" s="63" t="s">
        <v>228</v>
      </c>
      <c r="T75" s="63" t="s">
        <v>295</v>
      </c>
      <c r="U75" s="63"/>
    </row>
    <row r="76" customFormat="false" ht="15" hidden="false" customHeight="true" outlineLevel="0" collapsed="false">
      <c r="A76" s="54" t="n">
        <v>75</v>
      </c>
      <c r="B76" s="55" t="s">
        <v>290</v>
      </c>
      <c r="C76" s="56" t="s">
        <v>504</v>
      </c>
      <c r="D76" s="56" t="s">
        <v>505</v>
      </c>
      <c r="E76" s="57" t="s">
        <v>506</v>
      </c>
      <c r="F76" s="55" t="s">
        <v>294</v>
      </c>
      <c r="G76" s="55" t="s">
        <v>157</v>
      </c>
      <c r="H76" s="58" t="n">
        <v>3</v>
      </c>
      <c r="I76" s="58" t="n">
        <v>7</v>
      </c>
      <c r="J76" s="58" t="n">
        <f aca="false">ROUND(AVERAGE(H76:I76),1)</f>
        <v>5</v>
      </c>
      <c r="K76" s="59" t="n">
        <v>1</v>
      </c>
      <c r="L76" s="58" t="n">
        <f aca="false">J76+K76</f>
        <v>6</v>
      </c>
      <c r="M76" s="60" t="n">
        <f aca="false">IFERROR(INDEX(99_Listas!$C$2:$C$5,MATCH(G76,99_Listas!$B$2:$B$5,0)),0)</f>
        <v>0.07</v>
      </c>
      <c r="N76" s="58" t="n">
        <f aca="false">ROUND(J76*M76,2)</f>
        <v>0.35</v>
      </c>
      <c r="O76" s="58" t="n">
        <f aca="false">ROUND(J76-N76,2)</f>
        <v>4.65</v>
      </c>
      <c r="P76" s="55" t="s">
        <v>247</v>
      </c>
      <c r="Q76" s="54" t="n">
        <v>4</v>
      </c>
      <c r="R76" s="55" t="s">
        <v>276</v>
      </c>
      <c r="S76" s="56" t="s">
        <v>228</v>
      </c>
      <c r="T76" s="56" t="s">
        <v>289</v>
      </c>
      <c r="U76" s="56"/>
    </row>
    <row r="77" customFormat="false" ht="15" hidden="false" customHeight="true" outlineLevel="0" collapsed="false">
      <c r="A77" s="61" t="n">
        <v>76</v>
      </c>
      <c r="B77" s="62" t="s">
        <v>290</v>
      </c>
      <c r="C77" s="63" t="s">
        <v>507</v>
      </c>
      <c r="D77" s="63" t="s">
        <v>508</v>
      </c>
      <c r="E77" s="57" t="s">
        <v>509</v>
      </c>
      <c r="F77" s="62" t="s">
        <v>294</v>
      </c>
      <c r="G77" s="62" t="s">
        <v>157</v>
      </c>
      <c r="H77" s="64" t="n">
        <v>5</v>
      </c>
      <c r="I77" s="64" t="n">
        <v>11</v>
      </c>
      <c r="J77" s="64" t="n">
        <f aca="false">ROUND(AVERAGE(H77:I77),1)</f>
        <v>8</v>
      </c>
      <c r="K77" s="59" t="n">
        <v>1</v>
      </c>
      <c r="L77" s="64" t="n">
        <f aca="false">J77+K77</f>
        <v>9</v>
      </c>
      <c r="M77" s="65" t="n">
        <f aca="false">IFERROR(INDEX(99_Listas!$C$2:$C$5,MATCH(G77,99_Listas!$B$2:$B$5,0)),0)</f>
        <v>0.07</v>
      </c>
      <c r="N77" s="64" t="n">
        <f aca="false">ROUND(J77*M77,2)</f>
        <v>0.56</v>
      </c>
      <c r="O77" s="64" t="n">
        <f aca="false">ROUND(J77-N77,2)</f>
        <v>7.44</v>
      </c>
      <c r="P77" s="62" t="s">
        <v>275</v>
      </c>
      <c r="Q77" s="61" t="n">
        <v>5</v>
      </c>
      <c r="R77" s="62" t="s">
        <v>276</v>
      </c>
      <c r="S77" s="63" t="s">
        <v>228</v>
      </c>
      <c r="T77" s="63" t="s">
        <v>182</v>
      </c>
      <c r="U77" s="63"/>
    </row>
    <row r="78" customFormat="false" ht="15" hidden="false" customHeight="true" outlineLevel="0" collapsed="false">
      <c r="A78" s="54" t="n">
        <v>77</v>
      </c>
      <c r="B78" s="55" t="s">
        <v>290</v>
      </c>
      <c r="C78" s="56" t="s">
        <v>510</v>
      </c>
      <c r="D78" s="56" t="s">
        <v>511</v>
      </c>
      <c r="E78" s="57" t="s">
        <v>512</v>
      </c>
      <c r="F78" s="55" t="s">
        <v>294</v>
      </c>
      <c r="G78" s="55" t="s">
        <v>157</v>
      </c>
      <c r="H78" s="58" t="n">
        <v>5</v>
      </c>
      <c r="I78" s="58" t="n">
        <v>10</v>
      </c>
      <c r="J78" s="58" t="n">
        <f aca="false">ROUND(AVERAGE(H78:I78),1)</f>
        <v>7.5</v>
      </c>
      <c r="K78" s="59" t="n">
        <v>1</v>
      </c>
      <c r="L78" s="58" t="n">
        <f aca="false">J78+K78</f>
        <v>8.5</v>
      </c>
      <c r="M78" s="60" t="n">
        <f aca="false">IFERROR(INDEX(99_Listas!$C$2:$C$5,MATCH(G78,99_Listas!$B$2:$B$5,0)),0)</f>
        <v>0.07</v>
      </c>
      <c r="N78" s="58" t="n">
        <f aca="false">ROUND(J78*M78,2)</f>
        <v>0.53</v>
      </c>
      <c r="O78" s="58" t="n">
        <f aca="false">ROUND(J78-N78,2)</f>
        <v>6.97</v>
      </c>
      <c r="P78" s="55" t="s">
        <v>275</v>
      </c>
      <c r="Q78" s="54" t="n">
        <v>5</v>
      </c>
      <c r="R78" s="55" t="s">
        <v>276</v>
      </c>
      <c r="S78" s="56" t="s">
        <v>228</v>
      </c>
      <c r="T78" s="56" t="s">
        <v>182</v>
      </c>
      <c r="U78" s="56"/>
    </row>
    <row r="79" customFormat="false" ht="15" hidden="false" customHeight="true" outlineLevel="0" collapsed="false">
      <c r="A79" s="61" t="n">
        <v>78</v>
      </c>
      <c r="B79" s="62" t="s">
        <v>290</v>
      </c>
      <c r="C79" s="63" t="s">
        <v>513</v>
      </c>
      <c r="D79" s="63" t="s">
        <v>514</v>
      </c>
      <c r="E79" s="57" t="s">
        <v>515</v>
      </c>
      <c r="F79" s="62" t="s">
        <v>294</v>
      </c>
      <c r="G79" s="62" t="s">
        <v>157</v>
      </c>
      <c r="H79" s="64" t="n">
        <v>6</v>
      </c>
      <c r="I79" s="64" t="n">
        <v>12</v>
      </c>
      <c r="J79" s="64" t="n">
        <f aca="false">ROUND(AVERAGE(H79:I79),1)</f>
        <v>9</v>
      </c>
      <c r="K79" s="59" t="n">
        <v>1</v>
      </c>
      <c r="L79" s="64" t="n">
        <f aca="false">J79+K79</f>
        <v>10</v>
      </c>
      <c r="M79" s="65" t="n">
        <f aca="false">IFERROR(INDEX(99_Listas!$C$2:$C$5,MATCH(G79,99_Listas!$B$2:$B$5,0)),0)</f>
        <v>0.07</v>
      </c>
      <c r="N79" s="64" t="n">
        <f aca="false">ROUND(J79*M79,2)</f>
        <v>0.63</v>
      </c>
      <c r="O79" s="64" t="n">
        <f aca="false">ROUND(J79-N79,2)</f>
        <v>8.37</v>
      </c>
      <c r="P79" s="62" t="s">
        <v>275</v>
      </c>
      <c r="Q79" s="61" t="n">
        <v>6</v>
      </c>
      <c r="R79" s="62" t="s">
        <v>276</v>
      </c>
      <c r="S79" s="63" t="s">
        <v>228</v>
      </c>
      <c r="T79" s="63" t="s">
        <v>182</v>
      </c>
      <c r="U79" s="63"/>
    </row>
    <row r="80" customFormat="false" ht="15" hidden="false" customHeight="true" outlineLevel="0" collapsed="false">
      <c r="A80" s="54" t="n">
        <v>79</v>
      </c>
      <c r="B80" s="55" t="s">
        <v>290</v>
      </c>
      <c r="C80" s="56" t="s">
        <v>516</v>
      </c>
      <c r="D80" s="56" t="s">
        <v>517</v>
      </c>
      <c r="E80" s="57" t="s">
        <v>518</v>
      </c>
      <c r="F80" s="55" t="s">
        <v>294</v>
      </c>
      <c r="G80" s="55" t="s">
        <v>161</v>
      </c>
      <c r="H80" s="58" t="n">
        <v>8</v>
      </c>
      <c r="I80" s="58" t="n">
        <v>16</v>
      </c>
      <c r="J80" s="58" t="n">
        <f aca="false">ROUND(AVERAGE(H80:I80),1)</f>
        <v>12</v>
      </c>
      <c r="K80" s="59" t="n">
        <v>1</v>
      </c>
      <c r="L80" s="58" t="n">
        <f aca="false">J80+K80</f>
        <v>13</v>
      </c>
      <c r="M80" s="60" t="n">
        <f aca="false">IFERROR(INDEX(99_Listas!$C$2:$C$5,MATCH(G80,99_Listas!$B$2:$B$5,0)),0)</f>
        <v>0.09</v>
      </c>
      <c r="N80" s="58" t="n">
        <f aca="false">ROUND(J80*M80,2)</f>
        <v>1.08</v>
      </c>
      <c r="O80" s="58" t="n">
        <f aca="false">ROUND(J80-N80,2)</f>
        <v>10.92</v>
      </c>
      <c r="P80" s="55" t="s">
        <v>519</v>
      </c>
      <c r="Q80" s="54" t="n">
        <v>8</v>
      </c>
      <c r="R80" s="55" t="s">
        <v>276</v>
      </c>
      <c r="S80" s="56" t="s">
        <v>228</v>
      </c>
      <c r="T80" s="56" t="s">
        <v>182</v>
      </c>
      <c r="U80" s="56"/>
    </row>
    <row r="81" customFormat="false" ht="15" hidden="false" customHeight="true" outlineLevel="0" collapsed="false">
      <c r="A81" s="61" t="n">
        <v>80</v>
      </c>
      <c r="B81" s="62" t="s">
        <v>290</v>
      </c>
      <c r="C81" s="63" t="s">
        <v>520</v>
      </c>
      <c r="D81" s="63" t="s">
        <v>521</v>
      </c>
      <c r="E81" s="57" t="s">
        <v>522</v>
      </c>
      <c r="F81" s="62" t="s">
        <v>294</v>
      </c>
      <c r="G81" s="62" t="s">
        <v>157</v>
      </c>
      <c r="H81" s="64" t="n">
        <v>2</v>
      </c>
      <c r="I81" s="64" t="n">
        <v>6</v>
      </c>
      <c r="J81" s="64" t="n">
        <f aca="false">ROUND(AVERAGE(H81:I81),1)</f>
        <v>4</v>
      </c>
      <c r="K81" s="59" t="n">
        <v>1</v>
      </c>
      <c r="L81" s="64" t="n">
        <f aca="false">J81+K81</f>
        <v>5</v>
      </c>
      <c r="M81" s="65" t="n">
        <f aca="false">IFERROR(INDEX(99_Listas!$C$2:$C$5,MATCH(G81,99_Listas!$B$2:$B$5,0)),0)</f>
        <v>0.07</v>
      </c>
      <c r="N81" s="64" t="n">
        <f aca="false">ROUND(J81*M81,2)</f>
        <v>0.28</v>
      </c>
      <c r="O81" s="64" t="n">
        <f aca="false">ROUND(J81-N81,2)</f>
        <v>3.72</v>
      </c>
      <c r="P81" s="62" t="s">
        <v>275</v>
      </c>
      <c r="Q81" s="61" t="n">
        <v>2</v>
      </c>
      <c r="R81" s="62" t="s">
        <v>276</v>
      </c>
      <c r="S81" s="63" t="s">
        <v>228</v>
      </c>
      <c r="T81" s="63" t="s">
        <v>317</v>
      </c>
      <c r="U81" s="63"/>
    </row>
    <row r="82" customFormat="false" ht="15" hidden="false" customHeight="true" outlineLevel="0" collapsed="false">
      <c r="A82" s="54" t="n">
        <v>81</v>
      </c>
      <c r="B82" s="55" t="s">
        <v>290</v>
      </c>
      <c r="C82" s="56" t="s">
        <v>523</v>
      </c>
      <c r="D82" s="56" t="s">
        <v>524</v>
      </c>
      <c r="E82" s="57" t="s">
        <v>525</v>
      </c>
      <c r="F82" s="55" t="s">
        <v>482</v>
      </c>
      <c r="G82" s="55" t="s">
        <v>157</v>
      </c>
      <c r="H82" s="58" t="n">
        <v>3</v>
      </c>
      <c r="I82" s="58" t="n">
        <v>8</v>
      </c>
      <c r="J82" s="58" t="n">
        <f aca="false">ROUND(AVERAGE(H82:I82),1)</f>
        <v>5.5</v>
      </c>
      <c r="K82" s="59" t="n">
        <v>1</v>
      </c>
      <c r="L82" s="58" t="n">
        <f aca="false">J82+K82</f>
        <v>6.5</v>
      </c>
      <c r="M82" s="60" t="n">
        <f aca="false">IFERROR(INDEX(99_Listas!$C$2:$C$5,MATCH(G82,99_Listas!$B$2:$B$5,0)),0)</f>
        <v>0.07</v>
      </c>
      <c r="N82" s="58" t="n">
        <f aca="false">ROUND(J82*M82,2)</f>
        <v>0.39</v>
      </c>
      <c r="O82" s="58" t="n">
        <f aca="false">ROUND(J82-N82,2)</f>
        <v>5.11</v>
      </c>
      <c r="P82" s="55" t="s">
        <v>519</v>
      </c>
      <c r="Q82" s="54" t="n">
        <v>2</v>
      </c>
      <c r="R82" s="55" t="s">
        <v>276</v>
      </c>
      <c r="S82" s="56" t="s">
        <v>228</v>
      </c>
      <c r="T82" s="56" t="s">
        <v>317</v>
      </c>
      <c r="U82" s="56"/>
    </row>
    <row r="83" customFormat="false" ht="15" hidden="false" customHeight="true" outlineLevel="0" collapsed="false">
      <c r="A83" s="61" t="n">
        <v>82</v>
      </c>
      <c r="B83" s="62" t="s">
        <v>290</v>
      </c>
      <c r="C83" s="63" t="s">
        <v>526</v>
      </c>
      <c r="D83" s="63" t="s">
        <v>527</v>
      </c>
      <c r="E83" s="57" t="s">
        <v>525</v>
      </c>
      <c r="F83" s="62" t="s">
        <v>482</v>
      </c>
      <c r="G83" s="62" t="s">
        <v>157</v>
      </c>
      <c r="H83" s="64" t="n">
        <v>4</v>
      </c>
      <c r="I83" s="64" t="n">
        <v>9</v>
      </c>
      <c r="J83" s="64" t="n">
        <f aca="false">ROUND(AVERAGE(H83:I83),1)</f>
        <v>6.5</v>
      </c>
      <c r="K83" s="59" t="n">
        <v>1</v>
      </c>
      <c r="L83" s="64" t="n">
        <f aca="false">J83+K83</f>
        <v>7.5</v>
      </c>
      <c r="M83" s="65" t="n">
        <f aca="false">IFERROR(INDEX(99_Listas!$C$2:$C$5,MATCH(G83,99_Listas!$B$2:$B$5,0)),0)</f>
        <v>0.07</v>
      </c>
      <c r="N83" s="64" t="n">
        <f aca="false">ROUND(J83*M83,2)</f>
        <v>0.46</v>
      </c>
      <c r="O83" s="64" t="n">
        <f aca="false">ROUND(J83-N83,2)</f>
        <v>6.04</v>
      </c>
      <c r="P83" s="62" t="s">
        <v>519</v>
      </c>
      <c r="Q83" s="61" t="n">
        <v>2</v>
      </c>
      <c r="R83" s="62" t="s">
        <v>276</v>
      </c>
      <c r="S83" s="63" t="s">
        <v>228</v>
      </c>
      <c r="T83" s="63" t="s">
        <v>528</v>
      </c>
      <c r="U83" s="63"/>
    </row>
    <row r="84" customFormat="false" ht="15" hidden="false" customHeight="true" outlineLevel="0" collapsed="false">
      <c r="A84" s="54" t="n">
        <v>83</v>
      </c>
      <c r="B84" s="55" t="s">
        <v>290</v>
      </c>
      <c r="C84" s="56" t="s">
        <v>529</v>
      </c>
      <c r="D84" s="56" t="s">
        <v>530</v>
      </c>
      <c r="E84" s="57" t="s">
        <v>358</v>
      </c>
      <c r="F84" s="55" t="s">
        <v>294</v>
      </c>
      <c r="G84" s="55" t="s">
        <v>157</v>
      </c>
      <c r="H84" s="58" t="n">
        <v>1.5</v>
      </c>
      <c r="I84" s="58" t="n">
        <v>4</v>
      </c>
      <c r="J84" s="58" t="n">
        <f aca="false">ROUND(AVERAGE(H84:I84),1)</f>
        <v>2.8</v>
      </c>
      <c r="K84" s="59" t="n">
        <v>1</v>
      </c>
      <c r="L84" s="58" t="n">
        <f aca="false">J84+K84</f>
        <v>3.8</v>
      </c>
      <c r="M84" s="60" t="n">
        <f aca="false">IFERROR(INDEX(99_Listas!$C$2:$C$5,MATCH(G84,99_Listas!$B$2:$B$5,0)),0)</f>
        <v>0.07</v>
      </c>
      <c r="N84" s="58" t="n">
        <f aca="false">ROUND(J84*M84,2)</f>
        <v>0.2</v>
      </c>
      <c r="O84" s="58" t="n">
        <f aca="false">ROUND(J84-N84,2)</f>
        <v>2.6</v>
      </c>
      <c r="P84" s="55" t="s">
        <v>275</v>
      </c>
      <c r="Q84" s="54" t="n">
        <v>1</v>
      </c>
      <c r="R84" s="55" t="s">
        <v>276</v>
      </c>
      <c r="S84" s="56" t="s">
        <v>228</v>
      </c>
      <c r="T84" s="56" t="s">
        <v>317</v>
      </c>
      <c r="U84" s="56"/>
    </row>
    <row r="85" customFormat="false" ht="15" hidden="false" customHeight="true" outlineLevel="0" collapsed="false">
      <c r="A85" s="61" t="n">
        <v>84</v>
      </c>
      <c r="B85" s="62" t="s">
        <v>290</v>
      </c>
      <c r="C85" s="63" t="s">
        <v>531</v>
      </c>
      <c r="D85" s="63" t="s">
        <v>532</v>
      </c>
      <c r="E85" s="57" t="s">
        <v>533</v>
      </c>
      <c r="F85" s="62" t="s">
        <v>534</v>
      </c>
      <c r="G85" s="62" t="s">
        <v>157</v>
      </c>
      <c r="H85" s="64" t="n">
        <v>3</v>
      </c>
      <c r="I85" s="64" t="n">
        <v>8</v>
      </c>
      <c r="J85" s="64" t="n">
        <f aca="false">ROUND(AVERAGE(H85:I85),1)</f>
        <v>5.5</v>
      </c>
      <c r="K85" s="59" t="n">
        <v>1</v>
      </c>
      <c r="L85" s="64" t="n">
        <f aca="false">J85+K85</f>
        <v>6.5</v>
      </c>
      <c r="M85" s="65" t="n">
        <f aca="false">IFERROR(INDEX(99_Listas!$C$2:$C$5,MATCH(G85,99_Listas!$B$2:$B$5,0)),0)</f>
        <v>0.07</v>
      </c>
      <c r="N85" s="64" t="n">
        <f aca="false">ROUND(J85*M85,2)</f>
        <v>0.39</v>
      </c>
      <c r="O85" s="64" t="n">
        <f aca="false">ROUND(J85-N85,2)</f>
        <v>5.11</v>
      </c>
      <c r="P85" s="62" t="s">
        <v>519</v>
      </c>
      <c r="Q85" s="61" t="n">
        <v>1</v>
      </c>
      <c r="R85" s="62" t="s">
        <v>276</v>
      </c>
      <c r="S85" s="63" t="s">
        <v>228</v>
      </c>
      <c r="T85" s="63" t="s">
        <v>317</v>
      </c>
      <c r="U85" s="63" t="s">
        <v>535</v>
      </c>
    </row>
    <row r="86" customFormat="false" ht="15" hidden="false" customHeight="true" outlineLevel="0" collapsed="false">
      <c r="A86" s="54" t="n">
        <v>85</v>
      </c>
      <c r="B86" s="55" t="s">
        <v>290</v>
      </c>
      <c r="C86" s="56" t="s">
        <v>536</v>
      </c>
      <c r="D86" s="56" t="s">
        <v>537</v>
      </c>
      <c r="E86" s="57" t="s">
        <v>358</v>
      </c>
      <c r="F86" s="55" t="s">
        <v>359</v>
      </c>
      <c r="G86" s="55" t="s">
        <v>157</v>
      </c>
      <c r="H86" s="58" t="n">
        <v>2</v>
      </c>
      <c r="I86" s="58" t="n">
        <v>6</v>
      </c>
      <c r="J86" s="58" t="n">
        <f aca="false">ROUND(AVERAGE(H86:I86),1)</f>
        <v>4</v>
      </c>
      <c r="K86" s="59" t="n">
        <v>1</v>
      </c>
      <c r="L86" s="58" t="n">
        <f aca="false">J86+K86</f>
        <v>5</v>
      </c>
      <c r="M86" s="60" t="n">
        <f aca="false">IFERROR(INDEX(99_Listas!$C$2:$C$5,MATCH(G86,99_Listas!$B$2:$B$5,0)),0)</f>
        <v>0.07</v>
      </c>
      <c r="N86" s="58" t="n">
        <f aca="false">ROUND(J86*M86,2)</f>
        <v>0.28</v>
      </c>
      <c r="O86" s="58" t="n">
        <f aca="false">ROUND(J86-N86,2)</f>
        <v>3.72</v>
      </c>
      <c r="P86" s="55" t="s">
        <v>275</v>
      </c>
      <c r="Q86" s="54" t="n">
        <v>1</v>
      </c>
      <c r="R86" s="55" t="s">
        <v>276</v>
      </c>
      <c r="S86" s="56" t="s">
        <v>228</v>
      </c>
      <c r="T86" s="56" t="s">
        <v>317</v>
      </c>
      <c r="U86" s="56"/>
    </row>
    <row r="87" customFormat="false" ht="15" hidden="false" customHeight="true" outlineLevel="0" collapsed="false">
      <c r="A87" s="61" t="n">
        <v>86</v>
      </c>
      <c r="B87" s="62" t="s">
        <v>290</v>
      </c>
      <c r="C87" s="63" t="s">
        <v>538</v>
      </c>
      <c r="D87" s="63" t="s">
        <v>539</v>
      </c>
      <c r="E87" s="57" t="s">
        <v>540</v>
      </c>
      <c r="F87" s="62" t="s">
        <v>482</v>
      </c>
      <c r="G87" s="62" t="s">
        <v>157</v>
      </c>
      <c r="H87" s="64" t="n">
        <v>4</v>
      </c>
      <c r="I87" s="64" t="n">
        <v>9</v>
      </c>
      <c r="J87" s="64" t="n">
        <f aca="false">ROUND(AVERAGE(H87:I87),1)</f>
        <v>6.5</v>
      </c>
      <c r="K87" s="59" t="n">
        <v>1</v>
      </c>
      <c r="L87" s="64" t="n">
        <f aca="false">J87+K87</f>
        <v>7.5</v>
      </c>
      <c r="M87" s="65" t="n">
        <f aca="false">IFERROR(INDEX(99_Listas!$C$2:$C$5,MATCH(G87,99_Listas!$B$2:$B$5,0)),0)</f>
        <v>0.07</v>
      </c>
      <c r="N87" s="64" t="n">
        <f aca="false">ROUND(J87*M87,2)</f>
        <v>0.46</v>
      </c>
      <c r="O87" s="64" t="n">
        <f aca="false">ROUND(J87-N87,2)</f>
        <v>6.04</v>
      </c>
      <c r="P87" s="62" t="s">
        <v>519</v>
      </c>
      <c r="Q87" s="61" t="n">
        <v>4</v>
      </c>
      <c r="R87" s="62" t="s">
        <v>276</v>
      </c>
      <c r="S87" s="63" t="s">
        <v>228</v>
      </c>
      <c r="T87" s="63" t="s">
        <v>541</v>
      </c>
      <c r="U87" s="63"/>
    </row>
    <row r="88" customFormat="false" ht="15" hidden="false" customHeight="true" outlineLevel="0" collapsed="false">
      <c r="A88" s="54" t="n">
        <v>87</v>
      </c>
      <c r="B88" s="55" t="s">
        <v>262</v>
      </c>
      <c r="C88" s="56" t="s">
        <v>542</v>
      </c>
      <c r="D88" s="56" t="s">
        <v>543</v>
      </c>
      <c r="E88" s="57" t="s">
        <v>265</v>
      </c>
      <c r="F88" s="55" t="s">
        <v>266</v>
      </c>
      <c r="G88" s="55" t="s">
        <v>157</v>
      </c>
      <c r="H88" s="58" t="n">
        <v>3</v>
      </c>
      <c r="I88" s="58" t="n">
        <v>7</v>
      </c>
      <c r="J88" s="58" t="n">
        <f aca="false">ROUND(AVERAGE(H88:I88),1)</f>
        <v>5</v>
      </c>
      <c r="K88" s="59" t="n">
        <v>1</v>
      </c>
      <c r="L88" s="58" t="n">
        <f aca="false">J88+K88</f>
        <v>6</v>
      </c>
      <c r="M88" s="60" t="n">
        <f aca="false">IFERROR(INDEX(99_Listas!$C$2:$C$5,MATCH(G88,99_Listas!$B$2:$B$5,0)),0)</f>
        <v>0.07</v>
      </c>
      <c r="N88" s="58" t="n">
        <f aca="false">ROUND(J88*M88,2)</f>
        <v>0.35</v>
      </c>
      <c r="O88" s="58" t="n">
        <f aca="false">ROUND(J88-N88,2)</f>
        <v>4.65</v>
      </c>
      <c r="P88" s="55" t="s">
        <v>275</v>
      </c>
      <c r="Q88" s="54" t="n">
        <v>3</v>
      </c>
      <c r="R88" s="55" t="s">
        <v>276</v>
      </c>
      <c r="S88" s="56" t="s">
        <v>228</v>
      </c>
      <c r="T88" s="56" t="s">
        <v>267</v>
      </c>
      <c r="U88" s="56"/>
    </row>
    <row r="89" customFormat="false" ht="15" hidden="false" customHeight="true" outlineLevel="0" collapsed="false">
      <c r="A89" s="61" t="n">
        <v>88</v>
      </c>
      <c r="B89" s="62" t="s">
        <v>262</v>
      </c>
      <c r="C89" s="63" t="s">
        <v>544</v>
      </c>
      <c r="D89" s="63" t="s">
        <v>545</v>
      </c>
      <c r="E89" s="57" t="s">
        <v>449</v>
      </c>
      <c r="F89" s="62" t="s">
        <v>266</v>
      </c>
      <c r="G89" s="62" t="s">
        <v>157</v>
      </c>
      <c r="H89" s="64" t="n">
        <v>2</v>
      </c>
      <c r="I89" s="64" t="n">
        <v>5</v>
      </c>
      <c r="J89" s="64" t="n">
        <f aca="false">ROUND(AVERAGE(H89:I89),1)</f>
        <v>3.5</v>
      </c>
      <c r="K89" s="59" t="n">
        <v>1</v>
      </c>
      <c r="L89" s="64" t="n">
        <f aca="false">J89+K89</f>
        <v>4.5</v>
      </c>
      <c r="M89" s="65" t="n">
        <f aca="false">IFERROR(INDEX(99_Listas!$C$2:$C$5,MATCH(G89,99_Listas!$B$2:$B$5,0)),0)</f>
        <v>0.07</v>
      </c>
      <c r="N89" s="64" t="n">
        <f aca="false">ROUND(J89*M89,2)</f>
        <v>0.25</v>
      </c>
      <c r="O89" s="64" t="n">
        <f aca="false">ROUND(J89-N89,2)</f>
        <v>3.25</v>
      </c>
      <c r="P89" s="62" t="s">
        <v>275</v>
      </c>
      <c r="Q89" s="61" t="n">
        <v>2</v>
      </c>
      <c r="R89" s="62" t="s">
        <v>276</v>
      </c>
      <c r="S89" s="63" t="s">
        <v>228</v>
      </c>
      <c r="T89" s="63" t="s">
        <v>182</v>
      </c>
      <c r="U89" s="63"/>
    </row>
    <row r="90" customFormat="false" ht="15" hidden="false" customHeight="true" outlineLevel="0" collapsed="false">
      <c r="A90" s="54" t="n">
        <v>89</v>
      </c>
      <c r="B90" s="55" t="s">
        <v>262</v>
      </c>
      <c r="C90" s="56" t="s">
        <v>546</v>
      </c>
      <c r="D90" s="56" t="s">
        <v>547</v>
      </c>
      <c r="E90" s="57" t="s">
        <v>548</v>
      </c>
      <c r="F90" s="55" t="s">
        <v>288</v>
      </c>
      <c r="G90" s="55" t="s">
        <v>157</v>
      </c>
      <c r="H90" s="58" t="n">
        <v>2</v>
      </c>
      <c r="I90" s="58" t="n">
        <v>5</v>
      </c>
      <c r="J90" s="58" t="n">
        <f aca="false">ROUND(AVERAGE(H90:I90),1)</f>
        <v>3.5</v>
      </c>
      <c r="K90" s="59" t="n">
        <v>1</v>
      </c>
      <c r="L90" s="58" t="n">
        <f aca="false">J90+K90</f>
        <v>4.5</v>
      </c>
      <c r="M90" s="60" t="n">
        <f aca="false">IFERROR(INDEX(99_Listas!$C$2:$C$5,MATCH(G90,99_Listas!$B$2:$B$5,0)),0)</f>
        <v>0.07</v>
      </c>
      <c r="N90" s="58" t="n">
        <f aca="false">ROUND(J90*M90,2)</f>
        <v>0.25</v>
      </c>
      <c r="O90" s="58" t="n">
        <f aca="false">ROUND(J90-N90,2)</f>
        <v>3.25</v>
      </c>
      <c r="P90" s="55" t="s">
        <v>227</v>
      </c>
      <c r="Q90" s="54" t="n">
        <v>2</v>
      </c>
      <c r="R90" s="55" t="s">
        <v>165</v>
      </c>
      <c r="S90" s="56" t="s">
        <v>248</v>
      </c>
      <c r="T90" s="56" t="s">
        <v>289</v>
      </c>
      <c r="U90" s="56"/>
    </row>
    <row r="91" customFormat="false" ht="15" hidden="false" customHeight="true" outlineLevel="0" collapsed="false">
      <c r="A91" s="61" t="n">
        <v>90</v>
      </c>
      <c r="B91" s="62" t="s">
        <v>262</v>
      </c>
      <c r="C91" s="63" t="s">
        <v>549</v>
      </c>
      <c r="D91" s="63" t="s">
        <v>550</v>
      </c>
      <c r="E91" s="57" t="s">
        <v>551</v>
      </c>
      <c r="F91" s="62" t="s">
        <v>288</v>
      </c>
      <c r="G91" s="62" t="s">
        <v>157</v>
      </c>
      <c r="H91" s="64" t="n">
        <v>3</v>
      </c>
      <c r="I91" s="64" t="n">
        <v>7</v>
      </c>
      <c r="J91" s="64" t="n">
        <f aca="false">ROUND(AVERAGE(H91:I91),1)</f>
        <v>5</v>
      </c>
      <c r="K91" s="59" t="n">
        <v>1</v>
      </c>
      <c r="L91" s="64" t="n">
        <f aca="false">J91+K91</f>
        <v>6</v>
      </c>
      <c r="M91" s="65" t="n">
        <f aca="false">IFERROR(INDEX(99_Listas!$C$2:$C$5,MATCH(G91,99_Listas!$B$2:$B$5,0)),0)</f>
        <v>0.07</v>
      </c>
      <c r="N91" s="64" t="n">
        <f aca="false">ROUND(J91*M91,2)</f>
        <v>0.35</v>
      </c>
      <c r="O91" s="64" t="n">
        <f aca="false">ROUND(J91-N91,2)</f>
        <v>4.65</v>
      </c>
      <c r="P91" s="62" t="s">
        <v>227</v>
      </c>
      <c r="Q91" s="61" t="n">
        <v>3</v>
      </c>
      <c r="R91" s="62" t="s">
        <v>165</v>
      </c>
      <c r="S91" s="63" t="s">
        <v>228</v>
      </c>
      <c r="T91" s="63" t="s">
        <v>552</v>
      </c>
      <c r="U91" s="63"/>
    </row>
    <row r="92" customFormat="false" ht="15" hidden="false" customHeight="true" outlineLevel="0" collapsed="false">
      <c r="A92" s="54" t="n">
        <v>91</v>
      </c>
      <c r="B92" s="55" t="s">
        <v>262</v>
      </c>
      <c r="C92" s="56" t="s">
        <v>553</v>
      </c>
      <c r="D92" s="56" t="s">
        <v>554</v>
      </c>
      <c r="E92" s="57" t="s">
        <v>274</v>
      </c>
      <c r="F92" s="55" t="s">
        <v>266</v>
      </c>
      <c r="G92" s="55" t="s">
        <v>161</v>
      </c>
      <c r="H92" s="58" t="n">
        <v>8</v>
      </c>
      <c r="I92" s="58" t="n">
        <v>16</v>
      </c>
      <c r="J92" s="58" t="n">
        <f aca="false">ROUND(AVERAGE(H92:I92),1)</f>
        <v>12</v>
      </c>
      <c r="K92" s="59" t="n">
        <v>1</v>
      </c>
      <c r="L92" s="58" t="n">
        <f aca="false">J92+K92</f>
        <v>13</v>
      </c>
      <c r="M92" s="60" t="n">
        <f aca="false">IFERROR(INDEX(99_Listas!$C$2:$C$5,MATCH(G92,99_Listas!$B$2:$B$5,0)),0)</f>
        <v>0.09</v>
      </c>
      <c r="N92" s="58" t="n">
        <f aca="false">ROUND(J92*M92,2)</f>
        <v>1.08</v>
      </c>
      <c r="O92" s="58" t="n">
        <f aca="false">ROUND(J92-N92,2)</f>
        <v>10.92</v>
      </c>
      <c r="P92" s="55" t="s">
        <v>280</v>
      </c>
      <c r="Q92" s="54" t="n">
        <v>5</v>
      </c>
      <c r="R92" s="55" t="s">
        <v>165</v>
      </c>
      <c r="S92" s="56" t="s">
        <v>228</v>
      </c>
      <c r="T92" s="56" t="s">
        <v>182</v>
      </c>
      <c r="U92" s="56" t="s">
        <v>555</v>
      </c>
    </row>
    <row r="93" customFormat="false" ht="15" hidden="false" customHeight="true" outlineLevel="0" collapsed="false">
      <c r="A93" s="61" t="n">
        <v>92</v>
      </c>
      <c r="B93" s="62" t="s">
        <v>262</v>
      </c>
      <c r="C93" s="63" t="s">
        <v>556</v>
      </c>
      <c r="D93" s="63" t="s">
        <v>557</v>
      </c>
      <c r="E93" s="57" t="s">
        <v>284</v>
      </c>
      <c r="F93" s="62" t="s">
        <v>266</v>
      </c>
      <c r="G93" s="62" t="s">
        <v>157</v>
      </c>
      <c r="H93" s="64" t="n">
        <v>5</v>
      </c>
      <c r="I93" s="64" t="n">
        <v>11</v>
      </c>
      <c r="J93" s="64" t="n">
        <f aca="false">ROUND(AVERAGE(H93:I93),1)</f>
        <v>8</v>
      </c>
      <c r="K93" s="59" t="n">
        <v>1</v>
      </c>
      <c r="L93" s="64" t="n">
        <f aca="false">J93+K93</f>
        <v>9</v>
      </c>
      <c r="M93" s="65" t="n">
        <f aca="false">IFERROR(INDEX(99_Listas!$C$2:$C$5,MATCH(G93,99_Listas!$B$2:$B$5,0)),0)</f>
        <v>0.07</v>
      </c>
      <c r="N93" s="64" t="n">
        <f aca="false">ROUND(J93*M93,2)</f>
        <v>0.56</v>
      </c>
      <c r="O93" s="64" t="n">
        <f aca="false">ROUND(J93-N93,2)</f>
        <v>7.44</v>
      </c>
      <c r="P93" s="62" t="s">
        <v>247</v>
      </c>
      <c r="Q93" s="61" t="n">
        <v>5</v>
      </c>
      <c r="R93" s="62" t="s">
        <v>165</v>
      </c>
      <c r="S93" s="63" t="s">
        <v>248</v>
      </c>
      <c r="T93" s="63" t="s">
        <v>558</v>
      </c>
      <c r="U93" s="63" t="s">
        <v>559</v>
      </c>
    </row>
    <row r="95" customFormat="false" ht="15" hidden="false" customHeight="true" outlineLevel="0" collapsed="false">
      <c r="B95" s="8" t="s">
        <v>560</v>
      </c>
    </row>
    <row r="96" customFormat="false" ht="15" hidden="false" customHeight="true" outlineLevel="0" collapsed="false">
      <c r="B96" s="8" t="s">
        <v>561</v>
      </c>
    </row>
  </sheetData>
  <autoFilter ref="A1:U93"/>
  <dataValidations count="2">
    <dataValidation allowBlank="true" errorStyle="stop" operator="between" showDropDown="false" showErrorMessage="false" showInputMessage="false" sqref="G2:G93" type="list">
      <formula1>99_Listas!$B$2:$B$5</formula1>
      <formula2>0</formula2>
    </dataValidation>
    <dataValidation allowBlank="true" errorStyle="stop" operator="between" showDropDown="false" showErrorMessage="false" showInputMessage="false" sqref="R2:R93" type="list">
      <formula1>"Alto,Medio,Bajo"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6" min="15" style="1" width="14"/>
    <col collapsed="false" customWidth="true" hidden="false" outlineLevel="0" max="17" min="17" style="1" width="9"/>
    <col collapsed="false" customWidth="true" hidden="false" outlineLevel="0" max="18" min="18" style="1" width="13"/>
    <col collapsed="false" customWidth="true" hidden="false" outlineLevel="0" max="19" min="19" style="1" width="22"/>
    <col collapsed="false" customWidth="true" hidden="false" outlineLevel="0" max="20" min="20" style="1" width="24"/>
    <col collapsed="false" customWidth="true" hidden="false" outlineLevel="0" max="21" min="21" style="1" width="46"/>
  </cols>
  <sheetData>
    <row r="1" customFormat="false" ht="33.75" hidden="false" customHeight="true" outlineLevel="0" collapsed="false">
      <c r="A1" s="13" t="s">
        <v>206</v>
      </c>
      <c r="B1" s="13" t="s">
        <v>70</v>
      </c>
      <c r="C1" s="13" t="s">
        <v>207</v>
      </c>
      <c r="D1" s="13" t="s">
        <v>208</v>
      </c>
      <c r="E1" s="13" t="s">
        <v>209</v>
      </c>
      <c r="F1" s="13" t="s">
        <v>210</v>
      </c>
      <c r="G1" s="13" t="s">
        <v>72</v>
      </c>
      <c r="H1" s="13" t="s">
        <v>211</v>
      </c>
      <c r="I1" s="13" t="s">
        <v>212</v>
      </c>
      <c r="J1" s="13" t="s">
        <v>73</v>
      </c>
      <c r="K1" s="13" t="s">
        <v>213</v>
      </c>
      <c r="L1" s="13" t="s">
        <v>74</v>
      </c>
      <c r="M1" s="13" t="s">
        <v>214</v>
      </c>
      <c r="N1" s="13" t="s">
        <v>215</v>
      </c>
      <c r="O1" s="13" t="s">
        <v>216</v>
      </c>
      <c r="P1" s="13" t="s">
        <v>217</v>
      </c>
      <c r="Q1" s="13" t="s">
        <v>218</v>
      </c>
      <c r="R1" s="13" t="s">
        <v>219</v>
      </c>
      <c r="S1" s="13" t="s">
        <v>220</v>
      </c>
      <c r="T1" s="13" t="s">
        <v>155</v>
      </c>
      <c r="U1" s="13" t="s">
        <v>221</v>
      </c>
    </row>
    <row r="2" customFormat="false" ht="15" hidden="false" customHeight="true" outlineLevel="0" collapsed="false">
      <c r="A2" s="54" t="n">
        <v>1</v>
      </c>
      <c r="B2" s="55" t="s">
        <v>562</v>
      </c>
      <c r="C2" s="56" t="s">
        <v>563</v>
      </c>
      <c r="D2" s="56" t="s">
        <v>564</v>
      </c>
      <c r="E2" s="57" t="s">
        <v>565</v>
      </c>
      <c r="F2" s="55" t="s">
        <v>324</v>
      </c>
      <c r="G2" s="55" t="s">
        <v>157</v>
      </c>
      <c r="H2" s="58" t="n">
        <v>8</v>
      </c>
      <c r="I2" s="58" t="n">
        <v>10</v>
      </c>
      <c r="J2" s="58" t="n">
        <f aca="false">ROUND(AVERAGE(H2:I2),1)</f>
        <v>9</v>
      </c>
      <c r="K2" s="59" t="n">
        <v>1</v>
      </c>
      <c r="L2" s="58" t="n">
        <f aca="false">J2+K2</f>
        <v>10</v>
      </c>
      <c r="M2" s="60" t="n">
        <f aca="false">IFERROR(INDEX(99_Listas!$C$2:$C$5,MATCH(G2,99_Listas!$B$2:$B$5,0)),0)</f>
        <v>0.07</v>
      </c>
      <c r="N2" s="58" t="n">
        <f aca="false">ROUND(J2*M2,2)</f>
        <v>0.63</v>
      </c>
      <c r="O2" s="58" t="n">
        <f aca="false">ROUND(J2-N2,2)</f>
        <v>8.37</v>
      </c>
      <c r="P2" s="55" t="s">
        <v>566</v>
      </c>
      <c r="Q2" s="54" t="n">
        <v>8</v>
      </c>
      <c r="R2" s="55" t="s">
        <v>276</v>
      </c>
      <c r="S2" s="56" t="s">
        <v>228</v>
      </c>
      <c r="T2" s="56" t="s">
        <v>159</v>
      </c>
      <c r="U2" s="56" t="s">
        <v>567</v>
      </c>
    </row>
    <row r="3" customFormat="false" ht="15" hidden="false" customHeight="true" outlineLevel="0" collapsed="false">
      <c r="A3" s="61" t="n">
        <v>2</v>
      </c>
      <c r="B3" s="62" t="s">
        <v>562</v>
      </c>
      <c r="C3" s="63" t="s">
        <v>568</v>
      </c>
      <c r="D3" s="63" t="s">
        <v>569</v>
      </c>
      <c r="E3" s="57" t="s">
        <v>565</v>
      </c>
      <c r="F3" s="62" t="s">
        <v>324</v>
      </c>
      <c r="G3" s="62" t="s">
        <v>161</v>
      </c>
      <c r="H3" s="64" t="n">
        <v>11</v>
      </c>
      <c r="I3" s="64" t="n">
        <v>14</v>
      </c>
      <c r="J3" s="64" t="n">
        <f aca="false">ROUND(AVERAGE(H3:I3),1)</f>
        <v>12.5</v>
      </c>
      <c r="K3" s="59" t="n">
        <v>1</v>
      </c>
      <c r="L3" s="64" t="n">
        <f aca="false">J3+K3</f>
        <v>13.5</v>
      </c>
      <c r="M3" s="65" t="n">
        <f aca="false">IFERROR(INDEX(99_Listas!$C$2:$C$5,MATCH(G3,99_Listas!$B$2:$B$5,0)),0)</f>
        <v>0.09</v>
      </c>
      <c r="N3" s="64" t="n">
        <f aca="false">ROUND(J3*M3,2)</f>
        <v>1.13</v>
      </c>
      <c r="O3" s="64" t="n">
        <f aca="false">ROUND(J3-N3,2)</f>
        <v>11.37</v>
      </c>
      <c r="P3" s="62" t="s">
        <v>566</v>
      </c>
      <c r="Q3" s="61" t="n">
        <v>8</v>
      </c>
      <c r="R3" s="62" t="s">
        <v>276</v>
      </c>
      <c r="S3" s="63" t="s">
        <v>228</v>
      </c>
      <c r="T3" s="63" t="s">
        <v>570</v>
      </c>
      <c r="U3" s="63" t="s">
        <v>571</v>
      </c>
    </row>
    <row r="4" customFormat="false" ht="15" hidden="false" customHeight="true" outlineLevel="0" collapsed="false">
      <c r="A4" s="54" t="n">
        <v>3</v>
      </c>
      <c r="B4" s="55" t="s">
        <v>562</v>
      </c>
      <c r="C4" s="56" t="s">
        <v>572</v>
      </c>
      <c r="D4" s="56" t="s">
        <v>573</v>
      </c>
      <c r="E4" s="57" t="s">
        <v>565</v>
      </c>
      <c r="F4" s="55" t="s">
        <v>324</v>
      </c>
      <c r="G4" s="55" t="s">
        <v>165</v>
      </c>
      <c r="H4" s="58" t="n">
        <v>15</v>
      </c>
      <c r="I4" s="58" t="n">
        <v>20</v>
      </c>
      <c r="J4" s="58" t="n">
        <f aca="false">ROUND(AVERAGE(H4:I4),1)</f>
        <v>17.5</v>
      </c>
      <c r="K4" s="59" t="n">
        <v>1</v>
      </c>
      <c r="L4" s="58" t="n">
        <f aca="false">J4+K4</f>
        <v>18.5</v>
      </c>
      <c r="M4" s="60" t="n">
        <f aca="false">IFERROR(INDEX(99_Listas!$C$2:$C$5,MATCH(G4,99_Listas!$B$2:$B$5,0)),0)</f>
        <v>0.11</v>
      </c>
      <c r="N4" s="58" t="n">
        <f aca="false">ROUND(J4*M4,2)</f>
        <v>1.93</v>
      </c>
      <c r="O4" s="58" t="n">
        <f aca="false">ROUND(J4-N4,2)</f>
        <v>15.57</v>
      </c>
      <c r="P4" s="55" t="s">
        <v>566</v>
      </c>
      <c r="Q4" s="54" t="n">
        <v>12</v>
      </c>
      <c r="R4" s="55" t="s">
        <v>276</v>
      </c>
      <c r="S4" s="56" t="s">
        <v>228</v>
      </c>
      <c r="T4" s="56" t="s">
        <v>203</v>
      </c>
      <c r="U4" s="56" t="s">
        <v>574</v>
      </c>
    </row>
    <row r="5" customFormat="false" ht="15" hidden="false" customHeight="true" outlineLevel="0" collapsed="false">
      <c r="A5" s="61" t="n">
        <v>4</v>
      </c>
      <c r="B5" s="62" t="s">
        <v>562</v>
      </c>
      <c r="C5" s="63" t="s">
        <v>575</v>
      </c>
      <c r="D5" s="63" t="s">
        <v>576</v>
      </c>
      <c r="E5" s="57" t="s">
        <v>577</v>
      </c>
      <c r="F5" s="62" t="s">
        <v>344</v>
      </c>
      <c r="G5" s="62" t="s">
        <v>157</v>
      </c>
      <c r="H5" s="64" t="n">
        <v>6</v>
      </c>
      <c r="I5" s="64" t="n">
        <v>9</v>
      </c>
      <c r="J5" s="64" t="n">
        <f aca="false">ROUND(AVERAGE(H5:I5),1)</f>
        <v>7.5</v>
      </c>
      <c r="K5" s="59" t="n">
        <v>1</v>
      </c>
      <c r="L5" s="64" t="n">
        <f aca="false">J5+K5</f>
        <v>8.5</v>
      </c>
      <c r="M5" s="65" t="n">
        <f aca="false">IFERROR(INDEX(99_Listas!$C$2:$C$5,MATCH(G5,99_Listas!$B$2:$B$5,0)),0)</f>
        <v>0.07</v>
      </c>
      <c r="N5" s="64" t="n">
        <f aca="false">ROUND(J5*M5,2)</f>
        <v>0.53</v>
      </c>
      <c r="O5" s="64" t="n">
        <f aca="false">ROUND(J5-N5,2)</f>
        <v>6.97</v>
      </c>
      <c r="P5" s="62" t="s">
        <v>578</v>
      </c>
      <c r="Q5" s="61" t="n">
        <v>6</v>
      </c>
      <c r="R5" s="62" t="s">
        <v>276</v>
      </c>
      <c r="S5" s="63" t="s">
        <v>228</v>
      </c>
      <c r="T5" s="63" t="s">
        <v>159</v>
      </c>
      <c r="U5" s="63" t="s">
        <v>579</v>
      </c>
    </row>
    <row r="6" customFormat="false" ht="15" hidden="false" customHeight="true" outlineLevel="0" collapsed="false">
      <c r="A6" s="54" t="n">
        <v>5</v>
      </c>
      <c r="B6" s="55" t="s">
        <v>562</v>
      </c>
      <c r="C6" s="56" t="s">
        <v>580</v>
      </c>
      <c r="D6" s="56" t="s">
        <v>581</v>
      </c>
      <c r="E6" s="57" t="s">
        <v>577</v>
      </c>
      <c r="F6" s="55" t="s">
        <v>226</v>
      </c>
      <c r="G6" s="55" t="s">
        <v>157</v>
      </c>
      <c r="H6" s="58" t="n">
        <v>4</v>
      </c>
      <c r="I6" s="58" t="n">
        <v>7</v>
      </c>
      <c r="J6" s="58" t="n">
        <f aca="false">ROUND(AVERAGE(H6:I6),1)</f>
        <v>5.5</v>
      </c>
      <c r="K6" s="59" t="n">
        <v>1</v>
      </c>
      <c r="L6" s="58" t="n">
        <f aca="false">J6+K6</f>
        <v>6.5</v>
      </c>
      <c r="M6" s="60" t="n">
        <f aca="false">IFERROR(INDEX(99_Listas!$C$2:$C$5,MATCH(G6,99_Listas!$B$2:$B$5,0)),0)</f>
        <v>0.07</v>
      </c>
      <c r="N6" s="58" t="n">
        <f aca="false">ROUND(J6*M6,2)</f>
        <v>0.39</v>
      </c>
      <c r="O6" s="58" t="n">
        <f aca="false">ROUND(J6-N6,2)</f>
        <v>5.11</v>
      </c>
      <c r="P6" s="55" t="s">
        <v>578</v>
      </c>
      <c r="Q6" s="54" t="n">
        <v>5</v>
      </c>
      <c r="R6" s="55" t="s">
        <v>165</v>
      </c>
      <c r="S6" s="56" t="s">
        <v>228</v>
      </c>
      <c r="T6" s="56" t="s">
        <v>159</v>
      </c>
      <c r="U6" s="56"/>
    </row>
    <row r="7" customFormat="false" ht="23.25" hidden="false" customHeight="true" outlineLevel="0" collapsed="false">
      <c r="A7" s="61" t="n">
        <v>6</v>
      </c>
      <c r="B7" s="62" t="s">
        <v>562</v>
      </c>
      <c r="C7" s="63" t="s">
        <v>582</v>
      </c>
      <c r="D7" s="63" t="s">
        <v>583</v>
      </c>
      <c r="E7" s="57" t="s">
        <v>584</v>
      </c>
      <c r="F7" s="62" t="s">
        <v>324</v>
      </c>
      <c r="G7" s="62" t="s">
        <v>161</v>
      </c>
      <c r="H7" s="64" t="n">
        <v>10</v>
      </c>
      <c r="I7" s="64" t="n">
        <v>14</v>
      </c>
      <c r="J7" s="64" t="n">
        <f aca="false">ROUND(AVERAGE(H7:I7),1)</f>
        <v>12</v>
      </c>
      <c r="K7" s="59" t="n">
        <v>1</v>
      </c>
      <c r="L7" s="64" t="n">
        <f aca="false">J7+K7</f>
        <v>13</v>
      </c>
      <c r="M7" s="65" t="n">
        <f aca="false">IFERROR(INDEX(99_Listas!$C$2:$C$5,MATCH(G7,99_Listas!$B$2:$B$5,0)),0)</f>
        <v>0.09</v>
      </c>
      <c r="N7" s="64" t="n">
        <f aca="false">ROUND(J7*M7,2)</f>
        <v>1.08</v>
      </c>
      <c r="O7" s="64" t="n">
        <f aca="false">ROUND(J7-N7,2)</f>
        <v>10.92</v>
      </c>
      <c r="P7" s="62" t="s">
        <v>566</v>
      </c>
      <c r="Q7" s="61" t="n">
        <v>8</v>
      </c>
      <c r="R7" s="62" t="s">
        <v>276</v>
      </c>
      <c r="S7" s="63" t="s">
        <v>228</v>
      </c>
      <c r="T7" s="63" t="s">
        <v>585</v>
      </c>
      <c r="U7" s="63" t="s">
        <v>586</v>
      </c>
    </row>
    <row r="8" customFormat="false" ht="15" hidden="false" customHeight="true" outlineLevel="0" collapsed="false">
      <c r="A8" s="54" t="n">
        <v>7</v>
      </c>
      <c r="B8" s="55" t="s">
        <v>562</v>
      </c>
      <c r="C8" s="56" t="s">
        <v>587</v>
      </c>
      <c r="D8" s="56" t="s">
        <v>588</v>
      </c>
      <c r="E8" s="57" t="s">
        <v>565</v>
      </c>
      <c r="F8" s="55" t="s">
        <v>324</v>
      </c>
      <c r="G8" s="55" t="s">
        <v>161</v>
      </c>
      <c r="H8" s="58" t="n">
        <v>12</v>
      </c>
      <c r="I8" s="58" t="n">
        <v>16</v>
      </c>
      <c r="J8" s="58" t="n">
        <f aca="false">ROUND(AVERAGE(H8:I8),1)</f>
        <v>14</v>
      </c>
      <c r="K8" s="59" t="n">
        <v>1</v>
      </c>
      <c r="L8" s="58" t="n">
        <f aca="false">J8+K8</f>
        <v>15</v>
      </c>
      <c r="M8" s="60" t="n">
        <f aca="false">IFERROR(INDEX(99_Listas!$C$2:$C$5,MATCH(G8,99_Listas!$B$2:$B$5,0)),0)</f>
        <v>0.09</v>
      </c>
      <c r="N8" s="58" t="n">
        <f aca="false">ROUND(J8*M8,2)</f>
        <v>1.26</v>
      </c>
      <c r="O8" s="58" t="n">
        <f aca="false">ROUND(J8-N8,2)</f>
        <v>12.74</v>
      </c>
      <c r="P8" s="55" t="s">
        <v>566</v>
      </c>
      <c r="Q8" s="54" t="n">
        <v>8</v>
      </c>
      <c r="R8" s="55" t="s">
        <v>276</v>
      </c>
      <c r="S8" s="56" t="s">
        <v>228</v>
      </c>
      <c r="T8" s="56" t="s">
        <v>159</v>
      </c>
      <c r="U8" s="56" t="s">
        <v>589</v>
      </c>
    </row>
    <row r="9" customFormat="false" ht="15" hidden="false" customHeight="true" outlineLevel="0" collapsed="false">
      <c r="A9" s="61" t="n">
        <v>8</v>
      </c>
      <c r="B9" s="62" t="s">
        <v>562</v>
      </c>
      <c r="C9" s="63" t="s">
        <v>590</v>
      </c>
      <c r="D9" s="63" t="s">
        <v>591</v>
      </c>
      <c r="E9" s="57" t="s">
        <v>565</v>
      </c>
      <c r="F9" s="62" t="s">
        <v>592</v>
      </c>
      <c r="G9" s="62" t="s">
        <v>157</v>
      </c>
      <c r="H9" s="64" t="n">
        <v>9</v>
      </c>
      <c r="I9" s="64" t="n">
        <v>12</v>
      </c>
      <c r="J9" s="64" t="n">
        <f aca="false">ROUND(AVERAGE(H9:I9),1)</f>
        <v>10.5</v>
      </c>
      <c r="K9" s="59" t="n">
        <v>1</v>
      </c>
      <c r="L9" s="64" t="n">
        <f aca="false">J9+K9</f>
        <v>11.5</v>
      </c>
      <c r="M9" s="65" t="n">
        <f aca="false">IFERROR(INDEX(99_Listas!$C$2:$C$5,MATCH(G9,99_Listas!$B$2:$B$5,0)),0)</f>
        <v>0.07</v>
      </c>
      <c r="N9" s="64" t="n">
        <f aca="false">ROUND(J9*M9,2)</f>
        <v>0.74</v>
      </c>
      <c r="O9" s="64" t="n">
        <f aca="false">ROUND(J9-N9,2)</f>
        <v>9.76</v>
      </c>
      <c r="P9" s="62" t="s">
        <v>593</v>
      </c>
      <c r="Q9" s="61" t="n">
        <v>8</v>
      </c>
      <c r="R9" s="62" t="s">
        <v>276</v>
      </c>
      <c r="S9" s="63" t="s">
        <v>228</v>
      </c>
      <c r="T9" s="63" t="s">
        <v>159</v>
      </c>
      <c r="U9" s="63" t="s">
        <v>594</v>
      </c>
    </row>
    <row r="10" customFormat="false" ht="23.25" hidden="false" customHeight="true" outlineLevel="0" collapsed="false">
      <c r="A10" s="54" t="n">
        <v>9</v>
      </c>
      <c r="B10" s="55" t="s">
        <v>595</v>
      </c>
      <c r="C10" s="56" t="s">
        <v>596</v>
      </c>
      <c r="D10" s="56" t="s">
        <v>245</v>
      </c>
      <c r="E10" s="57" t="s">
        <v>246</v>
      </c>
      <c r="F10" s="55" t="s">
        <v>226</v>
      </c>
      <c r="G10" s="55" t="s">
        <v>157</v>
      </c>
      <c r="H10" s="58" t="n">
        <v>10</v>
      </c>
      <c r="I10" s="58" t="n">
        <v>16</v>
      </c>
      <c r="J10" s="58" t="n">
        <f aca="false">ROUND(AVERAGE(H10:I10),1)</f>
        <v>13</v>
      </c>
      <c r="K10" s="59" t="n">
        <v>1</v>
      </c>
      <c r="L10" s="58" t="n">
        <f aca="false">J10+K10</f>
        <v>14</v>
      </c>
      <c r="M10" s="60" t="n">
        <f aca="false">IFERROR(INDEX(99_Listas!$C$2:$C$5,MATCH(G10,99_Listas!$B$2:$B$5,0)),0)</f>
        <v>0.07</v>
      </c>
      <c r="N10" s="58" t="n">
        <f aca="false">ROUND(J10*M10,2)</f>
        <v>0.91</v>
      </c>
      <c r="O10" s="58" t="n">
        <f aca="false">ROUND(J10-N10,2)</f>
        <v>12.09</v>
      </c>
      <c r="P10" s="55" t="s">
        <v>566</v>
      </c>
      <c r="Q10" s="54" t="n">
        <v>10</v>
      </c>
      <c r="R10" s="55" t="s">
        <v>165</v>
      </c>
      <c r="S10" s="56" t="s">
        <v>248</v>
      </c>
      <c r="T10" s="56" t="s">
        <v>468</v>
      </c>
      <c r="U10" s="56"/>
    </row>
    <row r="11" customFormat="false" ht="15" hidden="false" customHeight="true" outlineLevel="0" collapsed="false">
      <c r="A11" s="61" t="n">
        <v>10</v>
      </c>
      <c r="B11" s="62" t="s">
        <v>595</v>
      </c>
      <c r="C11" s="63" t="s">
        <v>597</v>
      </c>
      <c r="D11" s="63" t="s">
        <v>598</v>
      </c>
      <c r="E11" s="57" t="s">
        <v>599</v>
      </c>
      <c r="F11" s="62" t="s">
        <v>226</v>
      </c>
      <c r="G11" s="62" t="s">
        <v>157</v>
      </c>
      <c r="H11" s="64" t="n">
        <v>8</v>
      </c>
      <c r="I11" s="64" t="n">
        <v>12</v>
      </c>
      <c r="J11" s="64" t="n">
        <f aca="false">ROUND(AVERAGE(H11:I11),1)</f>
        <v>10</v>
      </c>
      <c r="K11" s="59" t="n">
        <v>1</v>
      </c>
      <c r="L11" s="64" t="n">
        <f aca="false">J11+K11</f>
        <v>11</v>
      </c>
      <c r="M11" s="65" t="n">
        <f aca="false">IFERROR(INDEX(99_Listas!$C$2:$C$5,MATCH(G11,99_Listas!$B$2:$B$5,0)),0)</f>
        <v>0.07</v>
      </c>
      <c r="N11" s="64" t="n">
        <f aca="false">ROUND(J11*M11,2)</f>
        <v>0.7</v>
      </c>
      <c r="O11" s="64" t="n">
        <f aca="false">ROUND(J11-N11,2)</f>
        <v>9.3</v>
      </c>
      <c r="P11" s="62" t="s">
        <v>566</v>
      </c>
      <c r="Q11" s="61" t="n">
        <v>8</v>
      </c>
      <c r="R11" s="62" t="s">
        <v>165</v>
      </c>
      <c r="S11" s="63" t="s">
        <v>228</v>
      </c>
      <c r="T11" s="63" t="s">
        <v>339</v>
      </c>
      <c r="U11" s="63"/>
    </row>
    <row r="12" customFormat="false" ht="15" hidden="false" customHeight="true" outlineLevel="0" collapsed="false">
      <c r="A12" s="54" t="n">
        <v>11</v>
      </c>
      <c r="B12" s="55" t="s">
        <v>595</v>
      </c>
      <c r="C12" s="56" t="s">
        <v>600</v>
      </c>
      <c r="D12" s="56" t="s">
        <v>601</v>
      </c>
      <c r="E12" s="57" t="s">
        <v>602</v>
      </c>
      <c r="F12" s="55" t="s">
        <v>226</v>
      </c>
      <c r="G12" s="55" t="s">
        <v>157</v>
      </c>
      <c r="H12" s="58" t="n">
        <v>9</v>
      </c>
      <c r="I12" s="58" t="n">
        <v>14</v>
      </c>
      <c r="J12" s="58" t="n">
        <f aca="false">ROUND(AVERAGE(H12:I12),1)</f>
        <v>11.5</v>
      </c>
      <c r="K12" s="59" t="n">
        <v>1</v>
      </c>
      <c r="L12" s="58" t="n">
        <f aca="false">J12+K12</f>
        <v>12.5</v>
      </c>
      <c r="M12" s="60" t="n">
        <f aca="false">IFERROR(INDEX(99_Listas!$C$2:$C$5,MATCH(G12,99_Listas!$B$2:$B$5,0)),0)</f>
        <v>0.07</v>
      </c>
      <c r="N12" s="58" t="n">
        <f aca="false">ROUND(J12*M12,2)</f>
        <v>0.81</v>
      </c>
      <c r="O12" s="58" t="n">
        <f aca="false">ROUND(J12-N12,2)</f>
        <v>10.69</v>
      </c>
      <c r="P12" s="55" t="s">
        <v>566</v>
      </c>
      <c r="Q12" s="54" t="n">
        <v>10</v>
      </c>
      <c r="R12" s="55" t="s">
        <v>165</v>
      </c>
      <c r="S12" s="56" t="s">
        <v>228</v>
      </c>
      <c r="T12" s="56" t="s">
        <v>339</v>
      </c>
      <c r="U12" s="56"/>
    </row>
    <row r="13" customFormat="false" ht="15" hidden="false" customHeight="true" outlineLevel="0" collapsed="false">
      <c r="A13" s="61" t="n">
        <v>12</v>
      </c>
      <c r="B13" s="62" t="s">
        <v>595</v>
      </c>
      <c r="C13" s="63" t="s">
        <v>603</v>
      </c>
      <c r="D13" s="63" t="s">
        <v>604</v>
      </c>
      <c r="E13" s="57" t="s">
        <v>605</v>
      </c>
      <c r="F13" s="62" t="s">
        <v>226</v>
      </c>
      <c r="G13" s="62" t="s">
        <v>157</v>
      </c>
      <c r="H13" s="64" t="n">
        <v>8</v>
      </c>
      <c r="I13" s="64" t="n">
        <v>13</v>
      </c>
      <c r="J13" s="64" t="n">
        <f aca="false">ROUND(AVERAGE(H13:I13),1)</f>
        <v>10.5</v>
      </c>
      <c r="K13" s="59" t="n">
        <v>1</v>
      </c>
      <c r="L13" s="64" t="n">
        <f aca="false">J13+K13</f>
        <v>11.5</v>
      </c>
      <c r="M13" s="65" t="n">
        <f aca="false">IFERROR(INDEX(99_Listas!$C$2:$C$5,MATCH(G13,99_Listas!$B$2:$B$5,0)),0)</f>
        <v>0.07</v>
      </c>
      <c r="N13" s="64" t="n">
        <f aca="false">ROUND(J13*M13,2)</f>
        <v>0.74</v>
      </c>
      <c r="O13" s="64" t="n">
        <f aca="false">ROUND(J13-N13,2)</f>
        <v>9.76</v>
      </c>
      <c r="P13" s="62" t="s">
        <v>566</v>
      </c>
      <c r="Q13" s="61" t="n">
        <v>10</v>
      </c>
      <c r="R13" s="62" t="s">
        <v>165</v>
      </c>
      <c r="S13" s="63" t="s">
        <v>228</v>
      </c>
      <c r="T13" s="63" t="s">
        <v>468</v>
      </c>
      <c r="U13" s="63"/>
    </row>
    <row r="14" customFormat="false" ht="15" hidden="false" customHeight="true" outlineLevel="0" collapsed="false">
      <c r="A14" s="54" t="n">
        <v>13</v>
      </c>
      <c r="B14" s="55" t="s">
        <v>595</v>
      </c>
      <c r="C14" s="56" t="s">
        <v>606</v>
      </c>
      <c r="D14" s="56" t="s">
        <v>607</v>
      </c>
      <c r="E14" s="57" t="s">
        <v>608</v>
      </c>
      <c r="F14" s="55" t="s">
        <v>226</v>
      </c>
      <c r="G14" s="55" t="s">
        <v>157</v>
      </c>
      <c r="H14" s="58" t="n">
        <v>7</v>
      </c>
      <c r="I14" s="58" t="n">
        <v>12</v>
      </c>
      <c r="J14" s="58" t="n">
        <f aca="false">ROUND(AVERAGE(H14:I14),1)</f>
        <v>9.5</v>
      </c>
      <c r="K14" s="59" t="n">
        <v>1</v>
      </c>
      <c r="L14" s="58" t="n">
        <f aca="false">J14+K14</f>
        <v>10.5</v>
      </c>
      <c r="M14" s="60" t="n">
        <f aca="false">IFERROR(INDEX(99_Listas!$C$2:$C$5,MATCH(G14,99_Listas!$B$2:$B$5,0)),0)</f>
        <v>0.07</v>
      </c>
      <c r="N14" s="58" t="n">
        <f aca="false">ROUND(J14*M14,2)</f>
        <v>0.67</v>
      </c>
      <c r="O14" s="58" t="n">
        <f aca="false">ROUND(J14-N14,2)</f>
        <v>8.83</v>
      </c>
      <c r="P14" s="55" t="s">
        <v>566</v>
      </c>
      <c r="Q14" s="54" t="n">
        <v>10</v>
      </c>
      <c r="R14" s="55" t="s">
        <v>165</v>
      </c>
      <c r="S14" s="56" t="s">
        <v>228</v>
      </c>
      <c r="T14" s="56" t="s">
        <v>339</v>
      </c>
      <c r="U14" s="56"/>
    </row>
    <row r="15" customFormat="false" ht="15" hidden="false" customHeight="true" outlineLevel="0" collapsed="false">
      <c r="A15" s="61" t="n">
        <v>14</v>
      </c>
      <c r="B15" s="62" t="s">
        <v>595</v>
      </c>
      <c r="C15" s="63" t="s">
        <v>609</v>
      </c>
      <c r="D15" s="63" t="s">
        <v>610</v>
      </c>
      <c r="E15" s="57" t="s">
        <v>611</v>
      </c>
      <c r="F15" s="62" t="s">
        <v>226</v>
      </c>
      <c r="G15" s="62" t="s">
        <v>157</v>
      </c>
      <c r="H15" s="64" t="n">
        <v>7</v>
      </c>
      <c r="I15" s="64" t="n">
        <v>12</v>
      </c>
      <c r="J15" s="64" t="n">
        <f aca="false">ROUND(AVERAGE(H15:I15),1)</f>
        <v>9.5</v>
      </c>
      <c r="K15" s="59" t="n">
        <v>1</v>
      </c>
      <c r="L15" s="64" t="n">
        <f aca="false">J15+K15</f>
        <v>10.5</v>
      </c>
      <c r="M15" s="65" t="n">
        <f aca="false">IFERROR(INDEX(99_Listas!$C$2:$C$5,MATCH(G15,99_Listas!$B$2:$B$5,0)),0)</f>
        <v>0.07</v>
      </c>
      <c r="N15" s="64" t="n">
        <f aca="false">ROUND(J15*M15,2)</f>
        <v>0.67</v>
      </c>
      <c r="O15" s="64" t="n">
        <f aca="false">ROUND(J15-N15,2)</f>
        <v>8.83</v>
      </c>
      <c r="P15" s="62" t="s">
        <v>566</v>
      </c>
      <c r="Q15" s="61" t="n">
        <v>8</v>
      </c>
      <c r="R15" s="62" t="s">
        <v>165</v>
      </c>
      <c r="S15" s="63" t="s">
        <v>228</v>
      </c>
      <c r="T15" s="63" t="s">
        <v>339</v>
      </c>
      <c r="U15" s="63"/>
    </row>
    <row r="16" customFormat="false" ht="23.25" hidden="false" customHeight="true" outlineLevel="0" collapsed="false">
      <c r="A16" s="54" t="n">
        <v>15</v>
      </c>
      <c r="B16" s="55" t="s">
        <v>595</v>
      </c>
      <c r="C16" s="56" t="s">
        <v>612</v>
      </c>
      <c r="D16" s="56" t="s">
        <v>613</v>
      </c>
      <c r="E16" s="57" t="s">
        <v>614</v>
      </c>
      <c r="F16" s="55" t="s">
        <v>226</v>
      </c>
      <c r="G16" s="55" t="s">
        <v>161</v>
      </c>
      <c r="H16" s="58" t="n">
        <v>10</v>
      </c>
      <c r="I16" s="58" t="n">
        <v>16</v>
      </c>
      <c r="J16" s="58" t="n">
        <f aca="false">ROUND(AVERAGE(H16:I16),1)</f>
        <v>13</v>
      </c>
      <c r="K16" s="59" t="n">
        <v>1</v>
      </c>
      <c r="L16" s="58" t="n">
        <f aca="false">J16+K16</f>
        <v>14</v>
      </c>
      <c r="M16" s="60" t="n">
        <f aca="false">IFERROR(INDEX(99_Listas!$C$2:$C$5,MATCH(G16,99_Listas!$B$2:$B$5,0)),0)</f>
        <v>0.09</v>
      </c>
      <c r="N16" s="58" t="n">
        <f aca="false">ROUND(J16*M16,2)</f>
        <v>1.17</v>
      </c>
      <c r="O16" s="58" t="n">
        <f aca="false">ROUND(J16-N16,2)</f>
        <v>11.83</v>
      </c>
      <c r="P16" s="55" t="s">
        <v>578</v>
      </c>
      <c r="Q16" s="54" t="n">
        <v>8</v>
      </c>
      <c r="R16" s="55" t="s">
        <v>165</v>
      </c>
      <c r="S16" s="56" t="s">
        <v>228</v>
      </c>
      <c r="T16" s="56" t="s">
        <v>174</v>
      </c>
      <c r="U16" s="56"/>
    </row>
    <row r="17" customFormat="false" ht="15" hidden="false" customHeight="true" outlineLevel="0" collapsed="false">
      <c r="A17" s="61" t="n">
        <v>16</v>
      </c>
      <c r="B17" s="62" t="s">
        <v>595</v>
      </c>
      <c r="C17" s="63" t="s">
        <v>615</v>
      </c>
      <c r="D17" s="63" t="s">
        <v>616</v>
      </c>
      <c r="E17" s="57" t="s">
        <v>617</v>
      </c>
      <c r="F17" s="62" t="s">
        <v>226</v>
      </c>
      <c r="G17" s="62" t="s">
        <v>157</v>
      </c>
      <c r="H17" s="64" t="n">
        <v>8</v>
      </c>
      <c r="I17" s="64" t="n">
        <v>13</v>
      </c>
      <c r="J17" s="64" t="n">
        <f aca="false">ROUND(AVERAGE(H17:I17),1)</f>
        <v>10.5</v>
      </c>
      <c r="K17" s="59" t="n">
        <v>1</v>
      </c>
      <c r="L17" s="64" t="n">
        <f aca="false">J17+K17</f>
        <v>11.5</v>
      </c>
      <c r="M17" s="65" t="n">
        <f aca="false">IFERROR(INDEX(99_Listas!$C$2:$C$5,MATCH(G17,99_Listas!$B$2:$B$5,0)),0)</f>
        <v>0.07</v>
      </c>
      <c r="N17" s="64" t="n">
        <f aca="false">ROUND(J17*M17,2)</f>
        <v>0.74</v>
      </c>
      <c r="O17" s="64" t="n">
        <f aca="false">ROUND(J17-N17,2)</f>
        <v>9.76</v>
      </c>
      <c r="P17" s="62" t="s">
        <v>566</v>
      </c>
      <c r="Q17" s="61" t="n">
        <v>10</v>
      </c>
      <c r="R17" s="62" t="s">
        <v>165</v>
      </c>
      <c r="S17" s="63" t="s">
        <v>228</v>
      </c>
      <c r="T17" s="63" t="s">
        <v>339</v>
      </c>
      <c r="U17" s="63"/>
    </row>
    <row r="18" customFormat="false" ht="15" hidden="false" customHeight="true" outlineLevel="0" collapsed="false">
      <c r="A18" s="54" t="n">
        <v>17</v>
      </c>
      <c r="B18" s="55" t="s">
        <v>618</v>
      </c>
      <c r="C18" s="56" t="s">
        <v>619</v>
      </c>
      <c r="D18" s="56" t="s">
        <v>620</v>
      </c>
      <c r="E18" s="57" t="s">
        <v>621</v>
      </c>
      <c r="F18" s="55" t="s">
        <v>344</v>
      </c>
      <c r="G18" s="55" t="s">
        <v>157</v>
      </c>
      <c r="H18" s="58" t="n">
        <v>8</v>
      </c>
      <c r="I18" s="58" t="n">
        <v>12</v>
      </c>
      <c r="J18" s="58" t="n">
        <f aca="false">ROUND(AVERAGE(H18:I18),1)</f>
        <v>10</v>
      </c>
      <c r="K18" s="59" t="n">
        <v>1</v>
      </c>
      <c r="L18" s="58" t="n">
        <f aca="false">J18+K18</f>
        <v>11</v>
      </c>
      <c r="M18" s="60" t="n">
        <f aca="false">IFERROR(INDEX(99_Listas!$C$2:$C$5,MATCH(G18,99_Listas!$B$2:$B$5,0)),0)</f>
        <v>0.07</v>
      </c>
      <c r="N18" s="58" t="n">
        <f aca="false">ROUND(J18*M18,2)</f>
        <v>0.7</v>
      </c>
      <c r="O18" s="58" t="n">
        <f aca="false">ROUND(J18-N18,2)</f>
        <v>9.3</v>
      </c>
      <c r="P18" s="55" t="s">
        <v>578</v>
      </c>
      <c r="Q18" s="54" t="n">
        <v>6</v>
      </c>
      <c r="R18" s="55" t="s">
        <v>276</v>
      </c>
      <c r="S18" s="56" t="s">
        <v>228</v>
      </c>
      <c r="T18" s="56" t="s">
        <v>159</v>
      </c>
      <c r="U18" s="56" t="s">
        <v>622</v>
      </c>
    </row>
    <row r="19" customFormat="false" ht="23.25" hidden="false" customHeight="true" outlineLevel="0" collapsed="false">
      <c r="A19" s="61" t="n">
        <v>18</v>
      </c>
      <c r="B19" s="62" t="s">
        <v>618</v>
      </c>
      <c r="C19" s="63" t="s">
        <v>623</v>
      </c>
      <c r="D19" s="63" t="s">
        <v>624</v>
      </c>
      <c r="E19" s="57" t="s">
        <v>625</v>
      </c>
      <c r="F19" s="62" t="s">
        <v>344</v>
      </c>
      <c r="G19" s="62" t="s">
        <v>165</v>
      </c>
      <c r="H19" s="64" t="n">
        <v>15</v>
      </c>
      <c r="I19" s="64" t="n">
        <v>28</v>
      </c>
      <c r="J19" s="64" t="n">
        <f aca="false">ROUND(AVERAGE(H19:I19),1)</f>
        <v>21.5</v>
      </c>
      <c r="K19" s="59" t="n">
        <v>1</v>
      </c>
      <c r="L19" s="64" t="n">
        <f aca="false">J19+K19</f>
        <v>22.5</v>
      </c>
      <c r="M19" s="65" t="n">
        <f aca="false">IFERROR(INDEX(99_Listas!$C$2:$C$5,MATCH(G19,99_Listas!$B$2:$B$5,0)),0)</f>
        <v>0.11</v>
      </c>
      <c r="N19" s="64" t="n">
        <f aca="false">ROUND(J19*M19,2)</f>
        <v>2.37</v>
      </c>
      <c r="O19" s="64" t="n">
        <f aca="false">ROUND(J19-N19,2)</f>
        <v>19.13</v>
      </c>
      <c r="P19" s="62" t="s">
        <v>578</v>
      </c>
      <c r="Q19" s="61" t="n">
        <v>12</v>
      </c>
      <c r="R19" s="62" t="s">
        <v>276</v>
      </c>
      <c r="S19" s="63" t="s">
        <v>228</v>
      </c>
      <c r="T19" s="63" t="s">
        <v>626</v>
      </c>
      <c r="U19" s="63" t="s">
        <v>627</v>
      </c>
    </row>
    <row r="20" customFormat="false" ht="23.25" hidden="false" customHeight="true" outlineLevel="0" collapsed="false">
      <c r="A20" s="54" t="n">
        <v>19</v>
      </c>
      <c r="B20" s="55" t="s">
        <v>618</v>
      </c>
      <c r="C20" s="56" t="s">
        <v>628</v>
      </c>
      <c r="D20" s="56" t="s">
        <v>629</v>
      </c>
      <c r="E20" s="57" t="s">
        <v>630</v>
      </c>
      <c r="F20" s="55" t="s">
        <v>344</v>
      </c>
      <c r="G20" s="55" t="s">
        <v>165</v>
      </c>
      <c r="H20" s="58" t="n">
        <v>14</v>
      </c>
      <c r="I20" s="58" t="n">
        <v>22</v>
      </c>
      <c r="J20" s="58" t="n">
        <f aca="false">ROUND(AVERAGE(H20:I20),1)</f>
        <v>18</v>
      </c>
      <c r="K20" s="59" t="n">
        <v>1</v>
      </c>
      <c r="L20" s="58" t="n">
        <f aca="false">J20+K20</f>
        <v>19</v>
      </c>
      <c r="M20" s="60" t="n">
        <f aca="false">IFERROR(INDEX(99_Listas!$C$2:$C$5,MATCH(G20,99_Listas!$B$2:$B$5,0)),0)</f>
        <v>0.11</v>
      </c>
      <c r="N20" s="58" t="n">
        <f aca="false">ROUND(J20*M20,2)</f>
        <v>1.98</v>
      </c>
      <c r="O20" s="58" t="n">
        <f aca="false">ROUND(J20-N20,2)</f>
        <v>16.02</v>
      </c>
      <c r="P20" s="55" t="s">
        <v>578</v>
      </c>
      <c r="Q20" s="54" t="n">
        <v>12</v>
      </c>
      <c r="R20" s="55" t="s">
        <v>276</v>
      </c>
      <c r="S20" s="56" t="s">
        <v>228</v>
      </c>
      <c r="T20" s="56" t="s">
        <v>203</v>
      </c>
      <c r="U20" s="56"/>
    </row>
    <row r="21" customFormat="false" ht="15" hidden="false" customHeight="true" outlineLevel="0" collapsed="false">
      <c r="A21" s="61" t="n">
        <v>20</v>
      </c>
      <c r="B21" s="62" t="s">
        <v>618</v>
      </c>
      <c r="C21" s="63" t="s">
        <v>631</v>
      </c>
      <c r="D21" s="63" t="s">
        <v>632</v>
      </c>
      <c r="E21" s="57" t="s">
        <v>633</v>
      </c>
      <c r="F21" s="62" t="s">
        <v>344</v>
      </c>
      <c r="G21" s="62" t="s">
        <v>161</v>
      </c>
      <c r="H21" s="64" t="n">
        <v>10</v>
      </c>
      <c r="I21" s="64" t="n">
        <v>16</v>
      </c>
      <c r="J21" s="64" t="n">
        <f aca="false">ROUND(AVERAGE(H21:I21),1)</f>
        <v>13</v>
      </c>
      <c r="K21" s="59" t="n">
        <v>1</v>
      </c>
      <c r="L21" s="64" t="n">
        <f aca="false">J21+K21</f>
        <v>14</v>
      </c>
      <c r="M21" s="65" t="n">
        <f aca="false">IFERROR(INDEX(99_Listas!$C$2:$C$5,MATCH(G21,99_Listas!$B$2:$B$5,0)),0)</f>
        <v>0.09</v>
      </c>
      <c r="N21" s="64" t="n">
        <f aca="false">ROUND(J21*M21,2)</f>
        <v>1.17</v>
      </c>
      <c r="O21" s="64" t="n">
        <f aca="false">ROUND(J21-N21,2)</f>
        <v>11.83</v>
      </c>
      <c r="P21" s="62" t="s">
        <v>578</v>
      </c>
      <c r="Q21" s="61" t="n">
        <v>10</v>
      </c>
      <c r="R21" s="62" t="s">
        <v>276</v>
      </c>
      <c r="S21" s="63" t="s">
        <v>228</v>
      </c>
      <c r="T21" s="63" t="s">
        <v>570</v>
      </c>
      <c r="U21" s="63"/>
    </row>
    <row r="22" customFormat="false" ht="15" hidden="false" customHeight="true" outlineLevel="0" collapsed="false">
      <c r="A22" s="54" t="n">
        <v>21</v>
      </c>
      <c r="B22" s="55" t="s">
        <v>618</v>
      </c>
      <c r="C22" s="56" t="s">
        <v>634</v>
      </c>
      <c r="D22" s="56" t="s">
        <v>635</v>
      </c>
      <c r="E22" s="57" t="s">
        <v>633</v>
      </c>
      <c r="F22" s="55" t="s">
        <v>344</v>
      </c>
      <c r="G22" s="55" t="s">
        <v>161</v>
      </c>
      <c r="H22" s="58" t="n">
        <v>12</v>
      </c>
      <c r="I22" s="58" t="n">
        <v>18</v>
      </c>
      <c r="J22" s="58" t="n">
        <f aca="false">ROUND(AVERAGE(H22:I22),1)</f>
        <v>15</v>
      </c>
      <c r="K22" s="59" t="n">
        <v>1</v>
      </c>
      <c r="L22" s="58" t="n">
        <f aca="false">J22+K22</f>
        <v>16</v>
      </c>
      <c r="M22" s="60" t="n">
        <f aca="false">IFERROR(INDEX(99_Listas!$C$2:$C$5,MATCH(G22,99_Listas!$B$2:$B$5,0)),0)</f>
        <v>0.09</v>
      </c>
      <c r="N22" s="58" t="n">
        <f aca="false">ROUND(J22*M22,2)</f>
        <v>1.35</v>
      </c>
      <c r="O22" s="58" t="n">
        <f aca="false">ROUND(J22-N22,2)</f>
        <v>13.65</v>
      </c>
      <c r="P22" s="55" t="s">
        <v>578</v>
      </c>
      <c r="Q22" s="54" t="n">
        <v>12</v>
      </c>
      <c r="R22" s="55" t="s">
        <v>276</v>
      </c>
      <c r="S22" s="56" t="s">
        <v>228</v>
      </c>
      <c r="T22" s="56" t="s">
        <v>570</v>
      </c>
      <c r="U22" s="56"/>
    </row>
    <row r="23" customFormat="false" ht="15" hidden="false" customHeight="true" outlineLevel="0" collapsed="false">
      <c r="A23" s="61" t="n">
        <v>22</v>
      </c>
      <c r="B23" s="62" t="s">
        <v>618</v>
      </c>
      <c r="C23" s="63" t="s">
        <v>636</v>
      </c>
      <c r="D23" s="63" t="s">
        <v>637</v>
      </c>
      <c r="E23" s="57" t="s">
        <v>638</v>
      </c>
      <c r="F23" s="62" t="s">
        <v>344</v>
      </c>
      <c r="G23" s="62" t="s">
        <v>161</v>
      </c>
      <c r="H23" s="64" t="n">
        <v>10</v>
      </c>
      <c r="I23" s="64" t="n">
        <v>16</v>
      </c>
      <c r="J23" s="64" t="n">
        <f aca="false">ROUND(AVERAGE(H23:I23),1)</f>
        <v>13</v>
      </c>
      <c r="K23" s="59" t="n">
        <v>1</v>
      </c>
      <c r="L23" s="64" t="n">
        <f aca="false">J23+K23</f>
        <v>14</v>
      </c>
      <c r="M23" s="65" t="n">
        <f aca="false">IFERROR(INDEX(99_Listas!$C$2:$C$5,MATCH(G23,99_Listas!$B$2:$B$5,0)),0)</f>
        <v>0.09</v>
      </c>
      <c r="N23" s="64" t="n">
        <f aca="false">ROUND(J23*M23,2)</f>
        <v>1.17</v>
      </c>
      <c r="O23" s="64" t="n">
        <f aca="false">ROUND(J23-N23,2)</f>
        <v>11.83</v>
      </c>
      <c r="P23" s="62" t="s">
        <v>578</v>
      </c>
      <c r="Q23" s="61" t="n">
        <v>10</v>
      </c>
      <c r="R23" s="62" t="s">
        <v>276</v>
      </c>
      <c r="S23" s="63" t="s">
        <v>228</v>
      </c>
      <c r="T23" s="63" t="s">
        <v>339</v>
      </c>
      <c r="U23" s="63"/>
    </row>
    <row r="24" customFormat="false" ht="23.25" hidden="false" customHeight="true" outlineLevel="0" collapsed="false">
      <c r="A24" s="54" t="n">
        <v>23</v>
      </c>
      <c r="B24" s="55" t="s">
        <v>618</v>
      </c>
      <c r="C24" s="56" t="s">
        <v>639</v>
      </c>
      <c r="D24" s="56" t="s">
        <v>640</v>
      </c>
      <c r="E24" s="57" t="s">
        <v>641</v>
      </c>
      <c r="F24" s="55" t="s">
        <v>344</v>
      </c>
      <c r="G24" s="55" t="s">
        <v>161</v>
      </c>
      <c r="H24" s="58" t="n">
        <v>10</v>
      </c>
      <c r="I24" s="58" t="n">
        <v>18</v>
      </c>
      <c r="J24" s="58" t="n">
        <f aca="false">ROUND(AVERAGE(H24:I24),1)</f>
        <v>14</v>
      </c>
      <c r="K24" s="59" t="n">
        <v>1</v>
      </c>
      <c r="L24" s="58" t="n">
        <f aca="false">J24+K24</f>
        <v>15</v>
      </c>
      <c r="M24" s="60" t="n">
        <f aca="false">IFERROR(INDEX(99_Listas!$C$2:$C$5,MATCH(G24,99_Listas!$B$2:$B$5,0)),0)</f>
        <v>0.09</v>
      </c>
      <c r="N24" s="58" t="n">
        <f aca="false">ROUND(J24*M24,2)</f>
        <v>1.26</v>
      </c>
      <c r="O24" s="58" t="n">
        <f aca="false">ROUND(J24-N24,2)</f>
        <v>12.74</v>
      </c>
      <c r="P24" s="55" t="s">
        <v>578</v>
      </c>
      <c r="Q24" s="54" t="n">
        <v>8</v>
      </c>
      <c r="R24" s="55" t="s">
        <v>276</v>
      </c>
      <c r="S24" s="56" t="s">
        <v>228</v>
      </c>
      <c r="T24" s="56" t="s">
        <v>570</v>
      </c>
      <c r="U24" s="56"/>
    </row>
    <row r="25" customFormat="false" ht="23.25" hidden="false" customHeight="true" outlineLevel="0" collapsed="false">
      <c r="A25" s="61" t="n">
        <v>24</v>
      </c>
      <c r="B25" s="62" t="s">
        <v>618</v>
      </c>
      <c r="C25" s="63" t="s">
        <v>642</v>
      </c>
      <c r="D25" s="63" t="s">
        <v>643</v>
      </c>
      <c r="E25" s="57" t="s">
        <v>644</v>
      </c>
      <c r="F25" s="62" t="s">
        <v>344</v>
      </c>
      <c r="G25" s="62" t="s">
        <v>161</v>
      </c>
      <c r="H25" s="64" t="n">
        <v>12</v>
      </c>
      <c r="I25" s="64" t="n">
        <v>18</v>
      </c>
      <c r="J25" s="64" t="n">
        <f aca="false">ROUND(AVERAGE(H25:I25),1)</f>
        <v>15</v>
      </c>
      <c r="K25" s="59" t="n">
        <v>1</v>
      </c>
      <c r="L25" s="64" t="n">
        <f aca="false">J25+K25</f>
        <v>16</v>
      </c>
      <c r="M25" s="65" t="n">
        <f aca="false">IFERROR(INDEX(99_Listas!$C$2:$C$5,MATCH(G25,99_Listas!$B$2:$B$5,0)),0)</f>
        <v>0.09</v>
      </c>
      <c r="N25" s="64" t="n">
        <f aca="false">ROUND(J25*M25,2)</f>
        <v>1.35</v>
      </c>
      <c r="O25" s="64" t="n">
        <f aca="false">ROUND(J25-N25,2)</f>
        <v>13.65</v>
      </c>
      <c r="P25" s="62" t="s">
        <v>578</v>
      </c>
      <c r="Q25" s="61" t="n">
        <v>10</v>
      </c>
      <c r="R25" s="62" t="s">
        <v>276</v>
      </c>
      <c r="S25" s="63" t="s">
        <v>228</v>
      </c>
      <c r="T25" s="63" t="s">
        <v>339</v>
      </c>
      <c r="U25" s="63"/>
    </row>
    <row r="26" customFormat="false" ht="23.25" hidden="false" customHeight="true" outlineLevel="0" collapsed="false">
      <c r="A26" s="54" t="n">
        <v>25</v>
      </c>
      <c r="B26" s="55" t="s">
        <v>618</v>
      </c>
      <c r="C26" s="56" t="s">
        <v>645</v>
      </c>
      <c r="D26" s="56" t="s">
        <v>646</v>
      </c>
      <c r="E26" s="57" t="s">
        <v>644</v>
      </c>
      <c r="F26" s="55" t="s">
        <v>344</v>
      </c>
      <c r="G26" s="55" t="s">
        <v>165</v>
      </c>
      <c r="H26" s="58" t="n">
        <v>14</v>
      </c>
      <c r="I26" s="58" t="n">
        <v>22</v>
      </c>
      <c r="J26" s="58" t="n">
        <f aca="false">ROUND(AVERAGE(H26:I26),1)</f>
        <v>18</v>
      </c>
      <c r="K26" s="59" t="n">
        <v>1</v>
      </c>
      <c r="L26" s="58" t="n">
        <f aca="false">J26+K26</f>
        <v>19</v>
      </c>
      <c r="M26" s="60" t="n">
        <f aca="false">IFERROR(INDEX(99_Listas!$C$2:$C$5,MATCH(G26,99_Listas!$B$2:$B$5,0)),0)</f>
        <v>0.11</v>
      </c>
      <c r="N26" s="58" t="n">
        <f aca="false">ROUND(J26*M26,2)</f>
        <v>1.98</v>
      </c>
      <c r="O26" s="58" t="n">
        <f aca="false">ROUND(J26-N26,2)</f>
        <v>16.02</v>
      </c>
      <c r="P26" s="55" t="s">
        <v>578</v>
      </c>
      <c r="Q26" s="54" t="n">
        <v>12</v>
      </c>
      <c r="R26" s="55" t="s">
        <v>276</v>
      </c>
      <c r="S26" s="56" t="s">
        <v>228</v>
      </c>
      <c r="T26" s="56" t="s">
        <v>647</v>
      </c>
      <c r="U26" s="56"/>
    </row>
    <row r="27" customFormat="false" ht="23.25" hidden="false" customHeight="true" outlineLevel="0" collapsed="false">
      <c r="A27" s="61" t="n">
        <v>26</v>
      </c>
      <c r="B27" s="62" t="s">
        <v>618</v>
      </c>
      <c r="C27" s="63" t="s">
        <v>648</v>
      </c>
      <c r="D27" s="63" t="s">
        <v>649</v>
      </c>
      <c r="E27" s="57" t="s">
        <v>650</v>
      </c>
      <c r="F27" s="62" t="s">
        <v>344</v>
      </c>
      <c r="G27" s="62" t="s">
        <v>157</v>
      </c>
      <c r="H27" s="64" t="n">
        <v>9</v>
      </c>
      <c r="I27" s="64" t="n">
        <v>14</v>
      </c>
      <c r="J27" s="64" t="n">
        <f aca="false">ROUND(AVERAGE(H27:I27),1)</f>
        <v>11.5</v>
      </c>
      <c r="K27" s="59" t="n">
        <v>1</v>
      </c>
      <c r="L27" s="64" t="n">
        <f aca="false">J27+K27</f>
        <v>12.5</v>
      </c>
      <c r="M27" s="65" t="n">
        <f aca="false">IFERROR(INDEX(99_Listas!$C$2:$C$5,MATCH(G27,99_Listas!$B$2:$B$5,0)),0)</f>
        <v>0.07</v>
      </c>
      <c r="N27" s="64" t="n">
        <f aca="false">ROUND(J27*M27,2)</f>
        <v>0.81</v>
      </c>
      <c r="O27" s="64" t="n">
        <f aca="false">ROUND(J27-N27,2)</f>
        <v>10.69</v>
      </c>
      <c r="P27" s="62" t="s">
        <v>578</v>
      </c>
      <c r="Q27" s="61" t="n">
        <v>8</v>
      </c>
      <c r="R27" s="62" t="s">
        <v>276</v>
      </c>
      <c r="S27" s="63" t="s">
        <v>228</v>
      </c>
      <c r="T27" s="63" t="s">
        <v>339</v>
      </c>
      <c r="U27" s="63"/>
    </row>
    <row r="28" customFormat="false" ht="23.25" hidden="false" customHeight="true" outlineLevel="0" collapsed="false">
      <c r="A28" s="54" t="n">
        <v>27</v>
      </c>
      <c r="B28" s="55" t="s">
        <v>618</v>
      </c>
      <c r="C28" s="56" t="s">
        <v>651</v>
      </c>
      <c r="D28" s="56" t="s">
        <v>652</v>
      </c>
      <c r="E28" s="57" t="s">
        <v>653</v>
      </c>
      <c r="F28" s="55" t="s">
        <v>344</v>
      </c>
      <c r="G28" s="55" t="s">
        <v>161</v>
      </c>
      <c r="H28" s="58" t="n">
        <v>10</v>
      </c>
      <c r="I28" s="58" t="n">
        <v>16</v>
      </c>
      <c r="J28" s="58" t="n">
        <f aca="false">ROUND(AVERAGE(H28:I28),1)</f>
        <v>13</v>
      </c>
      <c r="K28" s="59" t="n">
        <v>1</v>
      </c>
      <c r="L28" s="58" t="n">
        <f aca="false">J28+K28</f>
        <v>14</v>
      </c>
      <c r="M28" s="60" t="n">
        <f aca="false">IFERROR(INDEX(99_Listas!$C$2:$C$5,MATCH(G28,99_Listas!$B$2:$B$5,0)),0)</f>
        <v>0.09</v>
      </c>
      <c r="N28" s="58" t="n">
        <f aca="false">ROUND(J28*M28,2)</f>
        <v>1.17</v>
      </c>
      <c r="O28" s="58" t="n">
        <f aca="false">ROUND(J28-N28,2)</f>
        <v>11.83</v>
      </c>
      <c r="P28" s="55" t="s">
        <v>578</v>
      </c>
      <c r="Q28" s="54" t="n">
        <v>8</v>
      </c>
      <c r="R28" s="55" t="s">
        <v>276</v>
      </c>
      <c r="S28" s="56" t="s">
        <v>228</v>
      </c>
      <c r="T28" s="56" t="s">
        <v>339</v>
      </c>
      <c r="U28" s="56"/>
    </row>
    <row r="29" customFormat="false" ht="15" hidden="false" customHeight="true" outlineLevel="0" collapsed="false">
      <c r="A29" s="61" t="n">
        <v>28</v>
      </c>
      <c r="B29" s="62" t="s">
        <v>618</v>
      </c>
      <c r="C29" s="63" t="s">
        <v>654</v>
      </c>
      <c r="D29" s="63" t="s">
        <v>655</v>
      </c>
      <c r="E29" s="57" t="s">
        <v>656</v>
      </c>
      <c r="F29" s="62" t="s">
        <v>344</v>
      </c>
      <c r="G29" s="62" t="s">
        <v>161</v>
      </c>
      <c r="H29" s="64" t="n">
        <v>10</v>
      </c>
      <c r="I29" s="64" t="n">
        <v>17</v>
      </c>
      <c r="J29" s="64" t="n">
        <f aca="false">ROUND(AVERAGE(H29:I29),1)</f>
        <v>13.5</v>
      </c>
      <c r="K29" s="59" t="n">
        <v>1</v>
      </c>
      <c r="L29" s="64" t="n">
        <f aca="false">J29+K29</f>
        <v>14.5</v>
      </c>
      <c r="M29" s="65" t="n">
        <f aca="false">IFERROR(INDEX(99_Listas!$C$2:$C$5,MATCH(G29,99_Listas!$B$2:$B$5,0)),0)</f>
        <v>0.09</v>
      </c>
      <c r="N29" s="64" t="n">
        <f aca="false">ROUND(J29*M29,2)</f>
        <v>1.22</v>
      </c>
      <c r="O29" s="64" t="n">
        <f aca="false">ROUND(J29-N29,2)</f>
        <v>12.28</v>
      </c>
      <c r="P29" s="62" t="s">
        <v>578</v>
      </c>
      <c r="Q29" s="61" t="n">
        <v>10</v>
      </c>
      <c r="R29" s="62" t="s">
        <v>276</v>
      </c>
      <c r="S29" s="63" t="s">
        <v>228</v>
      </c>
      <c r="T29" s="63" t="s">
        <v>339</v>
      </c>
      <c r="U29" s="63"/>
    </row>
    <row r="30" customFormat="false" ht="23.25" hidden="false" customHeight="true" outlineLevel="0" collapsed="false">
      <c r="A30" s="54" t="n">
        <v>29</v>
      </c>
      <c r="B30" s="55" t="s">
        <v>618</v>
      </c>
      <c r="C30" s="56" t="s">
        <v>657</v>
      </c>
      <c r="D30" s="56" t="s">
        <v>658</v>
      </c>
      <c r="E30" s="57" t="s">
        <v>659</v>
      </c>
      <c r="F30" s="55" t="s">
        <v>344</v>
      </c>
      <c r="G30" s="55" t="s">
        <v>161</v>
      </c>
      <c r="H30" s="58" t="n">
        <v>9</v>
      </c>
      <c r="I30" s="58" t="n">
        <v>15</v>
      </c>
      <c r="J30" s="58" t="n">
        <f aca="false">ROUND(AVERAGE(H30:I30),1)</f>
        <v>12</v>
      </c>
      <c r="K30" s="59" t="n">
        <v>1</v>
      </c>
      <c r="L30" s="58" t="n">
        <f aca="false">J30+K30</f>
        <v>13</v>
      </c>
      <c r="M30" s="60" t="n">
        <f aca="false">IFERROR(INDEX(99_Listas!$C$2:$C$5,MATCH(G30,99_Listas!$B$2:$B$5,0)),0)</f>
        <v>0.09</v>
      </c>
      <c r="N30" s="58" t="n">
        <f aca="false">ROUND(J30*M30,2)</f>
        <v>1.08</v>
      </c>
      <c r="O30" s="58" t="n">
        <f aca="false">ROUND(J30-N30,2)</f>
        <v>10.92</v>
      </c>
      <c r="P30" s="55" t="s">
        <v>578</v>
      </c>
      <c r="Q30" s="54" t="n">
        <v>8</v>
      </c>
      <c r="R30" s="55" t="s">
        <v>276</v>
      </c>
      <c r="S30" s="56" t="s">
        <v>228</v>
      </c>
      <c r="T30" s="56" t="s">
        <v>339</v>
      </c>
      <c r="U30" s="56" t="s">
        <v>660</v>
      </c>
    </row>
    <row r="31" customFormat="false" ht="15" hidden="false" customHeight="true" outlineLevel="0" collapsed="false">
      <c r="A31" s="61" t="n">
        <v>30</v>
      </c>
      <c r="B31" s="62" t="s">
        <v>618</v>
      </c>
      <c r="C31" s="63" t="s">
        <v>661</v>
      </c>
      <c r="D31" s="63" t="s">
        <v>662</v>
      </c>
      <c r="E31" s="57" t="s">
        <v>663</v>
      </c>
      <c r="F31" s="62" t="s">
        <v>344</v>
      </c>
      <c r="G31" s="62" t="s">
        <v>157</v>
      </c>
      <c r="H31" s="64" t="n">
        <v>9</v>
      </c>
      <c r="I31" s="64" t="n">
        <v>14</v>
      </c>
      <c r="J31" s="64" t="n">
        <f aca="false">ROUND(AVERAGE(H31:I31),1)</f>
        <v>11.5</v>
      </c>
      <c r="K31" s="59" t="n">
        <v>1</v>
      </c>
      <c r="L31" s="64" t="n">
        <f aca="false">J31+K31</f>
        <v>12.5</v>
      </c>
      <c r="M31" s="65" t="n">
        <f aca="false">IFERROR(INDEX(99_Listas!$C$2:$C$5,MATCH(G31,99_Listas!$B$2:$B$5,0)),0)</f>
        <v>0.07</v>
      </c>
      <c r="N31" s="64" t="n">
        <f aca="false">ROUND(J31*M31,2)</f>
        <v>0.81</v>
      </c>
      <c r="O31" s="64" t="n">
        <f aca="false">ROUND(J31-N31,2)</f>
        <v>10.69</v>
      </c>
      <c r="P31" s="62" t="s">
        <v>578</v>
      </c>
      <c r="Q31" s="61" t="n">
        <v>8</v>
      </c>
      <c r="R31" s="62" t="s">
        <v>276</v>
      </c>
      <c r="S31" s="63" t="s">
        <v>228</v>
      </c>
      <c r="T31" s="63" t="s">
        <v>339</v>
      </c>
      <c r="U31" s="63"/>
    </row>
    <row r="32" customFormat="false" ht="15" hidden="false" customHeight="true" outlineLevel="0" collapsed="false">
      <c r="A32" s="54" t="n">
        <v>31</v>
      </c>
      <c r="B32" s="55" t="s">
        <v>618</v>
      </c>
      <c r="C32" s="56" t="s">
        <v>664</v>
      </c>
      <c r="D32" s="56" t="s">
        <v>665</v>
      </c>
      <c r="E32" s="57" t="s">
        <v>666</v>
      </c>
      <c r="F32" s="55" t="s">
        <v>344</v>
      </c>
      <c r="G32" s="55" t="s">
        <v>161</v>
      </c>
      <c r="H32" s="58" t="n">
        <v>12</v>
      </c>
      <c r="I32" s="58" t="n">
        <v>20</v>
      </c>
      <c r="J32" s="58" t="n">
        <f aca="false">ROUND(AVERAGE(H32:I32),1)</f>
        <v>16</v>
      </c>
      <c r="K32" s="59" t="n">
        <v>1</v>
      </c>
      <c r="L32" s="58" t="n">
        <f aca="false">J32+K32</f>
        <v>17</v>
      </c>
      <c r="M32" s="60" t="n">
        <f aca="false">IFERROR(INDEX(99_Listas!$C$2:$C$5,MATCH(G32,99_Listas!$B$2:$B$5,0)),0)</f>
        <v>0.09</v>
      </c>
      <c r="N32" s="58" t="n">
        <f aca="false">ROUND(J32*M32,2)</f>
        <v>1.44</v>
      </c>
      <c r="O32" s="58" t="n">
        <f aca="false">ROUND(J32-N32,2)</f>
        <v>14.56</v>
      </c>
      <c r="P32" s="55" t="s">
        <v>578</v>
      </c>
      <c r="Q32" s="54" t="n">
        <v>10</v>
      </c>
      <c r="R32" s="55" t="s">
        <v>276</v>
      </c>
      <c r="S32" s="56" t="s">
        <v>228</v>
      </c>
      <c r="T32" s="56" t="s">
        <v>570</v>
      </c>
      <c r="U32" s="56"/>
    </row>
    <row r="33" customFormat="false" ht="23.25" hidden="false" customHeight="true" outlineLevel="0" collapsed="false">
      <c r="A33" s="61" t="n">
        <v>32</v>
      </c>
      <c r="B33" s="62" t="s">
        <v>618</v>
      </c>
      <c r="C33" s="63" t="s">
        <v>667</v>
      </c>
      <c r="D33" s="63" t="s">
        <v>668</v>
      </c>
      <c r="E33" s="57" t="s">
        <v>669</v>
      </c>
      <c r="F33" s="62" t="s">
        <v>344</v>
      </c>
      <c r="G33" s="62" t="s">
        <v>161</v>
      </c>
      <c r="H33" s="64" t="n">
        <v>12</v>
      </c>
      <c r="I33" s="64" t="n">
        <v>18</v>
      </c>
      <c r="J33" s="64" t="n">
        <f aca="false">ROUND(AVERAGE(H33:I33),1)</f>
        <v>15</v>
      </c>
      <c r="K33" s="59" t="n">
        <v>1</v>
      </c>
      <c r="L33" s="64" t="n">
        <f aca="false">J33+K33</f>
        <v>16</v>
      </c>
      <c r="M33" s="65" t="n">
        <f aca="false">IFERROR(INDEX(99_Listas!$C$2:$C$5,MATCH(G33,99_Listas!$B$2:$B$5,0)),0)</f>
        <v>0.09</v>
      </c>
      <c r="N33" s="64" t="n">
        <f aca="false">ROUND(J33*M33,2)</f>
        <v>1.35</v>
      </c>
      <c r="O33" s="64" t="n">
        <f aca="false">ROUND(J33-N33,2)</f>
        <v>13.65</v>
      </c>
      <c r="P33" s="62" t="s">
        <v>578</v>
      </c>
      <c r="Q33" s="61" t="n">
        <v>10</v>
      </c>
      <c r="R33" s="62" t="s">
        <v>276</v>
      </c>
      <c r="S33" s="63" t="s">
        <v>228</v>
      </c>
      <c r="T33" s="63" t="s">
        <v>339</v>
      </c>
      <c r="U33" s="63"/>
    </row>
    <row r="34" customFormat="false" ht="23.25" hidden="false" customHeight="true" outlineLevel="0" collapsed="false">
      <c r="A34" s="54" t="n">
        <v>33</v>
      </c>
      <c r="B34" s="55" t="s">
        <v>618</v>
      </c>
      <c r="C34" s="56" t="s">
        <v>670</v>
      </c>
      <c r="D34" s="56" t="s">
        <v>671</v>
      </c>
      <c r="E34" s="57" t="s">
        <v>669</v>
      </c>
      <c r="F34" s="55" t="s">
        <v>344</v>
      </c>
      <c r="G34" s="55" t="s">
        <v>161</v>
      </c>
      <c r="H34" s="58" t="n">
        <v>13</v>
      </c>
      <c r="I34" s="58" t="n">
        <v>20</v>
      </c>
      <c r="J34" s="58" t="n">
        <f aca="false">ROUND(AVERAGE(H34:I34),1)</f>
        <v>16.5</v>
      </c>
      <c r="K34" s="59" t="n">
        <v>1</v>
      </c>
      <c r="L34" s="58" t="n">
        <f aca="false">J34+K34</f>
        <v>17.5</v>
      </c>
      <c r="M34" s="60" t="n">
        <f aca="false">IFERROR(INDEX(99_Listas!$C$2:$C$5,MATCH(G34,99_Listas!$B$2:$B$5,0)),0)</f>
        <v>0.09</v>
      </c>
      <c r="N34" s="58" t="n">
        <f aca="false">ROUND(J34*M34,2)</f>
        <v>1.49</v>
      </c>
      <c r="O34" s="58" t="n">
        <f aca="false">ROUND(J34-N34,2)</f>
        <v>15.01</v>
      </c>
      <c r="P34" s="55" t="s">
        <v>578</v>
      </c>
      <c r="Q34" s="54" t="n">
        <v>10</v>
      </c>
      <c r="R34" s="55" t="s">
        <v>276</v>
      </c>
      <c r="S34" s="56" t="s">
        <v>228</v>
      </c>
      <c r="T34" s="56" t="s">
        <v>339</v>
      </c>
      <c r="U34" s="56"/>
    </row>
    <row r="35" customFormat="false" ht="15" hidden="false" customHeight="true" outlineLevel="0" collapsed="false">
      <c r="A35" s="61" t="n">
        <v>34</v>
      </c>
      <c r="B35" s="62" t="s">
        <v>618</v>
      </c>
      <c r="C35" s="63" t="s">
        <v>672</v>
      </c>
      <c r="D35" s="63" t="s">
        <v>673</v>
      </c>
      <c r="E35" s="57" t="s">
        <v>674</v>
      </c>
      <c r="F35" s="62" t="s">
        <v>344</v>
      </c>
      <c r="G35" s="62" t="s">
        <v>161</v>
      </c>
      <c r="H35" s="64" t="n">
        <v>10</v>
      </c>
      <c r="I35" s="64" t="n">
        <v>16</v>
      </c>
      <c r="J35" s="64" t="n">
        <f aca="false">ROUND(AVERAGE(H35:I35),1)</f>
        <v>13</v>
      </c>
      <c r="K35" s="59" t="n">
        <v>1</v>
      </c>
      <c r="L35" s="64" t="n">
        <f aca="false">J35+K35</f>
        <v>14</v>
      </c>
      <c r="M35" s="65" t="n">
        <f aca="false">IFERROR(INDEX(99_Listas!$C$2:$C$5,MATCH(G35,99_Listas!$B$2:$B$5,0)),0)</f>
        <v>0.09</v>
      </c>
      <c r="N35" s="64" t="n">
        <f aca="false">ROUND(J35*M35,2)</f>
        <v>1.17</v>
      </c>
      <c r="O35" s="64" t="n">
        <f aca="false">ROUND(J35-N35,2)</f>
        <v>11.83</v>
      </c>
      <c r="P35" s="62" t="s">
        <v>578</v>
      </c>
      <c r="Q35" s="61" t="n">
        <v>10</v>
      </c>
      <c r="R35" s="62" t="s">
        <v>276</v>
      </c>
      <c r="S35" s="63" t="s">
        <v>228</v>
      </c>
      <c r="T35" s="63" t="s">
        <v>339</v>
      </c>
      <c r="U35" s="63"/>
    </row>
    <row r="36" customFormat="false" ht="15" hidden="false" customHeight="true" outlineLevel="0" collapsed="false">
      <c r="A36" s="54" t="n">
        <v>35</v>
      </c>
      <c r="B36" s="55" t="s">
        <v>618</v>
      </c>
      <c r="C36" s="56" t="s">
        <v>675</v>
      </c>
      <c r="D36" s="56" t="s">
        <v>676</v>
      </c>
      <c r="E36" s="57" t="s">
        <v>677</v>
      </c>
      <c r="F36" s="55" t="s">
        <v>344</v>
      </c>
      <c r="G36" s="55" t="s">
        <v>161</v>
      </c>
      <c r="H36" s="58" t="n">
        <v>10</v>
      </c>
      <c r="I36" s="58" t="n">
        <v>16</v>
      </c>
      <c r="J36" s="58" t="n">
        <f aca="false">ROUND(AVERAGE(H36:I36),1)</f>
        <v>13</v>
      </c>
      <c r="K36" s="59" t="n">
        <v>1</v>
      </c>
      <c r="L36" s="58" t="n">
        <f aca="false">J36+K36</f>
        <v>14</v>
      </c>
      <c r="M36" s="60" t="n">
        <f aca="false">IFERROR(INDEX(99_Listas!$C$2:$C$5,MATCH(G36,99_Listas!$B$2:$B$5,0)),0)</f>
        <v>0.09</v>
      </c>
      <c r="N36" s="58" t="n">
        <f aca="false">ROUND(J36*M36,2)</f>
        <v>1.17</v>
      </c>
      <c r="O36" s="58" t="n">
        <f aca="false">ROUND(J36-N36,2)</f>
        <v>11.83</v>
      </c>
      <c r="P36" s="55" t="s">
        <v>578</v>
      </c>
      <c r="Q36" s="54" t="n">
        <v>12</v>
      </c>
      <c r="R36" s="55" t="s">
        <v>165</v>
      </c>
      <c r="S36" s="56" t="s">
        <v>228</v>
      </c>
      <c r="T36" s="56" t="s">
        <v>678</v>
      </c>
      <c r="U36" s="56" t="s">
        <v>679</v>
      </c>
    </row>
    <row r="37" customFormat="false" ht="15" hidden="false" customHeight="true" outlineLevel="0" collapsed="false">
      <c r="A37" s="61" t="n">
        <v>36</v>
      </c>
      <c r="B37" s="62" t="s">
        <v>618</v>
      </c>
      <c r="C37" s="63" t="s">
        <v>680</v>
      </c>
      <c r="D37" s="63" t="s">
        <v>681</v>
      </c>
      <c r="E37" s="57" t="s">
        <v>347</v>
      </c>
      <c r="F37" s="62" t="s">
        <v>344</v>
      </c>
      <c r="G37" s="62" t="s">
        <v>157</v>
      </c>
      <c r="H37" s="64" t="n">
        <v>8</v>
      </c>
      <c r="I37" s="64" t="n">
        <v>12</v>
      </c>
      <c r="J37" s="64" t="n">
        <f aca="false">ROUND(AVERAGE(H37:I37),1)</f>
        <v>10</v>
      </c>
      <c r="K37" s="59" t="n">
        <v>1</v>
      </c>
      <c r="L37" s="64" t="n">
        <f aca="false">J37+K37</f>
        <v>11</v>
      </c>
      <c r="M37" s="65" t="n">
        <f aca="false">IFERROR(INDEX(99_Listas!$C$2:$C$5,MATCH(G37,99_Listas!$B$2:$B$5,0)),0)</f>
        <v>0.07</v>
      </c>
      <c r="N37" s="64" t="n">
        <f aca="false">ROUND(J37*M37,2)</f>
        <v>0.7</v>
      </c>
      <c r="O37" s="64" t="n">
        <f aca="false">ROUND(J37-N37,2)</f>
        <v>9.3</v>
      </c>
      <c r="P37" s="62" t="s">
        <v>578</v>
      </c>
      <c r="Q37" s="61" t="n">
        <v>8</v>
      </c>
      <c r="R37" s="62" t="s">
        <v>276</v>
      </c>
      <c r="S37" s="63" t="s">
        <v>228</v>
      </c>
      <c r="T37" s="63" t="s">
        <v>339</v>
      </c>
      <c r="U37" s="63"/>
    </row>
    <row r="38" customFormat="false" ht="15" hidden="false" customHeight="true" outlineLevel="0" collapsed="false">
      <c r="A38" s="54" t="n">
        <v>37</v>
      </c>
      <c r="B38" s="55" t="s">
        <v>618</v>
      </c>
      <c r="C38" s="56" t="s">
        <v>682</v>
      </c>
      <c r="D38" s="56" t="s">
        <v>683</v>
      </c>
      <c r="E38" s="57" t="s">
        <v>684</v>
      </c>
      <c r="F38" s="55" t="s">
        <v>344</v>
      </c>
      <c r="G38" s="55" t="s">
        <v>157</v>
      </c>
      <c r="H38" s="58" t="n">
        <v>8</v>
      </c>
      <c r="I38" s="58" t="n">
        <v>13</v>
      </c>
      <c r="J38" s="58" t="n">
        <f aca="false">ROUND(AVERAGE(H38:I38),1)</f>
        <v>10.5</v>
      </c>
      <c r="K38" s="59" t="n">
        <v>1</v>
      </c>
      <c r="L38" s="58" t="n">
        <f aca="false">J38+K38</f>
        <v>11.5</v>
      </c>
      <c r="M38" s="60" t="n">
        <f aca="false">IFERROR(INDEX(99_Listas!$C$2:$C$5,MATCH(G38,99_Listas!$B$2:$B$5,0)),0)</f>
        <v>0.07</v>
      </c>
      <c r="N38" s="58" t="n">
        <f aca="false">ROUND(J38*M38,2)</f>
        <v>0.74</v>
      </c>
      <c r="O38" s="58" t="n">
        <f aca="false">ROUND(J38-N38,2)</f>
        <v>9.76</v>
      </c>
      <c r="P38" s="55" t="s">
        <v>578</v>
      </c>
      <c r="Q38" s="54" t="n">
        <v>8</v>
      </c>
      <c r="R38" s="55" t="s">
        <v>276</v>
      </c>
      <c r="S38" s="56" t="s">
        <v>228</v>
      </c>
      <c r="T38" s="56" t="s">
        <v>339</v>
      </c>
      <c r="U38" s="56"/>
    </row>
    <row r="39" customFormat="false" ht="15" hidden="false" customHeight="true" outlineLevel="0" collapsed="false">
      <c r="A39" s="61" t="n">
        <v>38</v>
      </c>
      <c r="B39" s="62" t="s">
        <v>618</v>
      </c>
      <c r="C39" s="63" t="s">
        <v>685</v>
      </c>
      <c r="D39" s="63" t="s">
        <v>686</v>
      </c>
      <c r="E39" s="57" t="s">
        <v>687</v>
      </c>
      <c r="F39" s="62" t="s">
        <v>344</v>
      </c>
      <c r="G39" s="62" t="s">
        <v>157</v>
      </c>
      <c r="H39" s="64" t="n">
        <v>7</v>
      </c>
      <c r="I39" s="64" t="n">
        <v>12</v>
      </c>
      <c r="J39" s="64" t="n">
        <f aca="false">ROUND(AVERAGE(H39:I39),1)</f>
        <v>9.5</v>
      </c>
      <c r="K39" s="59" t="n">
        <v>1</v>
      </c>
      <c r="L39" s="64" t="n">
        <f aca="false">J39+K39</f>
        <v>10.5</v>
      </c>
      <c r="M39" s="65" t="n">
        <f aca="false">IFERROR(INDEX(99_Listas!$C$2:$C$5,MATCH(G39,99_Listas!$B$2:$B$5,0)),0)</f>
        <v>0.07</v>
      </c>
      <c r="N39" s="64" t="n">
        <f aca="false">ROUND(J39*M39,2)</f>
        <v>0.67</v>
      </c>
      <c r="O39" s="64" t="n">
        <f aca="false">ROUND(J39-N39,2)</f>
        <v>8.83</v>
      </c>
      <c r="P39" s="62" t="s">
        <v>578</v>
      </c>
      <c r="Q39" s="61" t="n">
        <v>8</v>
      </c>
      <c r="R39" s="62" t="s">
        <v>276</v>
      </c>
      <c r="S39" s="63" t="s">
        <v>228</v>
      </c>
      <c r="T39" s="63" t="s">
        <v>159</v>
      </c>
      <c r="U39" s="63"/>
    </row>
    <row r="40" customFormat="false" ht="15" hidden="false" customHeight="true" outlineLevel="0" collapsed="false">
      <c r="A40" s="54" t="n">
        <v>39</v>
      </c>
      <c r="B40" s="55" t="s">
        <v>618</v>
      </c>
      <c r="C40" s="56" t="s">
        <v>688</v>
      </c>
      <c r="D40" s="56" t="s">
        <v>689</v>
      </c>
      <c r="E40" s="57" t="s">
        <v>690</v>
      </c>
      <c r="F40" s="55" t="s">
        <v>344</v>
      </c>
      <c r="G40" s="55" t="s">
        <v>161</v>
      </c>
      <c r="H40" s="58" t="n">
        <v>9</v>
      </c>
      <c r="I40" s="58" t="n">
        <v>15</v>
      </c>
      <c r="J40" s="58" t="n">
        <f aca="false">ROUND(AVERAGE(H40:I40),1)</f>
        <v>12</v>
      </c>
      <c r="K40" s="59" t="n">
        <v>1</v>
      </c>
      <c r="L40" s="58" t="n">
        <f aca="false">J40+K40</f>
        <v>13</v>
      </c>
      <c r="M40" s="60" t="n">
        <f aca="false">IFERROR(INDEX(99_Listas!$C$2:$C$5,MATCH(G40,99_Listas!$B$2:$B$5,0)),0)</f>
        <v>0.09</v>
      </c>
      <c r="N40" s="58" t="n">
        <f aca="false">ROUND(J40*M40,2)</f>
        <v>1.08</v>
      </c>
      <c r="O40" s="58" t="n">
        <f aca="false">ROUND(J40-N40,2)</f>
        <v>10.92</v>
      </c>
      <c r="P40" s="55" t="s">
        <v>578</v>
      </c>
      <c r="Q40" s="54" t="n">
        <v>10</v>
      </c>
      <c r="R40" s="55" t="s">
        <v>276</v>
      </c>
      <c r="S40" s="56" t="s">
        <v>228</v>
      </c>
      <c r="T40" s="56" t="s">
        <v>468</v>
      </c>
      <c r="U40" s="56"/>
    </row>
    <row r="41" customFormat="false" ht="15" hidden="false" customHeight="true" outlineLevel="0" collapsed="false">
      <c r="A41" s="61" t="n">
        <v>40</v>
      </c>
      <c r="B41" s="62" t="s">
        <v>618</v>
      </c>
      <c r="C41" s="63" t="s">
        <v>691</v>
      </c>
      <c r="D41" s="63" t="s">
        <v>692</v>
      </c>
      <c r="E41" s="57" t="s">
        <v>693</v>
      </c>
      <c r="F41" s="62" t="s">
        <v>344</v>
      </c>
      <c r="G41" s="62" t="s">
        <v>161</v>
      </c>
      <c r="H41" s="64" t="n">
        <v>10</v>
      </c>
      <c r="I41" s="64" t="n">
        <v>16</v>
      </c>
      <c r="J41" s="64" t="n">
        <f aca="false">ROUND(AVERAGE(H41:I41),1)</f>
        <v>13</v>
      </c>
      <c r="K41" s="59" t="n">
        <v>1</v>
      </c>
      <c r="L41" s="64" t="n">
        <f aca="false">J41+K41</f>
        <v>14</v>
      </c>
      <c r="M41" s="65" t="n">
        <f aca="false">IFERROR(INDEX(99_Listas!$C$2:$C$5,MATCH(G41,99_Listas!$B$2:$B$5,0)),0)</f>
        <v>0.09</v>
      </c>
      <c r="N41" s="64" t="n">
        <f aca="false">ROUND(J41*M41,2)</f>
        <v>1.17</v>
      </c>
      <c r="O41" s="64" t="n">
        <f aca="false">ROUND(J41-N41,2)</f>
        <v>11.83</v>
      </c>
      <c r="P41" s="62" t="s">
        <v>578</v>
      </c>
      <c r="Q41" s="61" t="n">
        <v>10</v>
      </c>
      <c r="R41" s="62" t="s">
        <v>276</v>
      </c>
      <c r="S41" s="63" t="s">
        <v>228</v>
      </c>
      <c r="T41" s="63" t="s">
        <v>468</v>
      </c>
      <c r="U41" s="63"/>
    </row>
    <row r="42" customFormat="false" ht="23.25" hidden="false" customHeight="true" outlineLevel="0" collapsed="false">
      <c r="A42" s="54" t="n">
        <v>41</v>
      </c>
      <c r="B42" s="55" t="s">
        <v>618</v>
      </c>
      <c r="C42" s="56" t="s">
        <v>694</v>
      </c>
      <c r="D42" s="56" t="s">
        <v>695</v>
      </c>
      <c r="E42" s="57" t="s">
        <v>696</v>
      </c>
      <c r="F42" s="55" t="s">
        <v>344</v>
      </c>
      <c r="G42" s="55" t="s">
        <v>161</v>
      </c>
      <c r="H42" s="58" t="n">
        <v>12</v>
      </c>
      <c r="I42" s="58" t="n">
        <v>20</v>
      </c>
      <c r="J42" s="58" t="n">
        <f aca="false">ROUND(AVERAGE(H42:I42),1)</f>
        <v>16</v>
      </c>
      <c r="K42" s="59" t="n">
        <v>1</v>
      </c>
      <c r="L42" s="58" t="n">
        <f aca="false">J42+K42</f>
        <v>17</v>
      </c>
      <c r="M42" s="60" t="n">
        <f aca="false">IFERROR(INDEX(99_Listas!$C$2:$C$5,MATCH(G42,99_Listas!$B$2:$B$5,0)),0)</f>
        <v>0.09</v>
      </c>
      <c r="N42" s="58" t="n">
        <f aca="false">ROUND(J42*M42,2)</f>
        <v>1.44</v>
      </c>
      <c r="O42" s="58" t="n">
        <f aca="false">ROUND(J42-N42,2)</f>
        <v>14.56</v>
      </c>
      <c r="P42" s="55" t="s">
        <v>697</v>
      </c>
      <c r="Q42" s="54" t="n">
        <v>12</v>
      </c>
      <c r="R42" s="55" t="s">
        <v>276</v>
      </c>
      <c r="S42" s="56" t="s">
        <v>380</v>
      </c>
      <c r="T42" s="56" t="s">
        <v>260</v>
      </c>
      <c r="U42" s="56" t="s">
        <v>698</v>
      </c>
    </row>
    <row r="43" customFormat="false" ht="15" hidden="false" customHeight="true" outlineLevel="0" collapsed="false">
      <c r="A43" s="61" t="n">
        <v>42</v>
      </c>
      <c r="B43" s="62" t="s">
        <v>699</v>
      </c>
      <c r="C43" s="63" t="s">
        <v>700</v>
      </c>
      <c r="D43" s="63" t="s">
        <v>701</v>
      </c>
      <c r="E43" s="57" t="s">
        <v>702</v>
      </c>
      <c r="F43" s="62" t="s">
        <v>226</v>
      </c>
      <c r="G43" s="62" t="s">
        <v>165</v>
      </c>
      <c r="H43" s="64" t="n">
        <v>15</v>
      </c>
      <c r="I43" s="64" t="n">
        <v>25</v>
      </c>
      <c r="J43" s="64" t="n">
        <f aca="false">ROUND(AVERAGE(H43:I43),1)</f>
        <v>20</v>
      </c>
      <c r="K43" s="59" t="n">
        <v>1</v>
      </c>
      <c r="L43" s="64" t="n">
        <f aca="false">J43+K43</f>
        <v>21</v>
      </c>
      <c r="M43" s="65" t="n">
        <f aca="false">IFERROR(INDEX(99_Listas!$C$2:$C$5,MATCH(G43,99_Listas!$B$2:$B$5,0)),0)</f>
        <v>0.11</v>
      </c>
      <c r="N43" s="64" t="n">
        <f aca="false">ROUND(J43*M43,2)</f>
        <v>2.2</v>
      </c>
      <c r="O43" s="64" t="n">
        <f aca="false">ROUND(J43-N43,2)</f>
        <v>17.8</v>
      </c>
      <c r="P43" s="62" t="s">
        <v>578</v>
      </c>
      <c r="Q43" s="61" t="n">
        <v>15</v>
      </c>
      <c r="R43" s="62" t="s">
        <v>165</v>
      </c>
      <c r="S43" s="63" t="s">
        <v>228</v>
      </c>
      <c r="T43" s="63" t="s">
        <v>260</v>
      </c>
      <c r="U43" s="63" t="s">
        <v>703</v>
      </c>
    </row>
    <row r="44" customFormat="false" ht="15" hidden="false" customHeight="true" outlineLevel="0" collapsed="false">
      <c r="A44" s="54" t="n">
        <v>43</v>
      </c>
      <c r="B44" s="55" t="s">
        <v>699</v>
      </c>
      <c r="C44" s="56" t="s">
        <v>704</v>
      </c>
      <c r="D44" s="56" t="s">
        <v>705</v>
      </c>
      <c r="E44" s="57" t="s">
        <v>706</v>
      </c>
      <c r="F44" s="55" t="s">
        <v>344</v>
      </c>
      <c r="G44" s="55" t="s">
        <v>161</v>
      </c>
      <c r="H44" s="58" t="n">
        <v>10</v>
      </c>
      <c r="I44" s="58" t="n">
        <v>18</v>
      </c>
      <c r="J44" s="58" t="n">
        <f aca="false">ROUND(AVERAGE(H44:I44),1)</f>
        <v>14</v>
      </c>
      <c r="K44" s="59" t="n">
        <v>1</v>
      </c>
      <c r="L44" s="58" t="n">
        <f aca="false">J44+K44</f>
        <v>15</v>
      </c>
      <c r="M44" s="60" t="n">
        <f aca="false">IFERROR(INDEX(99_Listas!$C$2:$C$5,MATCH(G44,99_Listas!$B$2:$B$5,0)),0)</f>
        <v>0.09</v>
      </c>
      <c r="N44" s="58" t="n">
        <f aca="false">ROUND(J44*M44,2)</f>
        <v>1.26</v>
      </c>
      <c r="O44" s="58" t="n">
        <f aca="false">ROUND(J44-N44,2)</f>
        <v>12.74</v>
      </c>
      <c r="P44" s="55" t="s">
        <v>578</v>
      </c>
      <c r="Q44" s="54" t="n">
        <v>12</v>
      </c>
      <c r="R44" s="55" t="s">
        <v>276</v>
      </c>
      <c r="S44" s="56" t="s">
        <v>228</v>
      </c>
      <c r="T44" s="56" t="s">
        <v>260</v>
      </c>
      <c r="U44" s="56" t="s">
        <v>707</v>
      </c>
    </row>
    <row r="45" customFormat="false" ht="15" hidden="false" customHeight="true" outlineLevel="0" collapsed="false">
      <c r="A45" s="61" t="n">
        <v>44</v>
      </c>
      <c r="B45" s="62" t="s">
        <v>699</v>
      </c>
      <c r="C45" s="63" t="s">
        <v>708</v>
      </c>
      <c r="D45" s="63" t="s">
        <v>709</v>
      </c>
      <c r="E45" s="57" t="s">
        <v>710</v>
      </c>
      <c r="F45" s="62" t="s">
        <v>344</v>
      </c>
      <c r="G45" s="62" t="s">
        <v>165</v>
      </c>
      <c r="H45" s="64" t="n">
        <v>15</v>
      </c>
      <c r="I45" s="64" t="n">
        <v>25</v>
      </c>
      <c r="J45" s="64" t="n">
        <f aca="false">ROUND(AVERAGE(H45:I45),1)</f>
        <v>20</v>
      </c>
      <c r="K45" s="59" t="n">
        <v>1</v>
      </c>
      <c r="L45" s="64" t="n">
        <f aca="false">J45+K45</f>
        <v>21</v>
      </c>
      <c r="M45" s="65" t="n">
        <f aca="false">IFERROR(INDEX(99_Listas!$C$2:$C$5,MATCH(G45,99_Listas!$B$2:$B$5,0)),0)</f>
        <v>0.11</v>
      </c>
      <c r="N45" s="64" t="n">
        <f aca="false">ROUND(J45*M45,2)</f>
        <v>2.2</v>
      </c>
      <c r="O45" s="64" t="n">
        <f aca="false">ROUND(J45-N45,2)</f>
        <v>17.8</v>
      </c>
      <c r="P45" s="62" t="s">
        <v>711</v>
      </c>
      <c r="Q45" s="61" t="n">
        <v>15</v>
      </c>
      <c r="R45" s="62" t="s">
        <v>165</v>
      </c>
      <c r="S45" s="63" t="s">
        <v>380</v>
      </c>
      <c r="T45" s="63" t="s">
        <v>260</v>
      </c>
      <c r="U45" s="63"/>
    </row>
    <row r="46" customFormat="false" ht="15" hidden="false" customHeight="true" outlineLevel="0" collapsed="false">
      <c r="A46" s="54" t="n">
        <v>45</v>
      </c>
      <c r="B46" s="55" t="s">
        <v>699</v>
      </c>
      <c r="C46" s="56" t="s">
        <v>712</v>
      </c>
      <c r="D46" s="56" t="s">
        <v>713</v>
      </c>
      <c r="E46" s="57" t="s">
        <v>714</v>
      </c>
      <c r="F46" s="55" t="s">
        <v>344</v>
      </c>
      <c r="G46" s="55" t="s">
        <v>165</v>
      </c>
      <c r="H46" s="58" t="n">
        <v>15</v>
      </c>
      <c r="I46" s="58" t="n">
        <v>25</v>
      </c>
      <c r="J46" s="58" t="n">
        <f aca="false">ROUND(AVERAGE(H46:I46),1)</f>
        <v>20</v>
      </c>
      <c r="K46" s="59" t="n">
        <v>1</v>
      </c>
      <c r="L46" s="58" t="n">
        <f aca="false">J46+K46</f>
        <v>21</v>
      </c>
      <c r="M46" s="60" t="n">
        <f aca="false">IFERROR(INDEX(99_Listas!$C$2:$C$5,MATCH(G46,99_Listas!$B$2:$B$5,0)),0)</f>
        <v>0.11</v>
      </c>
      <c r="N46" s="58" t="n">
        <f aca="false">ROUND(J46*M46,2)</f>
        <v>2.2</v>
      </c>
      <c r="O46" s="58" t="n">
        <f aca="false">ROUND(J46-N46,2)</f>
        <v>17.8</v>
      </c>
      <c r="P46" s="55" t="s">
        <v>715</v>
      </c>
      <c r="Q46" s="54" t="n">
        <v>20</v>
      </c>
      <c r="R46" s="55" t="s">
        <v>258</v>
      </c>
      <c r="S46" s="56" t="s">
        <v>716</v>
      </c>
      <c r="T46" s="56" t="s">
        <v>260</v>
      </c>
      <c r="U46" s="56" t="s">
        <v>717</v>
      </c>
    </row>
    <row r="47" customFormat="false" ht="15" hidden="false" customHeight="true" outlineLevel="0" collapsed="false">
      <c r="A47" s="61" t="n">
        <v>46</v>
      </c>
      <c r="B47" s="62" t="s">
        <v>699</v>
      </c>
      <c r="C47" s="63" t="s">
        <v>718</v>
      </c>
      <c r="D47" s="63" t="s">
        <v>719</v>
      </c>
      <c r="E47" s="57" t="s">
        <v>720</v>
      </c>
      <c r="F47" s="62" t="s">
        <v>344</v>
      </c>
      <c r="G47" s="62" t="s">
        <v>165</v>
      </c>
      <c r="H47" s="64" t="n">
        <v>18</v>
      </c>
      <c r="I47" s="64" t="n">
        <v>28</v>
      </c>
      <c r="J47" s="64" t="n">
        <f aca="false">ROUND(AVERAGE(H47:I47),1)</f>
        <v>23</v>
      </c>
      <c r="K47" s="59" t="n">
        <v>1</v>
      </c>
      <c r="L47" s="64" t="n">
        <f aca="false">J47+K47</f>
        <v>24</v>
      </c>
      <c r="M47" s="65" t="n">
        <f aca="false">IFERROR(INDEX(99_Listas!$C$2:$C$5,MATCH(G47,99_Listas!$B$2:$B$5,0)),0)</f>
        <v>0.11</v>
      </c>
      <c r="N47" s="64" t="n">
        <f aca="false">ROUND(J47*M47,2)</f>
        <v>2.53</v>
      </c>
      <c r="O47" s="64" t="n">
        <f aca="false">ROUND(J47-N47,2)</f>
        <v>20.47</v>
      </c>
      <c r="P47" s="62" t="s">
        <v>715</v>
      </c>
      <c r="Q47" s="61" t="n">
        <v>15</v>
      </c>
      <c r="R47" s="62" t="s">
        <v>165</v>
      </c>
      <c r="S47" s="63" t="s">
        <v>228</v>
      </c>
      <c r="T47" s="63" t="s">
        <v>260</v>
      </c>
      <c r="U47" s="63"/>
    </row>
    <row r="48" customFormat="false" ht="15" hidden="false" customHeight="true" outlineLevel="0" collapsed="false">
      <c r="A48" s="54" t="n">
        <v>47</v>
      </c>
      <c r="B48" s="55" t="s">
        <v>699</v>
      </c>
      <c r="C48" s="56" t="s">
        <v>721</v>
      </c>
      <c r="D48" s="56" t="s">
        <v>722</v>
      </c>
      <c r="E48" s="57" t="s">
        <v>723</v>
      </c>
      <c r="F48" s="55" t="s">
        <v>226</v>
      </c>
      <c r="G48" s="55" t="s">
        <v>157</v>
      </c>
      <c r="H48" s="58" t="n">
        <v>8</v>
      </c>
      <c r="I48" s="58" t="n">
        <v>14</v>
      </c>
      <c r="J48" s="58" t="n">
        <f aca="false">ROUND(AVERAGE(H48:I48),1)</f>
        <v>11</v>
      </c>
      <c r="K48" s="59" t="n">
        <v>1</v>
      </c>
      <c r="L48" s="58" t="n">
        <f aca="false">J48+K48</f>
        <v>12</v>
      </c>
      <c r="M48" s="60" t="n">
        <f aca="false">IFERROR(INDEX(99_Listas!$C$2:$C$5,MATCH(G48,99_Listas!$B$2:$B$5,0)),0)</f>
        <v>0.07</v>
      </c>
      <c r="N48" s="58" t="n">
        <f aca="false">ROUND(J48*M48,2)</f>
        <v>0.77</v>
      </c>
      <c r="O48" s="58" t="n">
        <f aca="false">ROUND(J48-N48,2)</f>
        <v>10.23</v>
      </c>
      <c r="P48" s="55" t="s">
        <v>578</v>
      </c>
      <c r="Q48" s="54" t="n">
        <v>12</v>
      </c>
      <c r="R48" s="55" t="s">
        <v>165</v>
      </c>
      <c r="S48" s="56" t="s">
        <v>228</v>
      </c>
      <c r="T48" s="56" t="s">
        <v>260</v>
      </c>
      <c r="U48" s="56"/>
    </row>
    <row r="49" customFormat="false" ht="15" hidden="false" customHeight="true" outlineLevel="0" collapsed="false">
      <c r="A49" s="61" t="n">
        <v>48</v>
      </c>
      <c r="B49" s="62" t="s">
        <v>699</v>
      </c>
      <c r="C49" s="63" t="s">
        <v>724</v>
      </c>
      <c r="D49" s="63" t="s">
        <v>725</v>
      </c>
      <c r="E49" s="57" t="s">
        <v>353</v>
      </c>
      <c r="F49" s="62" t="s">
        <v>482</v>
      </c>
      <c r="G49" s="62" t="s">
        <v>157</v>
      </c>
      <c r="H49" s="64" t="n">
        <v>4</v>
      </c>
      <c r="I49" s="64" t="n">
        <v>8</v>
      </c>
      <c r="J49" s="64" t="n">
        <f aca="false">ROUND(AVERAGE(H49:I49),1)</f>
        <v>6</v>
      </c>
      <c r="K49" s="59" t="n">
        <v>1</v>
      </c>
      <c r="L49" s="64" t="n">
        <f aca="false">J49+K49</f>
        <v>7</v>
      </c>
      <c r="M49" s="65" t="n">
        <f aca="false">IFERROR(INDEX(99_Listas!$C$2:$C$5,MATCH(G49,99_Listas!$B$2:$B$5,0)),0)</f>
        <v>0.07</v>
      </c>
      <c r="N49" s="64" t="n">
        <f aca="false">ROUND(J49*M49,2)</f>
        <v>0.42</v>
      </c>
      <c r="O49" s="64" t="n">
        <f aca="false">ROUND(J49-N49,2)</f>
        <v>5.58</v>
      </c>
      <c r="P49" s="62" t="s">
        <v>715</v>
      </c>
      <c r="Q49" s="61" t="n">
        <v>5</v>
      </c>
      <c r="R49" s="62" t="s">
        <v>276</v>
      </c>
      <c r="S49" s="63" t="s">
        <v>228</v>
      </c>
      <c r="T49" s="63" t="s">
        <v>260</v>
      </c>
      <c r="U49" s="63"/>
    </row>
    <row r="50" customFormat="false" ht="23.25" hidden="false" customHeight="true" outlineLevel="0" collapsed="false">
      <c r="A50" s="54" t="n">
        <v>49</v>
      </c>
      <c r="B50" s="55" t="s">
        <v>174</v>
      </c>
      <c r="C50" s="56" t="s">
        <v>726</v>
      </c>
      <c r="D50" s="56" t="s">
        <v>727</v>
      </c>
      <c r="E50" s="57" t="s">
        <v>728</v>
      </c>
      <c r="F50" s="55" t="s">
        <v>344</v>
      </c>
      <c r="G50" s="55" t="s">
        <v>161</v>
      </c>
      <c r="H50" s="58" t="n">
        <v>10</v>
      </c>
      <c r="I50" s="58" t="n">
        <v>16</v>
      </c>
      <c r="J50" s="58" t="n">
        <f aca="false">ROUND(AVERAGE(H50:I50),1)</f>
        <v>13</v>
      </c>
      <c r="K50" s="59" t="n">
        <v>1</v>
      </c>
      <c r="L50" s="58" t="n">
        <f aca="false">J50+K50</f>
        <v>14</v>
      </c>
      <c r="M50" s="60" t="n">
        <f aca="false">IFERROR(INDEX(99_Listas!$C$2:$C$5,MATCH(G50,99_Listas!$B$2:$B$5,0)),0)</f>
        <v>0.09</v>
      </c>
      <c r="N50" s="58" t="n">
        <f aca="false">ROUND(J50*M50,2)</f>
        <v>1.17</v>
      </c>
      <c r="O50" s="58" t="n">
        <f aca="false">ROUND(J50-N50,2)</f>
        <v>11.83</v>
      </c>
      <c r="P50" s="55" t="s">
        <v>578</v>
      </c>
      <c r="Q50" s="54" t="n">
        <v>10</v>
      </c>
      <c r="R50" s="55" t="s">
        <v>276</v>
      </c>
      <c r="S50" s="56" t="s">
        <v>228</v>
      </c>
      <c r="T50" s="56" t="s">
        <v>174</v>
      </c>
      <c r="U50" s="56" t="s">
        <v>729</v>
      </c>
    </row>
    <row r="51" customFormat="false" ht="23.25" hidden="false" customHeight="true" outlineLevel="0" collapsed="false">
      <c r="A51" s="61" t="n">
        <v>50</v>
      </c>
      <c r="B51" s="62" t="s">
        <v>174</v>
      </c>
      <c r="C51" s="63" t="s">
        <v>730</v>
      </c>
      <c r="D51" s="63" t="s">
        <v>731</v>
      </c>
      <c r="E51" s="57" t="s">
        <v>728</v>
      </c>
      <c r="F51" s="62" t="s">
        <v>344</v>
      </c>
      <c r="G51" s="62" t="s">
        <v>161</v>
      </c>
      <c r="H51" s="64" t="n">
        <v>12</v>
      </c>
      <c r="I51" s="64" t="n">
        <v>18</v>
      </c>
      <c r="J51" s="64" t="n">
        <f aca="false">ROUND(AVERAGE(H51:I51),1)</f>
        <v>15</v>
      </c>
      <c r="K51" s="59" t="n">
        <v>1</v>
      </c>
      <c r="L51" s="64" t="n">
        <f aca="false">J51+K51</f>
        <v>16</v>
      </c>
      <c r="M51" s="65" t="n">
        <f aca="false">IFERROR(INDEX(99_Listas!$C$2:$C$5,MATCH(G51,99_Listas!$B$2:$B$5,0)),0)</f>
        <v>0.09</v>
      </c>
      <c r="N51" s="64" t="n">
        <f aca="false">ROUND(J51*M51,2)</f>
        <v>1.35</v>
      </c>
      <c r="O51" s="64" t="n">
        <f aca="false">ROUND(J51-N51,2)</f>
        <v>13.65</v>
      </c>
      <c r="P51" s="62" t="s">
        <v>578</v>
      </c>
      <c r="Q51" s="61" t="n">
        <v>10</v>
      </c>
      <c r="R51" s="62" t="s">
        <v>276</v>
      </c>
      <c r="S51" s="63" t="s">
        <v>228</v>
      </c>
      <c r="T51" s="63" t="s">
        <v>174</v>
      </c>
      <c r="U51" s="63"/>
    </row>
    <row r="52" customFormat="false" ht="23.25" hidden="false" customHeight="true" outlineLevel="0" collapsed="false">
      <c r="A52" s="54" t="n">
        <v>51</v>
      </c>
      <c r="B52" s="55" t="s">
        <v>174</v>
      </c>
      <c r="C52" s="56" t="s">
        <v>732</v>
      </c>
      <c r="D52" s="56" t="s">
        <v>733</v>
      </c>
      <c r="E52" s="57" t="s">
        <v>728</v>
      </c>
      <c r="F52" s="55" t="s">
        <v>344</v>
      </c>
      <c r="G52" s="55" t="s">
        <v>165</v>
      </c>
      <c r="H52" s="58" t="n">
        <v>15</v>
      </c>
      <c r="I52" s="58" t="n">
        <v>25</v>
      </c>
      <c r="J52" s="58" t="n">
        <f aca="false">ROUND(AVERAGE(H52:I52),1)</f>
        <v>20</v>
      </c>
      <c r="K52" s="59" t="n">
        <v>1</v>
      </c>
      <c r="L52" s="58" t="n">
        <f aca="false">J52+K52</f>
        <v>21</v>
      </c>
      <c r="M52" s="60" t="n">
        <f aca="false">IFERROR(INDEX(99_Listas!$C$2:$C$5,MATCH(G52,99_Listas!$B$2:$B$5,0)),0)</f>
        <v>0.11</v>
      </c>
      <c r="N52" s="58" t="n">
        <f aca="false">ROUND(J52*M52,2)</f>
        <v>2.2</v>
      </c>
      <c r="O52" s="58" t="n">
        <f aca="false">ROUND(J52-N52,2)</f>
        <v>17.8</v>
      </c>
      <c r="P52" s="55" t="s">
        <v>578</v>
      </c>
      <c r="Q52" s="54" t="n">
        <v>12</v>
      </c>
      <c r="R52" s="55" t="s">
        <v>276</v>
      </c>
      <c r="S52" s="56" t="s">
        <v>228</v>
      </c>
      <c r="T52" s="56" t="s">
        <v>174</v>
      </c>
      <c r="U52" s="56"/>
    </row>
    <row r="53" customFormat="false" ht="15" hidden="false" customHeight="true" outlineLevel="0" collapsed="false">
      <c r="A53" s="61" t="n">
        <v>52</v>
      </c>
      <c r="B53" s="62" t="s">
        <v>174</v>
      </c>
      <c r="C53" s="63" t="s">
        <v>734</v>
      </c>
      <c r="D53" s="63" t="s">
        <v>735</v>
      </c>
      <c r="E53" s="57" t="s">
        <v>736</v>
      </c>
      <c r="F53" s="62" t="s">
        <v>344</v>
      </c>
      <c r="G53" s="62" t="s">
        <v>161</v>
      </c>
      <c r="H53" s="64" t="n">
        <v>10</v>
      </c>
      <c r="I53" s="64" t="n">
        <v>18</v>
      </c>
      <c r="J53" s="64" t="n">
        <f aca="false">ROUND(AVERAGE(H53:I53),1)</f>
        <v>14</v>
      </c>
      <c r="K53" s="59" t="n">
        <v>1</v>
      </c>
      <c r="L53" s="64" t="n">
        <f aca="false">J53+K53</f>
        <v>15</v>
      </c>
      <c r="M53" s="65" t="n">
        <f aca="false">IFERROR(INDEX(99_Listas!$C$2:$C$5,MATCH(G53,99_Listas!$B$2:$B$5,0)),0)</f>
        <v>0.09</v>
      </c>
      <c r="N53" s="64" t="n">
        <f aca="false">ROUND(J53*M53,2)</f>
        <v>1.26</v>
      </c>
      <c r="O53" s="64" t="n">
        <f aca="false">ROUND(J53-N53,2)</f>
        <v>12.74</v>
      </c>
      <c r="P53" s="62" t="s">
        <v>578</v>
      </c>
      <c r="Q53" s="61" t="n">
        <v>10</v>
      </c>
      <c r="R53" s="62" t="s">
        <v>276</v>
      </c>
      <c r="S53" s="63" t="s">
        <v>228</v>
      </c>
      <c r="T53" s="63" t="s">
        <v>174</v>
      </c>
      <c r="U53" s="63"/>
    </row>
    <row r="54" customFormat="false" ht="15" hidden="false" customHeight="true" outlineLevel="0" collapsed="false">
      <c r="A54" s="54" t="n">
        <v>53</v>
      </c>
      <c r="B54" s="55" t="s">
        <v>174</v>
      </c>
      <c r="C54" s="56" t="s">
        <v>737</v>
      </c>
      <c r="D54" s="56" t="s">
        <v>738</v>
      </c>
      <c r="E54" s="57" t="s">
        <v>739</v>
      </c>
      <c r="F54" s="55" t="s">
        <v>740</v>
      </c>
      <c r="G54" s="55" t="s">
        <v>161</v>
      </c>
      <c r="H54" s="58" t="n">
        <v>12</v>
      </c>
      <c r="I54" s="58" t="n">
        <v>20</v>
      </c>
      <c r="J54" s="58" t="n">
        <f aca="false">ROUND(AVERAGE(H54:I54),1)</f>
        <v>16</v>
      </c>
      <c r="K54" s="59" t="n">
        <v>1</v>
      </c>
      <c r="L54" s="58" t="n">
        <f aca="false">J54+K54</f>
        <v>17</v>
      </c>
      <c r="M54" s="60" t="n">
        <f aca="false">IFERROR(INDEX(99_Listas!$C$2:$C$5,MATCH(G54,99_Listas!$B$2:$B$5,0)),0)</f>
        <v>0.09</v>
      </c>
      <c r="N54" s="58" t="n">
        <f aca="false">ROUND(J54*M54,2)</f>
        <v>1.44</v>
      </c>
      <c r="O54" s="58" t="n">
        <f aca="false">ROUND(J54-N54,2)</f>
        <v>14.56</v>
      </c>
      <c r="P54" s="55" t="s">
        <v>578</v>
      </c>
      <c r="Q54" s="54" t="n">
        <v>12</v>
      </c>
      <c r="R54" s="55" t="s">
        <v>276</v>
      </c>
      <c r="S54" s="56" t="s">
        <v>228</v>
      </c>
      <c r="T54" s="56" t="s">
        <v>174</v>
      </c>
      <c r="U54" s="56" t="s">
        <v>741</v>
      </c>
    </row>
    <row r="55" customFormat="false" ht="15" hidden="false" customHeight="true" outlineLevel="0" collapsed="false">
      <c r="A55" s="61" t="n">
        <v>54</v>
      </c>
      <c r="B55" s="62" t="s">
        <v>174</v>
      </c>
      <c r="C55" s="63" t="s">
        <v>742</v>
      </c>
      <c r="D55" s="63" t="s">
        <v>743</v>
      </c>
      <c r="E55" s="57" t="s">
        <v>744</v>
      </c>
      <c r="F55" s="62" t="s">
        <v>344</v>
      </c>
      <c r="G55" s="62" t="s">
        <v>165</v>
      </c>
      <c r="H55" s="64" t="n">
        <v>14</v>
      </c>
      <c r="I55" s="64" t="n">
        <v>22</v>
      </c>
      <c r="J55" s="64" t="n">
        <f aca="false">ROUND(AVERAGE(H55:I55),1)</f>
        <v>18</v>
      </c>
      <c r="K55" s="59" t="n">
        <v>1</v>
      </c>
      <c r="L55" s="64" t="n">
        <f aca="false">J55+K55</f>
        <v>19</v>
      </c>
      <c r="M55" s="65" t="n">
        <f aca="false">IFERROR(INDEX(99_Listas!$C$2:$C$5,MATCH(G55,99_Listas!$B$2:$B$5,0)),0)</f>
        <v>0.11</v>
      </c>
      <c r="N55" s="64" t="n">
        <f aca="false">ROUND(J55*M55,2)</f>
        <v>1.98</v>
      </c>
      <c r="O55" s="64" t="n">
        <f aca="false">ROUND(J55-N55,2)</f>
        <v>16.02</v>
      </c>
      <c r="P55" s="62" t="s">
        <v>578</v>
      </c>
      <c r="Q55" s="61" t="n">
        <v>12</v>
      </c>
      <c r="R55" s="62" t="s">
        <v>276</v>
      </c>
      <c r="S55" s="63" t="s">
        <v>228</v>
      </c>
      <c r="T55" s="63" t="s">
        <v>174</v>
      </c>
      <c r="U55" s="63"/>
    </row>
    <row r="56" customFormat="false" ht="15" hidden="false" customHeight="true" outlineLevel="0" collapsed="false">
      <c r="A56" s="54" t="n">
        <v>55</v>
      </c>
      <c r="B56" s="55" t="s">
        <v>174</v>
      </c>
      <c r="C56" s="56" t="s">
        <v>745</v>
      </c>
      <c r="D56" s="56" t="s">
        <v>746</v>
      </c>
      <c r="E56" s="57" t="s">
        <v>747</v>
      </c>
      <c r="F56" s="55" t="s">
        <v>344</v>
      </c>
      <c r="G56" s="55" t="s">
        <v>165</v>
      </c>
      <c r="H56" s="58" t="n">
        <v>14</v>
      </c>
      <c r="I56" s="58" t="n">
        <v>22</v>
      </c>
      <c r="J56" s="58" t="n">
        <f aca="false">ROUND(AVERAGE(H56:I56),1)</f>
        <v>18</v>
      </c>
      <c r="K56" s="59" t="n">
        <v>1</v>
      </c>
      <c r="L56" s="58" t="n">
        <f aca="false">J56+K56</f>
        <v>19</v>
      </c>
      <c r="M56" s="60" t="n">
        <f aca="false">IFERROR(INDEX(99_Listas!$C$2:$C$5,MATCH(G56,99_Listas!$B$2:$B$5,0)),0)</f>
        <v>0.11</v>
      </c>
      <c r="N56" s="58" t="n">
        <f aca="false">ROUND(J56*M56,2)</f>
        <v>1.98</v>
      </c>
      <c r="O56" s="58" t="n">
        <f aca="false">ROUND(J56-N56,2)</f>
        <v>16.02</v>
      </c>
      <c r="P56" s="55" t="s">
        <v>578</v>
      </c>
      <c r="Q56" s="54" t="n">
        <v>12</v>
      </c>
      <c r="R56" s="55" t="s">
        <v>276</v>
      </c>
      <c r="S56" s="56" t="s">
        <v>228</v>
      </c>
      <c r="T56" s="56" t="s">
        <v>174</v>
      </c>
      <c r="U56" s="56"/>
    </row>
    <row r="57" customFormat="false" ht="23.25" hidden="false" customHeight="true" outlineLevel="0" collapsed="false">
      <c r="A57" s="61" t="n">
        <v>56</v>
      </c>
      <c r="B57" s="62" t="s">
        <v>174</v>
      </c>
      <c r="C57" s="63" t="s">
        <v>748</v>
      </c>
      <c r="D57" s="63" t="s">
        <v>749</v>
      </c>
      <c r="E57" s="57" t="s">
        <v>750</v>
      </c>
      <c r="F57" s="62" t="s">
        <v>482</v>
      </c>
      <c r="G57" s="62" t="s">
        <v>157</v>
      </c>
      <c r="H57" s="64" t="n">
        <v>8</v>
      </c>
      <c r="I57" s="64" t="n">
        <v>14</v>
      </c>
      <c r="J57" s="64" t="n">
        <f aca="false">ROUND(AVERAGE(H57:I57),1)</f>
        <v>11</v>
      </c>
      <c r="K57" s="59" t="n">
        <v>1</v>
      </c>
      <c r="L57" s="64" t="n">
        <f aca="false">J57+K57</f>
        <v>12</v>
      </c>
      <c r="M57" s="65" t="n">
        <f aca="false">IFERROR(INDEX(99_Listas!$C$2:$C$5,MATCH(G57,99_Listas!$B$2:$B$5,0)),0)</f>
        <v>0.07</v>
      </c>
      <c r="N57" s="64" t="n">
        <f aca="false">ROUND(J57*M57,2)</f>
        <v>0.77</v>
      </c>
      <c r="O57" s="64" t="n">
        <f aca="false">ROUND(J57-N57,2)</f>
        <v>10.23</v>
      </c>
      <c r="P57" s="62" t="s">
        <v>578</v>
      </c>
      <c r="Q57" s="61" t="n">
        <v>8</v>
      </c>
      <c r="R57" s="62" t="s">
        <v>165</v>
      </c>
      <c r="S57" s="63" t="s">
        <v>228</v>
      </c>
      <c r="T57" s="63" t="s">
        <v>174</v>
      </c>
      <c r="U57" s="63"/>
    </row>
    <row r="58" customFormat="false" ht="15" hidden="false" customHeight="true" outlineLevel="0" collapsed="false">
      <c r="A58" s="54" t="n">
        <v>57</v>
      </c>
      <c r="B58" s="55" t="s">
        <v>174</v>
      </c>
      <c r="C58" s="56" t="s">
        <v>751</v>
      </c>
      <c r="D58" s="56" t="s">
        <v>752</v>
      </c>
      <c r="E58" s="57" t="s">
        <v>753</v>
      </c>
      <c r="F58" s="55" t="s">
        <v>740</v>
      </c>
      <c r="G58" s="55" t="s">
        <v>165</v>
      </c>
      <c r="H58" s="58" t="n">
        <v>15</v>
      </c>
      <c r="I58" s="58" t="n">
        <v>25</v>
      </c>
      <c r="J58" s="58" t="n">
        <f aca="false">ROUND(AVERAGE(H58:I58),1)</f>
        <v>20</v>
      </c>
      <c r="K58" s="59" t="n">
        <v>1</v>
      </c>
      <c r="L58" s="58" t="n">
        <f aca="false">J58+K58</f>
        <v>21</v>
      </c>
      <c r="M58" s="60" t="n">
        <f aca="false">IFERROR(INDEX(99_Listas!$C$2:$C$5,MATCH(G58,99_Listas!$B$2:$B$5,0)),0)</f>
        <v>0.11</v>
      </c>
      <c r="N58" s="58" t="n">
        <f aca="false">ROUND(J58*M58,2)</f>
        <v>2.2</v>
      </c>
      <c r="O58" s="58" t="n">
        <f aca="false">ROUND(J58-N58,2)</f>
        <v>17.8</v>
      </c>
      <c r="P58" s="55" t="s">
        <v>578</v>
      </c>
      <c r="Q58" s="54" t="n">
        <v>12</v>
      </c>
      <c r="R58" s="55" t="s">
        <v>276</v>
      </c>
      <c r="S58" s="56" t="s">
        <v>228</v>
      </c>
      <c r="T58" s="56" t="s">
        <v>174</v>
      </c>
      <c r="U58" s="56"/>
    </row>
    <row r="59" customFormat="false" ht="23.25" hidden="false" customHeight="true" outlineLevel="0" collapsed="false">
      <c r="A59" s="61" t="n">
        <v>58</v>
      </c>
      <c r="B59" s="62" t="s">
        <v>754</v>
      </c>
      <c r="C59" s="63" t="s">
        <v>755</v>
      </c>
      <c r="D59" s="63" t="s">
        <v>756</v>
      </c>
      <c r="E59" s="57" t="s">
        <v>757</v>
      </c>
      <c r="F59" s="62" t="s">
        <v>344</v>
      </c>
      <c r="G59" s="62" t="s">
        <v>165</v>
      </c>
      <c r="H59" s="64" t="n">
        <v>15</v>
      </c>
      <c r="I59" s="64" t="n">
        <v>28</v>
      </c>
      <c r="J59" s="64" t="n">
        <f aca="false">ROUND(AVERAGE(H59:I59),1)</f>
        <v>21.5</v>
      </c>
      <c r="K59" s="59" t="n">
        <v>1</v>
      </c>
      <c r="L59" s="64" t="n">
        <f aca="false">J59+K59</f>
        <v>22.5</v>
      </c>
      <c r="M59" s="65" t="n">
        <f aca="false">IFERROR(INDEX(99_Listas!$C$2:$C$5,MATCH(G59,99_Listas!$B$2:$B$5,0)),0)</f>
        <v>0.11</v>
      </c>
      <c r="N59" s="64" t="n">
        <f aca="false">ROUND(J59*M59,2)</f>
        <v>2.37</v>
      </c>
      <c r="O59" s="64" t="n">
        <f aca="false">ROUND(J59-N59,2)</f>
        <v>19.13</v>
      </c>
      <c r="P59" s="62" t="s">
        <v>715</v>
      </c>
      <c r="Q59" s="61" t="n">
        <v>15</v>
      </c>
      <c r="R59" s="62" t="s">
        <v>165</v>
      </c>
      <c r="S59" s="63" t="s">
        <v>228</v>
      </c>
      <c r="T59" s="63" t="s">
        <v>758</v>
      </c>
      <c r="U59" s="63" t="s">
        <v>759</v>
      </c>
    </row>
    <row r="60" customFormat="false" ht="23.25" hidden="false" customHeight="true" outlineLevel="0" collapsed="false">
      <c r="A60" s="54" t="n">
        <v>59</v>
      </c>
      <c r="B60" s="55" t="s">
        <v>754</v>
      </c>
      <c r="C60" s="56" t="s">
        <v>760</v>
      </c>
      <c r="D60" s="56" t="s">
        <v>761</v>
      </c>
      <c r="E60" s="57" t="s">
        <v>757</v>
      </c>
      <c r="F60" s="55" t="s">
        <v>344</v>
      </c>
      <c r="G60" s="55" t="s">
        <v>165</v>
      </c>
      <c r="H60" s="58" t="n">
        <v>18</v>
      </c>
      <c r="I60" s="58" t="n">
        <v>30</v>
      </c>
      <c r="J60" s="58" t="n">
        <f aca="false">ROUND(AVERAGE(H60:I60),1)</f>
        <v>24</v>
      </c>
      <c r="K60" s="59" t="n">
        <v>1</v>
      </c>
      <c r="L60" s="58" t="n">
        <f aca="false">J60+K60</f>
        <v>25</v>
      </c>
      <c r="M60" s="60" t="n">
        <f aca="false">IFERROR(INDEX(99_Listas!$C$2:$C$5,MATCH(G60,99_Listas!$B$2:$B$5,0)),0)</f>
        <v>0.11</v>
      </c>
      <c r="N60" s="58" t="n">
        <f aca="false">ROUND(J60*M60,2)</f>
        <v>2.64</v>
      </c>
      <c r="O60" s="58" t="n">
        <f aca="false">ROUND(J60-N60,2)</f>
        <v>21.36</v>
      </c>
      <c r="P60" s="55" t="s">
        <v>715</v>
      </c>
      <c r="Q60" s="54" t="n">
        <v>15</v>
      </c>
      <c r="R60" s="55" t="s">
        <v>165</v>
      </c>
      <c r="S60" s="56" t="s">
        <v>228</v>
      </c>
      <c r="T60" s="56" t="s">
        <v>203</v>
      </c>
      <c r="U60" s="56"/>
    </row>
    <row r="61" customFormat="false" ht="15" hidden="false" customHeight="true" outlineLevel="0" collapsed="false">
      <c r="A61" s="61" t="n">
        <v>60</v>
      </c>
      <c r="B61" s="62" t="s">
        <v>754</v>
      </c>
      <c r="C61" s="63" t="s">
        <v>762</v>
      </c>
      <c r="D61" s="63" t="s">
        <v>763</v>
      </c>
      <c r="E61" s="57" t="s">
        <v>764</v>
      </c>
      <c r="F61" s="62" t="s">
        <v>344</v>
      </c>
      <c r="G61" s="62" t="s">
        <v>165</v>
      </c>
      <c r="H61" s="64" t="n">
        <v>18</v>
      </c>
      <c r="I61" s="64" t="n">
        <v>30</v>
      </c>
      <c r="J61" s="64" t="n">
        <f aca="false">ROUND(AVERAGE(H61:I61),1)</f>
        <v>24</v>
      </c>
      <c r="K61" s="59" t="n">
        <v>1</v>
      </c>
      <c r="L61" s="64" t="n">
        <f aca="false">J61+K61</f>
        <v>25</v>
      </c>
      <c r="M61" s="65" t="n">
        <f aca="false">IFERROR(INDEX(99_Listas!$C$2:$C$5,MATCH(G61,99_Listas!$B$2:$B$5,0)),0)</f>
        <v>0.11</v>
      </c>
      <c r="N61" s="64" t="n">
        <f aca="false">ROUND(J61*M61,2)</f>
        <v>2.64</v>
      </c>
      <c r="O61" s="64" t="n">
        <f aca="false">ROUND(J61-N61,2)</f>
        <v>21.36</v>
      </c>
      <c r="P61" s="62" t="s">
        <v>715</v>
      </c>
      <c r="Q61" s="61" t="n">
        <v>15</v>
      </c>
      <c r="R61" s="62" t="s">
        <v>165</v>
      </c>
      <c r="S61" s="63" t="s">
        <v>228</v>
      </c>
      <c r="T61" s="63" t="s">
        <v>203</v>
      </c>
      <c r="U61" s="63"/>
    </row>
    <row r="62" customFormat="false" ht="23.25" hidden="false" customHeight="true" outlineLevel="0" collapsed="false">
      <c r="A62" s="54" t="n">
        <v>61</v>
      </c>
      <c r="B62" s="55" t="s">
        <v>754</v>
      </c>
      <c r="C62" s="56" t="s">
        <v>765</v>
      </c>
      <c r="D62" s="56" t="s">
        <v>766</v>
      </c>
      <c r="E62" s="57" t="s">
        <v>757</v>
      </c>
      <c r="F62" s="55" t="s">
        <v>344</v>
      </c>
      <c r="G62" s="55" t="s">
        <v>165</v>
      </c>
      <c r="H62" s="58" t="n">
        <v>15</v>
      </c>
      <c r="I62" s="58" t="n">
        <v>30</v>
      </c>
      <c r="J62" s="58" t="n">
        <f aca="false">ROUND(AVERAGE(H62:I62),1)</f>
        <v>22.5</v>
      </c>
      <c r="K62" s="59" t="n">
        <v>1</v>
      </c>
      <c r="L62" s="58" t="n">
        <f aca="false">J62+K62</f>
        <v>23.5</v>
      </c>
      <c r="M62" s="60" t="n">
        <f aca="false">IFERROR(INDEX(99_Listas!$C$2:$C$5,MATCH(G62,99_Listas!$B$2:$B$5,0)),0)</f>
        <v>0.11</v>
      </c>
      <c r="N62" s="58" t="n">
        <f aca="false">ROUND(J62*M62,2)</f>
        <v>2.48</v>
      </c>
      <c r="O62" s="58" t="n">
        <f aca="false">ROUND(J62-N62,2)</f>
        <v>20.02</v>
      </c>
      <c r="P62" s="55" t="s">
        <v>711</v>
      </c>
      <c r="Q62" s="54" t="n">
        <v>12</v>
      </c>
      <c r="R62" s="55" t="s">
        <v>258</v>
      </c>
      <c r="S62" s="56" t="s">
        <v>228</v>
      </c>
      <c r="T62" s="56" t="s">
        <v>177</v>
      </c>
      <c r="U62" s="56" t="s">
        <v>767</v>
      </c>
    </row>
    <row r="63" customFormat="false" ht="15" hidden="false" customHeight="true" outlineLevel="0" collapsed="false">
      <c r="A63" s="61" t="n">
        <v>62</v>
      </c>
      <c r="B63" s="62" t="s">
        <v>754</v>
      </c>
      <c r="C63" s="63" t="s">
        <v>768</v>
      </c>
      <c r="D63" s="63" t="s">
        <v>769</v>
      </c>
      <c r="E63" s="57" t="s">
        <v>770</v>
      </c>
      <c r="F63" s="62" t="s">
        <v>344</v>
      </c>
      <c r="G63" s="62" t="s">
        <v>165</v>
      </c>
      <c r="H63" s="64" t="n">
        <v>15</v>
      </c>
      <c r="I63" s="64" t="n">
        <v>28</v>
      </c>
      <c r="J63" s="64" t="n">
        <f aca="false">ROUND(AVERAGE(H63:I63),1)</f>
        <v>21.5</v>
      </c>
      <c r="K63" s="59" t="n">
        <v>1</v>
      </c>
      <c r="L63" s="64" t="n">
        <f aca="false">J63+K63</f>
        <v>22.5</v>
      </c>
      <c r="M63" s="65" t="n">
        <f aca="false">IFERROR(INDEX(99_Listas!$C$2:$C$5,MATCH(G63,99_Listas!$B$2:$B$5,0)),0)</f>
        <v>0.11</v>
      </c>
      <c r="N63" s="64" t="n">
        <f aca="false">ROUND(J63*M63,2)</f>
        <v>2.37</v>
      </c>
      <c r="O63" s="64" t="n">
        <f aca="false">ROUND(J63-N63,2)</f>
        <v>19.13</v>
      </c>
      <c r="P63" s="62" t="s">
        <v>711</v>
      </c>
      <c r="Q63" s="61" t="n">
        <v>12</v>
      </c>
      <c r="R63" s="62" t="s">
        <v>258</v>
      </c>
      <c r="S63" s="63" t="s">
        <v>228</v>
      </c>
      <c r="T63" s="63" t="s">
        <v>177</v>
      </c>
      <c r="U63" s="63"/>
    </row>
    <row r="64" customFormat="false" ht="15" hidden="false" customHeight="true" outlineLevel="0" collapsed="false">
      <c r="A64" s="54" t="n">
        <v>63</v>
      </c>
      <c r="B64" s="55" t="s">
        <v>754</v>
      </c>
      <c r="C64" s="56" t="s">
        <v>771</v>
      </c>
      <c r="D64" s="56" t="s">
        <v>772</v>
      </c>
      <c r="E64" s="57" t="s">
        <v>773</v>
      </c>
      <c r="F64" s="55" t="s">
        <v>344</v>
      </c>
      <c r="G64" s="55" t="s">
        <v>165</v>
      </c>
      <c r="H64" s="58" t="n">
        <v>15</v>
      </c>
      <c r="I64" s="58" t="n">
        <v>25</v>
      </c>
      <c r="J64" s="58" t="n">
        <f aca="false">ROUND(AVERAGE(H64:I64),1)</f>
        <v>20</v>
      </c>
      <c r="K64" s="59" t="n">
        <v>1</v>
      </c>
      <c r="L64" s="58" t="n">
        <f aca="false">J64+K64</f>
        <v>21</v>
      </c>
      <c r="M64" s="60" t="n">
        <f aca="false">IFERROR(INDEX(99_Listas!$C$2:$C$5,MATCH(G64,99_Listas!$B$2:$B$5,0)),0)</f>
        <v>0.11</v>
      </c>
      <c r="N64" s="58" t="n">
        <f aca="false">ROUND(J64*M64,2)</f>
        <v>2.2</v>
      </c>
      <c r="O64" s="58" t="n">
        <f aca="false">ROUND(J64-N64,2)</f>
        <v>17.8</v>
      </c>
      <c r="P64" s="55" t="s">
        <v>715</v>
      </c>
      <c r="Q64" s="54" t="n">
        <v>15</v>
      </c>
      <c r="R64" s="55" t="s">
        <v>165</v>
      </c>
      <c r="S64" s="56" t="s">
        <v>228</v>
      </c>
      <c r="T64" s="56" t="s">
        <v>177</v>
      </c>
      <c r="U64" s="56"/>
    </row>
    <row r="65" customFormat="false" ht="15" hidden="false" customHeight="true" outlineLevel="0" collapsed="false">
      <c r="A65" s="61" t="n">
        <v>64</v>
      </c>
      <c r="B65" s="62" t="s">
        <v>754</v>
      </c>
      <c r="C65" s="63" t="s">
        <v>774</v>
      </c>
      <c r="D65" s="63" t="s">
        <v>775</v>
      </c>
      <c r="E65" s="57" t="s">
        <v>776</v>
      </c>
      <c r="F65" s="62" t="s">
        <v>344</v>
      </c>
      <c r="G65" s="62" t="s">
        <v>165</v>
      </c>
      <c r="H65" s="64" t="n">
        <v>20</v>
      </c>
      <c r="I65" s="64" t="n">
        <v>35</v>
      </c>
      <c r="J65" s="64" t="n">
        <f aca="false">ROUND(AVERAGE(H65:I65),1)</f>
        <v>27.5</v>
      </c>
      <c r="K65" s="59" t="n">
        <v>1</v>
      </c>
      <c r="L65" s="64" t="n">
        <f aca="false">J65+K65</f>
        <v>28.5</v>
      </c>
      <c r="M65" s="65" t="n">
        <f aca="false">IFERROR(INDEX(99_Listas!$C$2:$C$5,MATCH(G65,99_Listas!$B$2:$B$5,0)),0)</f>
        <v>0.11</v>
      </c>
      <c r="N65" s="64" t="n">
        <f aca="false">ROUND(J65*M65,2)</f>
        <v>3.03</v>
      </c>
      <c r="O65" s="64" t="n">
        <f aca="false">ROUND(J65-N65,2)</f>
        <v>24.47</v>
      </c>
      <c r="P65" s="62" t="s">
        <v>715</v>
      </c>
      <c r="Q65" s="61" t="n">
        <v>18</v>
      </c>
      <c r="R65" s="62" t="s">
        <v>165</v>
      </c>
      <c r="S65" s="63" t="s">
        <v>228</v>
      </c>
      <c r="T65" s="63" t="s">
        <v>177</v>
      </c>
      <c r="U65" s="63"/>
    </row>
    <row r="66" customFormat="false" ht="15" hidden="false" customHeight="true" outlineLevel="0" collapsed="false">
      <c r="A66" s="54" t="n">
        <v>65</v>
      </c>
      <c r="B66" s="55" t="s">
        <v>754</v>
      </c>
      <c r="C66" s="56" t="s">
        <v>777</v>
      </c>
      <c r="D66" s="56" t="s">
        <v>778</v>
      </c>
      <c r="E66" s="57" t="s">
        <v>770</v>
      </c>
      <c r="F66" s="55" t="s">
        <v>344</v>
      </c>
      <c r="G66" s="55" t="s">
        <v>161</v>
      </c>
      <c r="H66" s="58" t="n">
        <v>12</v>
      </c>
      <c r="I66" s="58" t="n">
        <v>22</v>
      </c>
      <c r="J66" s="58" t="n">
        <f aca="false">ROUND(AVERAGE(H66:I66),1)</f>
        <v>17</v>
      </c>
      <c r="K66" s="59" t="n">
        <v>1</v>
      </c>
      <c r="L66" s="58" t="n">
        <f aca="false">J66+K66</f>
        <v>18</v>
      </c>
      <c r="M66" s="60" t="n">
        <f aca="false">IFERROR(INDEX(99_Listas!$C$2:$C$5,MATCH(G66,99_Listas!$B$2:$B$5,0)),0)</f>
        <v>0.09</v>
      </c>
      <c r="N66" s="58" t="n">
        <f aca="false">ROUND(J66*M66,2)</f>
        <v>1.53</v>
      </c>
      <c r="O66" s="58" t="n">
        <f aca="false">ROUND(J66-N66,2)</f>
        <v>15.47</v>
      </c>
      <c r="P66" s="55" t="s">
        <v>715</v>
      </c>
      <c r="Q66" s="54" t="n">
        <v>12</v>
      </c>
      <c r="R66" s="55" t="s">
        <v>165</v>
      </c>
      <c r="S66" s="56" t="s">
        <v>228</v>
      </c>
      <c r="T66" s="56" t="s">
        <v>177</v>
      </c>
      <c r="U66" s="56"/>
    </row>
    <row r="67" customFormat="false" ht="15" hidden="false" customHeight="true" outlineLevel="0" collapsed="false">
      <c r="A67" s="61" t="n">
        <v>66</v>
      </c>
      <c r="B67" s="62" t="s">
        <v>585</v>
      </c>
      <c r="C67" s="63" t="s">
        <v>779</v>
      </c>
      <c r="D67" s="63" t="s">
        <v>780</v>
      </c>
      <c r="E67" s="57" t="s">
        <v>781</v>
      </c>
      <c r="F67" s="62" t="s">
        <v>344</v>
      </c>
      <c r="G67" s="62" t="s">
        <v>161</v>
      </c>
      <c r="H67" s="64" t="n">
        <v>10</v>
      </c>
      <c r="I67" s="64" t="n">
        <v>16</v>
      </c>
      <c r="J67" s="64" t="n">
        <f aca="false">ROUND(AVERAGE(H67:I67),1)</f>
        <v>13</v>
      </c>
      <c r="K67" s="59" t="n">
        <v>1</v>
      </c>
      <c r="L67" s="64" t="n">
        <f aca="false">J67+K67</f>
        <v>14</v>
      </c>
      <c r="M67" s="65" t="n">
        <f aca="false">IFERROR(INDEX(99_Listas!$C$2:$C$5,MATCH(G67,99_Listas!$B$2:$B$5,0)),0)</f>
        <v>0.09</v>
      </c>
      <c r="N67" s="64" t="n">
        <f aca="false">ROUND(J67*M67,2)</f>
        <v>1.17</v>
      </c>
      <c r="O67" s="64" t="n">
        <f aca="false">ROUND(J67-N67,2)</f>
        <v>11.83</v>
      </c>
      <c r="P67" s="62" t="s">
        <v>578</v>
      </c>
      <c r="Q67" s="61" t="n">
        <v>10</v>
      </c>
      <c r="R67" s="62" t="s">
        <v>276</v>
      </c>
      <c r="S67" s="63" t="s">
        <v>228</v>
      </c>
      <c r="T67" s="63" t="s">
        <v>585</v>
      </c>
      <c r="U67" s="63"/>
    </row>
    <row r="68" customFormat="false" ht="15" hidden="false" customHeight="true" outlineLevel="0" collapsed="false">
      <c r="A68" s="54" t="n">
        <v>67</v>
      </c>
      <c r="B68" s="55" t="s">
        <v>585</v>
      </c>
      <c r="C68" s="56" t="s">
        <v>782</v>
      </c>
      <c r="D68" s="56" t="s">
        <v>783</v>
      </c>
      <c r="E68" s="57" t="s">
        <v>784</v>
      </c>
      <c r="F68" s="55" t="s">
        <v>344</v>
      </c>
      <c r="G68" s="55" t="s">
        <v>157</v>
      </c>
      <c r="H68" s="58" t="n">
        <v>8</v>
      </c>
      <c r="I68" s="58" t="n">
        <v>14</v>
      </c>
      <c r="J68" s="58" t="n">
        <f aca="false">ROUND(AVERAGE(H68:I68),1)</f>
        <v>11</v>
      </c>
      <c r="K68" s="59" t="n">
        <v>1</v>
      </c>
      <c r="L68" s="58" t="n">
        <f aca="false">J68+K68</f>
        <v>12</v>
      </c>
      <c r="M68" s="60" t="n">
        <f aca="false">IFERROR(INDEX(99_Listas!$C$2:$C$5,MATCH(G68,99_Listas!$B$2:$B$5,0)),0)</f>
        <v>0.07</v>
      </c>
      <c r="N68" s="58" t="n">
        <f aca="false">ROUND(J68*M68,2)</f>
        <v>0.77</v>
      </c>
      <c r="O68" s="58" t="n">
        <f aca="false">ROUND(J68-N68,2)</f>
        <v>10.23</v>
      </c>
      <c r="P68" s="55" t="s">
        <v>578</v>
      </c>
      <c r="Q68" s="54" t="n">
        <v>10</v>
      </c>
      <c r="R68" s="55" t="s">
        <v>276</v>
      </c>
      <c r="S68" s="56" t="s">
        <v>228</v>
      </c>
      <c r="T68" s="56" t="s">
        <v>585</v>
      </c>
      <c r="U68" s="56"/>
    </row>
    <row r="69" customFormat="false" ht="15" hidden="false" customHeight="true" outlineLevel="0" collapsed="false">
      <c r="A69" s="61" t="n">
        <v>68</v>
      </c>
      <c r="B69" s="62" t="s">
        <v>585</v>
      </c>
      <c r="C69" s="63" t="s">
        <v>785</v>
      </c>
      <c r="D69" s="63" t="s">
        <v>786</v>
      </c>
      <c r="E69" s="57" t="s">
        <v>787</v>
      </c>
      <c r="F69" s="62" t="s">
        <v>344</v>
      </c>
      <c r="G69" s="62" t="s">
        <v>161</v>
      </c>
      <c r="H69" s="64" t="n">
        <v>10</v>
      </c>
      <c r="I69" s="64" t="n">
        <v>18</v>
      </c>
      <c r="J69" s="64" t="n">
        <f aca="false">ROUND(AVERAGE(H69:I69),1)</f>
        <v>14</v>
      </c>
      <c r="K69" s="59" t="n">
        <v>1</v>
      </c>
      <c r="L69" s="64" t="n">
        <f aca="false">J69+K69</f>
        <v>15</v>
      </c>
      <c r="M69" s="65" t="n">
        <f aca="false">IFERROR(INDEX(99_Listas!$C$2:$C$5,MATCH(G69,99_Listas!$B$2:$B$5,0)),0)</f>
        <v>0.09</v>
      </c>
      <c r="N69" s="64" t="n">
        <f aca="false">ROUND(J69*M69,2)</f>
        <v>1.26</v>
      </c>
      <c r="O69" s="64" t="n">
        <f aca="false">ROUND(J69-N69,2)</f>
        <v>12.74</v>
      </c>
      <c r="P69" s="62" t="s">
        <v>578</v>
      </c>
      <c r="Q69" s="61" t="n">
        <v>8</v>
      </c>
      <c r="R69" s="62" t="s">
        <v>276</v>
      </c>
      <c r="S69" s="63" t="s">
        <v>228</v>
      </c>
      <c r="T69" s="63" t="s">
        <v>585</v>
      </c>
      <c r="U69" s="63"/>
    </row>
    <row r="70" customFormat="false" ht="23.25" hidden="false" customHeight="true" outlineLevel="0" collapsed="false">
      <c r="A70" s="54" t="n">
        <v>69</v>
      </c>
      <c r="B70" s="55" t="s">
        <v>585</v>
      </c>
      <c r="C70" s="56" t="s">
        <v>788</v>
      </c>
      <c r="D70" s="56" t="s">
        <v>789</v>
      </c>
      <c r="E70" s="57" t="s">
        <v>728</v>
      </c>
      <c r="F70" s="55" t="s">
        <v>344</v>
      </c>
      <c r="G70" s="55" t="s">
        <v>161</v>
      </c>
      <c r="H70" s="58" t="n">
        <v>9</v>
      </c>
      <c r="I70" s="58" t="n">
        <v>15</v>
      </c>
      <c r="J70" s="58" t="n">
        <f aca="false">ROUND(AVERAGE(H70:I70),1)</f>
        <v>12</v>
      </c>
      <c r="K70" s="59" t="n">
        <v>1</v>
      </c>
      <c r="L70" s="58" t="n">
        <f aca="false">J70+K70</f>
        <v>13</v>
      </c>
      <c r="M70" s="60" t="n">
        <f aca="false">IFERROR(INDEX(99_Listas!$C$2:$C$5,MATCH(G70,99_Listas!$B$2:$B$5,0)),0)</f>
        <v>0.09</v>
      </c>
      <c r="N70" s="58" t="n">
        <f aca="false">ROUND(J70*M70,2)</f>
        <v>1.08</v>
      </c>
      <c r="O70" s="58" t="n">
        <f aca="false">ROUND(J70-N70,2)</f>
        <v>10.92</v>
      </c>
      <c r="P70" s="55" t="s">
        <v>578</v>
      </c>
      <c r="Q70" s="54" t="n">
        <v>10</v>
      </c>
      <c r="R70" s="55" t="s">
        <v>276</v>
      </c>
      <c r="S70" s="56" t="s">
        <v>228</v>
      </c>
      <c r="T70" s="56" t="s">
        <v>790</v>
      </c>
      <c r="U70" s="56"/>
    </row>
    <row r="71" customFormat="false" ht="15" hidden="false" customHeight="true" outlineLevel="0" collapsed="false">
      <c r="A71" s="61" t="n">
        <v>70</v>
      </c>
      <c r="B71" s="62" t="s">
        <v>585</v>
      </c>
      <c r="C71" s="63" t="s">
        <v>791</v>
      </c>
      <c r="D71" s="63" t="s">
        <v>792</v>
      </c>
      <c r="E71" s="57" t="s">
        <v>793</v>
      </c>
      <c r="F71" s="62" t="s">
        <v>344</v>
      </c>
      <c r="G71" s="62" t="s">
        <v>157</v>
      </c>
      <c r="H71" s="64" t="n">
        <v>7</v>
      </c>
      <c r="I71" s="64" t="n">
        <v>12</v>
      </c>
      <c r="J71" s="64" t="n">
        <f aca="false">ROUND(AVERAGE(H71:I71),1)</f>
        <v>9.5</v>
      </c>
      <c r="K71" s="59" t="n">
        <v>1</v>
      </c>
      <c r="L71" s="64" t="n">
        <f aca="false">J71+K71</f>
        <v>10.5</v>
      </c>
      <c r="M71" s="65" t="n">
        <f aca="false">IFERROR(INDEX(99_Listas!$C$2:$C$5,MATCH(G71,99_Listas!$B$2:$B$5,0)),0)</f>
        <v>0.07</v>
      </c>
      <c r="N71" s="64" t="n">
        <f aca="false">ROUND(J71*M71,2)</f>
        <v>0.67</v>
      </c>
      <c r="O71" s="64" t="n">
        <f aca="false">ROUND(J71-N71,2)</f>
        <v>8.83</v>
      </c>
      <c r="P71" s="62" t="s">
        <v>578</v>
      </c>
      <c r="Q71" s="61" t="n">
        <v>8</v>
      </c>
      <c r="R71" s="62" t="s">
        <v>276</v>
      </c>
      <c r="S71" s="63" t="s">
        <v>228</v>
      </c>
      <c r="T71" s="63" t="s">
        <v>254</v>
      </c>
      <c r="U71" s="63"/>
    </row>
    <row r="72" customFormat="false" ht="15" hidden="false" customHeight="true" outlineLevel="0" collapsed="false">
      <c r="A72" s="54" t="n">
        <v>71</v>
      </c>
      <c r="B72" s="55" t="s">
        <v>585</v>
      </c>
      <c r="C72" s="56" t="s">
        <v>794</v>
      </c>
      <c r="D72" s="56" t="s">
        <v>795</v>
      </c>
      <c r="E72" s="57" t="s">
        <v>781</v>
      </c>
      <c r="F72" s="55" t="s">
        <v>344</v>
      </c>
      <c r="G72" s="55" t="s">
        <v>161</v>
      </c>
      <c r="H72" s="58" t="n">
        <v>10</v>
      </c>
      <c r="I72" s="58" t="n">
        <v>18</v>
      </c>
      <c r="J72" s="58" t="n">
        <f aca="false">ROUND(AVERAGE(H72:I72),1)</f>
        <v>14</v>
      </c>
      <c r="K72" s="59" t="n">
        <v>1</v>
      </c>
      <c r="L72" s="58" t="n">
        <f aca="false">J72+K72</f>
        <v>15</v>
      </c>
      <c r="M72" s="60" t="n">
        <f aca="false">IFERROR(INDEX(99_Listas!$C$2:$C$5,MATCH(G72,99_Listas!$B$2:$B$5,0)),0)</f>
        <v>0.09</v>
      </c>
      <c r="N72" s="58" t="n">
        <f aca="false">ROUND(J72*M72,2)</f>
        <v>1.26</v>
      </c>
      <c r="O72" s="58" t="n">
        <f aca="false">ROUND(J72-N72,2)</f>
        <v>12.74</v>
      </c>
      <c r="P72" s="55" t="s">
        <v>578</v>
      </c>
      <c r="Q72" s="54" t="n">
        <v>10</v>
      </c>
      <c r="R72" s="55" t="s">
        <v>276</v>
      </c>
      <c r="S72" s="56" t="s">
        <v>228</v>
      </c>
      <c r="T72" s="56" t="s">
        <v>585</v>
      </c>
      <c r="U72" s="56"/>
    </row>
    <row r="73" customFormat="false" ht="15" hidden="false" customHeight="true" outlineLevel="0" collapsed="false">
      <c r="A73" s="61" t="n">
        <v>72</v>
      </c>
      <c r="B73" s="62" t="s">
        <v>796</v>
      </c>
      <c r="C73" s="63" t="s">
        <v>797</v>
      </c>
      <c r="D73" s="63" t="s">
        <v>798</v>
      </c>
      <c r="E73" s="57" t="s">
        <v>799</v>
      </c>
      <c r="F73" s="62" t="s">
        <v>482</v>
      </c>
      <c r="G73" s="62" t="s">
        <v>157</v>
      </c>
      <c r="H73" s="64" t="n">
        <v>2</v>
      </c>
      <c r="I73" s="64" t="n">
        <v>4</v>
      </c>
      <c r="J73" s="64" t="n">
        <f aca="false">ROUND(AVERAGE(H73:I73),1)</f>
        <v>3</v>
      </c>
      <c r="K73" s="59" t="n">
        <v>1</v>
      </c>
      <c r="L73" s="64" t="n">
        <f aca="false">J73+K73</f>
        <v>4</v>
      </c>
      <c r="M73" s="65" t="n">
        <f aca="false">IFERROR(INDEX(99_Listas!$C$2:$C$5,MATCH(G73,99_Listas!$B$2:$B$5,0)),0)</f>
        <v>0.07</v>
      </c>
      <c r="N73" s="64" t="n">
        <f aca="false">ROUND(J73*M73,2)</f>
        <v>0.21</v>
      </c>
      <c r="O73" s="64" t="n">
        <f aca="false">ROUND(J73-N73,2)</f>
        <v>2.79</v>
      </c>
      <c r="P73" s="62" t="s">
        <v>578</v>
      </c>
      <c r="Q73" s="61" t="n">
        <v>2</v>
      </c>
      <c r="R73" s="62" t="s">
        <v>276</v>
      </c>
      <c r="S73" s="63" t="s">
        <v>228</v>
      </c>
      <c r="T73" s="63" t="s">
        <v>800</v>
      </c>
      <c r="U73" s="63" t="s">
        <v>801</v>
      </c>
    </row>
    <row r="74" customFormat="false" ht="15" hidden="false" customHeight="true" outlineLevel="0" collapsed="false">
      <c r="A74" s="54" t="n">
        <v>73</v>
      </c>
      <c r="B74" s="55" t="s">
        <v>796</v>
      </c>
      <c r="C74" s="56" t="s">
        <v>802</v>
      </c>
      <c r="D74" s="56" t="s">
        <v>803</v>
      </c>
      <c r="E74" s="57" t="s">
        <v>804</v>
      </c>
      <c r="F74" s="55" t="s">
        <v>482</v>
      </c>
      <c r="G74" s="55" t="s">
        <v>157</v>
      </c>
      <c r="H74" s="58" t="n">
        <v>4</v>
      </c>
      <c r="I74" s="58" t="n">
        <v>8</v>
      </c>
      <c r="J74" s="58" t="n">
        <f aca="false">ROUND(AVERAGE(H74:I74),1)</f>
        <v>6</v>
      </c>
      <c r="K74" s="59" t="n">
        <v>1</v>
      </c>
      <c r="L74" s="58" t="n">
        <f aca="false">J74+K74</f>
        <v>7</v>
      </c>
      <c r="M74" s="60" t="n">
        <f aca="false">IFERROR(INDEX(99_Listas!$C$2:$C$5,MATCH(G74,99_Listas!$B$2:$B$5,0)),0)</f>
        <v>0.07</v>
      </c>
      <c r="N74" s="58" t="n">
        <f aca="false">ROUND(J74*M74,2)</f>
        <v>0.42</v>
      </c>
      <c r="O74" s="58" t="n">
        <f aca="false">ROUND(J74-N74,2)</f>
        <v>5.58</v>
      </c>
      <c r="P74" s="55" t="s">
        <v>805</v>
      </c>
      <c r="Q74" s="54" t="n">
        <v>6</v>
      </c>
      <c r="R74" s="55" t="s">
        <v>165</v>
      </c>
      <c r="S74" s="56" t="s">
        <v>228</v>
      </c>
      <c r="T74" s="56" t="s">
        <v>800</v>
      </c>
      <c r="U74" s="56"/>
    </row>
    <row r="75" customFormat="false" ht="15" hidden="false" customHeight="true" outlineLevel="0" collapsed="false">
      <c r="A75" s="61" t="n">
        <v>74</v>
      </c>
      <c r="B75" s="62" t="s">
        <v>796</v>
      </c>
      <c r="C75" s="63" t="s">
        <v>806</v>
      </c>
      <c r="D75" s="63" t="s">
        <v>807</v>
      </c>
      <c r="E75" s="57" t="s">
        <v>808</v>
      </c>
      <c r="F75" s="62" t="s">
        <v>482</v>
      </c>
      <c r="G75" s="62" t="s">
        <v>157</v>
      </c>
      <c r="H75" s="64" t="n">
        <v>3</v>
      </c>
      <c r="I75" s="64" t="n">
        <v>7</v>
      </c>
      <c r="J75" s="64" t="n">
        <f aca="false">ROUND(AVERAGE(H75:I75),1)</f>
        <v>5</v>
      </c>
      <c r="K75" s="59" t="n">
        <v>1</v>
      </c>
      <c r="L75" s="64" t="n">
        <f aca="false">J75+K75</f>
        <v>6</v>
      </c>
      <c r="M75" s="65" t="n">
        <f aca="false">IFERROR(INDEX(99_Listas!$C$2:$C$5,MATCH(G75,99_Listas!$B$2:$B$5,0)),0)</f>
        <v>0.07</v>
      </c>
      <c r="N75" s="64" t="n">
        <f aca="false">ROUND(J75*M75,2)</f>
        <v>0.35</v>
      </c>
      <c r="O75" s="64" t="n">
        <f aca="false">ROUND(J75-N75,2)</f>
        <v>4.65</v>
      </c>
      <c r="P75" s="62" t="s">
        <v>578</v>
      </c>
      <c r="Q75" s="61" t="n">
        <v>4</v>
      </c>
      <c r="R75" s="62" t="s">
        <v>276</v>
      </c>
      <c r="S75" s="63" t="s">
        <v>228</v>
      </c>
      <c r="T75" s="63" t="s">
        <v>800</v>
      </c>
      <c r="U75" s="63"/>
    </row>
    <row r="76" customFormat="false" ht="15" hidden="false" customHeight="true" outlineLevel="0" collapsed="false">
      <c r="A76" s="54" t="n">
        <v>75</v>
      </c>
      <c r="B76" s="55" t="s">
        <v>796</v>
      </c>
      <c r="C76" s="56" t="s">
        <v>809</v>
      </c>
      <c r="D76" s="56" t="s">
        <v>810</v>
      </c>
      <c r="E76" s="57" t="s">
        <v>811</v>
      </c>
      <c r="F76" s="55" t="s">
        <v>482</v>
      </c>
      <c r="G76" s="55" t="s">
        <v>157</v>
      </c>
      <c r="H76" s="58" t="n">
        <v>2</v>
      </c>
      <c r="I76" s="58" t="n">
        <v>5</v>
      </c>
      <c r="J76" s="58" t="n">
        <f aca="false">ROUND(AVERAGE(H76:I76),1)</f>
        <v>3.5</v>
      </c>
      <c r="K76" s="59" t="n">
        <v>1</v>
      </c>
      <c r="L76" s="58" t="n">
        <f aca="false">J76+K76</f>
        <v>4.5</v>
      </c>
      <c r="M76" s="60" t="n">
        <f aca="false">IFERROR(INDEX(99_Listas!$C$2:$C$5,MATCH(G76,99_Listas!$B$2:$B$5,0)),0)</f>
        <v>0.07</v>
      </c>
      <c r="N76" s="58" t="n">
        <f aca="false">ROUND(J76*M76,2)</f>
        <v>0.25</v>
      </c>
      <c r="O76" s="58" t="n">
        <f aca="false">ROUND(J76-N76,2)</f>
        <v>3.25</v>
      </c>
      <c r="P76" s="55" t="s">
        <v>715</v>
      </c>
      <c r="Q76" s="54" t="n">
        <v>2</v>
      </c>
      <c r="R76" s="55" t="s">
        <v>276</v>
      </c>
      <c r="S76" s="56" t="s">
        <v>228</v>
      </c>
      <c r="T76" s="56" t="s">
        <v>260</v>
      </c>
      <c r="U76" s="56"/>
    </row>
    <row r="77" customFormat="false" ht="15" hidden="false" customHeight="true" outlineLevel="0" collapsed="false">
      <c r="A77" s="61" t="n">
        <v>76</v>
      </c>
      <c r="B77" s="62" t="s">
        <v>796</v>
      </c>
      <c r="C77" s="63" t="s">
        <v>812</v>
      </c>
      <c r="D77" s="63" t="s">
        <v>813</v>
      </c>
      <c r="E77" s="57" t="s">
        <v>814</v>
      </c>
      <c r="F77" s="62" t="s">
        <v>815</v>
      </c>
      <c r="G77" s="62" t="s">
        <v>157</v>
      </c>
      <c r="H77" s="64" t="n">
        <v>1</v>
      </c>
      <c r="I77" s="64" t="n">
        <v>3</v>
      </c>
      <c r="J77" s="64" t="n">
        <f aca="false">ROUND(AVERAGE(H77:I77),1)</f>
        <v>2</v>
      </c>
      <c r="K77" s="59" t="n">
        <v>1</v>
      </c>
      <c r="L77" s="64" t="n">
        <f aca="false">J77+K77</f>
        <v>3</v>
      </c>
      <c r="M77" s="65" t="n">
        <f aca="false">IFERROR(INDEX(99_Listas!$C$2:$C$5,MATCH(G77,99_Listas!$B$2:$B$5,0)),0)</f>
        <v>0.07</v>
      </c>
      <c r="N77" s="64" t="n">
        <f aca="false">ROUND(J77*M77,2)</f>
        <v>0.14</v>
      </c>
      <c r="O77" s="64" t="n">
        <f aca="false">ROUND(J77-N77,2)</f>
        <v>1.86</v>
      </c>
      <c r="P77" s="62" t="s">
        <v>805</v>
      </c>
      <c r="Q77" s="61" t="n">
        <v>1</v>
      </c>
      <c r="R77" s="62" t="s">
        <v>276</v>
      </c>
      <c r="S77" s="63" t="s">
        <v>228</v>
      </c>
      <c r="T77" s="63" t="s">
        <v>800</v>
      </c>
      <c r="U77" s="63" t="s">
        <v>816</v>
      </c>
    </row>
    <row r="78" customFormat="false" ht="15" hidden="false" customHeight="true" outlineLevel="0" collapsed="false">
      <c r="A78" s="54" t="n">
        <v>77</v>
      </c>
      <c r="B78" s="55" t="s">
        <v>562</v>
      </c>
      <c r="C78" s="56" t="s">
        <v>817</v>
      </c>
      <c r="D78" s="56" t="s">
        <v>818</v>
      </c>
      <c r="E78" s="57" t="s">
        <v>565</v>
      </c>
      <c r="F78" s="55" t="s">
        <v>324</v>
      </c>
      <c r="G78" s="55" t="s">
        <v>161</v>
      </c>
      <c r="H78" s="58" t="n">
        <v>13</v>
      </c>
      <c r="I78" s="58" t="n">
        <v>18</v>
      </c>
      <c r="J78" s="58" t="n">
        <f aca="false">ROUND(AVERAGE(H78:I78),1)</f>
        <v>15.5</v>
      </c>
      <c r="K78" s="59" t="n">
        <v>1</v>
      </c>
      <c r="L78" s="58" t="n">
        <f aca="false">J78+K78</f>
        <v>16.5</v>
      </c>
      <c r="M78" s="60" t="n">
        <f aca="false">IFERROR(INDEX(99_Listas!$C$2:$C$5,MATCH(G78,99_Listas!$B$2:$B$5,0)),0)</f>
        <v>0.09</v>
      </c>
      <c r="N78" s="58" t="n">
        <f aca="false">ROUND(J78*M78,2)</f>
        <v>1.4</v>
      </c>
      <c r="O78" s="58" t="n">
        <f aca="false">ROUND(J78-N78,2)</f>
        <v>14.1</v>
      </c>
      <c r="P78" s="55" t="s">
        <v>566</v>
      </c>
      <c r="Q78" s="54" t="n">
        <v>10</v>
      </c>
      <c r="R78" s="55" t="s">
        <v>276</v>
      </c>
      <c r="S78" s="56" t="s">
        <v>228</v>
      </c>
      <c r="T78" s="56" t="s">
        <v>159</v>
      </c>
      <c r="U78" s="56" t="s">
        <v>819</v>
      </c>
    </row>
    <row r="79" customFormat="false" ht="15" hidden="false" customHeight="true" outlineLevel="0" collapsed="false">
      <c r="A79" s="61" t="n">
        <v>78</v>
      </c>
      <c r="B79" s="62" t="s">
        <v>562</v>
      </c>
      <c r="C79" s="63" t="s">
        <v>820</v>
      </c>
      <c r="D79" s="63" t="s">
        <v>821</v>
      </c>
      <c r="E79" s="57" t="s">
        <v>565</v>
      </c>
      <c r="F79" s="62" t="s">
        <v>324</v>
      </c>
      <c r="G79" s="62" t="s">
        <v>157</v>
      </c>
      <c r="H79" s="64" t="n">
        <v>6</v>
      </c>
      <c r="I79" s="64" t="n">
        <v>10</v>
      </c>
      <c r="J79" s="64" t="n">
        <f aca="false">ROUND(AVERAGE(H79:I79),1)</f>
        <v>8</v>
      </c>
      <c r="K79" s="59" t="n">
        <v>1</v>
      </c>
      <c r="L79" s="64" t="n">
        <f aca="false">J79+K79</f>
        <v>9</v>
      </c>
      <c r="M79" s="65" t="n">
        <f aca="false">IFERROR(INDEX(99_Listas!$C$2:$C$5,MATCH(G79,99_Listas!$B$2:$B$5,0)),0)</f>
        <v>0.07</v>
      </c>
      <c r="N79" s="64" t="n">
        <f aca="false">ROUND(J79*M79,2)</f>
        <v>0.56</v>
      </c>
      <c r="O79" s="64" t="n">
        <f aca="false">ROUND(J79-N79,2)</f>
        <v>7.44</v>
      </c>
      <c r="P79" s="62" t="s">
        <v>566</v>
      </c>
      <c r="Q79" s="61" t="n">
        <v>8</v>
      </c>
      <c r="R79" s="62" t="s">
        <v>276</v>
      </c>
      <c r="S79" s="63" t="s">
        <v>228</v>
      </c>
      <c r="T79" s="63" t="s">
        <v>570</v>
      </c>
      <c r="U79" s="63"/>
    </row>
    <row r="80" customFormat="false" ht="15" hidden="false" customHeight="true" outlineLevel="0" collapsed="false">
      <c r="A80" s="54" t="n">
        <v>79</v>
      </c>
      <c r="B80" s="55" t="s">
        <v>562</v>
      </c>
      <c r="C80" s="56" t="s">
        <v>822</v>
      </c>
      <c r="D80" s="56" t="s">
        <v>823</v>
      </c>
      <c r="E80" s="57" t="s">
        <v>824</v>
      </c>
      <c r="F80" s="55" t="s">
        <v>324</v>
      </c>
      <c r="G80" s="55" t="s">
        <v>161</v>
      </c>
      <c r="H80" s="58" t="n">
        <v>12</v>
      </c>
      <c r="I80" s="58" t="n">
        <v>18</v>
      </c>
      <c r="J80" s="58" t="n">
        <f aca="false">ROUND(AVERAGE(H80:I80),1)</f>
        <v>15</v>
      </c>
      <c r="K80" s="59" t="n">
        <v>1</v>
      </c>
      <c r="L80" s="58" t="n">
        <f aca="false">J80+K80</f>
        <v>16</v>
      </c>
      <c r="M80" s="60" t="n">
        <f aca="false">IFERROR(INDEX(99_Listas!$C$2:$C$5,MATCH(G80,99_Listas!$B$2:$B$5,0)),0)</f>
        <v>0.09</v>
      </c>
      <c r="N80" s="58" t="n">
        <f aca="false">ROUND(J80*M80,2)</f>
        <v>1.35</v>
      </c>
      <c r="O80" s="58" t="n">
        <f aca="false">ROUND(J80-N80,2)</f>
        <v>13.65</v>
      </c>
      <c r="P80" s="55" t="s">
        <v>566</v>
      </c>
      <c r="Q80" s="54" t="n">
        <v>12</v>
      </c>
      <c r="R80" s="55" t="s">
        <v>165</v>
      </c>
      <c r="S80" s="56" t="s">
        <v>228</v>
      </c>
      <c r="T80" s="56" t="s">
        <v>825</v>
      </c>
      <c r="U80" s="56"/>
    </row>
    <row r="81" customFormat="false" ht="15" hidden="false" customHeight="true" outlineLevel="0" collapsed="false">
      <c r="A81" s="61" t="n">
        <v>80</v>
      </c>
      <c r="B81" s="62" t="s">
        <v>562</v>
      </c>
      <c r="C81" s="63" t="s">
        <v>826</v>
      </c>
      <c r="D81" s="63" t="s">
        <v>827</v>
      </c>
      <c r="E81" s="57" t="s">
        <v>565</v>
      </c>
      <c r="F81" s="62" t="s">
        <v>324</v>
      </c>
      <c r="G81" s="62" t="s">
        <v>157</v>
      </c>
      <c r="H81" s="64" t="n">
        <v>9</v>
      </c>
      <c r="I81" s="64" t="n">
        <v>13</v>
      </c>
      <c r="J81" s="64" t="n">
        <f aca="false">ROUND(AVERAGE(H81:I81),1)</f>
        <v>11</v>
      </c>
      <c r="K81" s="59" t="n">
        <v>1</v>
      </c>
      <c r="L81" s="64" t="n">
        <f aca="false">J81+K81</f>
        <v>12</v>
      </c>
      <c r="M81" s="65" t="n">
        <f aca="false">IFERROR(INDEX(99_Listas!$C$2:$C$5,MATCH(G81,99_Listas!$B$2:$B$5,0)),0)</f>
        <v>0.07</v>
      </c>
      <c r="N81" s="64" t="n">
        <f aca="false">ROUND(J81*M81,2)</f>
        <v>0.77</v>
      </c>
      <c r="O81" s="64" t="n">
        <f aca="false">ROUND(J81-N81,2)</f>
        <v>10.23</v>
      </c>
      <c r="P81" s="62" t="s">
        <v>566</v>
      </c>
      <c r="Q81" s="61" t="n">
        <v>8</v>
      </c>
      <c r="R81" s="62" t="s">
        <v>276</v>
      </c>
      <c r="S81" s="63" t="s">
        <v>228</v>
      </c>
      <c r="T81" s="63" t="s">
        <v>159</v>
      </c>
      <c r="U81" s="63" t="s">
        <v>828</v>
      </c>
    </row>
    <row r="82" customFormat="false" ht="15" hidden="false" customHeight="true" outlineLevel="0" collapsed="false">
      <c r="A82" s="54" t="n">
        <v>81</v>
      </c>
      <c r="B82" s="55" t="s">
        <v>595</v>
      </c>
      <c r="C82" s="56" t="s">
        <v>829</v>
      </c>
      <c r="D82" s="56" t="s">
        <v>830</v>
      </c>
      <c r="E82" s="57" t="s">
        <v>831</v>
      </c>
      <c r="F82" s="55" t="s">
        <v>226</v>
      </c>
      <c r="G82" s="55" t="s">
        <v>157</v>
      </c>
      <c r="H82" s="58" t="n">
        <v>7</v>
      </c>
      <c r="I82" s="58" t="n">
        <v>12</v>
      </c>
      <c r="J82" s="58" t="n">
        <f aca="false">ROUND(AVERAGE(H82:I82),1)</f>
        <v>9.5</v>
      </c>
      <c r="K82" s="59" t="n">
        <v>1</v>
      </c>
      <c r="L82" s="58" t="n">
        <f aca="false">J82+K82</f>
        <v>10.5</v>
      </c>
      <c r="M82" s="60" t="n">
        <f aca="false">IFERROR(INDEX(99_Listas!$C$2:$C$5,MATCH(G82,99_Listas!$B$2:$B$5,0)),0)</f>
        <v>0.07</v>
      </c>
      <c r="N82" s="58" t="n">
        <f aca="false">ROUND(J82*M82,2)</f>
        <v>0.67</v>
      </c>
      <c r="O82" s="58" t="n">
        <f aca="false">ROUND(J82-N82,2)</f>
        <v>8.83</v>
      </c>
      <c r="P82" s="55" t="s">
        <v>566</v>
      </c>
      <c r="Q82" s="54" t="n">
        <v>10</v>
      </c>
      <c r="R82" s="55" t="s">
        <v>165</v>
      </c>
      <c r="S82" s="56" t="s">
        <v>228</v>
      </c>
      <c r="T82" s="56" t="s">
        <v>339</v>
      </c>
      <c r="U82" s="56"/>
    </row>
    <row r="83" customFormat="false" ht="15" hidden="false" customHeight="true" outlineLevel="0" collapsed="false">
      <c r="A83" s="61" t="n">
        <v>82</v>
      </c>
      <c r="B83" s="62" t="s">
        <v>595</v>
      </c>
      <c r="C83" s="63" t="s">
        <v>832</v>
      </c>
      <c r="D83" s="63" t="s">
        <v>833</v>
      </c>
      <c r="E83" s="57" t="s">
        <v>834</v>
      </c>
      <c r="F83" s="62" t="s">
        <v>226</v>
      </c>
      <c r="G83" s="62" t="s">
        <v>157</v>
      </c>
      <c r="H83" s="64" t="n">
        <v>7</v>
      </c>
      <c r="I83" s="64" t="n">
        <v>12</v>
      </c>
      <c r="J83" s="64" t="n">
        <f aca="false">ROUND(AVERAGE(H83:I83),1)</f>
        <v>9.5</v>
      </c>
      <c r="K83" s="59" t="n">
        <v>1</v>
      </c>
      <c r="L83" s="64" t="n">
        <f aca="false">J83+K83</f>
        <v>10.5</v>
      </c>
      <c r="M83" s="65" t="n">
        <f aca="false">IFERROR(INDEX(99_Listas!$C$2:$C$5,MATCH(G83,99_Listas!$B$2:$B$5,0)),0)</f>
        <v>0.07</v>
      </c>
      <c r="N83" s="64" t="n">
        <f aca="false">ROUND(J83*M83,2)</f>
        <v>0.67</v>
      </c>
      <c r="O83" s="64" t="n">
        <f aca="false">ROUND(J83-N83,2)</f>
        <v>8.83</v>
      </c>
      <c r="P83" s="62" t="s">
        <v>566</v>
      </c>
      <c r="Q83" s="61" t="n">
        <v>10</v>
      </c>
      <c r="R83" s="62" t="s">
        <v>165</v>
      </c>
      <c r="S83" s="63" t="s">
        <v>228</v>
      </c>
      <c r="T83" s="63" t="s">
        <v>339</v>
      </c>
      <c r="U83" s="63"/>
    </row>
    <row r="84" customFormat="false" ht="15" hidden="false" customHeight="true" outlineLevel="0" collapsed="false">
      <c r="A84" s="54" t="n">
        <v>83</v>
      </c>
      <c r="B84" s="55" t="s">
        <v>595</v>
      </c>
      <c r="C84" s="56" t="s">
        <v>835</v>
      </c>
      <c r="D84" s="56" t="s">
        <v>836</v>
      </c>
      <c r="E84" s="57" t="s">
        <v>837</v>
      </c>
      <c r="F84" s="55" t="s">
        <v>226</v>
      </c>
      <c r="G84" s="55" t="s">
        <v>161</v>
      </c>
      <c r="H84" s="58" t="n">
        <v>8</v>
      </c>
      <c r="I84" s="58" t="n">
        <v>14</v>
      </c>
      <c r="J84" s="58" t="n">
        <f aca="false">ROUND(AVERAGE(H84:I84),1)</f>
        <v>11</v>
      </c>
      <c r="K84" s="59" t="n">
        <v>1</v>
      </c>
      <c r="L84" s="58" t="n">
        <f aca="false">J84+K84</f>
        <v>12</v>
      </c>
      <c r="M84" s="60" t="n">
        <f aca="false">IFERROR(INDEX(99_Listas!$C$2:$C$5,MATCH(G84,99_Listas!$B$2:$B$5,0)),0)</f>
        <v>0.09</v>
      </c>
      <c r="N84" s="58" t="n">
        <f aca="false">ROUND(J84*M84,2)</f>
        <v>0.99</v>
      </c>
      <c r="O84" s="58" t="n">
        <f aca="false">ROUND(J84-N84,2)</f>
        <v>10.01</v>
      </c>
      <c r="P84" s="55" t="s">
        <v>566</v>
      </c>
      <c r="Q84" s="54" t="n">
        <v>8</v>
      </c>
      <c r="R84" s="55" t="s">
        <v>165</v>
      </c>
      <c r="S84" s="56" t="s">
        <v>228</v>
      </c>
      <c r="T84" s="56" t="s">
        <v>203</v>
      </c>
      <c r="U84" s="56"/>
    </row>
    <row r="85" customFormat="false" ht="23.25" hidden="false" customHeight="true" outlineLevel="0" collapsed="false">
      <c r="A85" s="61" t="n">
        <v>84</v>
      </c>
      <c r="B85" s="62" t="s">
        <v>595</v>
      </c>
      <c r="C85" s="63" t="s">
        <v>838</v>
      </c>
      <c r="D85" s="63" t="s">
        <v>839</v>
      </c>
      <c r="E85" s="57" t="s">
        <v>840</v>
      </c>
      <c r="F85" s="62" t="s">
        <v>226</v>
      </c>
      <c r="G85" s="62" t="s">
        <v>165</v>
      </c>
      <c r="H85" s="64" t="n">
        <v>18</v>
      </c>
      <c r="I85" s="64" t="n">
        <v>32</v>
      </c>
      <c r="J85" s="64" t="n">
        <f aca="false">ROUND(AVERAGE(H85:I85),1)</f>
        <v>25</v>
      </c>
      <c r="K85" s="59" t="n">
        <v>1</v>
      </c>
      <c r="L85" s="64" t="n">
        <f aca="false">J85+K85</f>
        <v>26</v>
      </c>
      <c r="M85" s="65" t="n">
        <f aca="false">IFERROR(INDEX(99_Listas!$C$2:$C$5,MATCH(G85,99_Listas!$B$2:$B$5,0)),0)</f>
        <v>0.11</v>
      </c>
      <c r="N85" s="64" t="n">
        <f aca="false">ROUND(J85*M85,2)</f>
        <v>2.75</v>
      </c>
      <c r="O85" s="64" t="n">
        <f aca="false">ROUND(J85-N85,2)</f>
        <v>22.25</v>
      </c>
      <c r="P85" s="62" t="s">
        <v>715</v>
      </c>
      <c r="Q85" s="61" t="n">
        <v>18</v>
      </c>
      <c r="R85" s="62" t="s">
        <v>165</v>
      </c>
      <c r="S85" s="63" t="s">
        <v>228</v>
      </c>
      <c r="T85" s="63" t="s">
        <v>177</v>
      </c>
      <c r="U85" s="63" t="s">
        <v>841</v>
      </c>
    </row>
    <row r="86" customFormat="false" ht="15" hidden="false" customHeight="true" outlineLevel="0" collapsed="false">
      <c r="A86" s="54" t="n">
        <v>85</v>
      </c>
      <c r="B86" s="55" t="s">
        <v>595</v>
      </c>
      <c r="C86" s="56" t="s">
        <v>842</v>
      </c>
      <c r="D86" s="56" t="s">
        <v>843</v>
      </c>
      <c r="E86" s="57" t="s">
        <v>844</v>
      </c>
      <c r="F86" s="55" t="s">
        <v>226</v>
      </c>
      <c r="G86" s="55" t="s">
        <v>165</v>
      </c>
      <c r="H86" s="58" t="n">
        <v>20</v>
      </c>
      <c r="I86" s="58" t="n">
        <v>35</v>
      </c>
      <c r="J86" s="58" t="n">
        <f aca="false">ROUND(AVERAGE(H86:I86),1)</f>
        <v>27.5</v>
      </c>
      <c r="K86" s="59" t="n">
        <v>1</v>
      </c>
      <c r="L86" s="58" t="n">
        <f aca="false">J86+K86</f>
        <v>28.5</v>
      </c>
      <c r="M86" s="60" t="n">
        <f aca="false">IFERROR(INDEX(99_Listas!$C$2:$C$5,MATCH(G86,99_Listas!$B$2:$B$5,0)),0)</f>
        <v>0.11</v>
      </c>
      <c r="N86" s="58" t="n">
        <f aca="false">ROUND(J86*M86,2)</f>
        <v>3.03</v>
      </c>
      <c r="O86" s="58" t="n">
        <f aca="false">ROUND(J86-N86,2)</f>
        <v>24.47</v>
      </c>
      <c r="P86" s="55" t="s">
        <v>715</v>
      </c>
      <c r="Q86" s="54" t="n">
        <v>20</v>
      </c>
      <c r="R86" s="55" t="s">
        <v>165</v>
      </c>
      <c r="S86" s="56" t="s">
        <v>228</v>
      </c>
      <c r="T86" s="56" t="s">
        <v>203</v>
      </c>
      <c r="U86" s="56"/>
    </row>
    <row r="87" customFormat="false" ht="15" hidden="false" customHeight="true" outlineLevel="0" collapsed="false">
      <c r="A87" s="61" t="n">
        <v>86</v>
      </c>
      <c r="B87" s="62" t="s">
        <v>618</v>
      </c>
      <c r="C87" s="63" t="s">
        <v>845</v>
      </c>
      <c r="D87" s="63" t="s">
        <v>846</v>
      </c>
      <c r="E87" s="57" t="s">
        <v>674</v>
      </c>
      <c r="F87" s="62" t="s">
        <v>344</v>
      </c>
      <c r="G87" s="62" t="s">
        <v>161</v>
      </c>
      <c r="H87" s="64" t="n">
        <v>10</v>
      </c>
      <c r="I87" s="64" t="n">
        <v>17</v>
      </c>
      <c r="J87" s="64" t="n">
        <f aca="false">ROUND(AVERAGE(H87:I87),1)</f>
        <v>13.5</v>
      </c>
      <c r="K87" s="59" t="n">
        <v>1</v>
      </c>
      <c r="L87" s="64" t="n">
        <f aca="false">J87+K87</f>
        <v>14.5</v>
      </c>
      <c r="M87" s="65" t="n">
        <f aca="false">IFERROR(INDEX(99_Listas!$C$2:$C$5,MATCH(G87,99_Listas!$B$2:$B$5,0)),0)</f>
        <v>0.09</v>
      </c>
      <c r="N87" s="64" t="n">
        <f aca="false">ROUND(J87*M87,2)</f>
        <v>1.22</v>
      </c>
      <c r="O87" s="64" t="n">
        <f aca="false">ROUND(J87-N87,2)</f>
        <v>12.28</v>
      </c>
      <c r="P87" s="62" t="s">
        <v>578</v>
      </c>
      <c r="Q87" s="61" t="n">
        <v>10</v>
      </c>
      <c r="R87" s="62" t="s">
        <v>276</v>
      </c>
      <c r="S87" s="63" t="s">
        <v>228</v>
      </c>
      <c r="T87" s="63" t="s">
        <v>847</v>
      </c>
      <c r="U87" s="63"/>
    </row>
    <row r="88" customFormat="false" ht="15" hidden="false" customHeight="true" outlineLevel="0" collapsed="false">
      <c r="A88" s="54" t="n">
        <v>87</v>
      </c>
      <c r="B88" s="55" t="s">
        <v>618</v>
      </c>
      <c r="C88" s="56" t="s">
        <v>848</v>
      </c>
      <c r="D88" s="56" t="s">
        <v>849</v>
      </c>
      <c r="E88" s="57" t="s">
        <v>850</v>
      </c>
      <c r="F88" s="55" t="s">
        <v>344</v>
      </c>
      <c r="G88" s="55" t="s">
        <v>161</v>
      </c>
      <c r="H88" s="58" t="n">
        <v>10</v>
      </c>
      <c r="I88" s="58" t="n">
        <v>18</v>
      </c>
      <c r="J88" s="58" t="n">
        <f aca="false">ROUND(AVERAGE(H88:I88),1)</f>
        <v>14</v>
      </c>
      <c r="K88" s="59" t="n">
        <v>1</v>
      </c>
      <c r="L88" s="58" t="n">
        <f aca="false">J88+K88</f>
        <v>15</v>
      </c>
      <c r="M88" s="60" t="n">
        <f aca="false">IFERROR(INDEX(99_Listas!$C$2:$C$5,MATCH(G88,99_Listas!$B$2:$B$5,0)),0)</f>
        <v>0.09</v>
      </c>
      <c r="N88" s="58" t="n">
        <f aca="false">ROUND(J88*M88,2)</f>
        <v>1.26</v>
      </c>
      <c r="O88" s="58" t="n">
        <f aca="false">ROUND(J88-N88,2)</f>
        <v>12.74</v>
      </c>
      <c r="P88" s="55" t="s">
        <v>578</v>
      </c>
      <c r="Q88" s="54" t="n">
        <v>12</v>
      </c>
      <c r="R88" s="55" t="s">
        <v>276</v>
      </c>
      <c r="S88" s="56" t="s">
        <v>228</v>
      </c>
      <c r="T88" s="56" t="s">
        <v>339</v>
      </c>
      <c r="U88" s="56"/>
    </row>
    <row r="89" customFormat="false" ht="23.25" hidden="false" customHeight="true" outlineLevel="0" collapsed="false">
      <c r="A89" s="61" t="n">
        <v>88</v>
      </c>
      <c r="B89" s="62" t="s">
        <v>618</v>
      </c>
      <c r="C89" s="63" t="s">
        <v>851</v>
      </c>
      <c r="D89" s="63" t="s">
        <v>852</v>
      </c>
      <c r="E89" s="57" t="s">
        <v>853</v>
      </c>
      <c r="F89" s="62" t="s">
        <v>344</v>
      </c>
      <c r="G89" s="62" t="s">
        <v>157</v>
      </c>
      <c r="H89" s="64" t="n">
        <v>9</v>
      </c>
      <c r="I89" s="64" t="n">
        <v>15</v>
      </c>
      <c r="J89" s="64" t="n">
        <f aca="false">ROUND(AVERAGE(H89:I89),1)</f>
        <v>12</v>
      </c>
      <c r="K89" s="59" t="n">
        <v>1</v>
      </c>
      <c r="L89" s="64" t="n">
        <f aca="false">J89+K89</f>
        <v>13</v>
      </c>
      <c r="M89" s="65" t="n">
        <f aca="false">IFERROR(INDEX(99_Listas!$C$2:$C$5,MATCH(G89,99_Listas!$B$2:$B$5,0)),0)</f>
        <v>0.07</v>
      </c>
      <c r="N89" s="64" t="n">
        <f aca="false">ROUND(J89*M89,2)</f>
        <v>0.84</v>
      </c>
      <c r="O89" s="64" t="n">
        <f aca="false">ROUND(J89-N89,2)</f>
        <v>11.16</v>
      </c>
      <c r="P89" s="62" t="s">
        <v>578</v>
      </c>
      <c r="Q89" s="61" t="n">
        <v>10</v>
      </c>
      <c r="R89" s="62" t="s">
        <v>276</v>
      </c>
      <c r="S89" s="63" t="s">
        <v>228</v>
      </c>
      <c r="T89" s="63" t="s">
        <v>339</v>
      </c>
      <c r="U89" s="63"/>
    </row>
    <row r="90" customFormat="false" ht="15" hidden="false" customHeight="true" outlineLevel="0" collapsed="false">
      <c r="A90" s="54" t="n">
        <v>89</v>
      </c>
      <c r="B90" s="55" t="s">
        <v>618</v>
      </c>
      <c r="C90" s="56" t="s">
        <v>854</v>
      </c>
      <c r="D90" s="56" t="s">
        <v>855</v>
      </c>
      <c r="E90" s="57" t="s">
        <v>856</v>
      </c>
      <c r="F90" s="55" t="s">
        <v>344</v>
      </c>
      <c r="G90" s="55" t="s">
        <v>157</v>
      </c>
      <c r="H90" s="58" t="n">
        <v>9</v>
      </c>
      <c r="I90" s="58" t="n">
        <v>15</v>
      </c>
      <c r="J90" s="58" t="n">
        <f aca="false">ROUND(AVERAGE(H90:I90),1)</f>
        <v>12</v>
      </c>
      <c r="K90" s="59" t="n">
        <v>1</v>
      </c>
      <c r="L90" s="58" t="n">
        <f aca="false">J90+K90</f>
        <v>13</v>
      </c>
      <c r="M90" s="60" t="n">
        <f aca="false">IFERROR(INDEX(99_Listas!$C$2:$C$5,MATCH(G90,99_Listas!$B$2:$B$5,0)),0)</f>
        <v>0.07</v>
      </c>
      <c r="N90" s="58" t="n">
        <f aca="false">ROUND(J90*M90,2)</f>
        <v>0.84</v>
      </c>
      <c r="O90" s="58" t="n">
        <f aca="false">ROUND(J90-N90,2)</f>
        <v>11.16</v>
      </c>
      <c r="P90" s="55" t="s">
        <v>578</v>
      </c>
      <c r="Q90" s="54" t="n">
        <v>10</v>
      </c>
      <c r="R90" s="55" t="s">
        <v>276</v>
      </c>
      <c r="S90" s="56" t="s">
        <v>228</v>
      </c>
      <c r="T90" s="56" t="s">
        <v>339</v>
      </c>
      <c r="U90" s="56"/>
    </row>
    <row r="91" customFormat="false" ht="15" hidden="false" customHeight="true" outlineLevel="0" collapsed="false">
      <c r="A91" s="61" t="n">
        <v>90</v>
      </c>
      <c r="B91" s="62" t="s">
        <v>618</v>
      </c>
      <c r="C91" s="63" t="s">
        <v>857</v>
      </c>
      <c r="D91" s="63" t="s">
        <v>858</v>
      </c>
      <c r="E91" s="57" t="s">
        <v>859</v>
      </c>
      <c r="F91" s="62" t="s">
        <v>344</v>
      </c>
      <c r="G91" s="62" t="s">
        <v>157</v>
      </c>
      <c r="H91" s="64" t="n">
        <v>9</v>
      </c>
      <c r="I91" s="64" t="n">
        <v>15</v>
      </c>
      <c r="J91" s="64" t="n">
        <f aca="false">ROUND(AVERAGE(H91:I91),1)</f>
        <v>12</v>
      </c>
      <c r="K91" s="59" t="n">
        <v>1</v>
      </c>
      <c r="L91" s="64" t="n">
        <f aca="false">J91+K91</f>
        <v>13</v>
      </c>
      <c r="M91" s="65" t="n">
        <f aca="false">IFERROR(INDEX(99_Listas!$C$2:$C$5,MATCH(G91,99_Listas!$B$2:$B$5,0)),0)</f>
        <v>0.07</v>
      </c>
      <c r="N91" s="64" t="n">
        <f aca="false">ROUND(J91*M91,2)</f>
        <v>0.84</v>
      </c>
      <c r="O91" s="64" t="n">
        <f aca="false">ROUND(J91-N91,2)</f>
        <v>11.16</v>
      </c>
      <c r="P91" s="62" t="s">
        <v>578</v>
      </c>
      <c r="Q91" s="61" t="n">
        <v>10</v>
      </c>
      <c r="R91" s="62" t="s">
        <v>276</v>
      </c>
      <c r="S91" s="63" t="s">
        <v>228</v>
      </c>
      <c r="T91" s="63" t="s">
        <v>339</v>
      </c>
      <c r="U91" s="63"/>
    </row>
    <row r="92" customFormat="false" ht="15" hidden="false" customHeight="true" outlineLevel="0" collapsed="false">
      <c r="A92" s="54" t="n">
        <v>91</v>
      </c>
      <c r="B92" s="55" t="s">
        <v>618</v>
      </c>
      <c r="C92" s="56" t="s">
        <v>860</v>
      </c>
      <c r="D92" s="56" t="s">
        <v>861</v>
      </c>
      <c r="E92" s="57" t="s">
        <v>862</v>
      </c>
      <c r="F92" s="55" t="s">
        <v>344</v>
      </c>
      <c r="G92" s="55" t="s">
        <v>161</v>
      </c>
      <c r="H92" s="58" t="n">
        <v>12</v>
      </c>
      <c r="I92" s="58" t="n">
        <v>22</v>
      </c>
      <c r="J92" s="58" t="n">
        <f aca="false">ROUND(AVERAGE(H92:I92),1)</f>
        <v>17</v>
      </c>
      <c r="K92" s="59" t="n">
        <v>1</v>
      </c>
      <c r="L92" s="58" t="n">
        <f aca="false">J92+K92</f>
        <v>18</v>
      </c>
      <c r="M92" s="60" t="n">
        <f aca="false">IFERROR(INDEX(99_Listas!$C$2:$C$5,MATCH(G92,99_Listas!$B$2:$B$5,0)),0)</f>
        <v>0.09</v>
      </c>
      <c r="N92" s="58" t="n">
        <f aca="false">ROUND(J92*M92,2)</f>
        <v>1.53</v>
      </c>
      <c r="O92" s="58" t="n">
        <f aca="false">ROUND(J92-N92,2)</f>
        <v>15.47</v>
      </c>
      <c r="P92" s="55" t="s">
        <v>578</v>
      </c>
      <c r="Q92" s="54" t="n">
        <v>15</v>
      </c>
      <c r="R92" s="55" t="s">
        <v>276</v>
      </c>
      <c r="S92" s="56" t="s">
        <v>228</v>
      </c>
      <c r="T92" s="56" t="s">
        <v>203</v>
      </c>
      <c r="U92" s="56" t="s">
        <v>863</v>
      </c>
    </row>
    <row r="93" customFormat="false" ht="15" hidden="false" customHeight="true" outlineLevel="0" collapsed="false">
      <c r="A93" s="61" t="n">
        <v>92</v>
      </c>
      <c r="B93" s="62" t="s">
        <v>618</v>
      </c>
      <c r="C93" s="63" t="s">
        <v>864</v>
      </c>
      <c r="D93" s="63" t="s">
        <v>865</v>
      </c>
      <c r="E93" s="57" t="s">
        <v>866</v>
      </c>
      <c r="F93" s="62" t="s">
        <v>344</v>
      </c>
      <c r="G93" s="62" t="s">
        <v>157</v>
      </c>
      <c r="H93" s="64" t="n">
        <v>7</v>
      </c>
      <c r="I93" s="64" t="n">
        <v>12</v>
      </c>
      <c r="J93" s="64" t="n">
        <f aca="false">ROUND(AVERAGE(H93:I93),1)</f>
        <v>9.5</v>
      </c>
      <c r="K93" s="59" t="n">
        <v>1</v>
      </c>
      <c r="L93" s="64" t="n">
        <f aca="false">J93+K93</f>
        <v>10.5</v>
      </c>
      <c r="M93" s="65" t="n">
        <f aca="false">IFERROR(INDEX(99_Listas!$C$2:$C$5,MATCH(G93,99_Listas!$B$2:$B$5,0)),0)</f>
        <v>0.07</v>
      </c>
      <c r="N93" s="64" t="n">
        <f aca="false">ROUND(J93*M93,2)</f>
        <v>0.67</v>
      </c>
      <c r="O93" s="64" t="n">
        <f aca="false">ROUND(J93-N93,2)</f>
        <v>8.83</v>
      </c>
      <c r="P93" s="62" t="s">
        <v>578</v>
      </c>
      <c r="Q93" s="61" t="n">
        <v>8</v>
      </c>
      <c r="R93" s="62" t="s">
        <v>276</v>
      </c>
      <c r="S93" s="63" t="s">
        <v>228</v>
      </c>
      <c r="T93" s="63" t="s">
        <v>159</v>
      </c>
      <c r="U93" s="63"/>
    </row>
    <row r="94" customFormat="false" ht="15" hidden="false" customHeight="true" outlineLevel="0" collapsed="false">
      <c r="A94" s="54" t="n">
        <v>93</v>
      </c>
      <c r="B94" s="55" t="s">
        <v>618</v>
      </c>
      <c r="C94" s="56" t="s">
        <v>867</v>
      </c>
      <c r="D94" s="56" t="s">
        <v>868</v>
      </c>
      <c r="E94" s="57" t="s">
        <v>674</v>
      </c>
      <c r="F94" s="55" t="s">
        <v>344</v>
      </c>
      <c r="G94" s="55" t="s">
        <v>161</v>
      </c>
      <c r="H94" s="58" t="n">
        <v>11</v>
      </c>
      <c r="I94" s="58" t="n">
        <v>18</v>
      </c>
      <c r="J94" s="58" t="n">
        <f aca="false">ROUND(AVERAGE(H94:I94),1)</f>
        <v>14.5</v>
      </c>
      <c r="K94" s="59" t="n">
        <v>1</v>
      </c>
      <c r="L94" s="58" t="n">
        <f aca="false">J94+K94</f>
        <v>15.5</v>
      </c>
      <c r="M94" s="60" t="n">
        <f aca="false">IFERROR(INDEX(99_Listas!$C$2:$C$5,MATCH(G94,99_Listas!$B$2:$B$5,0)),0)</f>
        <v>0.09</v>
      </c>
      <c r="N94" s="58" t="n">
        <f aca="false">ROUND(J94*M94,2)</f>
        <v>1.31</v>
      </c>
      <c r="O94" s="58" t="n">
        <f aca="false">ROUND(J94-N94,2)</f>
        <v>13.19</v>
      </c>
      <c r="P94" s="55" t="s">
        <v>578</v>
      </c>
      <c r="Q94" s="54" t="n">
        <v>10</v>
      </c>
      <c r="R94" s="55" t="s">
        <v>276</v>
      </c>
      <c r="S94" s="56" t="s">
        <v>228</v>
      </c>
      <c r="T94" s="56" t="s">
        <v>339</v>
      </c>
      <c r="U94" s="56"/>
    </row>
    <row r="95" customFormat="false" ht="15" hidden="false" customHeight="true" outlineLevel="0" collapsed="false">
      <c r="A95" s="61" t="n">
        <v>94</v>
      </c>
      <c r="B95" s="62" t="s">
        <v>618</v>
      </c>
      <c r="C95" s="63" t="s">
        <v>869</v>
      </c>
      <c r="D95" s="63" t="s">
        <v>635</v>
      </c>
      <c r="E95" s="57" t="s">
        <v>633</v>
      </c>
      <c r="F95" s="62" t="s">
        <v>344</v>
      </c>
      <c r="G95" s="62" t="s">
        <v>161</v>
      </c>
      <c r="H95" s="64" t="n">
        <v>11</v>
      </c>
      <c r="I95" s="64" t="n">
        <v>18</v>
      </c>
      <c r="J95" s="64" t="n">
        <f aca="false">ROUND(AVERAGE(H95:I95),1)</f>
        <v>14.5</v>
      </c>
      <c r="K95" s="59" t="n">
        <v>1</v>
      </c>
      <c r="L95" s="64" t="n">
        <f aca="false">J95+K95</f>
        <v>15.5</v>
      </c>
      <c r="M95" s="65" t="n">
        <f aca="false">IFERROR(INDEX(99_Listas!$C$2:$C$5,MATCH(G95,99_Listas!$B$2:$B$5,0)),0)</f>
        <v>0.09</v>
      </c>
      <c r="N95" s="64" t="n">
        <f aca="false">ROUND(J95*M95,2)</f>
        <v>1.31</v>
      </c>
      <c r="O95" s="64" t="n">
        <f aca="false">ROUND(J95-N95,2)</f>
        <v>13.19</v>
      </c>
      <c r="P95" s="62" t="s">
        <v>578</v>
      </c>
      <c r="Q95" s="61" t="n">
        <v>10</v>
      </c>
      <c r="R95" s="62" t="s">
        <v>276</v>
      </c>
      <c r="S95" s="63" t="s">
        <v>228</v>
      </c>
      <c r="T95" s="63" t="s">
        <v>339</v>
      </c>
      <c r="U95" s="63"/>
    </row>
    <row r="96" customFormat="false" ht="15" hidden="false" customHeight="true" outlineLevel="0" collapsed="false">
      <c r="A96" s="54" t="n">
        <v>95</v>
      </c>
      <c r="B96" s="55" t="s">
        <v>618</v>
      </c>
      <c r="C96" s="56" t="s">
        <v>870</v>
      </c>
      <c r="D96" s="56" t="s">
        <v>871</v>
      </c>
      <c r="E96" s="57" t="s">
        <v>674</v>
      </c>
      <c r="F96" s="55" t="s">
        <v>344</v>
      </c>
      <c r="G96" s="55" t="s">
        <v>161</v>
      </c>
      <c r="H96" s="58" t="n">
        <v>12</v>
      </c>
      <c r="I96" s="58" t="n">
        <v>20</v>
      </c>
      <c r="J96" s="58" t="n">
        <f aca="false">ROUND(AVERAGE(H96:I96),1)</f>
        <v>16</v>
      </c>
      <c r="K96" s="59" t="n">
        <v>1</v>
      </c>
      <c r="L96" s="58" t="n">
        <f aca="false">J96+K96</f>
        <v>17</v>
      </c>
      <c r="M96" s="60" t="n">
        <f aca="false">IFERROR(INDEX(99_Listas!$C$2:$C$5,MATCH(G96,99_Listas!$B$2:$B$5,0)),0)</f>
        <v>0.09</v>
      </c>
      <c r="N96" s="58" t="n">
        <f aca="false">ROUND(J96*M96,2)</f>
        <v>1.44</v>
      </c>
      <c r="O96" s="58" t="n">
        <f aca="false">ROUND(J96-N96,2)</f>
        <v>14.56</v>
      </c>
      <c r="P96" s="55" t="s">
        <v>578</v>
      </c>
      <c r="Q96" s="54" t="n">
        <v>12</v>
      </c>
      <c r="R96" s="55" t="s">
        <v>276</v>
      </c>
      <c r="S96" s="56" t="s">
        <v>228</v>
      </c>
      <c r="T96" s="56" t="s">
        <v>203</v>
      </c>
      <c r="U96" s="56"/>
    </row>
    <row r="97" customFormat="false" ht="15" hidden="false" customHeight="true" outlineLevel="0" collapsed="false">
      <c r="A97" s="61" t="n">
        <v>96</v>
      </c>
      <c r="B97" s="62" t="s">
        <v>618</v>
      </c>
      <c r="C97" s="63" t="s">
        <v>872</v>
      </c>
      <c r="D97" s="63" t="s">
        <v>873</v>
      </c>
      <c r="E97" s="57" t="s">
        <v>874</v>
      </c>
      <c r="F97" s="62" t="s">
        <v>344</v>
      </c>
      <c r="G97" s="62" t="s">
        <v>165</v>
      </c>
      <c r="H97" s="64" t="n">
        <v>18</v>
      </c>
      <c r="I97" s="64" t="n">
        <v>32</v>
      </c>
      <c r="J97" s="64" t="n">
        <f aca="false">ROUND(AVERAGE(H97:I97),1)</f>
        <v>25</v>
      </c>
      <c r="K97" s="59" t="n">
        <v>1</v>
      </c>
      <c r="L97" s="64" t="n">
        <f aca="false">J97+K97</f>
        <v>26</v>
      </c>
      <c r="M97" s="65" t="n">
        <f aca="false">IFERROR(INDEX(99_Listas!$C$2:$C$5,MATCH(G97,99_Listas!$B$2:$B$5,0)),0)</f>
        <v>0.11</v>
      </c>
      <c r="N97" s="64" t="n">
        <f aca="false">ROUND(J97*M97,2)</f>
        <v>2.75</v>
      </c>
      <c r="O97" s="64" t="n">
        <f aca="false">ROUND(J97-N97,2)</f>
        <v>22.25</v>
      </c>
      <c r="P97" s="62" t="s">
        <v>578</v>
      </c>
      <c r="Q97" s="61" t="n">
        <v>15</v>
      </c>
      <c r="R97" s="62" t="s">
        <v>276</v>
      </c>
      <c r="S97" s="63" t="s">
        <v>228</v>
      </c>
      <c r="T97" s="63" t="s">
        <v>203</v>
      </c>
      <c r="U97" s="63"/>
    </row>
    <row r="98" customFormat="false" ht="23.25" hidden="false" customHeight="true" outlineLevel="0" collapsed="false">
      <c r="A98" s="54" t="n">
        <v>97</v>
      </c>
      <c r="B98" s="55" t="s">
        <v>699</v>
      </c>
      <c r="C98" s="56" t="s">
        <v>875</v>
      </c>
      <c r="D98" s="56" t="s">
        <v>876</v>
      </c>
      <c r="E98" s="57" t="s">
        <v>757</v>
      </c>
      <c r="F98" s="55" t="s">
        <v>344</v>
      </c>
      <c r="G98" s="55" t="s">
        <v>165</v>
      </c>
      <c r="H98" s="58" t="n">
        <v>18</v>
      </c>
      <c r="I98" s="58" t="n">
        <v>30</v>
      </c>
      <c r="J98" s="58" t="n">
        <f aca="false">ROUND(AVERAGE(H98:I98),1)</f>
        <v>24</v>
      </c>
      <c r="K98" s="59" t="n">
        <v>1</v>
      </c>
      <c r="L98" s="58" t="n">
        <f aca="false">J98+K98</f>
        <v>25</v>
      </c>
      <c r="M98" s="60" t="n">
        <f aca="false">IFERROR(INDEX(99_Listas!$C$2:$C$5,MATCH(G98,99_Listas!$B$2:$B$5,0)),0)</f>
        <v>0.11</v>
      </c>
      <c r="N98" s="58" t="n">
        <f aca="false">ROUND(J98*M98,2)</f>
        <v>2.64</v>
      </c>
      <c r="O98" s="58" t="n">
        <f aca="false">ROUND(J98-N98,2)</f>
        <v>21.36</v>
      </c>
      <c r="P98" s="55" t="s">
        <v>715</v>
      </c>
      <c r="Q98" s="54" t="n">
        <v>15</v>
      </c>
      <c r="R98" s="55" t="s">
        <v>165</v>
      </c>
      <c r="S98" s="56" t="s">
        <v>228</v>
      </c>
      <c r="T98" s="56" t="s">
        <v>260</v>
      </c>
      <c r="U98" s="56"/>
    </row>
    <row r="99" customFormat="false" ht="23.25" hidden="false" customHeight="true" outlineLevel="0" collapsed="false">
      <c r="A99" s="61" t="n">
        <v>98</v>
      </c>
      <c r="B99" s="62" t="s">
        <v>699</v>
      </c>
      <c r="C99" s="63" t="s">
        <v>877</v>
      </c>
      <c r="D99" s="63" t="s">
        <v>878</v>
      </c>
      <c r="E99" s="57" t="s">
        <v>246</v>
      </c>
      <c r="F99" s="62" t="s">
        <v>226</v>
      </c>
      <c r="G99" s="62" t="s">
        <v>161</v>
      </c>
      <c r="H99" s="64" t="n">
        <v>12</v>
      </c>
      <c r="I99" s="64" t="n">
        <v>20</v>
      </c>
      <c r="J99" s="64" t="n">
        <f aca="false">ROUND(AVERAGE(H99:I99),1)</f>
        <v>16</v>
      </c>
      <c r="K99" s="59" t="n">
        <v>1</v>
      </c>
      <c r="L99" s="64" t="n">
        <f aca="false">J99+K99</f>
        <v>17</v>
      </c>
      <c r="M99" s="65" t="n">
        <f aca="false">IFERROR(INDEX(99_Listas!$C$2:$C$5,MATCH(G99,99_Listas!$B$2:$B$5,0)),0)</f>
        <v>0.09</v>
      </c>
      <c r="N99" s="64" t="n">
        <f aca="false">ROUND(J99*M99,2)</f>
        <v>1.44</v>
      </c>
      <c r="O99" s="64" t="n">
        <f aca="false">ROUND(J99-N99,2)</f>
        <v>14.56</v>
      </c>
      <c r="P99" s="62" t="s">
        <v>578</v>
      </c>
      <c r="Q99" s="61" t="n">
        <v>15</v>
      </c>
      <c r="R99" s="62" t="s">
        <v>165</v>
      </c>
      <c r="S99" s="63" t="s">
        <v>248</v>
      </c>
      <c r="T99" s="63" t="s">
        <v>260</v>
      </c>
      <c r="U99" s="63"/>
    </row>
    <row r="100" customFormat="false" ht="15" hidden="false" customHeight="true" outlineLevel="0" collapsed="false">
      <c r="A100" s="54" t="n">
        <v>99</v>
      </c>
      <c r="B100" s="55" t="s">
        <v>699</v>
      </c>
      <c r="C100" s="56" t="s">
        <v>879</v>
      </c>
      <c r="D100" s="56" t="s">
        <v>880</v>
      </c>
      <c r="E100" s="57" t="s">
        <v>881</v>
      </c>
      <c r="F100" s="55" t="s">
        <v>226</v>
      </c>
      <c r="G100" s="55" t="s">
        <v>161</v>
      </c>
      <c r="H100" s="58" t="n">
        <v>12</v>
      </c>
      <c r="I100" s="58" t="n">
        <v>22</v>
      </c>
      <c r="J100" s="58" t="n">
        <f aca="false">ROUND(AVERAGE(H100:I100),1)</f>
        <v>17</v>
      </c>
      <c r="K100" s="59" t="n">
        <v>1</v>
      </c>
      <c r="L100" s="58" t="n">
        <f aca="false">J100+K100</f>
        <v>18</v>
      </c>
      <c r="M100" s="60" t="n">
        <f aca="false">IFERROR(INDEX(99_Listas!$C$2:$C$5,MATCH(G100,99_Listas!$B$2:$B$5,0)),0)</f>
        <v>0.09</v>
      </c>
      <c r="N100" s="58" t="n">
        <f aca="false">ROUND(J100*M100,2)</f>
        <v>1.53</v>
      </c>
      <c r="O100" s="58" t="n">
        <f aca="false">ROUND(J100-N100,2)</f>
        <v>15.47</v>
      </c>
      <c r="P100" s="55" t="s">
        <v>715</v>
      </c>
      <c r="Q100" s="54" t="n">
        <v>15</v>
      </c>
      <c r="R100" s="55" t="s">
        <v>165</v>
      </c>
      <c r="S100" s="56" t="s">
        <v>228</v>
      </c>
      <c r="T100" s="56" t="s">
        <v>260</v>
      </c>
      <c r="U100" s="56" t="s">
        <v>882</v>
      </c>
    </row>
    <row r="101" customFormat="false" ht="15" hidden="false" customHeight="true" outlineLevel="0" collapsed="false">
      <c r="A101" s="61" t="n">
        <v>100</v>
      </c>
      <c r="B101" s="62" t="s">
        <v>699</v>
      </c>
      <c r="C101" s="63" t="s">
        <v>883</v>
      </c>
      <c r="D101" s="63" t="s">
        <v>884</v>
      </c>
      <c r="E101" s="57" t="s">
        <v>885</v>
      </c>
      <c r="F101" s="62" t="s">
        <v>344</v>
      </c>
      <c r="G101" s="62" t="s">
        <v>161</v>
      </c>
      <c r="H101" s="64" t="n">
        <v>10</v>
      </c>
      <c r="I101" s="64" t="n">
        <v>20</v>
      </c>
      <c r="J101" s="64" t="n">
        <f aca="false">ROUND(AVERAGE(H101:I101),1)</f>
        <v>15</v>
      </c>
      <c r="K101" s="59" t="n">
        <v>1</v>
      </c>
      <c r="L101" s="64" t="n">
        <f aca="false">J101+K101</f>
        <v>16</v>
      </c>
      <c r="M101" s="65" t="n">
        <f aca="false">IFERROR(INDEX(99_Listas!$C$2:$C$5,MATCH(G101,99_Listas!$B$2:$B$5,0)),0)</f>
        <v>0.09</v>
      </c>
      <c r="N101" s="64" t="n">
        <f aca="false">ROUND(J101*M101,2)</f>
        <v>1.35</v>
      </c>
      <c r="O101" s="64" t="n">
        <f aca="false">ROUND(J101-N101,2)</f>
        <v>13.65</v>
      </c>
      <c r="P101" s="62" t="s">
        <v>715</v>
      </c>
      <c r="Q101" s="61" t="n">
        <v>12</v>
      </c>
      <c r="R101" s="62" t="s">
        <v>165</v>
      </c>
      <c r="S101" s="63" t="s">
        <v>228</v>
      </c>
      <c r="T101" s="63" t="s">
        <v>260</v>
      </c>
      <c r="U101" s="63"/>
    </row>
    <row r="102" customFormat="false" ht="15" hidden="false" customHeight="true" outlineLevel="0" collapsed="false">
      <c r="A102" s="54" t="n">
        <v>101</v>
      </c>
      <c r="B102" s="55" t="s">
        <v>699</v>
      </c>
      <c r="C102" s="56" t="s">
        <v>886</v>
      </c>
      <c r="D102" s="56" t="s">
        <v>887</v>
      </c>
      <c r="E102" s="57" t="s">
        <v>885</v>
      </c>
      <c r="F102" s="55" t="s">
        <v>482</v>
      </c>
      <c r="G102" s="55" t="s">
        <v>157</v>
      </c>
      <c r="H102" s="58" t="n">
        <v>8</v>
      </c>
      <c r="I102" s="58" t="n">
        <v>16</v>
      </c>
      <c r="J102" s="58" t="n">
        <f aca="false">ROUND(AVERAGE(H102:I102),1)</f>
        <v>12</v>
      </c>
      <c r="K102" s="59" t="n">
        <v>1</v>
      </c>
      <c r="L102" s="58" t="n">
        <f aca="false">J102+K102</f>
        <v>13</v>
      </c>
      <c r="M102" s="60" t="n">
        <f aca="false">IFERROR(INDEX(99_Listas!$C$2:$C$5,MATCH(G102,99_Listas!$B$2:$B$5,0)),0)</f>
        <v>0.07</v>
      </c>
      <c r="N102" s="58" t="n">
        <f aca="false">ROUND(J102*M102,2)</f>
        <v>0.84</v>
      </c>
      <c r="O102" s="58" t="n">
        <f aca="false">ROUND(J102-N102,2)</f>
        <v>11.16</v>
      </c>
      <c r="P102" s="55" t="s">
        <v>715</v>
      </c>
      <c r="Q102" s="54" t="n">
        <v>12</v>
      </c>
      <c r="R102" s="55" t="s">
        <v>276</v>
      </c>
      <c r="S102" s="56" t="s">
        <v>228</v>
      </c>
      <c r="T102" s="56" t="s">
        <v>888</v>
      </c>
      <c r="U102" s="56" t="s">
        <v>889</v>
      </c>
    </row>
    <row r="103" customFormat="false" ht="15" hidden="false" customHeight="true" outlineLevel="0" collapsed="false">
      <c r="A103" s="61" t="n">
        <v>102</v>
      </c>
      <c r="B103" s="62" t="s">
        <v>699</v>
      </c>
      <c r="C103" s="63" t="s">
        <v>890</v>
      </c>
      <c r="D103" s="63" t="s">
        <v>891</v>
      </c>
      <c r="E103" s="57" t="s">
        <v>892</v>
      </c>
      <c r="F103" s="62" t="s">
        <v>344</v>
      </c>
      <c r="G103" s="62" t="s">
        <v>157</v>
      </c>
      <c r="H103" s="64" t="n">
        <v>5</v>
      </c>
      <c r="I103" s="64" t="n">
        <v>10</v>
      </c>
      <c r="J103" s="64" t="n">
        <f aca="false">ROUND(AVERAGE(H103:I103),1)</f>
        <v>7.5</v>
      </c>
      <c r="K103" s="59" t="n">
        <v>1</v>
      </c>
      <c r="L103" s="64" t="n">
        <f aca="false">J103+K103</f>
        <v>8.5</v>
      </c>
      <c r="M103" s="65" t="n">
        <f aca="false">IFERROR(INDEX(99_Listas!$C$2:$C$5,MATCH(G103,99_Listas!$B$2:$B$5,0)),0)</f>
        <v>0.07</v>
      </c>
      <c r="N103" s="64" t="n">
        <f aca="false">ROUND(J103*M103,2)</f>
        <v>0.53</v>
      </c>
      <c r="O103" s="64" t="n">
        <f aca="false">ROUND(J103-N103,2)</f>
        <v>6.97</v>
      </c>
      <c r="P103" s="62" t="s">
        <v>715</v>
      </c>
      <c r="Q103" s="61" t="n">
        <v>8</v>
      </c>
      <c r="R103" s="62" t="s">
        <v>276</v>
      </c>
      <c r="S103" s="63" t="s">
        <v>228</v>
      </c>
      <c r="T103" s="63" t="s">
        <v>260</v>
      </c>
      <c r="U103" s="63"/>
    </row>
    <row r="104" customFormat="false" ht="23.25" hidden="false" customHeight="true" outlineLevel="0" collapsed="false">
      <c r="A104" s="54" t="n">
        <v>103</v>
      </c>
      <c r="B104" s="55" t="s">
        <v>174</v>
      </c>
      <c r="C104" s="56" t="s">
        <v>893</v>
      </c>
      <c r="D104" s="56" t="s">
        <v>894</v>
      </c>
      <c r="E104" s="57" t="s">
        <v>728</v>
      </c>
      <c r="F104" s="55" t="s">
        <v>344</v>
      </c>
      <c r="G104" s="55" t="s">
        <v>165</v>
      </c>
      <c r="H104" s="58" t="n">
        <v>16</v>
      </c>
      <c r="I104" s="58" t="n">
        <v>28</v>
      </c>
      <c r="J104" s="58" t="n">
        <f aca="false">ROUND(AVERAGE(H104:I104),1)</f>
        <v>22</v>
      </c>
      <c r="K104" s="59" t="n">
        <v>1</v>
      </c>
      <c r="L104" s="58" t="n">
        <f aca="false">J104+K104</f>
        <v>23</v>
      </c>
      <c r="M104" s="60" t="n">
        <f aca="false">IFERROR(INDEX(99_Listas!$C$2:$C$5,MATCH(G104,99_Listas!$B$2:$B$5,0)),0)</f>
        <v>0.11</v>
      </c>
      <c r="N104" s="58" t="n">
        <f aca="false">ROUND(J104*M104,2)</f>
        <v>2.42</v>
      </c>
      <c r="O104" s="58" t="n">
        <f aca="false">ROUND(J104-N104,2)</f>
        <v>19.58</v>
      </c>
      <c r="P104" s="55" t="s">
        <v>578</v>
      </c>
      <c r="Q104" s="54" t="n">
        <v>12</v>
      </c>
      <c r="R104" s="55" t="s">
        <v>276</v>
      </c>
      <c r="S104" s="56" t="s">
        <v>228</v>
      </c>
      <c r="T104" s="56" t="s">
        <v>174</v>
      </c>
      <c r="U104" s="56"/>
    </row>
    <row r="105" customFormat="false" ht="15" hidden="false" customHeight="true" outlineLevel="0" collapsed="false">
      <c r="A105" s="61" t="n">
        <v>104</v>
      </c>
      <c r="B105" s="62" t="s">
        <v>174</v>
      </c>
      <c r="C105" s="63" t="s">
        <v>895</v>
      </c>
      <c r="D105" s="63" t="s">
        <v>896</v>
      </c>
      <c r="E105" s="57" t="s">
        <v>897</v>
      </c>
      <c r="F105" s="62" t="s">
        <v>344</v>
      </c>
      <c r="G105" s="62" t="s">
        <v>161</v>
      </c>
      <c r="H105" s="64" t="n">
        <v>13</v>
      </c>
      <c r="I105" s="64" t="n">
        <v>22</v>
      </c>
      <c r="J105" s="64" t="n">
        <f aca="false">ROUND(AVERAGE(H105:I105),1)</f>
        <v>17.5</v>
      </c>
      <c r="K105" s="59" t="n">
        <v>1</v>
      </c>
      <c r="L105" s="64" t="n">
        <f aca="false">J105+K105</f>
        <v>18.5</v>
      </c>
      <c r="M105" s="65" t="n">
        <f aca="false">IFERROR(INDEX(99_Listas!$C$2:$C$5,MATCH(G105,99_Listas!$B$2:$B$5,0)),0)</f>
        <v>0.09</v>
      </c>
      <c r="N105" s="64" t="n">
        <f aca="false">ROUND(J105*M105,2)</f>
        <v>1.58</v>
      </c>
      <c r="O105" s="64" t="n">
        <f aca="false">ROUND(J105-N105,2)</f>
        <v>15.92</v>
      </c>
      <c r="P105" s="62" t="s">
        <v>578</v>
      </c>
      <c r="Q105" s="61" t="n">
        <v>12</v>
      </c>
      <c r="R105" s="62" t="s">
        <v>276</v>
      </c>
      <c r="S105" s="63" t="s">
        <v>228</v>
      </c>
      <c r="T105" s="63" t="s">
        <v>174</v>
      </c>
      <c r="U105" s="63"/>
    </row>
    <row r="106" customFormat="false" ht="23.25" hidden="false" customHeight="true" outlineLevel="0" collapsed="false">
      <c r="A106" s="54" t="n">
        <v>105</v>
      </c>
      <c r="B106" s="55" t="s">
        <v>174</v>
      </c>
      <c r="C106" s="56" t="s">
        <v>898</v>
      </c>
      <c r="D106" s="56" t="s">
        <v>899</v>
      </c>
      <c r="E106" s="57" t="s">
        <v>750</v>
      </c>
      <c r="F106" s="55" t="s">
        <v>344</v>
      </c>
      <c r="G106" s="55" t="s">
        <v>165</v>
      </c>
      <c r="H106" s="58" t="n">
        <v>15</v>
      </c>
      <c r="I106" s="58" t="n">
        <v>25</v>
      </c>
      <c r="J106" s="58" t="n">
        <f aca="false">ROUND(AVERAGE(H106:I106),1)</f>
        <v>20</v>
      </c>
      <c r="K106" s="59" t="n">
        <v>1</v>
      </c>
      <c r="L106" s="58" t="n">
        <f aca="false">J106+K106</f>
        <v>21</v>
      </c>
      <c r="M106" s="60" t="n">
        <f aca="false">IFERROR(INDEX(99_Listas!$C$2:$C$5,MATCH(G106,99_Listas!$B$2:$B$5,0)),0)</f>
        <v>0.11</v>
      </c>
      <c r="N106" s="58" t="n">
        <f aca="false">ROUND(J106*M106,2)</f>
        <v>2.2</v>
      </c>
      <c r="O106" s="58" t="n">
        <f aca="false">ROUND(J106-N106,2)</f>
        <v>17.8</v>
      </c>
      <c r="P106" s="55" t="s">
        <v>578</v>
      </c>
      <c r="Q106" s="54" t="n">
        <v>14</v>
      </c>
      <c r="R106" s="55" t="s">
        <v>165</v>
      </c>
      <c r="S106" s="56" t="s">
        <v>228</v>
      </c>
      <c r="T106" s="56" t="s">
        <v>174</v>
      </c>
      <c r="U106" s="56"/>
    </row>
    <row r="107" customFormat="false" ht="23.25" hidden="false" customHeight="true" outlineLevel="0" collapsed="false">
      <c r="A107" s="61" t="n">
        <v>106</v>
      </c>
      <c r="B107" s="62" t="s">
        <v>174</v>
      </c>
      <c r="C107" s="63" t="s">
        <v>900</v>
      </c>
      <c r="D107" s="63" t="s">
        <v>901</v>
      </c>
      <c r="E107" s="57" t="s">
        <v>728</v>
      </c>
      <c r="F107" s="62" t="s">
        <v>902</v>
      </c>
      <c r="G107" s="62" t="s">
        <v>165</v>
      </c>
      <c r="H107" s="64" t="n">
        <v>25</v>
      </c>
      <c r="I107" s="64" t="n">
        <v>45</v>
      </c>
      <c r="J107" s="64" t="n">
        <f aca="false">ROUND(AVERAGE(H107:I107),1)</f>
        <v>35</v>
      </c>
      <c r="K107" s="59" t="n">
        <v>1</v>
      </c>
      <c r="L107" s="64" t="n">
        <f aca="false">J107+K107</f>
        <v>36</v>
      </c>
      <c r="M107" s="65" t="n">
        <f aca="false">IFERROR(INDEX(99_Listas!$C$2:$C$5,MATCH(G107,99_Listas!$B$2:$B$5,0)),0)</f>
        <v>0.11</v>
      </c>
      <c r="N107" s="64" t="n">
        <f aca="false">ROUND(J107*M107,2)</f>
        <v>3.85</v>
      </c>
      <c r="O107" s="64" t="n">
        <f aca="false">ROUND(J107-N107,2)</f>
        <v>31.15</v>
      </c>
      <c r="P107" s="62" t="s">
        <v>578</v>
      </c>
      <c r="Q107" s="61" t="n">
        <v>15</v>
      </c>
      <c r="R107" s="62" t="s">
        <v>276</v>
      </c>
      <c r="S107" s="63" t="s">
        <v>380</v>
      </c>
      <c r="T107" s="63" t="s">
        <v>174</v>
      </c>
      <c r="U107" s="63" t="s">
        <v>903</v>
      </c>
    </row>
    <row r="108" customFormat="false" ht="23.25" hidden="false" customHeight="true" outlineLevel="0" collapsed="false">
      <c r="A108" s="54" t="n">
        <v>107</v>
      </c>
      <c r="B108" s="55" t="s">
        <v>585</v>
      </c>
      <c r="C108" s="56" t="s">
        <v>904</v>
      </c>
      <c r="D108" s="56" t="s">
        <v>905</v>
      </c>
      <c r="E108" s="57" t="s">
        <v>906</v>
      </c>
      <c r="F108" s="55" t="s">
        <v>344</v>
      </c>
      <c r="G108" s="55" t="s">
        <v>161</v>
      </c>
      <c r="H108" s="58" t="n">
        <v>9</v>
      </c>
      <c r="I108" s="58" t="n">
        <v>16</v>
      </c>
      <c r="J108" s="58" t="n">
        <f aca="false">ROUND(AVERAGE(H108:I108),1)</f>
        <v>12.5</v>
      </c>
      <c r="K108" s="59" t="n">
        <v>1</v>
      </c>
      <c r="L108" s="58" t="n">
        <f aca="false">J108+K108</f>
        <v>13.5</v>
      </c>
      <c r="M108" s="60" t="n">
        <f aca="false">IFERROR(INDEX(99_Listas!$C$2:$C$5,MATCH(G108,99_Listas!$B$2:$B$5,0)),0)</f>
        <v>0.09</v>
      </c>
      <c r="N108" s="58" t="n">
        <f aca="false">ROUND(J108*M108,2)</f>
        <v>1.13</v>
      </c>
      <c r="O108" s="58" t="n">
        <f aca="false">ROUND(J108-N108,2)</f>
        <v>11.37</v>
      </c>
      <c r="P108" s="55" t="s">
        <v>578</v>
      </c>
      <c r="Q108" s="54" t="n">
        <v>12</v>
      </c>
      <c r="R108" s="55" t="s">
        <v>276</v>
      </c>
      <c r="S108" s="56" t="s">
        <v>228</v>
      </c>
      <c r="T108" s="56" t="s">
        <v>486</v>
      </c>
      <c r="U108" s="56"/>
    </row>
    <row r="109" customFormat="false" ht="15" hidden="false" customHeight="true" outlineLevel="0" collapsed="false">
      <c r="A109" s="61" t="n">
        <v>108</v>
      </c>
      <c r="B109" s="62" t="s">
        <v>585</v>
      </c>
      <c r="C109" s="63" t="s">
        <v>907</v>
      </c>
      <c r="D109" s="63" t="s">
        <v>908</v>
      </c>
      <c r="E109" s="57" t="s">
        <v>633</v>
      </c>
      <c r="F109" s="62" t="s">
        <v>344</v>
      </c>
      <c r="G109" s="62" t="s">
        <v>161</v>
      </c>
      <c r="H109" s="64" t="n">
        <v>9</v>
      </c>
      <c r="I109" s="64" t="n">
        <v>15</v>
      </c>
      <c r="J109" s="64" t="n">
        <f aca="false">ROUND(AVERAGE(H109:I109),1)</f>
        <v>12</v>
      </c>
      <c r="K109" s="59" t="n">
        <v>1</v>
      </c>
      <c r="L109" s="64" t="n">
        <f aca="false">J109+K109</f>
        <v>13</v>
      </c>
      <c r="M109" s="65" t="n">
        <f aca="false">IFERROR(INDEX(99_Listas!$C$2:$C$5,MATCH(G109,99_Listas!$B$2:$B$5,0)),0)</f>
        <v>0.09</v>
      </c>
      <c r="N109" s="64" t="n">
        <f aca="false">ROUND(J109*M109,2)</f>
        <v>1.08</v>
      </c>
      <c r="O109" s="64" t="n">
        <f aca="false">ROUND(J109-N109,2)</f>
        <v>10.92</v>
      </c>
      <c r="P109" s="62" t="s">
        <v>578</v>
      </c>
      <c r="Q109" s="61" t="n">
        <v>10</v>
      </c>
      <c r="R109" s="62" t="s">
        <v>276</v>
      </c>
      <c r="S109" s="63" t="s">
        <v>228</v>
      </c>
      <c r="T109" s="63" t="s">
        <v>585</v>
      </c>
      <c r="U109" s="63"/>
    </row>
    <row r="110" customFormat="false" ht="15" hidden="false" customHeight="true" outlineLevel="0" collapsed="false">
      <c r="A110" s="54" t="n">
        <v>109</v>
      </c>
      <c r="B110" s="55" t="s">
        <v>585</v>
      </c>
      <c r="C110" s="56" t="s">
        <v>909</v>
      </c>
      <c r="D110" s="56" t="s">
        <v>910</v>
      </c>
      <c r="E110" s="57" t="s">
        <v>911</v>
      </c>
      <c r="F110" s="55" t="s">
        <v>344</v>
      </c>
      <c r="G110" s="55" t="s">
        <v>161</v>
      </c>
      <c r="H110" s="58" t="n">
        <v>9</v>
      </c>
      <c r="I110" s="58" t="n">
        <v>16</v>
      </c>
      <c r="J110" s="58" t="n">
        <f aca="false">ROUND(AVERAGE(H110:I110),1)</f>
        <v>12.5</v>
      </c>
      <c r="K110" s="59" t="n">
        <v>1</v>
      </c>
      <c r="L110" s="58" t="n">
        <f aca="false">J110+K110</f>
        <v>13.5</v>
      </c>
      <c r="M110" s="60" t="n">
        <f aca="false">IFERROR(INDEX(99_Listas!$C$2:$C$5,MATCH(G110,99_Listas!$B$2:$B$5,0)),0)</f>
        <v>0.09</v>
      </c>
      <c r="N110" s="58" t="n">
        <f aca="false">ROUND(J110*M110,2)</f>
        <v>1.13</v>
      </c>
      <c r="O110" s="58" t="n">
        <f aca="false">ROUND(J110-N110,2)</f>
        <v>11.37</v>
      </c>
      <c r="P110" s="55" t="s">
        <v>578</v>
      </c>
      <c r="Q110" s="54" t="n">
        <v>10</v>
      </c>
      <c r="R110" s="55" t="s">
        <v>276</v>
      </c>
      <c r="S110" s="56" t="s">
        <v>228</v>
      </c>
      <c r="T110" s="56" t="s">
        <v>585</v>
      </c>
      <c r="U110" s="56"/>
    </row>
    <row r="111" customFormat="false" ht="15" hidden="false" customHeight="true" outlineLevel="0" collapsed="false">
      <c r="A111" s="61" t="n">
        <v>110</v>
      </c>
      <c r="B111" s="62" t="s">
        <v>585</v>
      </c>
      <c r="C111" s="63" t="s">
        <v>912</v>
      </c>
      <c r="D111" s="63" t="s">
        <v>913</v>
      </c>
      <c r="E111" s="57" t="s">
        <v>808</v>
      </c>
      <c r="F111" s="62" t="s">
        <v>344</v>
      </c>
      <c r="G111" s="62" t="s">
        <v>157</v>
      </c>
      <c r="H111" s="64" t="n">
        <v>8</v>
      </c>
      <c r="I111" s="64" t="n">
        <v>15</v>
      </c>
      <c r="J111" s="64" t="n">
        <f aca="false">ROUND(AVERAGE(H111:I111),1)</f>
        <v>11.5</v>
      </c>
      <c r="K111" s="59" t="n">
        <v>1</v>
      </c>
      <c r="L111" s="64" t="n">
        <f aca="false">J111+K111</f>
        <v>12.5</v>
      </c>
      <c r="M111" s="65" t="n">
        <f aca="false">IFERROR(INDEX(99_Listas!$C$2:$C$5,MATCH(G111,99_Listas!$B$2:$B$5,0)),0)</f>
        <v>0.07</v>
      </c>
      <c r="N111" s="64" t="n">
        <f aca="false">ROUND(J111*M111,2)</f>
        <v>0.81</v>
      </c>
      <c r="O111" s="64" t="n">
        <f aca="false">ROUND(J111-N111,2)</f>
        <v>10.69</v>
      </c>
      <c r="P111" s="62" t="s">
        <v>578</v>
      </c>
      <c r="Q111" s="61" t="n">
        <v>6</v>
      </c>
      <c r="R111" s="62" t="s">
        <v>276</v>
      </c>
      <c r="S111" s="63" t="s">
        <v>228</v>
      </c>
      <c r="T111" s="63" t="s">
        <v>402</v>
      </c>
      <c r="U111" s="63"/>
    </row>
    <row r="112" customFormat="false" ht="15" hidden="false" customHeight="true" outlineLevel="0" collapsed="false">
      <c r="A112" s="54" t="n">
        <v>111</v>
      </c>
      <c r="B112" s="55" t="s">
        <v>796</v>
      </c>
      <c r="C112" s="56" t="s">
        <v>914</v>
      </c>
      <c r="D112" s="56" t="s">
        <v>915</v>
      </c>
      <c r="E112" s="57" t="s">
        <v>916</v>
      </c>
      <c r="F112" s="55" t="s">
        <v>482</v>
      </c>
      <c r="G112" s="55" t="s">
        <v>157</v>
      </c>
      <c r="H112" s="58" t="n">
        <v>3</v>
      </c>
      <c r="I112" s="58" t="n">
        <v>6</v>
      </c>
      <c r="J112" s="58" t="n">
        <f aca="false">ROUND(AVERAGE(H112:I112),1)</f>
        <v>4.5</v>
      </c>
      <c r="K112" s="59" t="n">
        <v>1</v>
      </c>
      <c r="L112" s="58" t="n">
        <f aca="false">J112+K112</f>
        <v>5.5</v>
      </c>
      <c r="M112" s="60" t="n">
        <f aca="false">IFERROR(INDEX(99_Listas!$C$2:$C$5,MATCH(G112,99_Listas!$B$2:$B$5,0)),0)</f>
        <v>0.07</v>
      </c>
      <c r="N112" s="58" t="n">
        <f aca="false">ROUND(J112*M112,2)</f>
        <v>0.32</v>
      </c>
      <c r="O112" s="58" t="n">
        <f aca="false">ROUND(J112-N112,2)</f>
        <v>4.18</v>
      </c>
      <c r="P112" s="55" t="s">
        <v>715</v>
      </c>
      <c r="Q112" s="54" t="n">
        <v>3</v>
      </c>
      <c r="R112" s="55" t="s">
        <v>276</v>
      </c>
      <c r="S112" s="56" t="s">
        <v>228</v>
      </c>
      <c r="T112" s="56" t="s">
        <v>260</v>
      </c>
      <c r="U112" s="56"/>
    </row>
    <row r="113" customFormat="false" ht="15" hidden="false" customHeight="true" outlineLevel="0" collapsed="false">
      <c r="A113" s="61" t="n">
        <v>112</v>
      </c>
      <c r="B113" s="62" t="s">
        <v>796</v>
      </c>
      <c r="C113" s="63" t="s">
        <v>917</v>
      </c>
      <c r="D113" s="63" t="s">
        <v>918</v>
      </c>
      <c r="E113" s="57" t="s">
        <v>919</v>
      </c>
      <c r="F113" s="62" t="s">
        <v>482</v>
      </c>
      <c r="G113" s="62" t="s">
        <v>157</v>
      </c>
      <c r="H113" s="64" t="n">
        <v>4</v>
      </c>
      <c r="I113" s="64" t="n">
        <v>9</v>
      </c>
      <c r="J113" s="64" t="n">
        <f aca="false">ROUND(AVERAGE(H113:I113),1)</f>
        <v>6.5</v>
      </c>
      <c r="K113" s="59" t="n">
        <v>1</v>
      </c>
      <c r="L113" s="64" t="n">
        <f aca="false">J113+K113</f>
        <v>7.5</v>
      </c>
      <c r="M113" s="65" t="n">
        <f aca="false">IFERROR(INDEX(99_Listas!$C$2:$C$5,MATCH(G113,99_Listas!$B$2:$B$5,0)),0)</f>
        <v>0.07</v>
      </c>
      <c r="N113" s="64" t="n">
        <f aca="false">ROUND(J113*M113,2)</f>
        <v>0.46</v>
      </c>
      <c r="O113" s="64" t="n">
        <f aca="false">ROUND(J113-N113,2)</f>
        <v>6.04</v>
      </c>
      <c r="P113" s="62" t="s">
        <v>715</v>
      </c>
      <c r="Q113" s="61" t="n">
        <v>5</v>
      </c>
      <c r="R113" s="62" t="s">
        <v>276</v>
      </c>
      <c r="S113" s="63" t="s">
        <v>228</v>
      </c>
      <c r="T113" s="63" t="s">
        <v>260</v>
      </c>
      <c r="U113" s="63"/>
    </row>
    <row r="114" customFormat="false" ht="15" hidden="false" customHeight="true" outlineLevel="0" collapsed="false">
      <c r="A114" s="54" t="n">
        <v>113</v>
      </c>
      <c r="B114" s="55" t="s">
        <v>796</v>
      </c>
      <c r="C114" s="56" t="s">
        <v>920</v>
      </c>
      <c r="D114" s="56" t="s">
        <v>921</v>
      </c>
      <c r="E114" s="57" t="s">
        <v>922</v>
      </c>
      <c r="F114" s="55" t="s">
        <v>482</v>
      </c>
      <c r="G114" s="55" t="s">
        <v>157</v>
      </c>
      <c r="H114" s="58" t="n">
        <v>4</v>
      </c>
      <c r="I114" s="58" t="n">
        <v>8</v>
      </c>
      <c r="J114" s="58" t="n">
        <f aca="false">ROUND(AVERAGE(H114:I114),1)</f>
        <v>6</v>
      </c>
      <c r="K114" s="59" t="n">
        <v>1</v>
      </c>
      <c r="L114" s="58" t="n">
        <f aca="false">J114+K114</f>
        <v>7</v>
      </c>
      <c r="M114" s="60" t="n">
        <f aca="false">IFERROR(INDEX(99_Listas!$C$2:$C$5,MATCH(G114,99_Listas!$B$2:$B$5,0)),0)</f>
        <v>0.07</v>
      </c>
      <c r="N114" s="58" t="n">
        <f aca="false">ROUND(J114*M114,2)</f>
        <v>0.42</v>
      </c>
      <c r="O114" s="58" t="n">
        <f aca="false">ROUND(J114-N114,2)</f>
        <v>5.58</v>
      </c>
      <c r="P114" s="55" t="s">
        <v>923</v>
      </c>
      <c r="Q114" s="54" t="n">
        <v>6</v>
      </c>
      <c r="R114" s="55" t="s">
        <v>165</v>
      </c>
      <c r="S114" s="56" t="s">
        <v>228</v>
      </c>
      <c r="T114" s="56" t="s">
        <v>800</v>
      </c>
      <c r="U114" s="56"/>
    </row>
    <row r="115" customFormat="false" ht="23.25" hidden="false" customHeight="true" outlineLevel="0" collapsed="false">
      <c r="A115" s="61" t="n">
        <v>114</v>
      </c>
      <c r="B115" s="62" t="s">
        <v>796</v>
      </c>
      <c r="C115" s="63" t="s">
        <v>924</v>
      </c>
      <c r="D115" s="63" t="s">
        <v>925</v>
      </c>
      <c r="E115" s="57" t="s">
        <v>926</v>
      </c>
      <c r="F115" s="62" t="s">
        <v>927</v>
      </c>
      <c r="G115" s="62" t="s">
        <v>157</v>
      </c>
      <c r="H115" s="64" t="n">
        <v>1</v>
      </c>
      <c r="I115" s="64" t="n">
        <v>2</v>
      </c>
      <c r="J115" s="64" t="n">
        <f aca="false">ROUND(AVERAGE(H115:I115),1)</f>
        <v>1.5</v>
      </c>
      <c r="K115" s="59" t="n">
        <v>1</v>
      </c>
      <c r="L115" s="64" t="n">
        <f aca="false">J115+K115</f>
        <v>2.5</v>
      </c>
      <c r="M115" s="65" t="n">
        <f aca="false">IFERROR(INDEX(99_Listas!$C$2:$C$5,MATCH(G115,99_Listas!$B$2:$B$5,0)),0)</f>
        <v>0.07</v>
      </c>
      <c r="N115" s="64" t="n">
        <f aca="false">ROUND(J115*M115,2)</f>
        <v>0.11</v>
      </c>
      <c r="O115" s="64" t="n">
        <f aca="false">ROUND(J115-N115,2)</f>
        <v>1.39</v>
      </c>
      <c r="P115" s="62" t="s">
        <v>928</v>
      </c>
      <c r="Q115" s="61" t="n">
        <v>1</v>
      </c>
      <c r="R115" s="62" t="s">
        <v>276</v>
      </c>
      <c r="S115" s="63" t="s">
        <v>228</v>
      </c>
      <c r="T115" s="63" t="s">
        <v>800</v>
      </c>
      <c r="U115" s="63" t="s">
        <v>929</v>
      </c>
    </row>
    <row r="116" customFormat="false" ht="15" hidden="false" customHeight="true" outlineLevel="0" collapsed="false">
      <c r="A116" s="54" t="n">
        <v>115</v>
      </c>
      <c r="B116" s="55" t="s">
        <v>562</v>
      </c>
      <c r="C116" s="56" t="s">
        <v>930</v>
      </c>
      <c r="D116" s="56" t="s">
        <v>931</v>
      </c>
      <c r="E116" s="57" t="s">
        <v>565</v>
      </c>
      <c r="F116" s="55" t="s">
        <v>324</v>
      </c>
      <c r="G116" s="55" t="s">
        <v>161</v>
      </c>
      <c r="H116" s="58" t="n">
        <v>13</v>
      </c>
      <c r="I116" s="58" t="n">
        <v>20</v>
      </c>
      <c r="J116" s="58" t="n">
        <f aca="false">ROUND(AVERAGE(H116:I116),1)</f>
        <v>16.5</v>
      </c>
      <c r="K116" s="59" t="n">
        <v>1</v>
      </c>
      <c r="L116" s="58" t="n">
        <f aca="false">J116+K116</f>
        <v>17.5</v>
      </c>
      <c r="M116" s="60" t="n">
        <f aca="false">IFERROR(INDEX(99_Listas!$C$2:$C$5,MATCH(G116,99_Listas!$B$2:$B$5,0)),0)</f>
        <v>0.09</v>
      </c>
      <c r="N116" s="58" t="n">
        <f aca="false">ROUND(J116*M116,2)</f>
        <v>1.49</v>
      </c>
      <c r="O116" s="58" t="n">
        <f aca="false">ROUND(J116-N116,2)</f>
        <v>15.01</v>
      </c>
      <c r="P116" s="55" t="s">
        <v>566</v>
      </c>
      <c r="Q116" s="54" t="n">
        <v>12</v>
      </c>
      <c r="R116" s="55" t="s">
        <v>276</v>
      </c>
      <c r="S116" s="56" t="s">
        <v>228</v>
      </c>
      <c r="T116" s="56" t="s">
        <v>570</v>
      </c>
      <c r="U116" s="56"/>
    </row>
    <row r="117" customFormat="false" ht="15" hidden="false" customHeight="true" outlineLevel="0" collapsed="false">
      <c r="A117" s="61" t="n">
        <v>116</v>
      </c>
      <c r="B117" s="62" t="s">
        <v>562</v>
      </c>
      <c r="C117" s="63" t="s">
        <v>932</v>
      </c>
      <c r="D117" s="63" t="s">
        <v>933</v>
      </c>
      <c r="E117" s="57" t="s">
        <v>565</v>
      </c>
      <c r="F117" s="62" t="s">
        <v>324</v>
      </c>
      <c r="G117" s="62" t="s">
        <v>161</v>
      </c>
      <c r="H117" s="64" t="n">
        <v>12</v>
      </c>
      <c r="I117" s="64" t="n">
        <v>20</v>
      </c>
      <c r="J117" s="64" t="n">
        <f aca="false">ROUND(AVERAGE(H117:I117),1)</f>
        <v>16</v>
      </c>
      <c r="K117" s="59" t="n">
        <v>1</v>
      </c>
      <c r="L117" s="64" t="n">
        <f aca="false">J117+K117</f>
        <v>17</v>
      </c>
      <c r="M117" s="65" t="n">
        <f aca="false">IFERROR(INDEX(99_Listas!$C$2:$C$5,MATCH(G117,99_Listas!$B$2:$B$5,0)),0)</f>
        <v>0.09</v>
      </c>
      <c r="N117" s="64" t="n">
        <f aca="false">ROUND(J117*M117,2)</f>
        <v>1.44</v>
      </c>
      <c r="O117" s="64" t="n">
        <f aca="false">ROUND(J117-N117,2)</f>
        <v>14.56</v>
      </c>
      <c r="P117" s="62" t="s">
        <v>566</v>
      </c>
      <c r="Q117" s="61" t="n">
        <v>12</v>
      </c>
      <c r="R117" s="62" t="s">
        <v>276</v>
      </c>
      <c r="S117" s="63" t="s">
        <v>228</v>
      </c>
      <c r="T117" s="63" t="s">
        <v>402</v>
      </c>
      <c r="U117" s="63"/>
    </row>
    <row r="118" customFormat="false" ht="15" hidden="false" customHeight="true" outlineLevel="0" collapsed="false">
      <c r="A118" s="54" t="n">
        <v>117</v>
      </c>
      <c r="B118" s="55" t="s">
        <v>562</v>
      </c>
      <c r="C118" s="56" t="s">
        <v>934</v>
      </c>
      <c r="D118" s="56" t="s">
        <v>935</v>
      </c>
      <c r="E118" s="57" t="s">
        <v>936</v>
      </c>
      <c r="F118" s="55" t="s">
        <v>324</v>
      </c>
      <c r="G118" s="55" t="s">
        <v>161</v>
      </c>
      <c r="H118" s="58" t="n">
        <v>11</v>
      </c>
      <c r="I118" s="58" t="n">
        <v>16</v>
      </c>
      <c r="J118" s="58" t="n">
        <f aca="false">ROUND(AVERAGE(H118:I118),1)</f>
        <v>13.5</v>
      </c>
      <c r="K118" s="59" t="n">
        <v>1</v>
      </c>
      <c r="L118" s="58" t="n">
        <f aca="false">J118+K118</f>
        <v>14.5</v>
      </c>
      <c r="M118" s="60" t="n">
        <f aca="false">IFERROR(INDEX(99_Listas!$C$2:$C$5,MATCH(G118,99_Listas!$B$2:$B$5,0)),0)</f>
        <v>0.09</v>
      </c>
      <c r="N118" s="58" t="n">
        <f aca="false">ROUND(J118*M118,2)</f>
        <v>1.22</v>
      </c>
      <c r="O118" s="58" t="n">
        <f aca="false">ROUND(J118-N118,2)</f>
        <v>12.28</v>
      </c>
      <c r="P118" s="55" t="s">
        <v>566</v>
      </c>
      <c r="Q118" s="54" t="n">
        <v>10</v>
      </c>
      <c r="R118" s="55" t="s">
        <v>276</v>
      </c>
      <c r="S118" s="56" t="s">
        <v>228</v>
      </c>
      <c r="T118" s="56" t="s">
        <v>339</v>
      </c>
      <c r="U118" s="56" t="s">
        <v>937</v>
      </c>
    </row>
    <row r="119" customFormat="false" ht="15" hidden="false" customHeight="true" outlineLevel="0" collapsed="false">
      <c r="A119" s="61" t="n">
        <v>118</v>
      </c>
      <c r="B119" s="62" t="s">
        <v>562</v>
      </c>
      <c r="C119" s="63" t="s">
        <v>938</v>
      </c>
      <c r="D119" s="63" t="s">
        <v>939</v>
      </c>
      <c r="E119" s="57" t="s">
        <v>565</v>
      </c>
      <c r="F119" s="62" t="s">
        <v>397</v>
      </c>
      <c r="G119" s="62" t="s">
        <v>165</v>
      </c>
      <c r="H119" s="64" t="n">
        <v>36</v>
      </c>
      <c r="I119" s="64" t="n">
        <v>56</v>
      </c>
      <c r="J119" s="64" t="n">
        <f aca="false">ROUND(AVERAGE(H119:I119),1)</f>
        <v>46</v>
      </c>
      <c r="K119" s="59" t="n">
        <v>1</v>
      </c>
      <c r="L119" s="64" t="n">
        <f aca="false">J119+K119</f>
        <v>47</v>
      </c>
      <c r="M119" s="65" t="n">
        <f aca="false">IFERROR(INDEX(99_Listas!$C$2:$C$5,MATCH(G119,99_Listas!$B$2:$B$5,0)),0)</f>
        <v>0.11</v>
      </c>
      <c r="N119" s="64" t="n">
        <f aca="false">ROUND(J119*M119,2)</f>
        <v>5.06</v>
      </c>
      <c r="O119" s="64" t="n">
        <f aca="false">ROUND(J119-N119,2)</f>
        <v>40.94</v>
      </c>
      <c r="P119" s="62" t="s">
        <v>566</v>
      </c>
      <c r="Q119" s="61" t="n">
        <v>25</v>
      </c>
      <c r="R119" s="62" t="s">
        <v>276</v>
      </c>
      <c r="S119" s="63" t="s">
        <v>380</v>
      </c>
      <c r="T119" s="63" t="s">
        <v>159</v>
      </c>
      <c r="U119" s="63" t="s">
        <v>940</v>
      </c>
    </row>
    <row r="120" customFormat="false" ht="15" hidden="false" customHeight="true" outlineLevel="0" collapsed="false">
      <c r="A120" s="54" t="n">
        <v>119</v>
      </c>
      <c r="B120" s="55" t="s">
        <v>562</v>
      </c>
      <c r="C120" s="56" t="s">
        <v>941</v>
      </c>
      <c r="D120" s="56" t="s">
        <v>821</v>
      </c>
      <c r="E120" s="57" t="s">
        <v>565</v>
      </c>
      <c r="F120" s="55" t="s">
        <v>324</v>
      </c>
      <c r="G120" s="55" t="s">
        <v>157</v>
      </c>
      <c r="H120" s="58" t="n">
        <v>6</v>
      </c>
      <c r="I120" s="58" t="n">
        <v>10</v>
      </c>
      <c r="J120" s="58" t="n">
        <f aca="false">ROUND(AVERAGE(H120:I120),1)</f>
        <v>8</v>
      </c>
      <c r="K120" s="59" t="n">
        <v>1</v>
      </c>
      <c r="L120" s="58" t="n">
        <f aca="false">J120+K120</f>
        <v>9</v>
      </c>
      <c r="M120" s="60" t="n">
        <f aca="false">IFERROR(INDEX(99_Listas!$C$2:$C$5,MATCH(G120,99_Listas!$B$2:$B$5,0)),0)</f>
        <v>0.07</v>
      </c>
      <c r="N120" s="58" t="n">
        <f aca="false">ROUND(J120*M120,2)</f>
        <v>0.56</v>
      </c>
      <c r="O120" s="58" t="n">
        <f aca="false">ROUND(J120-N120,2)</f>
        <v>7.44</v>
      </c>
      <c r="P120" s="55" t="s">
        <v>566</v>
      </c>
      <c r="Q120" s="54" t="n">
        <v>8</v>
      </c>
      <c r="R120" s="55" t="s">
        <v>276</v>
      </c>
      <c r="S120" s="56" t="s">
        <v>228</v>
      </c>
      <c r="T120" s="56" t="s">
        <v>159</v>
      </c>
      <c r="U120" s="56"/>
    </row>
    <row r="121" customFormat="false" ht="15" hidden="false" customHeight="true" outlineLevel="0" collapsed="false">
      <c r="A121" s="61" t="n">
        <v>120</v>
      </c>
      <c r="B121" s="62" t="s">
        <v>595</v>
      </c>
      <c r="C121" s="63" t="s">
        <v>942</v>
      </c>
      <c r="D121" s="63" t="s">
        <v>943</v>
      </c>
      <c r="E121" s="57" t="s">
        <v>944</v>
      </c>
      <c r="F121" s="62" t="s">
        <v>226</v>
      </c>
      <c r="G121" s="62" t="s">
        <v>157</v>
      </c>
      <c r="H121" s="64" t="n">
        <v>6</v>
      </c>
      <c r="I121" s="64" t="n">
        <v>11</v>
      </c>
      <c r="J121" s="64" t="n">
        <f aca="false">ROUND(AVERAGE(H121:I121),1)</f>
        <v>8.5</v>
      </c>
      <c r="K121" s="59" t="n">
        <v>1</v>
      </c>
      <c r="L121" s="64" t="n">
        <f aca="false">J121+K121</f>
        <v>9.5</v>
      </c>
      <c r="M121" s="65" t="n">
        <f aca="false">IFERROR(INDEX(99_Listas!$C$2:$C$5,MATCH(G121,99_Listas!$B$2:$B$5,0)),0)</f>
        <v>0.07</v>
      </c>
      <c r="N121" s="64" t="n">
        <f aca="false">ROUND(J121*M121,2)</f>
        <v>0.6</v>
      </c>
      <c r="O121" s="64" t="n">
        <f aca="false">ROUND(J121-N121,2)</f>
        <v>7.9</v>
      </c>
      <c r="P121" s="62" t="s">
        <v>566</v>
      </c>
      <c r="Q121" s="61" t="n">
        <v>8</v>
      </c>
      <c r="R121" s="62" t="s">
        <v>165</v>
      </c>
      <c r="S121" s="63" t="s">
        <v>228</v>
      </c>
      <c r="T121" s="63" t="s">
        <v>254</v>
      </c>
      <c r="U121" s="63"/>
    </row>
    <row r="122" customFormat="false" ht="15" hidden="false" customHeight="true" outlineLevel="0" collapsed="false">
      <c r="A122" s="54" t="n">
        <v>121</v>
      </c>
      <c r="B122" s="55" t="s">
        <v>595</v>
      </c>
      <c r="C122" s="56" t="s">
        <v>945</v>
      </c>
      <c r="D122" s="56" t="s">
        <v>946</v>
      </c>
      <c r="E122" s="57" t="s">
        <v>577</v>
      </c>
      <c r="F122" s="55" t="s">
        <v>226</v>
      </c>
      <c r="G122" s="55" t="s">
        <v>157</v>
      </c>
      <c r="H122" s="58" t="n">
        <v>7</v>
      </c>
      <c r="I122" s="58" t="n">
        <v>13</v>
      </c>
      <c r="J122" s="58" t="n">
        <f aca="false">ROUND(AVERAGE(H122:I122),1)</f>
        <v>10</v>
      </c>
      <c r="K122" s="59" t="n">
        <v>1</v>
      </c>
      <c r="L122" s="58" t="n">
        <f aca="false">J122+K122</f>
        <v>11</v>
      </c>
      <c r="M122" s="60" t="n">
        <f aca="false">IFERROR(INDEX(99_Listas!$C$2:$C$5,MATCH(G122,99_Listas!$B$2:$B$5,0)),0)</f>
        <v>0.07</v>
      </c>
      <c r="N122" s="58" t="n">
        <f aca="false">ROUND(J122*M122,2)</f>
        <v>0.7</v>
      </c>
      <c r="O122" s="58" t="n">
        <f aca="false">ROUND(J122-N122,2)</f>
        <v>9.3</v>
      </c>
      <c r="P122" s="55" t="s">
        <v>566</v>
      </c>
      <c r="Q122" s="54" t="n">
        <v>10</v>
      </c>
      <c r="R122" s="55" t="s">
        <v>165</v>
      </c>
      <c r="S122" s="56" t="s">
        <v>228</v>
      </c>
      <c r="T122" s="56" t="s">
        <v>339</v>
      </c>
      <c r="U122" s="56"/>
    </row>
    <row r="123" customFormat="false" ht="15" hidden="false" customHeight="true" outlineLevel="0" collapsed="false">
      <c r="A123" s="61" t="n">
        <v>122</v>
      </c>
      <c r="B123" s="62" t="s">
        <v>595</v>
      </c>
      <c r="C123" s="63" t="s">
        <v>947</v>
      </c>
      <c r="D123" s="63" t="s">
        <v>722</v>
      </c>
      <c r="E123" s="57" t="s">
        <v>948</v>
      </c>
      <c r="F123" s="62" t="s">
        <v>226</v>
      </c>
      <c r="G123" s="62" t="s">
        <v>157</v>
      </c>
      <c r="H123" s="64" t="n">
        <v>7</v>
      </c>
      <c r="I123" s="64" t="n">
        <v>13</v>
      </c>
      <c r="J123" s="64" t="n">
        <f aca="false">ROUND(AVERAGE(H123:I123),1)</f>
        <v>10</v>
      </c>
      <c r="K123" s="59" t="n">
        <v>1</v>
      </c>
      <c r="L123" s="64" t="n">
        <f aca="false">J123+K123</f>
        <v>11</v>
      </c>
      <c r="M123" s="65" t="n">
        <f aca="false">IFERROR(INDEX(99_Listas!$C$2:$C$5,MATCH(G123,99_Listas!$B$2:$B$5,0)),0)</f>
        <v>0.07</v>
      </c>
      <c r="N123" s="64" t="n">
        <f aca="false">ROUND(J123*M123,2)</f>
        <v>0.7</v>
      </c>
      <c r="O123" s="64" t="n">
        <f aca="false">ROUND(J123-N123,2)</f>
        <v>9.3</v>
      </c>
      <c r="P123" s="62" t="s">
        <v>566</v>
      </c>
      <c r="Q123" s="61" t="n">
        <v>10</v>
      </c>
      <c r="R123" s="62" t="s">
        <v>165</v>
      </c>
      <c r="S123" s="63" t="s">
        <v>228</v>
      </c>
      <c r="T123" s="63" t="s">
        <v>339</v>
      </c>
      <c r="U123" s="63"/>
    </row>
    <row r="124" customFormat="false" ht="15" hidden="false" customHeight="true" outlineLevel="0" collapsed="false">
      <c r="A124" s="54" t="n">
        <v>123</v>
      </c>
      <c r="B124" s="55" t="s">
        <v>595</v>
      </c>
      <c r="C124" s="56" t="s">
        <v>949</v>
      </c>
      <c r="D124" s="56" t="s">
        <v>950</v>
      </c>
      <c r="E124" s="57" t="s">
        <v>951</v>
      </c>
      <c r="F124" s="55" t="s">
        <v>226</v>
      </c>
      <c r="G124" s="55" t="s">
        <v>157</v>
      </c>
      <c r="H124" s="58" t="n">
        <v>8</v>
      </c>
      <c r="I124" s="58" t="n">
        <v>14</v>
      </c>
      <c r="J124" s="58" t="n">
        <f aca="false">ROUND(AVERAGE(H124:I124),1)</f>
        <v>11</v>
      </c>
      <c r="K124" s="59" t="n">
        <v>1</v>
      </c>
      <c r="L124" s="58" t="n">
        <f aca="false">J124+K124</f>
        <v>12</v>
      </c>
      <c r="M124" s="60" t="n">
        <f aca="false">IFERROR(INDEX(99_Listas!$C$2:$C$5,MATCH(G124,99_Listas!$B$2:$B$5,0)),0)</f>
        <v>0.07</v>
      </c>
      <c r="N124" s="58" t="n">
        <f aca="false">ROUND(J124*M124,2)</f>
        <v>0.77</v>
      </c>
      <c r="O124" s="58" t="n">
        <f aca="false">ROUND(J124-N124,2)</f>
        <v>10.23</v>
      </c>
      <c r="P124" s="55" t="s">
        <v>578</v>
      </c>
      <c r="Q124" s="54" t="n">
        <v>12</v>
      </c>
      <c r="R124" s="55" t="s">
        <v>165</v>
      </c>
      <c r="S124" s="56" t="s">
        <v>228</v>
      </c>
      <c r="T124" s="56" t="s">
        <v>339</v>
      </c>
      <c r="U124" s="56" t="s">
        <v>952</v>
      </c>
    </row>
    <row r="125" customFormat="false" ht="15" hidden="false" customHeight="true" outlineLevel="0" collapsed="false">
      <c r="A125" s="61" t="n">
        <v>124</v>
      </c>
      <c r="B125" s="62" t="s">
        <v>595</v>
      </c>
      <c r="C125" s="63" t="s">
        <v>953</v>
      </c>
      <c r="D125" s="63" t="s">
        <v>954</v>
      </c>
      <c r="E125" s="57" t="s">
        <v>955</v>
      </c>
      <c r="F125" s="62" t="s">
        <v>226</v>
      </c>
      <c r="G125" s="62" t="s">
        <v>161</v>
      </c>
      <c r="H125" s="64" t="n">
        <v>10</v>
      </c>
      <c r="I125" s="64" t="n">
        <v>18</v>
      </c>
      <c r="J125" s="64" t="n">
        <f aca="false">ROUND(AVERAGE(H125:I125),1)</f>
        <v>14</v>
      </c>
      <c r="K125" s="59" t="n">
        <v>1</v>
      </c>
      <c r="L125" s="64" t="n">
        <f aca="false">J125+K125</f>
        <v>15</v>
      </c>
      <c r="M125" s="65" t="n">
        <f aca="false">IFERROR(INDEX(99_Listas!$C$2:$C$5,MATCH(G125,99_Listas!$B$2:$B$5,0)),0)</f>
        <v>0.09</v>
      </c>
      <c r="N125" s="64" t="n">
        <f aca="false">ROUND(J125*M125,2)</f>
        <v>1.26</v>
      </c>
      <c r="O125" s="64" t="n">
        <f aca="false">ROUND(J125-N125,2)</f>
        <v>12.74</v>
      </c>
      <c r="P125" s="62" t="s">
        <v>715</v>
      </c>
      <c r="Q125" s="61" t="n">
        <v>12</v>
      </c>
      <c r="R125" s="62" t="s">
        <v>165</v>
      </c>
      <c r="S125" s="63" t="s">
        <v>228</v>
      </c>
      <c r="T125" s="63" t="s">
        <v>956</v>
      </c>
      <c r="U125" s="63"/>
    </row>
    <row r="126" customFormat="false" ht="15" hidden="false" customHeight="true" outlineLevel="0" collapsed="false">
      <c r="A126" s="54" t="n">
        <v>125</v>
      </c>
      <c r="B126" s="55" t="s">
        <v>595</v>
      </c>
      <c r="C126" s="56" t="s">
        <v>957</v>
      </c>
      <c r="D126" s="56" t="s">
        <v>958</v>
      </c>
      <c r="E126" s="57" t="s">
        <v>959</v>
      </c>
      <c r="F126" s="55" t="s">
        <v>344</v>
      </c>
      <c r="G126" s="55" t="s">
        <v>157</v>
      </c>
      <c r="H126" s="58" t="n">
        <v>8</v>
      </c>
      <c r="I126" s="58" t="n">
        <v>14</v>
      </c>
      <c r="J126" s="58" t="n">
        <f aca="false">ROUND(AVERAGE(H126:I126),1)</f>
        <v>11</v>
      </c>
      <c r="K126" s="59" t="n">
        <v>1</v>
      </c>
      <c r="L126" s="58" t="n">
        <f aca="false">J126+K126</f>
        <v>12</v>
      </c>
      <c r="M126" s="60" t="n">
        <f aca="false">IFERROR(INDEX(99_Listas!$C$2:$C$5,MATCH(G126,99_Listas!$B$2:$B$5,0)),0)</f>
        <v>0.07</v>
      </c>
      <c r="N126" s="58" t="n">
        <f aca="false">ROUND(J126*M126,2)</f>
        <v>0.77</v>
      </c>
      <c r="O126" s="58" t="n">
        <f aca="false">ROUND(J126-N126,2)</f>
        <v>10.23</v>
      </c>
      <c r="P126" s="55" t="s">
        <v>578</v>
      </c>
      <c r="Q126" s="54" t="n">
        <v>10</v>
      </c>
      <c r="R126" s="55" t="s">
        <v>276</v>
      </c>
      <c r="S126" s="56" t="s">
        <v>228</v>
      </c>
      <c r="T126" s="56" t="s">
        <v>339</v>
      </c>
      <c r="U126" s="56"/>
    </row>
    <row r="127" customFormat="false" ht="15" hidden="false" customHeight="true" outlineLevel="0" collapsed="false">
      <c r="A127" s="61" t="n">
        <v>126</v>
      </c>
      <c r="B127" s="62" t="s">
        <v>618</v>
      </c>
      <c r="C127" s="63" t="s">
        <v>960</v>
      </c>
      <c r="D127" s="63" t="s">
        <v>746</v>
      </c>
      <c r="E127" s="57" t="s">
        <v>674</v>
      </c>
      <c r="F127" s="62" t="s">
        <v>344</v>
      </c>
      <c r="G127" s="62" t="s">
        <v>161</v>
      </c>
      <c r="H127" s="64" t="n">
        <v>10</v>
      </c>
      <c r="I127" s="64" t="n">
        <v>17</v>
      </c>
      <c r="J127" s="64" t="n">
        <f aca="false">ROUND(AVERAGE(H127:I127),1)</f>
        <v>13.5</v>
      </c>
      <c r="K127" s="59" t="n">
        <v>1</v>
      </c>
      <c r="L127" s="64" t="n">
        <f aca="false">J127+K127</f>
        <v>14.5</v>
      </c>
      <c r="M127" s="65" t="n">
        <f aca="false">IFERROR(INDEX(99_Listas!$C$2:$C$5,MATCH(G127,99_Listas!$B$2:$B$5,0)),0)</f>
        <v>0.09</v>
      </c>
      <c r="N127" s="64" t="n">
        <f aca="false">ROUND(J127*M127,2)</f>
        <v>1.22</v>
      </c>
      <c r="O127" s="64" t="n">
        <f aca="false">ROUND(J127-N127,2)</f>
        <v>12.28</v>
      </c>
      <c r="P127" s="62" t="s">
        <v>578</v>
      </c>
      <c r="Q127" s="61" t="n">
        <v>10</v>
      </c>
      <c r="R127" s="62" t="s">
        <v>276</v>
      </c>
      <c r="S127" s="63" t="s">
        <v>228</v>
      </c>
      <c r="T127" s="63" t="s">
        <v>339</v>
      </c>
      <c r="U127" s="63"/>
    </row>
    <row r="128" customFormat="false" ht="15" hidden="false" customHeight="true" outlineLevel="0" collapsed="false">
      <c r="A128" s="54" t="n">
        <v>127</v>
      </c>
      <c r="B128" s="55" t="s">
        <v>618</v>
      </c>
      <c r="C128" s="56" t="s">
        <v>961</v>
      </c>
      <c r="D128" s="56" t="s">
        <v>962</v>
      </c>
      <c r="E128" s="57" t="s">
        <v>674</v>
      </c>
      <c r="F128" s="55" t="s">
        <v>344</v>
      </c>
      <c r="G128" s="55" t="s">
        <v>161</v>
      </c>
      <c r="H128" s="58" t="n">
        <v>10</v>
      </c>
      <c r="I128" s="58" t="n">
        <v>16</v>
      </c>
      <c r="J128" s="58" t="n">
        <f aca="false">ROUND(AVERAGE(H128:I128),1)</f>
        <v>13</v>
      </c>
      <c r="K128" s="59" t="n">
        <v>1</v>
      </c>
      <c r="L128" s="58" t="n">
        <f aca="false">J128+K128</f>
        <v>14</v>
      </c>
      <c r="M128" s="60" t="n">
        <f aca="false">IFERROR(INDEX(99_Listas!$C$2:$C$5,MATCH(G128,99_Listas!$B$2:$B$5,0)),0)</f>
        <v>0.09</v>
      </c>
      <c r="N128" s="58" t="n">
        <f aca="false">ROUND(J128*M128,2)</f>
        <v>1.17</v>
      </c>
      <c r="O128" s="58" t="n">
        <f aca="false">ROUND(J128-N128,2)</f>
        <v>11.83</v>
      </c>
      <c r="P128" s="55" t="s">
        <v>578</v>
      </c>
      <c r="Q128" s="54" t="n">
        <v>12</v>
      </c>
      <c r="R128" s="55" t="s">
        <v>276</v>
      </c>
      <c r="S128" s="56" t="s">
        <v>228</v>
      </c>
      <c r="T128" s="56" t="s">
        <v>339</v>
      </c>
      <c r="U128" s="56"/>
    </row>
    <row r="129" customFormat="false" ht="15" hidden="false" customHeight="true" outlineLevel="0" collapsed="false">
      <c r="A129" s="61" t="n">
        <v>128</v>
      </c>
      <c r="B129" s="62" t="s">
        <v>618</v>
      </c>
      <c r="C129" s="63" t="s">
        <v>963</v>
      </c>
      <c r="D129" s="63" t="s">
        <v>964</v>
      </c>
      <c r="E129" s="57" t="s">
        <v>965</v>
      </c>
      <c r="F129" s="62" t="s">
        <v>344</v>
      </c>
      <c r="G129" s="62" t="s">
        <v>161</v>
      </c>
      <c r="H129" s="64" t="n">
        <v>11</v>
      </c>
      <c r="I129" s="64" t="n">
        <v>18</v>
      </c>
      <c r="J129" s="64" t="n">
        <f aca="false">ROUND(AVERAGE(H129:I129),1)</f>
        <v>14.5</v>
      </c>
      <c r="K129" s="59" t="n">
        <v>1</v>
      </c>
      <c r="L129" s="64" t="n">
        <f aca="false">J129+K129</f>
        <v>15.5</v>
      </c>
      <c r="M129" s="65" t="n">
        <f aca="false">IFERROR(INDEX(99_Listas!$C$2:$C$5,MATCH(G129,99_Listas!$B$2:$B$5,0)),0)</f>
        <v>0.09</v>
      </c>
      <c r="N129" s="64" t="n">
        <f aca="false">ROUND(J129*M129,2)</f>
        <v>1.31</v>
      </c>
      <c r="O129" s="64" t="n">
        <f aca="false">ROUND(J129-N129,2)</f>
        <v>13.19</v>
      </c>
      <c r="P129" s="62" t="s">
        <v>578</v>
      </c>
      <c r="Q129" s="61" t="n">
        <v>12</v>
      </c>
      <c r="R129" s="62" t="s">
        <v>276</v>
      </c>
      <c r="S129" s="63" t="s">
        <v>228</v>
      </c>
      <c r="T129" s="63" t="s">
        <v>339</v>
      </c>
      <c r="U129" s="63"/>
    </row>
    <row r="130" customFormat="false" ht="23.25" hidden="false" customHeight="true" outlineLevel="0" collapsed="false">
      <c r="A130" s="54" t="n">
        <v>129</v>
      </c>
      <c r="B130" s="55" t="s">
        <v>618</v>
      </c>
      <c r="C130" s="56" t="s">
        <v>966</v>
      </c>
      <c r="D130" s="56" t="s">
        <v>967</v>
      </c>
      <c r="E130" s="57" t="s">
        <v>650</v>
      </c>
      <c r="F130" s="55" t="s">
        <v>344</v>
      </c>
      <c r="G130" s="55" t="s">
        <v>161</v>
      </c>
      <c r="H130" s="58" t="n">
        <v>11</v>
      </c>
      <c r="I130" s="58" t="n">
        <v>18</v>
      </c>
      <c r="J130" s="58" t="n">
        <f aca="false">ROUND(AVERAGE(H130:I130),1)</f>
        <v>14.5</v>
      </c>
      <c r="K130" s="59" t="n">
        <v>1</v>
      </c>
      <c r="L130" s="58" t="n">
        <f aca="false">J130+K130</f>
        <v>15.5</v>
      </c>
      <c r="M130" s="60" t="n">
        <f aca="false">IFERROR(INDEX(99_Listas!$C$2:$C$5,MATCH(G130,99_Listas!$B$2:$B$5,0)),0)</f>
        <v>0.09</v>
      </c>
      <c r="N130" s="58" t="n">
        <f aca="false">ROUND(J130*M130,2)</f>
        <v>1.31</v>
      </c>
      <c r="O130" s="58" t="n">
        <f aca="false">ROUND(J130-N130,2)</f>
        <v>13.19</v>
      </c>
      <c r="P130" s="55" t="s">
        <v>578</v>
      </c>
      <c r="Q130" s="54" t="n">
        <v>12</v>
      </c>
      <c r="R130" s="55" t="s">
        <v>276</v>
      </c>
      <c r="S130" s="56" t="s">
        <v>228</v>
      </c>
      <c r="T130" s="56" t="s">
        <v>339</v>
      </c>
      <c r="U130" s="56"/>
    </row>
    <row r="131" customFormat="false" ht="15" hidden="false" customHeight="true" outlineLevel="0" collapsed="false">
      <c r="A131" s="61" t="n">
        <v>130</v>
      </c>
      <c r="B131" s="62" t="s">
        <v>618</v>
      </c>
      <c r="C131" s="63" t="s">
        <v>968</v>
      </c>
      <c r="D131" s="63" t="s">
        <v>969</v>
      </c>
      <c r="E131" s="57" t="s">
        <v>970</v>
      </c>
      <c r="F131" s="62" t="s">
        <v>344</v>
      </c>
      <c r="G131" s="62" t="s">
        <v>157</v>
      </c>
      <c r="H131" s="64" t="n">
        <v>9</v>
      </c>
      <c r="I131" s="64" t="n">
        <v>15</v>
      </c>
      <c r="J131" s="64" t="n">
        <f aca="false">ROUND(AVERAGE(H131:I131),1)</f>
        <v>12</v>
      </c>
      <c r="K131" s="59" t="n">
        <v>1</v>
      </c>
      <c r="L131" s="64" t="n">
        <f aca="false">J131+K131</f>
        <v>13</v>
      </c>
      <c r="M131" s="65" t="n">
        <f aca="false">IFERROR(INDEX(99_Listas!$C$2:$C$5,MATCH(G131,99_Listas!$B$2:$B$5,0)),0)</f>
        <v>0.07</v>
      </c>
      <c r="N131" s="64" t="n">
        <f aca="false">ROUND(J131*M131,2)</f>
        <v>0.84</v>
      </c>
      <c r="O131" s="64" t="n">
        <f aca="false">ROUND(J131-N131,2)</f>
        <v>11.16</v>
      </c>
      <c r="P131" s="62" t="s">
        <v>578</v>
      </c>
      <c r="Q131" s="61" t="n">
        <v>12</v>
      </c>
      <c r="R131" s="62" t="s">
        <v>276</v>
      </c>
      <c r="S131" s="63" t="s">
        <v>228</v>
      </c>
      <c r="T131" s="63" t="s">
        <v>339</v>
      </c>
      <c r="U131" s="63"/>
    </row>
    <row r="132" customFormat="false" ht="15" hidden="false" customHeight="true" outlineLevel="0" collapsed="false">
      <c r="A132" s="54" t="n">
        <v>131</v>
      </c>
      <c r="B132" s="55" t="s">
        <v>618</v>
      </c>
      <c r="C132" s="56" t="s">
        <v>971</v>
      </c>
      <c r="D132" s="56" t="s">
        <v>972</v>
      </c>
      <c r="E132" s="57" t="s">
        <v>973</v>
      </c>
      <c r="F132" s="55" t="s">
        <v>344</v>
      </c>
      <c r="G132" s="55" t="s">
        <v>157</v>
      </c>
      <c r="H132" s="58" t="n">
        <v>8</v>
      </c>
      <c r="I132" s="58" t="n">
        <v>14</v>
      </c>
      <c r="J132" s="58" t="n">
        <f aca="false">ROUND(AVERAGE(H132:I132),1)</f>
        <v>11</v>
      </c>
      <c r="K132" s="59" t="n">
        <v>1</v>
      </c>
      <c r="L132" s="58" t="n">
        <f aca="false">J132+K132</f>
        <v>12</v>
      </c>
      <c r="M132" s="60" t="n">
        <f aca="false">IFERROR(INDEX(99_Listas!$C$2:$C$5,MATCH(G132,99_Listas!$B$2:$B$5,0)),0)</f>
        <v>0.07</v>
      </c>
      <c r="N132" s="58" t="n">
        <f aca="false">ROUND(J132*M132,2)</f>
        <v>0.77</v>
      </c>
      <c r="O132" s="58" t="n">
        <f aca="false">ROUND(J132-N132,2)</f>
        <v>10.23</v>
      </c>
      <c r="P132" s="55" t="s">
        <v>578</v>
      </c>
      <c r="Q132" s="54" t="n">
        <v>10</v>
      </c>
      <c r="R132" s="55" t="s">
        <v>276</v>
      </c>
      <c r="S132" s="56" t="s">
        <v>228</v>
      </c>
      <c r="T132" s="56" t="s">
        <v>339</v>
      </c>
      <c r="U132" s="56"/>
    </row>
    <row r="133" customFormat="false" ht="15" hidden="false" customHeight="true" outlineLevel="0" collapsed="false">
      <c r="A133" s="61" t="n">
        <v>132</v>
      </c>
      <c r="B133" s="62" t="s">
        <v>618</v>
      </c>
      <c r="C133" s="63" t="s">
        <v>974</v>
      </c>
      <c r="D133" s="63" t="s">
        <v>975</v>
      </c>
      <c r="E133" s="57" t="s">
        <v>638</v>
      </c>
      <c r="F133" s="62" t="s">
        <v>344</v>
      </c>
      <c r="G133" s="62" t="s">
        <v>161</v>
      </c>
      <c r="H133" s="64" t="n">
        <v>11</v>
      </c>
      <c r="I133" s="64" t="n">
        <v>18</v>
      </c>
      <c r="J133" s="64" t="n">
        <f aca="false">ROUND(AVERAGE(H133:I133),1)</f>
        <v>14.5</v>
      </c>
      <c r="K133" s="59" t="n">
        <v>1</v>
      </c>
      <c r="L133" s="64" t="n">
        <f aca="false">J133+K133</f>
        <v>15.5</v>
      </c>
      <c r="M133" s="65" t="n">
        <f aca="false">IFERROR(INDEX(99_Listas!$C$2:$C$5,MATCH(G133,99_Listas!$B$2:$B$5,0)),0)</f>
        <v>0.09</v>
      </c>
      <c r="N133" s="64" t="n">
        <f aca="false">ROUND(J133*M133,2)</f>
        <v>1.31</v>
      </c>
      <c r="O133" s="64" t="n">
        <f aca="false">ROUND(J133-N133,2)</f>
        <v>13.19</v>
      </c>
      <c r="P133" s="62" t="s">
        <v>578</v>
      </c>
      <c r="Q133" s="61" t="n">
        <v>10</v>
      </c>
      <c r="R133" s="62" t="s">
        <v>276</v>
      </c>
      <c r="S133" s="63" t="s">
        <v>228</v>
      </c>
      <c r="T133" s="63" t="s">
        <v>339</v>
      </c>
      <c r="U133" s="63"/>
    </row>
    <row r="134" customFormat="false" ht="23.25" hidden="false" customHeight="true" outlineLevel="0" collapsed="false">
      <c r="A134" s="54" t="n">
        <v>133</v>
      </c>
      <c r="B134" s="55" t="s">
        <v>618</v>
      </c>
      <c r="C134" s="56" t="s">
        <v>976</v>
      </c>
      <c r="D134" s="56" t="s">
        <v>977</v>
      </c>
      <c r="E134" s="57" t="s">
        <v>978</v>
      </c>
      <c r="F134" s="55" t="s">
        <v>482</v>
      </c>
      <c r="G134" s="55" t="s">
        <v>161</v>
      </c>
      <c r="H134" s="58" t="n">
        <v>12</v>
      </c>
      <c r="I134" s="58" t="n">
        <v>18</v>
      </c>
      <c r="J134" s="58" t="n">
        <f aca="false">ROUND(AVERAGE(H134:I134),1)</f>
        <v>15</v>
      </c>
      <c r="K134" s="59" t="n">
        <v>1</v>
      </c>
      <c r="L134" s="58" t="n">
        <f aca="false">J134+K134</f>
        <v>16</v>
      </c>
      <c r="M134" s="60" t="n">
        <f aca="false">IFERROR(INDEX(99_Listas!$C$2:$C$5,MATCH(G134,99_Listas!$B$2:$B$5,0)),0)</f>
        <v>0.09</v>
      </c>
      <c r="N134" s="58" t="n">
        <f aca="false">ROUND(J134*M134,2)</f>
        <v>1.35</v>
      </c>
      <c r="O134" s="58" t="n">
        <f aca="false">ROUND(J134-N134,2)</f>
        <v>13.65</v>
      </c>
      <c r="P134" s="55" t="s">
        <v>578</v>
      </c>
      <c r="Q134" s="54" t="n">
        <v>10</v>
      </c>
      <c r="R134" s="55" t="s">
        <v>165</v>
      </c>
      <c r="S134" s="56" t="s">
        <v>228</v>
      </c>
      <c r="T134" s="56" t="s">
        <v>167</v>
      </c>
      <c r="U134" s="56" t="s">
        <v>979</v>
      </c>
    </row>
    <row r="135" customFormat="false" ht="15" hidden="false" customHeight="true" outlineLevel="0" collapsed="false">
      <c r="A135" s="61" t="n">
        <v>134</v>
      </c>
      <c r="B135" s="62" t="s">
        <v>618</v>
      </c>
      <c r="C135" s="63" t="s">
        <v>980</v>
      </c>
      <c r="D135" s="63" t="s">
        <v>981</v>
      </c>
      <c r="E135" s="57" t="s">
        <v>736</v>
      </c>
      <c r="F135" s="62" t="s">
        <v>344</v>
      </c>
      <c r="G135" s="62" t="s">
        <v>161</v>
      </c>
      <c r="H135" s="64" t="n">
        <v>11</v>
      </c>
      <c r="I135" s="64" t="n">
        <v>18</v>
      </c>
      <c r="J135" s="64" t="n">
        <f aca="false">ROUND(AVERAGE(H135:I135),1)</f>
        <v>14.5</v>
      </c>
      <c r="K135" s="59" t="n">
        <v>1</v>
      </c>
      <c r="L135" s="64" t="n">
        <f aca="false">J135+K135</f>
        <v>15.5</v>
      </c>
      <c r="M135" s="65" t="n">
        <f aca="false">IFERROR(INDEX(99_Listas!$C$2:$C$5,MATCH(G135,99_Listas!$B$2:$B$5,0)),0)</f>
        <v>0.09</v>
      </c>
      <c r="N135" s="64" t="n">
        <f aca="false">ROUND(J135*M135,2)</f>
        <v>1.31</v>
      </c>
      <c r="O135" s="64" t="n">
        <f aca="false">ROUND(J135-N135,2)</f>
        <v>13.19</v>
      </c>
      <c r="P135" s="62" t="s">
        <v>578</v>
      </c>
      <c r="Q135" s="61" t="n">
        <v>10</v>
      </c>
      <c r="R135" s="62" t="s">
        <v>276</v>
      </c>
      <c r="S135" s="63" t="s">
        <v>228</v>
      </c>
      <c r="T135" s="63" t="s">
        <v>339</v>
      </c>
      <c r="U135" s="63"/>
    </row>
    <row r="136" customFormat="false" ht="15" hidden="false" customHeight="true" outlineLevel="0" collapsed="false">
      <c r="A136" s="54" t="n">
        <v>135</v>
      </c>
      <c r="B136" s="55" t="s">
        <v>618</v>
      </c>
      <c r="C136" s="56" t="s">
        <v>982</v>
      </c>
      <c r="D136" s="56" t="s">
        <v>983</v>
      </c>
      <c r="E136" s="57" t="s">
        <v>984</v>
      </c>
      <c r="F136" s="55" t="s">
        <v>344</v>
      </c>
      <c r="G136" s="55" t="s">
        <v>161</v>
      </c>
      <c r="H136" s="58" t="n">
        <v>12</v>
      </c>
      <c r="I136" s="58" t="n">
        <v>20</v>
      </c>
      <c r="J136" s="58" t="n">
        <f aca="false">ROUND(AVERAGE(H136:I136),1)</f>
        <v>16</v>
      </c>
      <c r="K136" s="59" t="n">
        <v>1</v>
      </c>
      <c r="L136" s="58" t="n">
        <f aca="false">J136+K136</f>
        <v>17</v>
      </c>
      <c r="M136" s="60" t="n">
        <f aca="false">IFERROR(INDEX(99_Listas!$C$2:$C$5,MATCH(G136,99_Listas!$B$2:$B$5,0)),0)</f>
        <v>0.09</v>
      </c>
      <c r="N136" s="58" t="n">
        <f aca="false">ROUND(J136*M136,2)</f>
        <v>1.44</v>
      </c>
      <c r="O136" s="58" t="n">
        <f aca="false">ROUND(J136-N136,2)</f>
        <v>14.56</v>
      </c>
      <c r="P136" s="55" t="s">
        <v>578</v>
      </c>
      <c r="Q136" s="54" t="n">
        <v>12</v>
      </c>
      <c r="R136" s="55" t="s">
        <v>276</v>
      </c>
      <c r="S136" s="56" t="s">
        <v>228</v>
      </c>
      <c r="T136" s="56" t="s">
        <v>339</v>
      </c>
      <c r="U136" s="56"/>
    </row>
    <row r="137" customFormat="false" ht="15" hidden="false" customHeight="true" outlineLevel="0" collapsed="false">
      <c r="A137" s="61" t="n">
        <v>136</v>
      </c>
      <c r="B137" s="62" t="s">
        <v>618</v>
      </c>
      <c r="C137" s="63" t="s">
        <v>985</v>
      </c>
      <c r="D137" s="63" t="s">
        <v>986</v>
      </c>
      <c r="E137" s="57" t="s">
        <v>987</v>
      </c>
      <c r="F137" s="62" t="s">
        <v>344</v>
      </c>
      <c r="G137" s="62" t="s">
        <v>161</v>
      </c>
      <c r="H137" s="64" t="n">
        <v>11</v>
      </c>
      <c r="I137" s="64" t="n">
        <v>18</v>
      </c>
      <c r="J137" s="64" t="n">
        <f aca="false">ROUND(AVERAGE(H137:I137),1)</f>
        <v>14.5</v>
      </c>
      <c r="K137" s="59" t="n">
        <v>1</v>
      </c>
      <c r="L137" s="64" t="n">
        <f aca="false">J137+K137</f>
        <v>15.5</v>
      </c>
      <c r="M137" s="65" t="n">
        <f aca="false">IFERROR(INDEX(99_Listas!$C$2:$C$5,MATCH(G137,99_Listas!$B$2:$B$5,0)),0)</f>
        <v>0.09</v>
      </c>
      <c r="N137" s="64" t="n">
        <f aca="false">ROUND(J137*M137,2)</f>
        <v>1.31</v>
      </c>
      <c r="O137" s="64" t="n">
        <f aca="false">ROUND(J137-N137,2)</f>
        <v>13.19</v>
      </c>
      <c r="P137" s="62" t="s">
        <v>578</v>
      </c>
      <c r="Q137" s="61" t="n">
        <v>12</v>
      </c>
      <c r="R137" s="62" t="s">
        <v>276</v>
      </c>
      <c r="S137" s="63" t="s">
        <v>228</v>
      </c>
      <c r="T137" s="63" t="s">
        <v>339</v>
      </c>
      <c r="U137" s="63"/>
    </row>
    <row r="138" customFormat="false" ht="23.25" hidden="false" customHeight="true" outlineLevel="0" collapsed="false">
      <c r="A138" s="54" t="n">
        <v>137</v>
      </c>
      <c r="B138" s="55" t="s">
        <v>618</v>
      </c>
      <c r="C138" s="56" t="s">
        <v>988</v>
      </c>
      <c r="D138" s="56" t="s">
        <v>989</v>
      </c>
      <c r="E138" s="57" t="s">
        <v>728</v>
      </c>
      <c r="F138" s="55" t="s">
        <v>344</v>
      </c>
      <c r="G138" s="55" t="s">
        <v>157</v>
      </c>
      <c r="H138" s="58" t="n">
        <v>9</v>
      </c>
      <c r="I138" s="58" t="n">
        <v>15</v>
      </c>
      <c r="J138" s="58" t="n">
        <f aca="false">ROUND(AVERAGE(H138:I138),1)</f>
        <v>12</v>
      </c>
      <c r="K138" s="59" t="n">
        <v>1</v>
      </c>
      <c r="L138" s="58" t="n">
        <f aca="false">J138+K138</f>
        <v>13</v>
      </c>
      <c r="M138" s="60" t="n">
        <f aca="false">IFERROR(INDEX(99_Listas!$C$2:$C$5,MATCH(G138,99_Listas!$B$2:$B$5,0)),0)</f>
        <v>0.07</v>
      </c>
      <c r="N138" s="58" t="n">
        <f aca="false">ROUND(J138*M138,2)</f>
        <v>0.84</v>
      </c>
      <c r="O138" s="58" t="n">
        <f aca="false">ROUND(J138-N138,2)</f>
        <v>11.16</v>
      </c>
      <c r="P138" s="55" t="s">
        <v>578</v>
      </c>
      <c r="Q138" s="54" t="n">
        <v>10</v>
      </c>
      <c r="R138" s="55" t="s">
        <v>276</v>
      </c>
      <c r="S138" s="56" t="s">
        <v>228</v>
      </c>
      <c r="T138" s="56" t="s">
        <v>339</v>
      </c>
      <c r="U138" s="56"/>
    </row>
    <row r="139" customFormat="false" ht="15" hidden="false" customHeight="true" outlineLevel="0" collapsed="false">
      <c r="A139" s="61" t="n">
        <v>138</v>
      </c>
      <c r="B139" s="62" t="s">
        <v>618</v>
      </c>
      <c r="C139" s="63" t="s">
        <v>990</v>
      </c>
      <c r="D139" s="63" t="s">
        <v>991</v>
      </c>
      <c r="E139" s="57" t="s">
        <v>992</v>
      </c>
      <c r="F139" s="62" t="s">
        <v>344</v>
      </c>
      <c r="G139" s="62" t="s">
        <v>157</v>
      </c>
      <c r="H139" s="64" t="n">
        <v>9</v>
      </c>
      <c r="I139" s="64" t="n">
        <v>15</v>
      </c>
      <c r="J139" s="64" t="n">
        <f aca="false">ROUND(AVERAGE(H139:I139),1)</f>
        <v>12</v>
      </c>
      <c r="K139" s="59" t="n">
        <v>1</v>
      </c>
      <c r="L139" s="64" t="n">
        <f aca="false">J139+K139</f>
        <v>13</v>
      </c>
      <c r="M139" s="65" t="n">
        <f aca="false">IFERROR(INDEX(99_Listas!$C$2:$C$5,MATCH(G139,99_Listas!$B$2:$B$5,0)),0)</f>
        <v>0.07</v>
      </c>
      <c r="N139" s="64" t="n">
        <f aca="false">ROUND(J139*M139,2)</f>
        <v>0.84</v>
      </c>
      <c r="O139" s="64" t="n">
        <f aca="false">ROUND(J139-N139,2)</f>
        <v>11.16</v>
      </c>
      <c r="P139" s="62" t="s">
        <v>578</v>
      </c>
      <c r="Q139" s="61" t="n">
        <v>12</v>
      </c>
      <c r="R139" s="62" t="s">
        <v>276</v>
      </c>
      <c r="S139" s="63" t="s">
        <v>228</v>
      </c>
      <c r="T139" s="63" t="s">
        <v>468</v>
      </c>
      <c r="U139" s="63"/>
    </row>
    <row r="140" customFormat="false" ht="15" hidden="false" customHeight="true" outlineLevel="0" collapsed="false">
      <c r="A140" s="54" t="n">
        <v>139</v>
      </c>
      <c r="B140" s="55" t="s">
        <v>618</v>
      </c>
      <c r="C140" s="56" t="s">
        <v>993</v>
      </c>
      <c r="D140" s="56" t="s">
        <v>994</v>
      </c>
      <c r="E140" s="57" t="s">
        <v>995</v>
      </c>
      <c r="F140" s="55" t="s">
        <v>344</v>
      </c>
      <c r="G140" s="55" t="s">
        <v>157</v>
      </c>
      <c r="H140" s="58" t="n">
        <v>8</v>
      </c>
      <c r="I140" s="58" t="n">
        <v>14</v>
      </c>
      <c r="J140" s="58" t="n">
        <f aca="false">ROUND(AVERAGE(H140:I140),1)</f>
        <v>11</v>
      </c>
      <c r="K140" s="59" t="n">
        <v>1</v>
      </c>
      <c r="L140" s="58" t="n">
        <f aca="false">J140+K140</f>
        <v>12</v>
      </c>
      <c r="M140" s="60" t="n">
        <f aca="false">IFERROR(INDEX(99_Listas!$C$2:$C$5,MATCH(G140,99_Listas!$B$2:$B$5,0)),0)</f>
        <v>0.07</v>
      </c>
      <c r="N140" s="58" t="n">
        <f aca="false">ROUND(J140*M140,2)</f>
        <v>0.77</v>
      </c>
      <c r="O140" s="58" t="n">
        <f aca="false">ROUND(J140-N140,2)</f>
        <v>10.23</v>
      </c>
      <c r="P140" s="55" t="s">
        <v>578</v>
      </c>
      <c r="Q140" s="54" t="n">
        <v>12</v>
      </c>
      <c r="R140" s="55" t="s">
        <v>276</v>
      </c>
      <c r="S140" s="56" t="s">
        <v>228</v>
      </c>
      <c r="T140" s="56" t="s">
        <v>339</v>
      </c>
      <c r="U140" s="56"/>
    </row>
    <row r="141" customFormat="false" ht="15" hidden="false" customHeight="true" outlineLevel="0" collapsed="false">
      <c r="A141" s="61" t="n">
        <v>140</v>
      </c>
      <c r="B141" s="62" t="s">
        <v>618</v>
      </c>
      <c r="C141" s="63" t="s">
        <v>996</v>
      </c>
      <c r="D141" s="63" t="s">
        <v>997</v>
      </c>
      <c r="E141" s="57" t="s">
        <v>998</v>
      </c>
      <c r="F141" s="62" t="s">
        <v>344</v>
      </c>
      <c r="G141" s="62" t="s">
        <v>157</v>
      </c>
      <c r="H141" s="64" t="n">
        <v>8</v>
      </c>
      <c r="I141" s="64" t="n">
        <v>14</v>
      </c>
      <c r="J141" s="64" t="n">
        <f aca="false">ROUND(AVERAGE(H141:I141),1)</f>
        <v>11</v>
      </c>
      <c r="K141" s="59" t="n">
        <v>1</v>
      </c>
      <c r="L141" s="64" t="n">
        <f aca="false">J141+K141</f>
        <v>12</v>
      </c>
      <c r="M141" s="65" t="n">
        <f aca="false">IFERROR(INDEX(99_Listas!$C$2:$C$5,MATCH(G141,99_Listas!$B$2:$B$5,0)),0)</f>
        <v>0.07</v>
      </c>
      <c r="N141" s="64" t="n">
        <f aca="false">ROUND(J141*M141,2)</f>
        <v>0.77</v>
      </c>
      <c r="O141" s="64" t="n">
        <f aca="false">ROUND(J141-N141,2)</f>
        <v>10.23</v>
      </c>
      <c r="P141" s="62" t="s">
        <v>578</v>
      </c>
      <c r="Q141" s="61" t="n">
        <v>10</v>
      </c>
      <c r="R141" s="62" t="s">
        <v>276</v>
      </c>
      <c r="S141" s="63" t="s">
        <v>228</v>
      </c>
      <c r="T141" s="63" t="s">
        <v>339</v>
      </c>
      <c r="U141" s="63"/>
    </row>
    <row r="142" customFormat="false" ht="15" hidden="false" customHeight="true" outlineLevel="0" collapsed="false">
      <c r="A142" s="54" t="n">
        <v>141</v>
      </c>
      <c r="B142" s="55" t="s">
        <v>618</v>
      </c>
      <c r="C142" s="56" t="s">
        <v>999</v>
      </c>
      <c r="D142" s="56" t="s">
        <v>1000</v>
      </c>
      <c r="E142" s="57" t="s">
        <v>1001</v>
      </c>
      <c r="F142" s="55" t="s">
        <v>344</v>
      </c>
      <c r="G142" s="55" t="s">
        <v>161</v>
      </c>
      <c r="H142" s="58" t="n">
        <v>13</v>
      </c>
      <c r="I142" s="58" t="n">
        <v>22</v>
      </c>
      <c r="J142" s="58" t="n">
        <f aca="false">ROUND(AVERAGE(H142:I142),1)</f>
        <v>17.5</v>
      </c>
      <c r="K142" s="59" t="n">
        <v>1</v>
      </c>
      <c r="L142" s="58" t="n">
        <f aca="false">J142+K142</f>
        <v>18.5</v>
      </c>
      <c r="M142" s="60" t="n">
        <f aca="false">IFERROR(INDEX(99_Listas!$C$2:$C$5,MATCH(G142,99_Listas!$B$2:$B$5,0)),0)</f>
        <v>0.09</v>
      </c>
      <c r="N142" s="58" t="n">
        <f aca="false">ROUND(J142*M142,2)</f>
        <v>1.58</v>
      </c>
      <c r="O142" s="58" t="n">
        <f aca="false">ROUND(J142-N142,2)</f>
        <v>15.92</v>
      </c>
      <c r="P142" s="55" t="s">
        <v>578</v>
      </c>
      <c r="Q142" s="54" t="n">
        <v>14</v>
      </c>
      <c r="R142" s="55" t="s">
        <v>276</v>
      </c>
      <c r="S142" s="56" t="s">
        <v>228</v>
      </c>
      <c r="T142" s="56" t="s">
        <v>203</v>
      </c>
      <c r="U142" s="56"/>
    </row>
    <row r="143" customFormat="false" ht="15" hidden="false" customHeight="true" outlineLevel="0" collapsed="false">
      <c r="A143" s="61" t="n">
        <v>142</v>
      </c>
      <c r="B143" s="62" t="s">
        <v>618</v>
      </c>
      <c r="C143" s="63" t="s">
        <v>1002</v>
      </c>
      <c r="D143" s="63" t="s">
        <v>1003</v>
      </c>
      <c r="E143" s="57" t="s">
        <v>674</v>
      </c>
      <c r="F143" s="62" t="s">
        <v>344</v>
      </c>
      <c r="G143" s="62" t="s">
        <v>161</v>
      </c>
      <c r="H143" s="64" t="n">
        <v>12</v>
      </c>
      <c r="I143" s="64" t="n">
        <v>20</v>
      </c>
      <c r="J143" s="64" t="n">
        <f aca="false">ROUND(AVERAGE(H143:I143),1)</f>
        <v>16</v>
      </c>
      <c r="K143" s="59" t="n">
        <v>1</v>
      </c>
      <c r="L143" s="64" t="n">
        <f aca="false">J143+K143</f>
        <v>17</v>
      </c>
      <c r="M143" s="65" t="n">
        <f aca="false">IFERROR(INDEX(99_Listas!$C$2:$C$5,MATCH(G143,99_Listas!$B$2:$B$5,0)),0)</f>
        <v>0.09</v>
      </c>
      <c r="N143" s="64" t="n">
        <f aca="false">ROUND(J143*M143,2)</f>
        <v>1.44</v>
      </c>
      <c r="O143" s="64" t="n">
        <f aca="false">ROUND(J143-N143,2)</f>
        <v>14.56</v>
      </c>
      <c r="P143" s="62" t="s">
        <v>578</v>
      </c>
      <c r="Q143" s="61" t="n">
        <v>12</v>
      </c>
      <c r="R143" s="62" t="s">
        <v>276</v>
      </c>
      <c r="S143" s="63" t="s">
        <v>228</v>
      </c>
      <c r="T143" s="63" t="s">
        <v>203</v>
      </c>
      <c r="U143" s="63"/>
    </row>
    <row r="144" customFormat="false" ht="23.25" hidden="false" customHeight="true" outlineLevel="0" collapsed="false">
      <c r="A144" s="54" t="n">
        <v>143</v>
      </c>
      <c r="B144" s="55" t="s">
        <v>618</v>
      </c>
      <c r="C144" s="56" t="s">
        <v>1004</v>
      </c>
      <c r="D144" s="56" t="s">
        <v>1005</v>
      </c>
      <c r="E144" s="57" t="s">
        <v>669</v>
      </c>
      <c r="F144" s="55" t="s">
        <v>344</v>
      </c>
      <c r="G144" s="55" t="s">
        <v>157</v>
      </c>
      <c r="H144" s="58" t="n">
        <v>9</v>
      </c>
      <c r="I144" s="58" t="n">
        <v>15</v>
      </c>
      <c r="J144" s="58" t="n">
        <f aca="false">ROUND(AVERAGE(H144:I144),1)</f>
        <v>12</v>
      </c>
      <c r="K144" s="59" t="n">
        <v>1</v>
      </c>
      <c r="L144" s="58" t="n">
        <f aca="false">J144+K144</f>
        <v>13</v>
      </c>
      <c r="M144" s="60" t="n">
        <f aca="false">IFERROR(INDEX(99_Listas!$C$2:$C$5,MATCH(G144,99_Listas!$B$2:$B$5,0)),0)</f>
        <v>0.07</v>
      </c>
      <c r="N144" s="58" t="n">
        <f aca="false">ROUND(J144*M144,2)</f>
        <v>0.84</v>
      </c>
      <c r="O144" s="58" t="n">
        <f aca="false">ROUND(J144-N144,2)</f>
        <v>11.16</v>
      </c>
      <c r="P144" s="55" t="s">
        <v>578</v>
      </c>
      <c r="Q144" s="54" t="n">
        <v>10</v>
      </c>
      <c r="R144" s="55" t="s">
        <v>276</v>
      </c>
      <c r="S144" s="56" t="s">
        <v>228</v>
      </c>
      <c r="T144" s="56" t="s">
        <v>339</v>
      </c>
      <c r="U144" s="56"/>
    </row>
    <row r="145" customFormat="false" ht="15" hidden="false" customHeight="true" outlineLevel="0" collapsed="false">
      <c r="A145" s="61" t="n">
        <v>144</v>
      </c>
      <c r="B145" s="62" t="s">
        <v>618</v>
      </c>
      <c r="C145" s="63" t="s">
        <v>1006</v>
      </c>
      <c r="D145" s="63" t="s">
        <v>1007</v>
      </c>
      <c r="E145" s="57" t="s">
        <v>1008</v>
      </c>
      <c r="F145" s="62" t="s">
        <v>344</v>
      </c>
      <c r="G145" s="62" t="s">
        <v>161</v>
      </c>
      <c r="H145" s="64" t="n">
        <v>13</v>
      </c>
      <c r="I145" s="64" t="n">
        <v>22</v>
      </c>
      <c r="J145" s="64" t="n">
        <f aca="false">ROUND(AVERAGE(H145:I145),1)</f>
        <v>17.5</v>
      </c>
      <c r="K145" s="59" t="n">
        <v>1</v>
      </c>
      <c r="L145" s="64" t="n">
        <f aca="false">J145+K145</f>
        <v>18.5</v>
      </c>
      <c r="M145" s="65" t="n">
        <f aca="false">IFERROR(INDEX(99_Listas!$C$2:$C$5,MATCH(G145,99_Listas!$B$2:$B$5,0)),0)</f>
        <v>0.09</v>
      </c>
      <c r="N145" s="64" t="n">
        <f aca="false">ROUND(J145*M145,2)</f>
        <v>1.58</v>
      </c>
      <c r="O145" s="64" t="n">
        <f aca="false">ROUND(J145-N145,2)</f>
        <v>15.92</v>
      </c>
      <c r="P145" s="62" t="s">
        <v>715</v>
      </c>
      <c r="Q145" s="61" t="n">
        <v>14</v>
      </c>
      <c r="R145" s="62" t="s">
        <v>276</v>
      </c>
      <c r="S145" s="63" t="s">
        <v>228</v>
      </c>
      <c r="T145" s="63" t="s">
        <v>177</v>
      </c>
      <c r="U145" s="63"/>
    </row>
    <row r="146" customFormat="false" ht="15" hidden="false" customHeight="true" outlineLevel="0" collapsed="false">
      <c r="A146" s="54" t="n">
        <v>145</v>
      </c>
      <c r="B146" s="55" t="s">
        <v>699</v>
      </c>
      <c r="C146" s="56" t="s">
        <v>1009</v>
      </c>
      <c r="D146" s="56" t="s">
        <v>1010</v>
      </c>
      <c r="E146" s="57" t="s">
        <v>706</v>
      </c>
      <c r="F146" s="55" t="s">
        <v>344</v>
      </c>
      <c r="G146" s="55" t="s">
        <v>161</v>
      </c>
      <c r="H146" s="58" t="n">
        <v>12</v>
      </c>
      <c r="I146" s="58" t="n">
        <v>20</v>
      </c>
      <c r="J146" s="58" t="n">
        <f aca="false">ROUND(AVERAGE(H146:I146),1)</f>
        <v>16</v>
      </c>
      <c r="K146" s="59" t="n">
        <v>1</v>
      </c>
      <c r="L146" s="58" t="n">
        <f aca="false">J146+K146</f>
        <v>17</v>
      </c>
      <c r="M146" s="60" t="n">
        <f aca="false">IFERROR(INDEX(99_Listas!$C$2:$C$5,MATCH(G146,99_Listas!$B$2:$B$5,0)),0)</f>
        <v>0.09</v>
      </c>
      <c r="N146" s="58" t="n">
        <f aca="false">ROUND(J146*M146,2)</f>
        <v>1.44</v>
      </c>
      <c r="O146" s="58" t="n">
        <f aca="false">ROUND(J146-N146,2)</f>
        <v>14.56</v>
      </c>
      <c r="P146" s="55" t="s">
        <v>578</v>
      </c>
      <c r="Q146" s="54" t="n">
        <v>15</v>
      </c>
      <c r="R146" s="55" t="s">
        <v>276</v>
      </c>
      <c r="S146" s="56" t="s">
        <v>228</v>
      </c>
      <c r="T146" s="56" t="s">
        <v>260</v>
      </c>
      <c r="U146" s="56"/>
    </row>
    <row r="147" customFormat="false" ht="15" hidden="false" customHeight="true" outlineLevel="0" collapsed="false">
      <c r="A147" s="61" t="n">
        <v>146</v>
      </c>
      <c r="B147" s="62" t="s">
        <v>699</v>
      </c>
      <c r="C147" s="63" t="s">
        <v>1011</v>
      </c>
      <c r="D147" s="63" t="s">
        <v>1012</v>
      </c>
      <c r="E147" s="57" t="s">
        <v>1013</v>
      </c>
      <c r="F147" s="62" t="s">
        <v>344</v>
      </c>
      <c r="G147" s="62" t="s">
        <v>157</v>
      </c>
      <c r="H147" s="64" t="n">
        <v>8</v>
      </c>
      <c r="I147" s="64" t="n">
        <v>15</v>
      </c>
      <c r="J147" s="64" t="n">
        <f aca="false">ROUND(AVERAGE(H147:I147),1)</f>
        <v>11.5</v>
      </c>
      <c r="K147" s="59" t="n">
        <v>1</v>
      </c>
      <c r="L147" s="64" t="n">
        <f aca="false">J147+K147</f>
        <v>12.5</v>
      </c>
      <c r="M147" s="65" t="n">
        <f aca="false">IFERROR(INDEX(99_Listas!$C$2:$C$5,MATCH(G147,99_Listas!$B$2:$B$5,0)),0)</f>
        <v>0.07</v>
      </c>
      <c r="N147" s="64" t="n">
        <f aca="false">ROUND(J147*M147,2)</f>
        <v>0.81</v>
      </c>
      <c r="O147" s="64" t="n">
        <f aca="false">ROUND(J147-N147,2)</f>
        <v>10.69</v>
      </c>
      <c r="P147" s="62" t="s">
        <v>715</v>
      </c>
      <c r="Q147" s="61" t="n">
        <v>10</v>
      </c>
      <c r="R147" s="62" t="s">
        <v>276</v>
      </c>
      <c r="S147" s="63" t="s">
        <v>228</v>
      </c>
      <c r="T147" s="63" t="s">
        <v>260</v>
      </c>
      <c r="U147" s="63"/>
    </row>
    <row r="148" customFormat="false" ht="15" hidden="false" customHeight="true" outlineLevel="0" collapsed="false">
      <c r="A148" s="54" t="n">
        <v>147</v>
      </c>
      <c r="B148" s="55" t="s">
        <v>699</v>
      </c>
      <c r="C148" s="56" t="s">
        <v>1014</v>
      </c>
      <c r="D148" s="56" t="s">
        <v>1015</v>
      </c>
      <c r="E148" s="57" t="s">
        <v>353</v>
      </c>
      <c r="F148" s="55" t="s">
        <v>1016</v>
      </c>
      <c r="G148" s="55" t="s">
        <v>157</v>
      </c>
      <c r="H148" s="58" t="n">
        <v>5</v>
      </c>
      <c r="I148" s="58" t="n">
        <v>10</v>
      </c>
      <c r="J148" s="58" t="n">
        <f aca="false">ROUND(AVERAGE(H148:I148),1)</f>
        <v>7.5</v>
      </c>
      <c r="K148" s="59" t="n">
        <v>1</v>
      </c>
      <c r="L148" s="58" t="n">
        <f aca="false">J148+K148</f>
        <v>8.5</v>
      </c>
      <c r="M148" s="60" t="n">
        <f aca="false">IFERROR(INDEX(99_Listas!$C$2:$C$5,MATCH(G148,99_Listas!$B$2:$B$5,0)),0)</f>
        <v>0.07</v>
      </c>
      <c r="N148" s="58" t="n">
        <f aca="false">ROUND(J148*M148,2)</f>
        <v>0.53</v>
      </c>
      <c r="O148" s="58" t="n">
        <f aca="false">ROUND(J148-N148,2)</f>
        <v>6.97</v>
      </c>
      <c r="P148" s="55" t="s">
        <v>1017</v>
      </c>
      <c r="Q148" s="54" t="n">
        <v>5</v>
      </c>
      <c r="R148" s="55" t="s">
        <v>276</v>
      </c>
      <c r="S148" s="56" t="s">
        <v>228</v>
      </c>
      <c r="T148" s="56" t="s">
        <v>260</v>
      </c>
      <c r="U148" s="56"/>
    </row>
    <row r="149" customFormat="false" ht="15" hidden="false" customHeight="true" outlineLevel="0" collapsed="false">
      <c r="A149" s="61" t="n">
        <v>148</v>
      </c>
      <c r="B149" s="62" t="s">
        <v>699</v>
      </c>
      <c r="C149" s="63" t="s">
        <v>1018</v>
      </c>
      <c r="D149" s="63" t="s">
        <v>1019</v>
      </c>
      <c r="E149" s="57" t="s">
        <v>605</v>
      </c>
      <c r="F149" s="62" t="s">
        <v>226</v>
      </c>
      <c r="G149" s="62" t="s">
        <v>157</v>
      </c>
      <c r="H149" s="64" t="n">
        <v>8</v>
      </c>
      <c r="I149" s="64" t="n">
        <v>14</v>
      </c>
      <c r="J149" s="64" t="n">
        <f aca="false">ROUND(AVERAGE(H149:I149),1)</f>
        <v>11</v>
      </c>
      <c r="K149" s="59" t="n">
        <v>1</v>
      </c>
      <c r="L149" s="64" t="n">
        <f aca="false">J149+K149</f>
        <v>12</v>
      </c>
      <c r="M149" s="65" t="n">
        <f aca="false">IFERROR(INDEX(99_Listas!$C$2:$C$5,MATCH(G149,99_Listas!$B$2:$B$5,0)),0)</f>
        <v>0.07</v>
      </c>
      <c r="N149" s="64" t="n">
        <f aca="false">ROUND(J149*M149,2)</f>
        <v>0.77</v>
      </c>
      <c r="O149" s="64" t="n">
        <f aca="false">ROUND(J149-N149,2)</f>
        <v>10.23</v>
      </c>
      <c r="P149" s="62" t="s">
        <v>578</v>
      </c>
      <c r="Q149" s="61" t="n">
        <v>12</v>
      </c>
      <c r="R149" s="62" t="s">
        <v>165</v>
      </c>
      <c r="S149" s="63" t="s">
        <v>248</v>
      </c>
      <c r="T149" s="63" t="s">
        <v>260</v>
      </c>
      <c r="U149" s="63"/>
    </row>
    <row r="150" customFormat="false" ht="23.25" hidden="false" customHeight="true" outlineLevel="0" collapsed="false">
      <c r="A150" s="54" t="n">
        <v>149</v>
      </c>
      <c r="B150" s="55" t="s">
        <v>699</v>
      </c>
      <c r="C150" s="56" t="s">
        <v>1020</v>
      </c>
      <c r="D150" s="56" t="s">
        <v>1021</v>
      </c>
      <c r="E150" s="57" t="s">
        <v>757</v>
      </c>
      <c r="F150" s="55" t="s">
        <v>344</v>
      </c>
      <c r="G150" s="55" t="s">
        <v>165</v>
      </c>
      <c r="H150" s="58" t="n">
        <v>18</v>
      </c>
      <c r="I150" s="58" t="n">
        <v>30</v>
      </c>
      <c r="J150" s="58" t="n">
        <f aca="false">ROUND(AVERAGE(H150:I150),1)</f>
        <v>24</v>
      </c>
      <c r="K150" s="59" t="n">
        <v>1</v>
      </c>
      <c r="L150" s="58" t="n">
        <f aca="false">J150+K150</f>
        <v>25</v>
      </c>
      <c r="M150" s="60" t="n">
        <f aca="false">IFERROR(INDEX(99_Listas!$C$2:$C$5,MATCH(G150,99_Listas!$B$2:$B$5,0)),0)</f>
        <v>0.11</v>
      </c>
      <c r="N150" s="58" t="n">
        <f aca="false">ROUND(J150*M150,2)</f>
        <v>2.64</v>
      </c>
      <c r="O150" s="58" t="n">
        <f aca="false">ROUND(J150-N150,2)</f>
        <v>21.36</v>
      </c>
      <c r="P150" s="55" t="s">
        <v>715</v>
      </c>
      <c r="Q150" s="54" t="n">
        <v>20</v>
      </c>
      <c r="R150" s="55" t="s">
        <v>165</v>
      </c>
      <c r="S150" s="56" t="s">
        <v>228</v>
      </c>
      <c r="T150" s="56" t="s">
        <v>260</v>
      </c>
      <c r="U150" s="56"/>
    </row>
    <row r="151" customFormat="false" ht="15" hidden="false" customHeight="true" outlineLevel="0" collapsed="false">
      <c r="A151" s="61" t="n">
        <v>150</v>
      </c>
      <c r="B151" s="62" t="s">
        <v>699</v>
      </c>
      <c r="C151" s="63" t="s">
        <v>1022</v>
      </c>
      <c r="D151" s="63" t="s">
        <v>1023</v>
      </c>
      <c r="E151" s="57" t="s">
        <v>1024</v>
      </c>
      <c r="F151" s="62" t="s">
        <v>344</v>
      </c>
      <c r="G151" s="62" t="s">
        <v>157</v>
      </c>
      <c r="H151" s="64" t="n">
        <v>7</v>
      </c>
      <c r="I151" s="64" t="n">
        <v>13</v>
      </c>
      <c r="J151" s="64" t="n">
        <f aca="false">ROUND(AVERAGE(H151:I151),1)</f>
        <v>10</v>
      </c>
      <c r="K151" s="59" t="n">
        <v>1</v>
      </c>
      <c r="L151" s="64" t="n">
        <f aca="false">J151+K151</f>
        <v>11</v>
      </c>
      <c r="M151" s="65" t="n">
        <f aca="false">IFERROR(INDEX(99_Listas!$C$2:$C$5,MATCH(G151,99_Listas!$B$2:$B$5,0)),0)</f>
        <v>0.07</v>
      </c>
      <c r="N151" s="64" t="n">
        <f aca="false">ROUND(J151*M151,2)</f>
        <v>0.7</v>
      </c>
      <c r="O151" s="64" t="n">
        <f aca="false">ROUND(J151-N151,2)</f>
        <v>9.3</v>
      </c>
      <c r="P151" s="62" t="s">
        <v>715</v>
      </c>
      <c r="Q151" s="61" t="n">
        <v>10</v>
      </c>
      <c r="R151" s="62" t="s">
        <v>276</v>
      </c>
      <c r="S151" s="63" t="s">
        <v>228</v>
      </c>
      <c r="T151" s="63" t="s">
        <v>260</v>
      </c>
      <c r="U151" s="63"/>
    </row>
    <row r="152" customFormat="false" ht="15" hidden="false" customHeight="true" outlineLevel="0" collapsed="false">
      <c r="A152" s="54" t="n">
        <v>151</v>
      </c>
      <c r="B152" s="55" t="s">
        <v>699</v>
      </c>
      <c r="C152" s="56" t="s">
        <v>1025</v>
      </c>
      <c r="D152" s="56" t="s">
        <v>1026</v>
      </c>
      <c r="E152" s="57" t="s">
        <v>885</v>
      </c>
      <c r="F152" s="55" t="s">
        <v>482</v>
      </c>
      <c r="G152" s="55" t="s">
        <v>157</v>
      </c>
      <c r="H152" s="58" t="n">
        <v>8</v>
      </c>
      <c r="I152" s="58" t="n">
        <v>16</v>
      </c>
      <c r="J152" s="58" t="n">
        <f aca="false">ROUND(AVERAGE(H152:I152),1)</f>
        <v>12</v>
      </c>
      <c r="K152" s="59" t="n">
        <v>1</v>
      </c>
      <c r="L152" s="58" t="n">
        <f aca="false">J152+K152</f>
        <v>13</v>
      </c>
      <c r="M152" s="60" t="n">
        <f aca="false">IFERROR(INDEX(99_Listas!$C$2:$C$5,MATCH(G152,99_Listas!$B$2:$B$5,0)),0)</f>
        <v>0.07</v>
      </c>
      <c r="N152" s="58" t="n">
        <f aca="false">ROUND(J152*M152,2)</f>
        <v>0.84</v>
      </c>
      <c r="O152" s="58" t="n">
        <f aca="false">ROUND(J152-N152,2)</f>
        <v>11.16</v>
      </c>
      <c r="P152" s="55" t="s">
        <v>715</v>
      </c>
      <c r="Q152" s="54" t="n">
        <v>12</v>
      </c>
      <c r="R152" s="55" t="s">
        <v>276</v>
      </c>
      <c r="S152" s="56" t="s">
        <v>228</v>
      </c>
      <c r="T152" s="56" t="s">
        <v>888</v>
      </c>
      <c r="U152" s="56"/>
    </row>
    <row r="153" customFormat="false" ht="15" hidden="false" customHeight="true" outlineLevel="0" collapsed="false">
      <c r="A153" s="61" t="n">
        <v>152</v>
      </c>
      <c r="B153" s="62" t="s">
        <v>174</v>
      </c>
      <c r="C153" s="63" t="s">
        <v>1027</v>
      </c>
      <c r="D153" s="63" t="s">
        <v>1028</v>
      </c>
      <c r="E153" s="57" t="s">
        <v>1029</v>
      </c>
      <c r="F153" s="62" t="s">
        <v>344</v>
      </c>
      <c r="G153" s="62" t="s">
        <v>161</v>
      </c>
      <c r="H153" s="64" t="n">
        <v>12</v>
      </c>
      <c r="I153" s="64" t="n">
        <v>20</v>
      </c>
      <c r="J153" s="64" t="n">
        <f aca="false">ROUND(AVERAGE(H153:I153),1)</f>
        <v>16</v>
      </c>
      <c r="K153" s="59" t="n">
        <v>1</v>
      </c>
      <c r="L153" s="64" t="n">
        <f aca="false">J153+K153</f>
        <v>17</v>
      </c>
      <c r="M153" s="65" t="n">
        <f aca="false">IFERROR(INDEX(99_Listas!$C$2:$C$5,MATCH(G153,99_Listas!$B$2:$B$5,0)),0)</f>
        <v>0.09</v>
      </c>
      <c r="N153" s="64" t="n">
        <f aca="false">ROUND(J153*M153,2)</f>
        <v>1.44</v>
      </c>
      <c r="O153" s="64" t="n">
        <f aca="false">ROUND(J153-N153,2)</f>
        <v>14.56</v>
      </c>
      <c r="P153" s="62" t="s">
        <v>578</v>
      </c>
      <c r="Q153" s="61" t="n">
        <v>12</v>
      </c>
      <c r="R153" s="62" t="s">
        <v>276</v>
      </c>
      <c r="S153" s="63" t="s">
        <v>228</v>
      </c>
      <c r="T153" s="63" t="s">
        <v>174</v>
      </c>
      <c r="U153" s="63"/>
    </row>
    <row r="154" customFormat="false" ht="15" hidden="false" customHeight="true" outlineLevel="0" collapsed="false">
      <c r="A154" s="54" t="n">
        <v>153</v>
      </c>
      <c r="B154" s="55" t="s">
        <v>174</v>
      </c>
      <c r="C154" s="56" t="s">
        <v>1030</v>
      </c>
      <c r="D154" s="56" t="s">
        <v>1031</v>
      </c>
      <c r="E154" s="57" t="s">
        <v>965</v>
      </c>
      <c r="F154" s="55" t="s">
        <v>344</v>
      </c>
      <c r="G154" s="55" t="s">
        <v>165</v>
      </c>
      <c r="H154" s="58" t="n">
        <v>15</v>
      </c>
      <c r="I154" s="58" t="n">
        <v>26</v>
      </c>
      <c r="J154" s="58" t="n">
        <f aca="false">ROUND(AVERAGE(H154:I154),1)</f>
        <v>20.5</v>
      </c>
      <c r="K154" s="59" t="n">
        <v>1</v>
      </c>
      <c r="L154" s="58" t="n">
        <f aca="false">J154+K154</f>
        <v>21.5</v>
      </c>
      <c r="M154" s="60" t="n">
        <f aca="false">IFERROR(INDEX(99_Listas!$C$2:$C$5,MATCH(G154,99_Listas!$B$2:$B$5,0)),0)</f>
        <v>0.11</v>
      </c>
      <c r="N154" s="58" t="n">
        <f aca="false">ROUND(J154*M154,2)</f>
        <v>2.26</v>
      </c>
      <c r="O154" s="58" t="n">
        <f aca="false">ROUND(J154-N154,2)</f>
        <v>18.24</v>
      </c>
      <c r="P154" s="55" t="s">
        <v>578</v>
      </c>
      <c r="Q154" s="54" t="n">
        <v>14</v>
      </c>
      <c r="R154" s="55" t="s">
        <v>276</v>
      </c>
      <c r="S154" s="56" t="s">
        <v>228</v>
      </c>
      <c r="T154" s="56" t="s">
        <v>174</v>
      </c>
      <c r="U154" s="56"/>
    </row>
    <row r="155" customFormat="false" ht="23.25" hidden="false" customHeight="true" outlineLevel="0" collapsed="false">
      <c r="A155" s="61" t="n">
        <v>154</v>
      </c>
      <c r="B155" s="62" t="s">
        <v>174</v>
      </c>
      <c r="C155" s="63" t="s">
        <v>1032</v>
      </c>
      <c r="D155" s="63" t="s">
        <v>1033</v>
      </c>
      <c r="E155" s="57" t="s">
        <v>728</v>
      </c>
      <c r="F155" s="62" t="s">
        <v>344</v>
      </c>
      <c r="G155" s="62" t="s">
        <v>161</v>
      </c>
      <c r="H155" s="64" t="n">
        <v>11</v>
      </c>
      <c r="I155" s="64" t="n">
        <v>18</v>
      </c>
      <c r="J155" s="64" t="n">
        <f aca="false">ROUND(AVERAGE(H155:I155),1)</f>
        <v>14.5</v>
      </c>
      <c r="K155" s="59" t="n">
        <v>1</v>
      </c>
      <c r="L155" s="64" t="n">
        <f aca="false">J155+K155</f>
        <v>15.5</v>
      </c>
      <c r="M155" s="65" t="n">
        <f aca="false">IFERROR(INDEX(99_Listas!$C$2:$C$5,MATCH(G155,99_Listas!$B$2:$B$5,0)),0)</f>
        <v>0.09</v>
      </c>
      <c r="N155" s="64" t="n">
        <f aca="false">ROUND(J155*M155,2)</f>
        <v>1.31</v>
      </c>
      <c r="O155" s="64" t="n">
        <f aca="false">ROUND(J155-N155,2)</f>
        <v>13.19</v>
      </c>
      <c r="P155" s="62" t="s">
        <v>578</v>
      </c>
      <c r="Q155" s="61" t="n">
        <v>10</v>
      </c>
      <c r="R155" s="62" t="s">
        <v>276</v>
      </c>
      <c r="S155" s="63" t="s">
        <v>228</v>
      </c>
      <c r="T155" s="63" t="s">
        <v>174</v>
      </c>
      <c r="U155" s="63"/>
    </row>
    <row r="156" customFormat="false" ht="15" hidden="false" customHeight="true" outlineLevel="0" collapsed="false">
      <c r="A156" s="54" t="n">
        <v>155</v>
      </c>
      <c r="B156" s="55" t="s">
        <v>174</v>
      </c>
      <c r="C156" s="56" t="s">
        <v>1034</v>
      </c>
      <c r="D156" s="56" t="s">
        <v>1035</v>
      </c>
      <c r="E156" s="57" t="s">
        <v>1036</v>
      </c>
      <c r="F156" s="55" t="s">
        <v>927</v>
      </c>
      <c r="G156" s="55" t="s">
        <v>157</v>
      </c>
      <c r="H156" s="58" t="n">
        <v>4</v>
      </c>
      <c r="I156" s="58" t="n">
        <v>9</v>
      </c>
      <c r="J156" s="58" t="n">
        <f aca="false">ROUND(AVERAGE(H156:I156),1)</f>
        <v>6.5</v>
      </c>
      <c r="K156" s="59" t="n">
        <v>1</v>
      </c>
      <c r="L156" s="58" t="n">
        <f aca="false">J156+K156</f>
        <v>7.5</v>
      </c>
      <c r="M156" s="60" t="n">
        <f aca="false">IFERROR(INDEX(99_Listas!$C$2:$C$5,MATCH(G156,99_Listas!$B$2:$B$5,0)),0)</f>
        <v>0.07</v>
      </c>
      <c r="N156" s="58" t="n">
        <f aca="false">ROUND(J156*M156,2)</f>
        <v>0.46</v>
      </c>
      <c r="O156" s="58" t="n">
        <f aca="false">ROUND(J156-N156,2)</f>
        <v>6.04</v>
      </c>
      <c r="P156" s="55" t="s">
        <v>923</v>
      </c>
      <c r="Q156" s="54" t="n">
        <v>6</v>
      </c>
      <c r="R156" s="55" t="s">
        <v>276</v>
      </c>
      <c r="S156" s="56" t="s">
        <v>228</v>
      </c>
      <c r="T156" s="56" t="s">
        <v>174</v>
      </c>
      <c r="U156" s="56"/>
    </row>
    <row r="157" customFormat="false" ht="15" hidden="false" customHeight="true" outlineLevel="0" collapsed="false">
      <c r="A157" s="61" t="n">
        <v>156</v>
      </c>
      <c r="B157" s="62" t="s">
        <v>174</v>
      </c>
      <c r="C157" s="63" t="s">
        <v>1037</v>
      </c>
      <c r="D157" s="63" t="s">
        <v>1038</v>
      </c>
      <c r="E157" s="57" t="s">
        <v>1039</v>
      </c>
      <c r="F157" s="62" t="s">
        <v>226</v>
      </c>
      <c r="G157" s="62" t="s">
        <v>157</v>
      </c>
      <c r="H157" s="64" t="n">
        <v>8</v>
      </c>
      <c r="I157" s="64" t="n">
        <v>15</v>
      </c>
      <c r="J157" s="64" t="n">
        <f aca="false">ROUND(AVERAGE(H157:I157),1)</f>
        <v>11.5</v>
      </c>
      <c r="K157" s="59" t="n">
        <v>1</v>
      </c>
      <c r="L157" s="64" t="n">
        <f aca="false">J157+K157</f>
        <v>12.5</v>
      </c>
      <c r="M157" s="65" t="n">
        <f aca="false">IFERROR(INDEX(99_Listas!$C$2:$C$5,MATCH(G157,99_Listas!$B$2:$B$5,0)),0)</f>
        <v>0.07</v>
      </c>
      <c r="N157" s="64" t="n">
        <f aca="false">ROUND(J157*M157,2)</f>
        <v>0.81</v>
      </c>
      <c r="O157" s="64" t="n">
        <f aca="false">ROUND(J157-N157,2)</f>
        <v>10.69</v>
      </c>
      <c r="P157" s="62" t="s">
        <v>578</v>
      </c>
      <c r="Q157" s="61" t="n">
        <v>10</v>
      </c>
      <c r="R157" s="62" t="s">
        <v>165</v>
      </c>
      <c r="S157" s="63" t="s">
        <v>228</v>
      </c>
      <c r="T157" s="63" t="s">
        <v>174</v>
      </c>
      <c r="U157" s="63"/>
    </row>
    <row r="158" customFormat="false" ht="23.25" hidden="false" customHeight="true" outlineLevel="0" collapsed="false">
      <c r="A158" s="54" t="n">
        <v>157</v>
      </c>
      <c r="B158" s="55" t="s">
        <v>754</v>
      </c>
      <c r="C158" s="56" t="s">
        <v>1040</v>
      </c>
      <c r="D158" s="56" t="s">
        <v>1041</v>
      </c>
      <c r="E158" s="57" t="s">
        <v>1042</v>
      </c>
      <c r="F158" s="55" t="s">
        <v>344</v>
      </c>
      <c r="G158" s="55" t="s">
        <v>165</v>
      </c>
      <c r="H158" s="58" t="n">
        <v>18</v>
      </c>
      <c r="I158" s="58" t="n">
        <v>32</v>
      </c>
      <c r="J158" s="58" t="n">
        <f aca="false">ROUND(AVERAGE(H158:I158),1)</f>
        <v>25</v>
      </c>
      <c r="K158" s="59" t="n">
        <v>1</v>
      </c>
      <c r="L158" s="58" t="n">
        <f aca="false">J158+K158</f>
        <v>26</v>
      </c>
      <c r="M158" s="60" t="n">
        <f aca="false">IFERROR(INDEX(99_Listas!$C$2:$C$5,MATCH(G158,99_Listas!$B$2:$B$5,0)),0)</f>
        <v>0.11</v>
      </c>
      <c r="N158" s="58" t="n">
        <f aca="false">ROUND(J158*M158,2)</f>
        <v>2.75</v>
      </c>
      <c r="O158" s="58" t="n">
        <f aca="false">ROUND(J158-N158,2)</f>
        <v>22.25</v>
      </c>
      <c r="P158" s="55" t="s">
        <v>711</v>
      </c>
      <c r="Q158" s="54" t="n">
        <v>14</v>
      </c>
      <c r="R158" s="55" t="s">
        <v>258</v>
      </c>
      <c r="S158" s="56" t="s">
        <v>228</v>
      </c>
      <c r="T158" s="56" t="s">
        <v>177</v>
      </c>
      <c r="U158" s="56" t="s">
        <v>1043</v>
      </c>
    </row>
    <row r="159" customFormat="false" ht="15" hidden="false" customHeight="true" outlineLevel="0" collapsed="false">
      <c r="A159" s="61" t="n">
        <v>158</v>
      </c>
      <c r="B159" s="62" t="s">
        <v>754</v>
      </c>
      <c r="C159" s="63" t="s">
        <v>1044</v>
      </c>
      <c r="D159" s="63" t="s">
        <v>1045</v>
      </c>
      <c r="E159" s="57" t="s">
        <v>1046</v>
      </c>
      <c r="F159" s="62" t="s">
        <v>418</v>
      </c>
      <c r="G159" s="62" t="s">
        <v>157</v>
      </c>
      <c r="H159" s="64" t="n">
        <v>8</v>
      </c>
      <c r="I159" s="64" t="n">
        <v>16</v>
      </c>
      <c r="J159" s="64" t="n">
        <f aca="false">ROUND(AVERAGE(H159:I159),1)</f>
        <v>12</v>
      </c>
      <c r="K159" s="59" t="n">
        <v>1</v>
      </c>
      <c r="L159" s="64" t="n">
        <f aca="false">J159+K159</f>
        <v>13</v>
      </c>
      <c r="M159" s="65" t="n">
        <f aca="false">IFERROR(INDEX(99_Listas!$C$2:$C$5,MATCH(G159,99_Listas!$B$2:$B$5,0)),0)</f>
        <v>0.07</v>
      </c>
      <c r="N159" s="64" t="n">
        <f aca="false">ROUND(J159*M159,2)</f>
        <v>0.84</v>
      </c>
      <c r="O159" s="64" t="n">
        <f aca="false">ROUND(J159-N159,2)</f>
        <v>11.16</v>
      </c>
      <c r="P159" s="62" t="s">
        <v>711</v>
      </c>
      <c r="Q159" s="61" t="n">
        <v>8</v>
      </c>
      <c r="R159" s="62" t="s">
        <v>258</v>
      </c>
      <c r="S159" s="63" t="s">
        <v>228</v>
      </c>
      <c r="T159" s="63" t="s">
        <v>177</v>
      </c>
      <c r="U159" s="63"/>
    </row>
    <row r="160" customFormat="false" ht="23.25" hidden="false" customHeight="true" outlineLevel="0" collapsed="false">
      <c r="A160" s="54" t="n">
        <v>159</v>
      </c>
      <c r="B160" s="55" t="s">
        <v>754</v>
      </c>
      <c r="C160" s="56" t="s">
        <v>1047</v>
      </c>
      <c r="D160" s="56" t="s">
        <v>1048</v>
      </c>
      <c r="E160" s="57" t="s">
        <v>1049</v>
      </c>
      <c r="F160" s="55" t="s">
        <v>344</v>
      </c>
      <c r="G160" s="55" t="s">
        <v>165</v>
      </c>
      <c r="H160" s="58" t="n">
        <v>18</v>
      </c>
      <c r="I160" s="58" t="n">
        <v>32</v>
      </c>
      <c r="J160" s="58" t="n">
        <f aca="false">ROUND(AVERAGE(H160:I160),1)</f>
        <v>25</v>
      </c>
      <c r="K160" s="59" t="n">
        <v>1</v>
      </c>
      <c r="L160" s="58" t="n">
        <f aca="false">J160+K160</f>
        <v>26</v>
      </c>
      <c r="M160" s="60" t="n">
        <f aca="false">IFERROR(INDEX(99_Listas!$C$2:$C$5,MATCH(G160,99_Listas!$B$2:$B$5,0)),0)</f>
        <v>0.11</v>
      </c>
      <c r="N160" s="58" t="n">
        <f aca="false">ROUND(J160*M160,2)</f>
        <v>2.75</v>
      </c>
      <c r="O160" s="58" t="n">
        <f aca="false">ROUND(J160-N160,2)</f>
        <v>22.25</v>
      </c>
      <c r="P160" s="55" t="s">
        <v>715</v>
      </c>
      <c r="Q160" s="54" t="n">
        <v>18</v>
      </c>
      <c r="R160" s="55" t="s">
        <v>276</v>
      </c>
      <c r="S160" s="56" t="s">
        <v>228</v>
      </c>
      <c r="T160" s="56" t="s">
        <v>177</v>
      </c>
      <c r="U160" s="56"/>
    </row>
    <row r="161" customFormat="false" ht="15" hidden="false" customHeight="true" outlineLevel="0" collapsed="false">
      <c r="A161" s="61" t="n">
        <v>160</v>
      </c>
      <c r="B161" s="62" t="s">
        <v>754</v>
      </c>
      <c r="C161" s="63" t="s">
        <v>1050</v>
      </c>
      <c r="D161" s="63" t="s">
        <v>1051</v>
      </c>
      <c r="E161" s="57" t="s">
        <v>1008</v>
      </c>
      <c r="F161" s="62" t="s">
        <v>344</v>
      </c>
      <c r="G161" s="62" t="s">
        <v>165</v>
      </c>
      <c r="H161" s="64" t="n">
        <v>20</v>
      </c>
      <c r="I161" s="64" t="n">
        <v>35</v>
      </c>
      <c r="J161" s="64" t="n">
        <f aca="false">ROUND(AVERAGE(H161:I161),1)</f>
        <v>27.5</v>
      </c>
      <c r="K161" s="59" t="n">
        <v>1</v>
      </c>
      <c r="L161" s="64" t="n">
        <f aca="false">J161+K161</f>
        <v>28.5</v>
      </c>
      <c r="M161" s="65" t="n">
        <f aca="false">IFERROR(INDEX(99_Listas!$C$2:$C$5,MATCH(G161,99_Listas!$B$2:$B$5,0)),0)</f>
        <v>0.11</v>
      </c>
      <c r="N161" s="64" t="n">
        <f aca="false">ROUND(J161*M161,2)</f>
        <v>3.03</v>
      </c>
      <c r="O161" s="64" t="n">
        <f aca="false">ROUND(J161-N161,2)</f>
        <v>24.47</v>
      </c>
      <c r="P161" s="62" t="s">
        <v>715</v>
      </c>
      <c r="Q161" s="61" t="n">
        <v>18</v>
      </c>
      <c r="R161" s="62" t="s">
        <v>276</v>
      </c>
      <c r="S161" s="63" t="s">
        <v>228</v>
      </c>
      <c r="T161" s="63" t="s">
        <v>177</v>
      </c>
      <c r="U161" s="63"/>
    </row>
    <row r="162" customFormat="false" ht="15" hidden="false" customHeight="true" outlineLevel="0" collapsed="false">
      <c r="A162" s="54" t="n">
        <v>161</v>
      </c>
      <c r="B162" s="55" t="s">
        <v>754</v>
      </c>
      <c r="C162" s="56" t="s">
        <v>1052</v>
      </c>
      <c r="D162" s="56" t="s">
        <v>1053</v>
      </c>
      <c r="E162" s="57" t="s">
        <v>764</v>
      </c>
      <c r="F162" s="55" t="s">
        <v>344</v>
      </c>
      <c r="G162" s="55" t="s">
        <v>161</v>
      </c>
      <c r="H162" s="58" t="n">
        <v>14</v>
      </c>
      <c r="I162" s="58" t="n">
        <v>25</v>
      </c>
      <c r="J162" s="58" t="n">
        <f aca="false">ROUND(AVERAGE(H162:I162),1)</f>
        <v>19.5</v>
      </c>
      <c r="K162" s="59" t="n">
        <v>1</v>
      </c>
      <c r="L162" s="58" t="n">
        <f aca="false">J162+K162</f>
        <v>20.5</v>
      </c>
      <c r="M162" s="60" t="n">
        <f aca="false">IFERROR(INDEX(99_Listas!$C$2:$C$5,MATCH(G162,99_Listas!$B$2:$B$5,0)),0)</f>
        <v>0.09</v>
      </c>
      <c r="N162" s="58" t="n">
        <f aca="false">ROUND(J162*M162,2)</f>
        <v>1.76</v>
      </c>
      <c r="O162" s="58" t="n">
        <f aca="false">ROUND(J162-N162,2)</f>
        <v>17.74</v>
      </c>
      <c r="P162" s="55" t="s">
        <v>715</v>
      </c>
      <c r="Q162" s="54" t="n">
        <v>14</v>
      </c>
      <c r="R162" s="55" t="s">
        <v>165</v>
      </c>
      <c r="S162" s="56" t="s">
        <v>228</v>
      </c>
      <c r="T162" s="56" t="s">
        <v>177</v>
      </c>
      <c r="U162" s="56"/>
    </row>
    <row r="163" customFormat="false" ht="23.25" hidden="false" customHeight="true" outlineLevel="0" collapsed="false">
      <c r="A163" s="61" t="n">
        <v>162</v>
      </c>
      <c r="B163" s="62" t="s">
        <v>754</v>
      </c>
      <c r="C163" s="63" t="s">
        <v>1054</v>
      </c>
      <c r="D163" s="63" t="s">
        <v>1055</v>
      </c>
      <c r="E163" s="57" t="s">
        <v>757</v>
      </c>
      <c r="F163" s="62" t="s">
        <v>344</v>
      </c>
      <c r="G163" s="62" t="s">
        <v>165</v>
      </c>
      <c r="H163" s="64" t="n">
        <v>16</v>
      </c>
      <c r="I163" s="64" t="n">
        <v>30</v>
      </c>
      <c r="J163" s="64" t="n">
        <f aca="false">ROUND(AVERAGE(H163:I163),1)</f>
        <v>23</v>
      </c>
      <c r="K163" s="59" t="n">
        <v>1</v>
      </c>
      <c r="L163" s="64" t="n">
        <f aca="false">J163+K163</f>
        <v>24</v>
      </c>
      <c r="M163" s="65" t="n">
        <f aca="false">IFERROR(INDEX(99_Listas!$C$2:$C$5,MATCH(G163,99_Listas!$B$2:$B$5,0)),0)</f>
        <v>0.11</v>
      </c>
      <c r="N163" s="64" t="n">
        <f aca="false">ROUND(J163*M163,2)</f>
        <v>2.53</v>
      </c>
      <c r="O163" s="64" t="n">
        <f aca="false">ROUND(J163-N163,2)</f>
        <v>20.47</v>
      </c>
      <c r="P163" s="62" t="s">
        <v>711</v>
      </c>
      <c r="Q163" s="61" t="n">
        <v>12</v>
      </c>
      <c r="R163" s="62" t="s">
        <v>258</v>
      </c>
      <c r="S163" s="63" t="s">
        <v>228</v>
      </c>
      <c r="T163" s="63" t="s">
        <v>177</v>
      </c>
      <c r="U163" s="63"/>
    </row>
    <row r="164" customFormat="false" ht="15" hidden="false" customHeight="true" outlineLevel="0" collapsed="false">
      <c r="A164" s="54" t="n">
        <v>163</v>
      </c>
      <c r="B164" s="55" t="s">
        <v>585</v>
      </c>
      <c r="C164" s="56" t="s">
        <v>1056</v>
      </c>
      <c r="D164" s="56" t="s">
        <v>783</v>
      </c>
      <c r="E164" s="57" t="s">
        <v>1057</v>
      </c>
      <c r="F164" s="55" t="s">
        <v>344</v>
      </c>
      <c r="G164" s="55" t="s">
        <v>161</v>
      </c>
      <c r="H164" s="58" t="n">
        <v>9</v>
      </c>
      <c r="I164" s="58" t="n">
        <v>16</v>
      </c>
      <c r="J164" s="58" t="n">
        <f aca="false">ROUND(AVERAGE(H164:I164),1)</f>
        <v>12.5</v>
      </c>
      <c r="K164" s="59" t="n">
        <v>1</v>
      </c>
      <c r="L164" s="58" t="n">
        <f aca="false">J164+K164</f>
        <v>13.5</v>
      </c>
      <c r="M164" s="60" t="n">
        <f aca="false">IFERROR(INDEX(99_Listas!$C$2:$C$5,MATCH(G164,99_Listas!$B$2:$B$5,0)),0)</f>
        <v>0.09</v>
      </c>
      <c r="N164" s="58" t="n">
        <f aca="false">ROUND(J164*M164,2)</f>
        <v>1.13</v>
      </c>
      <c r="O164" s="58" t="n">
        <f aca="false">ROUND(J164-N164,2)</f>
        <v>11.37</v>
      </c>
      <c r="P164" s="55" t="s">
        <v>578</v>
      </c>
      <c r="Q164" s="54" t="n">
        <v>12</v>
      </c>
      <c r="R164" s="55" t="s">
        <v>276</v>
      </c>
      <c r="S164" s="56" t="s">
        <v>228</v>
      </c>
      <c r="T164" s="56" t="s">
        <v>486</v>
      </c>
      <c r="U164" s="56" t="s">
        <v>1058</v>
      </c>
    </row>
    <row r="165" customFormat="false" ht="15" hidden="false" customHeight="true" outlineLevel="0" collapsed="false">
      <c r="A165" s="61" t="n">
        <v>164</v>
      </c>
      <c r="B165" s="62" t="s">
        <v>585</v>
      </c>
      <c r="C165" s="63" t="s">
        <v>1059</v>
      </c>
      <c r="D165" s="63" t="s">
        <v>1060</v>
      </c>
      <c r="E165" s="57" t="s">
        <v>1061</v>
      </c>
      <c r="F165" s="62" t="s">
        <v>482</v>
      </c>
      <c r="G165" s="62" t="s">
        <v>161</v>
      </c>
      <c r="H165" s="64" t="n">
        <v>9</v>
      </c>
      <c r="I165" s="64" t="n">
        <v>16</v>
      </c>
      <c r="J165" s="64" t="n">
        <f aca="false">ROUND(AVERAGE(H165:I165),1)</f>
        <v>12.5</v>
      </c>
      <c r="K165" s="59" t="n">
        <v>1</v>
      </c>
      <c r="L165" s="64" t="n">
        <f aca="false">J165+K165</f>
        <v>13.5</v>
      </c>
      <c r="M165" s="65" t="n">
        <f aca="false">IFERROR(INDEX(99_Listas!$C$2:$C$5,MATCH(G165,99_Listas!$B$2:$B$5,0)),0)</f>
        <v>0.09</v>
      </c>
      <c r="N165" s="64" t="n">
        <f aca="false">ROUND(J165*M165,2)</f>
        <v>1.13</v>
      </c>
      <c r="O165" s="64" t="n">
        <f aca="false">ROUND(J165-N165,2)</f>
        <v>11.37</v>
      </c>
      <c r="P165" s="62" t="s">
        <v>578</v>
      </c>
      <c r="Q165" s="61" t="n">
        <v>12</v>
      </c>
      <c r="R165" s="62" t="s">
        <v>276</v>
      </c>
      <c r="S165" s="63" t="s">
        <v>228</v>
      </c>
      <c r="T165" s="63" t="s">
        <v>585</v>
      </c>
      <c r="U165" s="63"/>
    </row>
    <row r="166" customFormat="false" ht="15" hidden="false" customHeight="true" outlineLevel="0" collapsed="false">
      <c r="A166" s="54" t="n">
        <v>165</v>
      </c>
      <c r="B166" s="55" t="s">
        <v>585</v>
      </c>
      <c r="C166" s="56" t="s">
        <v>1062</v>
      </c>
      <c r="D166" s="56" t="s">
        <v>1063</v>
      </c>
      <c r="E166" s="57" t="s">
        <v>793</v>
      </c>
      <c r="F166" s="55" t="s">
        <v>344</v>
      </c>
      <c r="G166" s="55" t="s">
        <v>157</v>
      </c>
      <c r="H166" s="58" t="n">
        <v>8</v>
      </c>
      <c r="I166" s="58" t="n">
        <v>14</v>
      </c>
      <c r="J166" s="58" t="n">
        <f aca="false">ROUND(AVERAGE(H166:I166),1)</f>
        <v>11</v>
      </c>
      <c r="K166" s="59" t="n">
        <v>1</v>
      </c>
      <c r="L166" s="58" t="n">
        <f aca="false">J166+K166</f>
        <v>12</v>
      </c>
      <c r="M166" s="60" t="n">
        <f aca="false">IFERROR(INDEX(99_Listas!$C$2:$C$5,MATCH(G166,99_Listas!$B$2:$B$5,0)),0)</f>
        <v>0.07</v>
      </c>
      <c r="N166" s="58" t="n">
        <f aca="false">ROUND(J166*M166,2)</f>
        <v>0.77</v>
      </c>
      <c r="O166" s="58" t="n">
        <f aca="false">ROUND(J166-N166,2)</f>
        <v>10.23</v>
      </c>
      <c r="P166" s="55" t="s">
        <v>578</v>
      </c>
      <c r="Q166" s="54" t="n">
        <v>12</v>
      </c>
      <c r="R166" s="55" t="s">
        <v>276</v>
      </c>
      <c r="S166" s="56" t="s">
        <v>228</v>
      </c>
      <c r="T166" s="56" t="s">
        <v>585</v>
      </c>
      <c r="U166" s="56"/>
    </row>
    <row r="167" customFormat="false" ht="23.25" hidden="false" customHeight="true" outlineLevel="0" collapsed="false">
      <c r="A167" s="61" t="n">
        <v>166</v>
      </c>
      <c r="B167" s="62" t="s">
        <v>585</v>
      </c>
      <c r="C167" s="63" t="s">
        <v>1064</v>
      </c>
      <c r="D167" s="63" t="s">
        <v>1065</v>
      </c>
      <c r="E167" s="57" t="s">
        <v>644</v>
      </c>
      <c r="F167" s="62" t="s">
        <v>344</v>
      </c>
      <c r="G167" s="62" t="s">
        <v>161</v>
      </c>
      <c r="H167" s="64" t="n">
        <v>9</v>
      </c>
      <c r="I167" s="64" t="n">
        <v>16</v>
      </c>
      <c r="J167" s="64" t="n">
        <f aca="false">ROUND(AVERAGE(H167:I167),1)</f>
        <v>12.5</v>
      </c>
      <c r="K167" s="59" t="n">
        <v>1</v>
      </c>
      <c r="L167" s="64" t="n">
        <f aca="false">J167+K167</f>
        <v>13.5</v>
      </c>
      <c r="M167" s="65" t="n">
        <f aca="false">IFERROR(INDEX(99_Listas!$C$2:$C$5,MATCH(G167,99_Listas!$B$2:$B$5,0)),0)</f>
        <v>0.09</v>
      </c>
      <c r="N167" s="64" t="n">
        <f aca="false">ROUND(J167*M167,2)</f>
        <v>1.13</v>
      </c>
      <c r="O167" s="64" t="n">
        <f aca="false">ROUND(J167-N167,2)</f>
        <v>11.37</v>
      </c>
      <c r="P167" s="62" t="s">
        <v>578</v>
      </c>
      <c r="Q167" s="61" t="n">
        <v>12</v>
      </c>
      <c r="R167" s="62" t="s">
        <v>276</v>
      </c>
      <c r="S167" s="63" t="s">
        <v>228</v>
      </c>
      <c r="T167" s="63" t="s">
        <v>585</v>
      </c>
      <c r="U167" s="63"/>
    </row>
    <row r="168" customFormat="false" ht="15" hidden="false" customHeight="true" outlineLevel="0" collapsed="false">
      <c r="A168" s="54" t="n">
        <v>167</v>
      </c>
      <c r="B168" s="55" t="s">
        <v>585</v>
      </c>
      <c r="C168" s="56" t="s">
        <v>1066</v>
      </c>
      <c r="D168" s="56" t="s">
        <v>1067</v>
      </c>
      <c r="E168" s="57" t="s">
        <v>1068</v>
      </c>
      <c r="F168" s="55" t="s">
        <v>344</v>
      </c>
      <c r="G168" s="55" t="s">
        <v>161</v>
      </c>
      <c r="H168" s="58" t="n">
        <v>10</v>
      </c>
      <c r="I168" s="58" t="n">
        <v>18</v>
      </c>
      <c r="J168" s="58" t="n">
        <f aca="false">ROUND(AVERAGE(H168:I168),1)</f>
        <v>14</v>
      </c>
      <c r="K168" s="59" t="n">
        <v>1</v>
      </c>
      <c r="L168" s="58" t="n">
        <f aca="false">J168+K168</f>
        <v>15</v>
      </c>
      <c r="M168" s="60" t="n">
        <f aca="false">IFERROR(INDEX(99_Listas!$C$2:$C$5,MATCH(G168,99_Listas!$B$2:$B$5,0)),0)</f>
        <v>0.09</v>
      </c>
      <c r="N168" s="58" t="n">
        <f aca="false">ROUND(J168*M168,2)</f>
        <v>1.26</v>
      </c>
      <c r="O168" s="58" t="n">
        <f aca="false">ROUND(J168-N168,2)</f>
        <v>12.74</v>
      </c>
      <c r="P168" s="55" t="s">
        <v>578</v>
      </c>
      <c r="Q168" s="54" t="n">
        <v>10</v>
      </c>
      <c r="R168" s="55" t="s">
        <v>276</v>
      </c>
      <c r="S168" s="56" t="s">
        <v>228</v>
      </c>
      <c r="T168" s="56" t="s">
        <v>790</v>
      </c>
      <c r="U168" s="56"/>
    </row>
    <row r="169" customFormat="false" ht="15" hidden="false" customHeight="true" outlineLevel="0" collapsed="false">
      <c r="A169" s="61" t="n">
        <v>168</v>
      </c>
      <c r="B169" s="62" t="s">
        <v>796</v>
      </c>
      <c r="C169" s="63" t="s">
        <v>1069</v>
      </c>
      <c r="D169" s="63" t="s">
        <v>1070</v>
      </c>
      <c r="E169" s="57" t="s">
        <v>1071</v>
      </c>
      <c r="F169" s="62" t="s">
        <v>482</v>
      </c>
      <c r="G169" s="62" t="s">
        <v>157</v>
      </c>
      <c r="H169" s="64" t="n">
        <v>5</v>
      </c>
      <c r="I169" s="64" t="n">
        <v>11</v>
      </c>
      <c r="J169" s="64" t="n">
        <f aca="false">ROUND(AVERAGE(H169:I169),1)</f>
        <v>8</v>
      </c>
      <c r="K169" s="59" t="n">
        <v>1</v>
      </c>
      <c r="L169" s="64" t="n">
        <f aca="false">J169+K169</f>
        <v>9</v>
      </c>
      <c r="M169" s="65" t="n">
        <f aca="false">IFERROR(INDEX(99_Listas!$C$2:$C$5,MATCH(G169,99_Listas!$B$2:$B$5,0)),0)</f>
        <v>0.07</v>
      </c>
      <c r="N169" s="64" t="n">
        <f aca="false">ROUND(J169*M169,2)</f>
        <v>0.56</v>
      </c>
      <c r="O169" s="64" t="n">
        <f aca="false">ROUND(J169-N169,2)</f>
        <v>7.44</v>
      </c>
      <c r="P169" s="62" t="s">
        <v>715</v>
      </c>
      <c r="Q169" s="61" t="n">
        <v>5</v>
      </c>
      <c r="R169" s="62" t="s">
        <v>276</v>
      </c>
      <c r="S169" s="63" t="s">
        <v>228</v>
      </c>
      <c r="T169" s="63" t="s">
        <v>570</v>
      </c>
      <c r="U169" s="63"/>
    </row>
    <row r="170" customFormat="false" ht="15" hidden="false" customHeight="true" outlineLevel="0" collapsed="false">
      <c r="A170" s="54" t="n">
        <v>169</v>
      </c>
      <c r="B170" s="55" t="s">
        <v>796</v>
      </c>
      <c r="C170" s="56" t="s">
        <v>1072</v>
      </c>
      <c r="D170" s="56" t="s">
        <v>1073</v>
      </c>
      <c r="E170" s="57" t="s">
        <v>1074</v>
      </c>
      <c r="F170" s="55" t="s">
        <v>482</v>
      </c>
      <c r="G170" s="55" t="s">
        <v>157</v>
      </c>
      <c r="H170" s="58" t="n">
        <v>4</v>
      </c>
      <c r="I170" s="58" t="n">
        <v>9</v>
      </c>
      <c r="J170" s="58" t="n">
        <f aca="false">ROUND(AVERAGE(H170:I170),1)</f>
        <v>6.5</v>
      </c>
      <c r="K170" s="59" t="n">
        <v>1</v>
      </c>
      <c r="L170" s="58" t="n">
        <f aca="false">J170+K170</f>
        <v>7.5</v>
      </c>
      <c r="M170" s="60" t="n">
        <f aca="false">IFERROR(INDEX(99_Listas!$C$2:$C$5,MATCH(G170,99_Listas!$B$2:$B$5,0)),0)</f>
        <v>0.07</v>
      </c>
      <c r="N170" s="58" t="n">
        <f aca="false">ROUND(J170*M170,2)</f>
        <v>0.46</v>
      </c>
      <c r="O170" s="58" t="n">
        <f aca="false">ROUND(J170-N170,2)</f>
        <v>6.04</v>
      </c>
      <c r="P170" s="55" t="s">
        <v>715</v>
      </c>
      <c r="Q170" s="54" t="n">
        <v>4</v>
      </c>
      <c r="R170" s="55" t="s">
        <v>276</v>
      </c>
      <c r="S170" s="56" t="s">
        <v>228</v>
      </c>
      <c r="T170" s="56" t="s">
        <v>339</v>
      </c>
      <c r="U170" s="56"/>
    </row>
    <row r="171" customFormat="false" ht="15" hidden="false" customHeight="true" outlineLevel="0" collapsed="false">
      <c r="A171" s="61" t="n">
        <v>170</v>
      </c>
      <c r="B171" s="62" t="s">
        <v>796</v>
      </c>
      <c r="C171" s="63" t="s">
        <v>1075</v>
      </c>
      <c r="D171" s="63" t="s">
        <v>1076</v>
      </c>
      <c r="E171" s="57" t="s">
        <v>1077</v>
      </c>
      <c r="F171" s="62" t="s">
        <v>482</v>
      </c>
      <c r="G171" s="62" t="s">
        <v>157</v>
      </c>
      <c r="H171" s="64" t="n">
        <v>3</v>
      </c>
      <c r="I171" s="64" t="n">
        <v>8</v>
      </c>
      <c r="J171" s="64" t="n">
        <f aca="false">ROUND(AVERAGE(H171:I171),1)</f>
        <v>5.5</v>
      </c>
      <c r="K171" s="59" t="n">
        <v>1</v>
      </c>
      <c r="L171" s="64" t="n">
        <f aca="false">J171+K171</f>
        <v>6.5</v>
      </c>
      <c r="M171" s="65" t="n">
        <f aca="false">IFERROR(INDEX(99_Listas!$C$2:$C$5,MATCH(G171,99_Listas!$B$2:$B$5,0)),0)</f>
        <v>0.07</v>
      </c>
      <c r="N171" s="64" t="n">
        <f aca="false">ROUND(J171*M171,2)</f>
        <v>0.39</v>
      </c>
      <c r="O171" s="64" t="n">
        <f aca="false">ROUND(J171-N171,2)</f>
        <v>5.11</v>
      </c>
      <c r="P171" s="62" t="s">
        <v>923</v>
      </c>
      <c r="Q171" s="61" t="n">
        <v>6</v>
      </c>
      <c r="R171" s="62" t="s">
        <v>165</v>
      </c>
      <c r="S171" s="63" t="s">
        <v>228</v>
      </c>
      <c r="T171" s="63" t="s">
        <v>800</v>
      </c>
      <c r="U171" s="63"/>
    </row>
    <row r="172" customFormat="false" ht="15" hidden="false" customHeight="true" outlineLevel="0" collapsed="false">
      <c r="A172" s="54" t="n">
        <v>171</v>
      </c>
      <c r="B172" s="55" t="s">
        <v>796</v>
      </c>
      <c r="C172" s="56" t="s">
        <v>1078</v>
      </c>
      <c r="D172" s="56" t="s">
        <v>1079</v>
      </c>
      <c r="E172" s="57" t="s">
        <v>1080</v>
      </c>
      <c r="F172" s="55" t="s">
        <v>482</v>
      </c>
      <c r="G172" s="55" t="s">
        <v>157</v>
      </c>
      <c r="H172" s="58" t="n">
        <v>3</v>
      </c>
      <c r="I172" s="58" t="n">
        <v>8</v>
      </c>
      <c r="J172" s="58" t="n">
        <f aca="false">ROUND(AVERAGE(H172:I172),1)</f>
        <v>5.5</v>
      </c>
      <c r="K172" s="59" t="n">
        <v>1</v>
      </c>
      <c r="L172" s="58" t="n">
        <f aca="false">J172+K172</f>
        <v>6.5</v>
      </c>
      <c r="M172" s="60" t="n">
        <f aca="false">IFERROR(INDEX(99_Listas!$C$2:$C$5,MATCH(G172,99_Listas!$B$2:$B$5,0)),0)</f>
        <v>0.07</v>
      </c>
      <c r="N172" s="58" t="n">
        <f aca="false">ROUND(J172*M172,2)</f>
        <v>0.39</v>
      </c>
      <c r="O172" s="58" t="n">
        <f aca="false">ROUND(J172-N172,2)</f>
        <v>5.11</v>
      </c>
      <c r="P172" s="55" t="s">
        <v>805</v>
      </c>
      <c r="Q172" s="54" t="n">
        <v>6</v>
      </c>
      <c r="R172" s="55" t="s">
        <v>276</v>
      </c>
      <c r="S172" s="56" t="s">
        <v>228</v>
      </c>
      <c r="T172" s="56" t="s">
        <v>1081</v>
      </c>
      <c r="U172" s="56"/>
    </row>
    <row r="174" customFormat="false" ht="15" hidden="false" customHeight="true" outlineLevel="0" collapsed="false">
      <c r="B174" s="8" t="s">
        <v>1082</v>
      </c>
    </row>
    <row r="175" customFormat="false" ht="15" hidden="false" customHeight="true" outlineLevel="0" collapsed="false">
      <c r="B175" s="8" t="s">
        <v>561</v>
      </c>
    </row>
  </sheetData>
  <autoFilter ref="A1:U172"/>
  <dataValidations count="2">
    <dataValidation allowBlank="true" errorStyle="stop" operator="between" showDropDown="false" showErrorMessage="false" showInputMessage="false" sqref="G2:G172" type="list">
      <formula1>99_Listas!$B$2:$B$5</formula1>
      <formula2>0</formula2>
    </dataValidation>
    <dataValidation allowBlank="true" errorStyle="stop" operator="between" showDropDown="false" showErrorMessage="false" showInputMessage="false" sqref="R2:R172" type="list">
      <formula1>"Alto,Medio,Bajo"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6" min="15" style="1" width="14"/>
    <col collapsed="false" customWidth="true" hidden="false" outlineLevel="0" max="17" min="17" style="1" width="9"/>
    <col collapsed="false" customWidth="true" hidden="false" outlineLevel="0" max="18" min="18" style="1" width="13"/>
    <col collapsed="false" customWidth="true" hidden="false" outlineLevel="0" max="19" min="19" style="1" width="22"/>
    <col collapsed="false" customWidth="true" hidden="false" outlineLevel="0" max="20" min="20" style="1" width="24"/>
    <col collapsed="false" customWidth="true" hidden="false" outlineLevel="0" max="21" min="21" style="1" width="46"/>
  </cols>
  <sheetData>
    <row r="1" customFormat="false" ht="33.75" hidden="false" customHeight="true" outlineLevel="0" collapsed="false">
      <c r="A1" s="13" t="s">
        <v>206</v>
      </c>
      <c r="B1" s="13" t="s">
        <v>70</v>
      </c>
      <c r="C1" s="13" t="s">
        <v>207</v>
      </c>
      <c r="D1" s="13" t="s">
        <v>208</v>
      </c>
      <c r="E1" s="13" t="s">
        <v>209</v>
      </c>
      <c r="F1" s="13" t="s">
        <v>210</v>
      </c>
      <c r="G1" s="13" t="s">
        <v>72</v>
      </c>
      <c r="H1" s="13" t="s">
        <v>211</v>
      </c>
      <c r="I1" s="13" t="s">
        <v>212</v>
      </c>
      <c r="J1" s="13" t="s">
        <v>73</v>
      </c>
      <c r="K1" s="13" t="s">
        <v>213</v>
      </c>
      <c r="L1" s="13" t="s">
        <v>74</v>
      </c>
      <c r="M1" s="13" t="s">
        <v>214</v>
      </c>
      <c r="N1" s="13" t="s">
        <v>215</v>
      </c>
      <c r="O1" s="13" t="s">
        <v>216</v>
      </c>
      <c r="P1" s="13" t="s">
        <v>217</v>
      </c>
      <c r="Q1" s="13" t="s">
        <v>218</v>
      </c>
      <c r="R1" s="13" t="s">
        <v>219</v>
      </c>
      <c r="S1" s="13" t="s">
        <v>220</v>
      </c>
      <c r="T1" s="13" t="s">
        <v>155</v>
      </c>
      <c r="U1" s="13" t="s">
        <v>221</v>
      </c>
    </row>
    <row r="2" customFormat="false" ht="23.25" hidden="false" customHeight="true" outlineLevel="0" collapsed="false">
      <c r="A2" s="54" t="n">
        <v>1</v>
      </c>
      <c r="B2" s="55" t="s">
        <v>1083</v>
      </c>
      <c r="C2" s="56" t="s">
        <v>1084</v>
      </c>
      <c r="D2" s="56" t="s">
        <v>1085</v>
      </c>
      <c r="E2" s="57" t="s">
        <v>978</v>
      </c>
      <c r="F2" s="55" t="s">
        <v>482</v>
      </c>
      <c r="G2" s="55" t="s">
        <v>157</v>
      </c>
      <c r="H2" s="58" t="n">
        <v>8</v>
      </c>
      <c r="I2" s="58" t="n">
        <v>12</v>
      </c>
      <c r="J2" s="58" t="n">
        <f aca="false">ROUND(AVERAGE(H2:I2),1)</f>
        <v>10</v>
      </c>
      <c r="K2" s="59" t="n">
        <v>1</v>
      </c>
      <c r="L2" s="58" t="n">
        <f aca="false">J2+K2</f>
        <v>11</v>
      </c>
      <c r="M2" s="60" t="n">
        <f aca="false">IFERROR(INDEX(99_Listas!$C$2:$C$5,MATCH(G2,99_Listas!$B$2:$B$5,0)),0)</f>
        <v>0.07</v>
      </c>
      <c r="N2" s="58" t="n">
        <f aca="false">ROUND(J2*M2,2)</f>
        <v>0.7</v>
      </c>
      <c r="O2" s="58" t="n">
        <f aca="false">ROUND(J2-N2,2)</f>
        <v>9.3</v>
      </c>
      <c r="P2" s="55" t="s">
        <v>1086</v>
      </c>
      <c r="Q2" s="54" t="n">
        <v>10</v>
      </c>
      <c r="R2" s="55" t="s">
        <v>165</v>
      </c>
      <c r="S2" s="56" t="s">
        <v>228</v>
      </c>
      <c r="T2" s="56" t="s">
        <v>167</v>
      </c>
      <c r="U2" s="56" t="s">
        <v>1087</v>
      </c>
    </row>
    <row r="3" customFormat="false" ht="23.25" hidden="false" customHeight="true" outlineLevel="0" collapsed="false">
      <c r="A3" s="61" t="n">
        <v>2</v>
      </c>
      <c r="B3" s="62" t="s">
        <v>1083</v>
      </c>
      <c r="C3" s="63" t="s">
        <v>1088</v>
      </c>
      <c r="D3" s="63" t="s">
        <v>1089</v>
      </c>
      <c r="E3" s="57" t="s">
        <v>978</v>
      </c>
      <c r="F3" s="62" t="s">
        <v>482</v>
      </c>
      <c r="G3" s="62" t="s">
        <v>161</v>
      </c>
      <c r="H3" s="64" t="n">
        <v>12</v>
      </c>
      <c r="I3" s="64" t="n">
        <v>18</v>
      </c>
      <c r="J3" s="64" t="n">
        <f aca="false">ROUND(AVERAGE(H3:I3),1)</f>
        <v>15</v>
      </c>
      <c r="K3" s="59" t="n">
        <v>1</v>
      </c>
      <c r="L3" s="64" t="n">
        <f aca="false">J3+K3</f>
        <v>16</v>
      </c>
      <c r="M3" s="65" t="n">
        <f aca="false">IFERROR(INDEX(99_Listas!$C$2:$C$5,MATCH(G3,99_Listas!$B$2:$B$5,0)),0)</f>
        <v>0.09</v>
      </c>
      <c r="N3" s="64" t="n">
        <f aca="false">ROUND(J3*M3,2)</f>
        <v>1.35</v>
      </c>
      <c r="O3" s="64" t="n">
        <f aca="false">ROUND(J3-N3,2)</f>
        <v>13.65</v>
      </c>
      <c r="P3" s="62" t="s">
        <v>1086</v>
      </c>
      <c r="Q3" s="61" t="n">
        <v>10</v>
      </c>
      <c r="R3" s="62" t="s">
        <v>165</v>
      </c>
      <c r="S3" s="63" t="s">
        <v>228</v>
      </c>
      <c r="T3" s="63" t="s">
        <v>167</v>
      </c>
      <c r="U3" s="63" t="s">
        <v>1090</v>
      </c>
    </row>
    <row r="4" customFormat="false" ht="23.25" hidden="false" customHeight="true" outlineLevel="0" collapsed="false">
      <c r="A4" s="54" t="n">
        <v>3</v>
      </c>
      <c r="B4" s="55" t="s">
        <v>1083</v>
      </c>
      <c r="C4" s="56" t="s">
        <v>1091</v>
      </c>
      <c r="D4" s="56" t="s">
        <v>1089</v>
      </c>
      <c r="E4" s="57" t="s">
        <v>978</v>
      </c>
      <c r="F4" s="55" t="s">
        <v>482</v>
      </c>
      <c r="G4" s="55" t="s">
        <v>165</v>
      </c>
      <c r="H4" s="58" t="n">
        <v>25</v>
      </c>
      <c r="I4" s="58" t="n">
        <v>38</v>
      </c>
      <c r="J4" s="58" t="n">
        <f aca="false">ROUND(AVERAGE(H4:I4),1)</f>
        <v>31.5</v>
      </c>
      <c r="K4" s="59" t="n">
        <v>1</v>
      </c>
      <c r="L4" s="58" t="n">
        <f aca="false">J4+K4</f>
        <v>32.5</v>
      </c>
      <c r="M4" s="60" t="n">
        <f aca="false">IFERROR(INDEX(99_Listas!$C$2:$C$5,MATCH(G4,99_Listas!$B$2:$B$5,0)),0)</f>
        <v>0.11</v>
      </c>
      <c r="N4" s="58" t="n">
        <f aca="false">ROUND(J4*M4,2)</f>
        <v>3.47</v>
      </c>
      <c r="O4" s="58" t="n">
        <f aca="false">ROUND(J4-N4,2)</f>
        <v>28.03</v>
      </c>
      <c r="P4" s="55" t="s">
        <v>1086</v>
      </c>
      <c r="Q4" s="54" t="n">
        <v>12</v>
      </c>
      <c r="R4" s="55" t="s">
        <v>165</v>
      </c>
      <c r="S4" s="56" t="s">
        <v>228</v>
      </c>
      <c r="T4" s="56" t="s">
        <v>167</v>
      </c>
      <c r="U4" s="56"/>
    </row>
    <row r="5" customFormat="false" ht="15" hidden="false" customHeight="true" outlineLevel="0" collapsed="false">
      <c r="A5" s="61" t="n">
        <v>4</v>
      </c>
      <c r="B5" s="62" t="s">
        <v>1083</v>
      </c>
      <c r="C5" s="63" t="s">
        <v>1092</v>
      </c>
      <c r="D5" s="63" t="s">
        <v>1093</v>
      </c>
      <c r="E5" s="57" t="s">
        <v>808</v>
      </c>
      <c r="F5" s="62" t="s">
        <v>1094</v>
      </c>
      <c r="G5" s="62" t="s">
        <v>169</v>
      </c>
      <c r="H5" s="64" t="n">
        <v>45</v>
      </c>
      <c r="I5" s="64" t="n">
        <v>70</v>
      </c>
      <c r="J5" s="64" t="n">
        <f aca="false">ROUND(AVERAGE(H5:I5),1)</f>
        <v>57.5</v>
      </c>
      <c r="K5" s="59" t="n">
        <v>1</v>
      </c>
      <c r="L5" s="64" t="n">
        <f aca="false">J5+K5</f>
        <v>58.5</v>
      </c>
      <c r="M5" s="65" t="n">
        <f aca="false">IFERROR(INDEX(99_Listas!$C$2:$C$5,MATCH(G5,99_Listas!$B$2:$B$5,0)),0)</f>
        <v>0.13</v>
      </c>
      <c r="N5" s="64" t="n">
        <f aca="false">ROUND(J5*M5,2)</f>
        <v>7.48</v>
      </c>
      <c r="O5" s="64" t="n">
        <f aca="false">ROUND(J5-N5,2)</f>
        <v>50.02</v>
      </c>
      <c r="P5" s="62" t="s">
        <v>1086</v>
      </c>
      <c r="Q5" s="61" t="n">
        <v>15</v>
      </c>
      <c r="R5" s="62" t="s">
        <v>165</v>
      </c>
      <c r="S5" s="63" t="s">
        <v>380</v>
      </c>
      <c r="T5" s="63" t="s">
        <v>167</v>
      </c>
      <c r="U5" s="63" t="s">
        <v>1095</v>
      </c>
    </row>
    <row r="6" customFormat="false" ht="15" hidden="false" customHeight="true" outlineLevel="0" collapsed="false">
      <c r="A6" s="54" t="n">
        <v>5</v>
      </c>
      <c r="B6" s="55" t="s">
        <v>1083</v>
      </c>
      <c r="C6" s="56" t="s">
        <v>1096</v>
      </c>
      <c r="D6" s="56" t="s">
        <v>1097</v>
      </c>
      <c r="E6" s="57" t="s">
        <v>1098</v>
      </c>
      <c r="F6" s="55" t="s">
        <v>1016</v>
      </c>
      <c r="G6" s="55" t="s">
        <v>169</v>
      </c>
      <c r="H6" s="58" t="n">
        <v>55</v>
      </c>
      <c r="I6" s="58" t="n">
        <v>85</v>
      </c>
      <c r="J6" s="58" t="n">
        <f aca="false">ROUND(AVERAGE(H6:I6),1)</f>
        <v>70</v>
      </c>
      <c r="K6" s="59" t="n">
        <v>1</v>
      </c>
      <c r="L6" s="58" t="n">
        <f aca="false">J6+K6</f>
        <v>71</v>
      </c>
      <c r="M6" s="60" t="n">
        <f aca="false">IFERROR(INDEX(99_Listas!$C$2:$C$5,MATCH(G6,99_Listas!$B$2:$B$5,0)),0)</f>
        <v>0.13</v>
      </c>
      <c r="N6" s="58" t="n">
        <f aca="false">ROUND(J6*M6,2)</f>
        <v>9.1</v>
      </c>
      <c r="O6" s="58" t="n">
        <f aca="false">ROUND(J6-N6,2)</f>
        <v>60.9</v>
      </c>
      <c r="P6" s="55" t="s">
        <v>1086</v>
      </c>
      <c r="Q6" s="54" t="n">
        <v>15</v>
      </c>
      <c r="R6" s="55" t="s">
        <v>165</v>
      </c>
      <c r="S6" s="56" t="s">
        <v>380</v>
      </c>
      <c r="T6" s="56" t="s">
        <v>167</v>
      </c>
      <c r="U6" s="56" t="s">
        <v>1099</v>
      </c>
    </row>
    <row r="7" customFormat="false" ht="15" hidden="false" customHeight="true" outlineLevel="0" collapsed="false">
      <c r="A7" s="61" t="n">
        <v>6</v>
      </c>
      <c r="B7" s="62" t="s">
        <v>1100</v>
      </c>
      <c r="C7" s="63" t="s">
        <v>1101</v>
      </c>
      <c r="D7" s="63" t="s">
        <v>1102</v>
      </c>
      <c r="E7" s="57" t="s">
        <v>677</v>
      </c>
      <c r="F7" s="62" t="s">
        <v>482</v>
      </c>
      <c r="G7" s="62" t="s">
        <v>161</v>
      </c>
      <c r="H7" s="64" t="n">
        <v>10</v>
      </c>
      <c r="I7" s="64" t="n">
        <v>16</v>
      </c>
      <c r="J7" s="64" t="n">
        <f aca="false">ROUND(AVERAGE(H7:I7),1)</f>
        <v>13</v>
      </c>
      <c r="K7" s="59" t="n">
        <v>1</v>
      </c>
      <c r="L7" s="64" t="n">
        <f aca="false">J7+K7</f>
        <v>14</v>
      </c>
      <c r="M7" s="65" t="n">
        <f aca="false">IFERROR(INDEX(99_Listas!$C$2:$C$5,MATCH(G7,99_Listas!$B$2:$B$5,0)),0)</f>
        <v>0.09</v>
      </c>
      <c r="N7" s="64" t="n">
        <f aca="false">ROUND(J7*M7,2)</f>
        <v>1.17</v>
      </c>
      <c r="O7" s="64" t="n">
        <f aca="false">ROUND(J7-N7,2)</f>
        <v>11.83</v>
      </c>
      <c r="P7" s="62" t="s">
        <v>1103</v>
      </c>
      <c r="Q7" s="61" t="n">
        <v>12</v>
      </c>
      <c r="R7" s="62" t="s">
        <v>165</v>
      </c>
      <c r="S7" s="63" t="s">
        <v>228</v>
      </c>
      <c r="T7" s="63" t="s">
        <v>678</v>
      </c>
      <c r="U7" s="63"/>
    </row>
    <row r="8" customFormat="false" ht="15" hidden="false" customHeight="true" outlineLevel="0" collapsed="false">
      <c r="A8" s="54" t="n">
        <v>7</v>
      </c>
      <c r="B8" s="55" t="s">
        <v>1100</v>
      </c>
      <c r="C8" s="56" t="s">
        <v>1104</v>
      </c>
      <c r="D8" s="56" t="s">
        <v>1102</v>
      </c>
      <c r="E8" s="57" t="s">
        <v>677</v>
      </c>
      <c r="F8" s="55" t="s">
        <v>482</v>
      </c>
      <c r="G8" s="55" t="s">
        <v>157</v>
      </c>
      <c r="H8" s="58" t="n">
        <v>7</v>
      </c>
      <c r="I8" s="58" t="n">
        <v>12</v>
      </c>
      <c r="J8" s="58" t="n">
        <f aca="false">ROUND(AVERAGE(H8:I8),1)</f>
        <v>9.5</v>
      </c>
      <c r="K8" s="59" t="n">
        <v>1</v>
      </c>
      <c r="L8" s="58" t="n">
        <f aca="false">J8+K8</f>
        <v>10.5</v>
      </c>
      <c r="M8" s="60" t="n">
        <f aca="false">IFERROR(INDEX(99_Listas!$C$2:$C$5,MATCH(G8,99_Listas!$B$2:$B$5,0)),0)</f>
        <v>0.07</v>
      </c>
      <c r="N8" s="58" t="n">
        <f aca="false">ROUND(J8*M8,2)</f>
        <v>0.67</v>
      </c>
      <c r="O8" s="58" t="n">
        <f aca="false">ROUND(J8-N8,2)</f>
        <v>8.83</v>
      </c>
      <c r="P8" s="55" t="s">
        <v>1103</v>
      </c>
      <c r="Q8" s="54" t="n">
        <v>10</v>
      </c>
      <c r="R8" s="55" t="s">
        <v>165</v>
      </c>
      <c r="S8" s="56" t="s">
        <v>228</v>
      </c>
      <c r="T8" s="56" t="s">
        <v>678</v>
      </c>
      <c r="U8" s="56"/>
    </row>
    <row r="9" customFormat="false" ht="15" hidden="false" customHeight="true" outlineLevel="0" collapsed="false">
      <c r="A9" s="61" t="n">
        <v>8</v>
      </c>
      <c r="B9" s="62" t="s">
        <v>1100</v>
      </c>
      <c r="C9" s="63" t="s">
        <v>1105</v>
      </c>
      <c r="D9" s="63" t="s">
        <v>1106</v>
      </c>
      <c r="E9" s="57" t="s">
        <v>677</v>
      </c>
      <c r="F9" s="62" t="s">
        <v>482</v>
      </c>
      <c r="G9" s="62" t="s">
        <v>165</v>
      </c>
      <c r="H9" s="64" t="n">
        <v>15</v>
      </c>
      <c r="I9" s="64" t="n">
        <v>25</v>
      </c>
      <c r="J9" s="64" t="n">
        <f aca="false">ROUND(AVERAGE(H9:I9),1)</f>
        <v>20</v>
      </c>
      <c r="K9" s="59" t="n">
        <v>1</v>
      </c>
      <c r="L9" s="64" t="n">
        <f aca="false">J9+K9</f>
        <v>21</v>
      </c>
      <c r="M9" s="65" t="n">
        <f aca="false">IFERROR(INDEX(99_Listas!$C$2:$C$5,MATCH(G9,99_Listas!$B$2:$B$5,0)),0)</f>
        <v>0.11</v>
      </c>
      <c r="N9" s="64" t="n">
        <f aca="false">ROUND(J9*M9,2)</f>
        <v>2.2</v>
      </c>
      <c r="O9" s="64" t="n">
        <f aca="false">ROUND(J9-N9,2)</f>
        <v>17.8</v>
      </c>
      <c r="P9" s="62" t="s">
        <v>1103</v>
      </c>
      <c r="Q9" s="61" t="n">
        <v>15</v>
      </c>
      <c r="R9" s="62" t="s">
        <v>165</v>
      </c>
      <c r="S9" s="63" t="s">
        <v>228</v>
      </c>
      <c r="T9" s="63" t="s">
        <v>678</v>
      </c>
      <c r="U9" s="63"/>
    </row>
    <row r="10" customFormat="false" ht="23.25" hidden="false" customHeight="true" outlineLevel="0" collapsed="false">
      <c r="A10" s="54" t="n">
        <v>9</v>
      </c>
      <c r="B10" s="55" t="s">
        <v>1100</v>
      </c>
      <c r="C10" s="56" t="s">
        <v>1107</v>
      </c>
      <c r="D10" s="56" t="s">
        <v>1108</v>
      </c>
      <c r="E10" s="57" t="s">
        <v>1109</v>
      </c>
      <c r="F10" s="55" t="s">
        <v>482</v>
      </c>
      <c r="G10" s="55" t="s">
        <v>165</v>
      </c>
      <c r="H10" s="58" t="n">
        <v>15</v>
      </c>
      <c r="I10" s="58" t="n">
        <v>28</v>
      </c>
      <c r="J10" s="58" t="n">
        <f aca="false">ROUND(AVERAGE(H10:I10),1)</f>
        <v>21.5</v>
      </c>
      <c r="K10" s="59" t="n">
        <v>1</v>
      </c>
      <c r="L10" s="58" t="n">
        <f aca="false">J10+K10</f>
        <v>22.5</v>
      </c>
      <c r="M10" s="60" t="n">
        <f aca="false">IFERROR(INDEX(99_Listas!$C$2:$C$5,MATCH(G10,99_Listas!$B$2:$B$5,0)),0)</f>
        <v>0.11</v>
      </c>
      <c r="N10" s="58" t="n">
        <f aca="false">ROUND(J10*M10,2)</f>
        <v>2.37</v>
      </c>
      <c r="O10" s="58" t="n">
        <f aca="false">ROUND(J10-N10,2)</f>
        <v>19.13</v>
      </c>
      <c r="P10" s="55" t="s">
        <v>1103</v>
      </c>
      <c r="Q10" s="54" t="n">
        <v>15</v>
      </c>
      <c r="R10" s="55" t="s">
        <v>165</v>
      </c>
      <c r="S10" s="56" t="s">
        <v>228</v>
      </c>
      <c r="T10" s="56" t="s">
        <v>1110</v>
      </c>
      <c r="U10" s="56"/>
    </row>
    <row r="11" customFormat="false" ht="15" hidden="false" customHeight="true" outlineLevel="0" collapsed="false">
      <c r="A11" s="61" t="n">
        <v>10</v>
      </c>
      <c r="B11" s="62" t="s">
        <v>1100</v>
      </c>
      <c r="C11" s="63" t="s">
        <v>1111</v>
      </c>
      <c r="D11" s="63" t="s">
        <v>1112</v>
      </c>
      <c r="E11" s="57" t="s">
        <v>1113</v>
      </c>
      <c r="F11" s="62" t="s">
        <v>740</v>
      </c>
      <c r="G11" s="62" t="s">
        <v>161</v>
      </c>
      <c r="H11" s="64" t="n">
        <v>12</v>
      </c>
      <c r="I11" s="64" t="n">
        <v>20</v>
      </c>
      <c r="J11" s="64" t="n">
        <f aca="false">ROUND(AVERAGE(H11:I11),1)</f>
        <v>16</v>
      </c>
      <c r="K11" s="59" t="n">
        <v>1</v>
      </c>
      <c r="L11" s="64" t="n">
        <f aca="false">J11+K11</f>
        <v>17</v>
      </c>
      <c r="M11" s="65" t="n">
        <f aca="false">IFERROR(INDEX(99_Listas!$C$2:$C$5,MATCH(G11,99_Listas!$B$2:$B$5,0)),0)</f>
        <v>0.09</v>
      </c>
      <c r="N11" s="64" t="n">
        <f aca="false">ROUND(J11*M11,2)</f>
        <v>1.44</v>
      </c>
      <c r="O11" s="64" t="n">
        <f aca="false">ROUND(J11-N11,2)</f>
        <v>14.56</v>
      </c>
      <c r="P11" s="62" t="s">
        <v>1103</v>
      </c>
      <c r="Q11" s="61" t="n">
        <v>12</v>
      </c>
      <c r="R11" s="62" t="s">
        <v>276</v>
      </c>
      <c r="S11" s="63" t="s">
        <v>228</v>
      </c>
      <c r="T11" s="63" t="s">
        <v>678</v>
      </c>
      <c r="U11" s="63" t="s">
        <v>1114</v>
      </c>
    </row>
    <row r="12" customFormat="false" ht="15" hidden="false" customHeight="true" outlineLevel="0" collapsed="false">
      <c r="A12" s="54" t="n">
        <v>11</v>
      </c>
      <c r="B12" s="55" t="s">
        <v>1100</v>
      </c>
      <c r="C12" s="56" t="s">
        <v>1115</v>
      </c>
      <c r="D12" s="56" t="s">
        <v>1116</v>
      </c>
      <c r="E12" s="57" t="s">
        <v>1117</v>
      </c>
      <c r="F12" s="55" t="s">
        <v>482</v>
      </c>
      <c r="G12" s="55" t="s">
        <v>157</v>
      </c>
      <c r="H12" s="58" t="n">
        <v>6</v>
      </c>
      <c r="I12" s="58" t="n">
        <v>12</v>
      </c>
      <c r="J12" s="58" t="n">
        <f aca="false">ROUND(AVERAGE(H12:I12),1)</f>
        <v>9</v>
      </c>
      <c r="K12" s="59" t="n">
        <v>1</v>
      </c>
      <c r="L12" s="58" t="n">
        <f aca="false">J12+K12</f>
        <v>10</v>
      </c>
      <c r="M12" s="60" t="n">
        <f aca="false">IFERROR(INDEX(99_Listas!$C$2:$C$5,MATCH(G12,99_Listas!$B$2:$B$5,0)),0)</f>
        <v>0.07</v>
      </c>
      <c r="N12" s="58" t="n">
        <f aca="false">ROUND(J12*M12,2)</f>
        <v>0.63</v>
      </c>
      <c r="O12" s="58" t="n">
        <f aca="false">ROUND(J12-N12,2)</f>
        <v>8.37</v>
      </c>
      <c r="P12" s="55" t="s">
        <v>1103</v>
      </c>
      <c r="Q12" s="54" t="n">
        <v>8</v>
      </c>
      <c r="R12" s="55" t="s">
        <v>165</v>
      </c>
      <c r="S12" s="56" t="s">
        <v>228</v>
      </c>
      <c r="T12" s="56" t="s">
        <v>1118</v>
      </c>
      <c r="U12" s="56" t="s">
        <v>1119</v>
      </c>
    </row>
    <row r="13" customFormat="false" ht="15" hidden="false" customHeight="true" outlineLevel="0" collapsed="false">
      <c r="A13" s="61" t="n">
        <v>12</v>
      </c>
      <c r="B13" s="62" t="s">
        <v>1100</v>
      </c>
      <c r="C13" s="63" t="s">
        <v>1120</v>
      </c>
      <c r="D13" s="63" t="s">
        <v>1121</v>
      </c>
      <c r="E13" s="57" t="s">
        <v>1117</v>
      </c>
      <c r="F13" s="62" t="s">
        <v>482</v>
      </c>
      <c r="G13" s="62" t="s">
        <v>157</v>
      </c>
      <c r="H13" s="64" t="n">
        <v>10</v>
      </c>
      <c r="I13" s="64" t="n">
        <v>16</v>
      </c>
      <c r="J13" s="64" t="n">
        <f aca="false">ROUND(AVERAGE(H13:I13),1)</f>
        <v>13</v>
      </c>
      <c r="K13" s="59" t="n">
        <v>1</v>
      </c>
      <c r="L13" s="64" t="n">
        <f aca="false">J13+K13</f>
        <v>14</v>
      </c>
      <c r="M13" s="65" t="n">
        <f aca="false">IFERROR(INDEX(99_Listas!$C$2:$C$5,MATCH(G13,99_Listas!$B$2:$B$5,0)),0)</f>
        <v>0.07</v>
      </c>
      <c r="N13" s="64" t="n">
        <f aca="false">ROUND(J13*M13,2)</f>
        <v>0.91</v>
      </c>
      <c r="O13" s="64" t="n">
        <f aca="false">ROUND(J13-N13,2)</f>
        <v>12.09</v>
      </c>
      <c r="P13" s="62" t="s">
        <v>1103</v>
      </c>
      <c r="Q13" s="61" t="n">
        <v>10</v>
      </c>
      <c r="R13" s="62" t="s">
        <v>165</v>
      </c>
      <c r="S13" s="63" t="s">
        <v>228</v>
      </c>
      <c r="T13" s="63" t="s">
        <v>1118</v>
      </c>
      <c r="U13" s="63"/>
    </row>
    <row r="14" customFormat="false" ht="15" hidden="false" customHeight="true" outlineLevel="0" collapsed="false">
      <c r="A14" s="54" t="n">
        <v>13</v>
      </c>
      <c r="B14" s="55" t="s">
        <v>1100</v>
      </c>
      <c r="C14" s="56" t="s">
        <v>1122</v>
      </c>
      <c r="D14" s="56" t="s">
        <v>1123</v>
      </c>
      <c r="E14" s="57" t="s">
        <v>1124</v>
      </c>
      <c r="F14" s="55" t="s">
        <v>482</v>
      </c>
      <c r="G14" s="55" t="s">
        <v>161</v>
      </c>
      <c r="H14" s="58" t="n">
        <v>10</v>
      </c>
      <c r="I14" s="58" t="n">
        <v>18</v>
      </c>
      <c r="J14" s="58" t="n">
        <f aca="false">ROUND(AVERAGE(H14:I14),1)</f>
        <v>14</v>
      </c>
      <c r="K14" s="59" t="n">
        <v>1</v>
      </c>
      <c r="L14" s="58" t="n">
        <f aca="false">J14+K14</f>
        <v>15</v>
      </c>
      <c r="M14" s="60" t="n">
        <f aca="false">IFERROR(INDEX(99_Listas!$C$2:$C$5,MATCH(G14,99_Listas!$B$2:$B$5,0)),0)</f>
        <v>0.09</v>
      </c>
      <c r="N14" s="58" t="n">
        <f aca="false">ROUND(J14*M14,2)</f>
        <v>1.26</v>
      </c>
      <c r="O14" s="58" t="n">
        <f aca="false">ROUND(J14-N14,2)</f>
        <v>12.74</v>
      </c>
      <c r="P14" s="55" t="s">
        <v>1103</v>
      </c>
      <c r="Q14" s="54" t="n">
        <v>12</v>
      </c>
      <c r="R14" s="55" t="s">
        <v>165</v>
      </c>
      <c r="S14" s="56" t="s">
        <v>228</v>
      </c>
      <c r="T14" s="56" t="s">
        <v>678</v>
      </c>
      <c r="U14" s="56"/>
    </row>
    <row r="15" customFormat="false" ht="15" hidden="false" customHeight="true" outlineLevel="0" collapsed="false">
      <c r="A15" s="61" t="n">
        <v>14</v>
      </c>
      <c r="B15" s="62" t="s">
        <v>1100</v>
      </c>
      <c r="C15" s="63" t="s">
        <v>1125</v>
      </c>
      <c r="D15" s="63" t="s">
        <v>1126</v>
      </c>
      <c r="E15" s="57" t="s">
        <v>1127</v>
      </c>
      <c r="F15" s="62" t="s">
        <v>294</v>
      </c>
      <c r="G15" s="62" t="s">
        <v>157</v>
      </c>
      <c r="H15" s="64" t="n">
        <v>4</v>
      </c>
      <c r="I15" s="64" t="n">
        <v>8</v>
      </c>
      <c r="J15" s="64" t="n">
        <f aca="false">ROUND(AVERAGE(H15:I15),1)</f>
        <v>6</v>
      </c>
      <c r="K15" s="59" t="n">
        <v>1</v>
      </c>
      <c r="L15" s="64" t="n">
        <f aca="false">J15+K15</f>
        <v>7</v>
      </c>
      <c r="M15" s="65" t="n">
        <f aca="false">IFERROR(INDEX(99_Listas!$C$2:$C$5,MATCH(G15,99_Listas!$B$2:$B$5,0)),0)</f>
        <v>0.07</v>
      </c>
      <c r="N15" s="64" t="n">
        <f aca="false">ROUND(J15*M15,2)</f>
        <v>0.42</v>
      </c>
      <c r="O15" s="64" t="n">
        <f aca="false">ROUND(J15-N15,2)</f>
        <v>5.58</v>
      </c>
      <c r="P15" s="62" t="s">
        <v>1128</v>
      </c>
      <c r="Q15" s="61" t="n">
        <v>5</v>
      </c>
      <c r="R15" s="62" t="s">
        <v>276</v>
      </c>
      <c r="S15" s="63" t="s">
        <v>228</v>
      </c>
      <c r="T15" s="63" t="s">
        <v>1129</v>
      </c>
      <c r="U15" s="63"/>
    </row>
    <row r="16" customFormat="false" ht="23.25" hidden="false" customHeight="true" outlineLevel="0" collapsed="false">
      <c r="A16" s="54" t="n">
        <v>15</v>
      </c>
      <c r="B16" s="55" t="s">
        <v>1130</v>
      </c>
      <c r="C16" s="56" t="s">
        <v>1131</v>
      </c>
      <c r="D16" s="56" t="s">
        <v>1132</v>
      </c>
      <c r="E16" s="57" t="s">
        <v>1133</v>
      </c>
      <c r="F16" s="55" t="s">
        <v>294</v>
      </c>
      <c r="G16" s="55" t="s">
        <v>157</v>
      </c>
      <c r="H16" s="58" t="n">
        <v>7</v>
      </c>
      <c r="I16" s="58" t="n">
        <v>14</v>
      </c>
      <c r="J16" s="58" t="n">
        <f aca="false">ROUND(AVERAGE(H16:I16),1)</f>
        <v>10.5</v>
      </c>
      <c r="K16" s="59" t="n">
        <v>1</v>
      </c>
      <c r="L16" s="58" t="n">
        <f aca="false">J16+K16</f>
        <v>11.5</v>
      </c>
      <c r="M16" s="60" t="n">
        <f aca="false">IFERROR(INDEX(99_Listas!$C$2:$C$5,MATCH(G16,99_Listas!$B$2:$B$5,0)),0)</f>
        <v>0.07</v>
      </c>
      <c r="N16" s="58" t="n">
        <f aca="false">ROUND(J16*M16,2)</f>
        <v>0.74</v>
      </c>
      <c r="O16" s="58" t="n">
        <f aca="false">ROUND(J16-N16,2)</f>
        <v>9.76</v>
      </c>
      <c r="P16" s="55" t="s">
        <v>1103</v>
      </c>
      <c r="Q16" s="54" t="n">
        <v>10</v>
      </c>
      <c r="R16" s="55" t="s">
        <v>276</v>
      </c>
      <c r="S16" s="56" t="s">
        <v>228</v>
      </c>
      <c r="T16" s="56" t="s">
        <v>1134</v>
      </c>
      <c r="U16" s="56" t="s">
        <v>1135</v>
      </c>
    </row>
    <row r="17" customFormat="false" ht="23.25" hidden="false" customHeight="true" outlineLevel="0" collapsed="false">
      <c r="A17" s="61" t="n">
        <v>16</v>
      </c>
      <c r="B17" s="62" t="s">
        <v>1130</v>
      </c>
      <c r="C17" s="63" t="s">
        <v>1136</v>
      </c>
      <c r="D17" s="63" t="s">
        <v>1137</v>
      </c>
      <c r="E17" s="57" t="s">
        <v>1133</v>
      </c>
      <c r="F17" s="62" t="s">
        <v>294</v>
      </c>
      <c r="G17" s="62" t="s">
        <v>161</v>
      </c>
      <c r="H17" s="64" t="n">
        <v>12</v>
      </c>
      <c r="I17" s="64" t="n">
        <v>20</v>
      </c>
      <c r="J17" s="64" t="n">
        <f aca="false">ROUND(AVERAGE(H17:I17),1)</f>
        <v>16</v>
      </c>
      <c r="K17" s="59" t="n">
        <v>1</v>
      </c>
      <c r="L17" s="64" t="n">
        <f aca="false">J17+K17</f>
        <v>17</v>
      </c>
      <c r="M17" s="65" t="n">
        <f aca="false">IFERROR(INDEX(99_Listas!$C$2:$C$5,MATCH(G17,99_Listas!$B$2:$B$5,0)),0)</f>
        <v>0.09</v>
      </c>
      <c r="N17" s="64" t="n">
        <f aca="false">ROUND(J17*M17,2)</f>
        <v>1.44</v>
      </c>
      <c r="O17" s="64" t="n">
        <f aca="false">ROUND(J17-N17,2)</f>
        <v>14.56</v>
      </c>
      <c r="P17" s="62" t="s">
        <v>1103</v>
      </c>
      <c r="Q17" s="61" t="n">
        <v>12</v>
      </c>
      <c r="R17" s="62" t="s">
        <v>276</v>
      </c>
      <c r="S17" s="63" t="s">
        <v>228</v>
      </c>
      <c r="T17" s="63" t="s">
        <v>1134</v>
      </c>
      <c r="U17" s="63"/>
    </row>
    <row r="18" customFormat="false" ht="23.25" hidden="false" customHeight="true" outlineLevel="0" collapsed="false">
      <c r="A18" s="54" t="n">
        <v>17</v>
      </c>
      <c r="B18" s="55" t="s">
        <v>1130</v>
      </c>
      <c r="C18" s="56" t="s">
        <v>1138</v>
      </c>
      <c r="D18" s="56" t="s">
        <v>1139</v>
      </c>
      <c r="E18" s="57" t="s">
        <v>1133</v>
      </c>
      <c r="F18" s="55" t="s">
        <v>294</v>
      </c>
      <c r="G18" s="55" t="s">
        <v>157</v>
      </c>
      <c r="H18" s="58" t="n">
        <v>8</v>
      </c>
      <c r="I18" s="58" t="n">
        <v>15</v>
      </c>
      <c r="J18" s="58" t="n">
        <f aca="false">ROUND(AVERAGE(H18:I18),1)</f>
        <v>11.5</v>
      </c>
      <c r="K18" s="59" t="n">
        <v>1</v>
      </c>
      <c r="L18" s="58" t="n">
        <f aca="false">J18+K18</f>
        <v>12.5</v>
      </c>
      <c r="M18" s="60" t="n">
        <f aca="false">IFERROR(INDEX(99_Listas!$C$2:$C$5,MATCH(G18,99_Listas!$B$2:$B$5,0)),0)</f>
        <v>0.07</v>
      </c>
      <c r="N18" s="58" t="n">
        <f aca="false">ROUND(J18*M18,2)</f>
        <v>0.81</v>
      </c>
      <c r="O18" s="58" t="n">
        <f aca="false">ROUND(J18-N18,2)</f>
        <v>10.69</v>
      </c>
      <c r="P18" s="55" t="s">
        <v>1103</v>
      </c>
      <c r="Q18" s="54" t="n">
        <v>10</v>
      </c>
      <c r="R18" s="55" t="s">
        <v>276</v>
      </c>
      <c r="S18" s="56" t="s">
        <v>228</v>
      </c>
      <c r="T18" s="56" t="s">
        <v>1134</v>
      </c>
      <c r="U18" s="56"/>
    </row>
    <row r="19" customFormat="false" ht="15" hidden="false" customHeight="true" outlineLevel="0" collapsed="false">
      <c r="A19" s="61" t="n">
        <v>18</v>
      </c>
      <c r="B19" s="62" t="s">
        <v>1130</v>
      </c>
      <c r="C19" s="63" t="s">
        <v>1140</v>
      </c>
      <c r="D19" s="63" t="s">
        <v>1141</v>
      </c>
      <c r="E19" s="57" t="s">
        <v>1142</v>
      </c>
      <c r="F19" s="62" t="s">
        <v>294</v>
      </c>
      <c r="G19" s="62" t="s">
        <v>157</v>
      </c>
      <c r="H19" s="64" t="n">
        <v>5</v>
      </c>
      <c r="I19" s="64" t="n">
        <v>10</v>
      </c>
      <c r="J19" s="64" t="n">
        <f aca="false">ROUND(AVERAGE(H19:I19),1)</f>
        <v>7.5</v>
      </c>
      <c r="K19" s="59" t="n">
        <v>1</v>
      </c>
      <c r="L19" s="64" t="n">
        <f aca="false">J19+K19</f>
        <v>8.5</v>
      </c>
      <c r="M19" s="65" t="n">
        <f aca="false">IFERROR(INDEX(99_Listas!$C$2:$C$5,MATCH(G19,99_Listas!$B$2:$B$5,0)),0)</f>
        <v>0.07</v>
      </c>
      <c r="N19" s="64" t="n">
        <f aca="false">ROUND(J19*M19,2)</f>
        <v>0.53</v>
      </c>
      <c r="O19" s="64" t="n">
        <f aca="false">ROUND(J19-N19,2)</f>
        <v>6.97</v>
      </c>
      <c r="P19" s="62" t="s">
        <v>1103</v>
      </c>
      <c r="Q19" s="61" t="n">
        <v>6</v>
      </c>
      <c r="R19" s="62" t="s">
        <v>276</v>
      </c>
      <c r="S19" s="63" t="s">
        <v>228</v>
      </c>
      <c r="T19" s="63" t="s">
        <v>1143</v>
      </c>
      <c r="U19" s="63"/>
    </row>
    <row r="20" customFormat="false" ht="15" hidden="false" customHeight="true" outlineLevel="0" collapsed="false">
      <c r="A20" s="54" t="n">
        <v>19</v>
      </c>
      <c r="B20" s="55" t="s">
        <v>1130</v>
      </c>
      <c r="C20" s="56" t="s">
        <v>1144</v>
      </c>
      <c r="D20" s="56" t="s">
        <v>1145</v>
      </c>
      <c r="E20" s="57" t="s">
        <v>1146</v>
      </c>
      <c r="F20" s="55" t="s">
        <v>294</v>
      </c>
      <c r="G20" s="55" t="s">
        <v>157</v>
      </c>
      <c r="H20" s="58" t="n">
        <v>6</v>
      </c>
      <c r="I20" s="58" t="n">
        <v>12</v>
      </c>
      <c r="J20" s="58" t="n">
        <f aca="false">ROUND(AVERAGE(H20:I20),1)</f>
        <v>9</v>
      </c>
      <c r="K20" s="59" t="n">
        <v>1</v>
      </c>
      <c r="L20" s="58" t="n">
        <f aca="false">J20+K20</f>
        <v>10</v>
      </c>
      <c r="M20" s="60" t="n">
        <f aca="false">IFERROR(INDEX(99_Listas!$C$2:$C$5,MATCH(G20,99_Listas!$B$2:$B$5,0)),0)</f>
        <v>0.07</v>
      </c>
      <c r="N20" s="58" t="n">
        <f aca="false">ROUND(J20*M20,2)</f>
        <v>0.63</v>
      </c>
      <c r="O20" s="58" t="n">
        <f aca="false">ROUND(J20-N20,2)</f>
        <v>8.37</v>
      </c>
      <c r="P20" s="55" t="s">
        <v>1103</v>
      </c>
      <c r="Q20" s="54" t="n">
        <v>6</v>
      </c>
      <c r="R20" s="55" t="s">
        <v>276</v>
      </c>
      <c r="S20" s="56" t="s">
        <v>228</v>
      </c>
      <c r="T20" s="56" t="s">
        <v>1143</v>
      </c>
      <c r="U20" s="56"/>
    </row>
    <row r="21" customFormat="false" ht="15" hidden="false" customHeight="true" outlineLevel="0" collapsed="false">
      <c r="A21" s="61" t="n">
        <v>20</v>
      </c>
      <c r="B21" s="62" t="s">
        <v>1130</v>
      </c>
      <c r="C21" s="63" t="s">
        <v>1147</v>
      </c>
      <c r="D21" s="63" t="s">
        <v>1148</v>
      </c>
      <c r="E21" s="57" t="s">
        <v>1149</v>
      </c>
      <c r="F21" s="62" t="s">
        <v>294</v>
      </c>
      <c r="G21" s="62" t="s">
        <v>161</v>
      </c>
      <c r="H21" s="64" t="n">
        <v>8</v>
      </c>
      <c r="I21" s="64" t="n">
        <v>15</v>
      </c>
      <c r="J21" s="64" t="n">
        <f aca="false">ROUND(AVERAGE(H21:I21),1)</f>
        <v>11.5</v>
      </c>
      <c r="K21" s="59" t="n">
        <v>1</v>
      </c>
      <c r="L21" s="64" t="n">
        <f aca="false">J21+K21</f>
        <v>12.5</v>
      </c>
      <c r="M21" s="65" t="n">
        <f aca="false">IFERROR(INDEX(99_Listas!$C$2:$C$5,MATCH(G21,99_Listas!$B$2:$B$5,0)),0)</f>
        <v>0.09</v>
      </c>
      <c r="N21" s="64" t="n">
        <f aca="false">ROUND(J21*M21,2)</f>
        <v>1.04</v>
      </c>
      <c r="O21" s="64" t="n">
        <f aca="false">ROUND(J21-N21,2)</f>
        <v>10.46</v>
      </c>
      <c r="P21" s="62" t="s">
        <v>1086</v>
      </c>
      <c r="Q21" s="61" t="n">
        <v>8</v>
      </c>
      <c r="R21" s="62" t="s">
        <v>276</v>
      </c>
      <c r="S21" s="63" t="s">
        <v>228</v>
      </c>
      <c r="T21" s="63" t="s">
        <v>182</v>
      </c>
      <c r="U21" s="63"/>
    </row>
    <row r="22" customFormat="false" ht="23.25" hidden="false" customHeight="true" outlineLevel="0" collapsed="false">
      <c r="A22" s="54" t="n">
        <v>21</v>
      </c>
      <c r="B22" s="55" t="s">
        <v>1150</v>
      </c>
      <c r="C22" s="56" t="s">
        <v>1151</v>
      </c>
      <c r="D22" s="56" t="s">
        <v>1152</v>
      </c>
      <c r="E22" s="57" t="s">
        <v>1153</v>
      </c>
      <c r="F22" s="55" t="s">
        <v>1154</v>
      </c>
      <c r="G22" s="55" t="s">
        <v>161</v>
      </c>
      <c r="H22" s="58" t="n">
        <v>12</v>
      </c>
      <c r="I22" s="58" t="n">
        <v>22</v>
      </c>
      <c r="J22" s="58" t="n">
        <f aca="false">ROUND(AVERAGE(H22:I22),1)</f>
        <v>17</v>
      </c>
      <c r="K22" s="59" t="n">
        <v>1</v>
      </c>
      <c r="L22" s="58" t="n">
        <f aca="false">J22+K22</f>
        <v>18</v>
      </c>
      <c r="M22" s="60" t="n">
        <f aca="false">IFERROR(INDEX(99_Listas!$C$2:$C$5,MATCH(G22,99_Listas!$B$2:$B$5,0)),0)</f>
        <v>0.09</v>
      </c>
      <c r="N22" s="58" t="n">
        <f aca="false">ROUND(J22*M22,2)</f>
        <v>1.53</v>
      </c>
      <c r="O22" s="58" t="n">
        <f aca="false">ROUND(J22-N22,2)</f>
        <v>15.47</v>
      </c>
      <c r="P22" s="55" t="s">
        <v>1103</v>
      </c>
      <c r="Q22" s="54" t="n">
        <v>15</v>
      </c>
      <c r="R22" s="55" t="s">
        <v>276</v>
      </c>
      <c r="S22" s="56" t="s">
        <v>228</v>
      </c>
      <c r="T22" s="56" t="s">
        <v>180</v>
      </c>
      <c r="U22" s="56"/>
    </row>
    <row r="23" customFormat="false" ht="23.25" hidden="false" customHeight="true" outlineLevel="0" collapsed="false">
      <c r="A23" s="61" t="n">
        <v>22</v>
      </c>
      <c r="B23" s="62" t="s">
        <v>1150</v>
      </c>
      <c r="C23" s="63" t="s">
        <v>1155</v>
      </c>
      <c r="D23" s="63" t="s">
        <v>1156</v>
      </c>
      <c r="E23" s="57" t="s">
        <v>1153</v>
      </c>
      <c r="F23" s="62" t="s">
        <v>1157</v>
      </c>
      <c r="G23" s="62" t="s">
        <v>165</v>
      </c>
      <c r="H23" s="64" t="n">
        <v>22</v>
      </c>
      <c r="I23" s="64" t="n">
        <v>40</v>
      </c>
      <c r="J23" s="64" t="n">
        <f aca="false">ROUND(AVERAGE(H23:I23),1)</f>
        <v>31</v>
      </c>
      <c r="K23" s="59" t="n">
        <v>1</v>
      </c>
      <c r="L23" s="64" t="n">
        <f aca="false">J23+K23</f>
        <v>32</v>
      </c>
      <c r="M23" s="65" t="n">
        <f aca="false">IFERROR(INDEX(99_Listas!$C$2:$C$5,MATCH(G23,99_Listas!$B$2:$B$5,0)),0)</f>
        <v>0.11</v>
      </c>
      <c r="N23" s="64" t="n">
        <f aca="false">ROUND(J23*M23,2)</f>
        <v>3.41</v>
      </c>
      <c r="O23" s="64" t="n">
        <f aca="false">ROUND(J23-N23,2)</f>
        <v>27.59</v>
      </c>
      <c r="P23" s="62" t="s">
        <v>1103</v>
      </c>
      <c r="Q23" s="61" t="n">
        <v>18</v>
      </c>
      <c r="R23" s="62" t="s">
        <v>276</v>
      </c>
      <c r="S23" s="63" t="s">
        <v>380</v>
      </c>
      <c r="T23" s="63" t="s">
        <v>180</v>
      </c>
      <c r="U23" s="63"/>
    </row>
    <row r="24" customFormat="false" ht="23.25" hidden="false" customHeight="true" outlineLevel="0" collapsed="false">
      <c r="A24" s="54" t="n">
        <v>23</v>
      </c>
      <c r="B24" s="55" t="s">
        <v>1150</v>
      </c>
      <c r="C24" s="56" t="s">
        <v>1158</v>
      </c>
      <c r="D24" s="56" t="s">
        <v>1159</v>
      </c>
      <c r="E24" s="57" t="s">
        <v>1153</v>
      </c>
      <c r="F24" s="55" t="s">
        <v>1160</v>
      </c>
      <c r="G24" s="55" t="s">
        <v>169</v>
      </c>
      <c r="H24" s="58" t="n">
        <v>30</v>
      </c>
      <c r="I24" s="58" t="n">
        <v>60</v>
      </c>
      <c r="J24" s="58" t="n">
        <f aca="false">ROUND(AVERAGE(H24:I24),1)</f>
        <v>45</v>
      </c>
      <c r="K24" s="59" t="n">
        <v>1</v>
      </c>
      <c r="L24" s="58" t="n">
        <f aca="false">J24+K24</f>
        <v>46</v>
      </c>
      <c r="M24" s="60" t="n">
        <f aca="false">IFERROR(INDEX(99_Listas!$C$2:$C$5,MATCH(G24,99_Listas!$B$2:$B$5,0)),0)</f>
        <v>0.13</v>
      </c>
      <c r="N24" s="58" t="n">
        <f aca="false">ROUND(J24*M24,2)</f>
        <v>5.85</v>
      </c>
      <c r="O24" s="58" t="n">
        <f aca="false">ROUND(J24-N24,2)</f>
        <v>39.15</v>
      </c>
      <c r="P24" s="55" t="s">
        <v>1103</v>
      </c>
      <c r="Q24" s="54" t="n">
        <v>20</v>
      </c>
      <c r="R24" s="55" t="s">
        <v>276</v>
      </c>
      <c r="S24" s="56" t="s">
        <v>380</v>
      </c>
      <c r="T24" s="56" t="s">
        <v>180</v>
      </c>
      <c r="U24" s="56" t="s">
        <v>1161</v>
      </c>
    </row>
    <row r="25" customFormat="false" ht="23.25" hidden="false" customHeight="true" outlineLevel="0" collapsed="false">
      <c r="A25" s="61" t="n">
        <v>24</v>
      </c>
      <c r="B25" s="62" t="s">
        <v>1150</v>
      </c>
      <c r="C25" s="63" t="s">
        <v>1162</v>
      </c>
      <c r="D25" s="63" t="s">
        <v>1163</v>
      </c>
      <c r="E25" s="57" t="s">
        <v>1153</v>
      </c>
      <c r="F25" s="62" t="s">
        <v>1157</v>
      </c>
      <c r="G25" s="62" t="s">
        <v>169</v>
      </c>
      <c r="H25" s="64" t="n">
        <v>25</v>
      </c>
      <c r="I25" s="64" t="n">
        <v>50</v>
      </c>
      <c r="J25" s="64" t="n">
        <f aca="false">ROUND(AVERAGE(H25:I25),1)</f>
        <v>37.5</v>
      </c>
      <c r="K25" s="59" t="n">
        <v>1</v>
      </c>
      <c r="L25" s="64" t="n">
        <f aca="false">J25+K25</f>
        <v>38.5</v>
      </c>
      <c r="M25" s="65" t="n">
        <f aca="false">IFERROR(INDEX(99_Listas!$C$2:$C$5,MATCH(G25,99_Listas!$B$2:$B$5,0)),0)</f>
        <v>0.13</v>
      </c>
      <c r="N25" s="64" t="n">
        <f aca="false">ROUND(J25*M25,2)</f>
        <v>4.88</v>
      </c>
      <c r="O25" s="64" t="n">
        <f aca="false">ROUND(J25-N25,2)</f>
        <v>32.62</v>
      </c>
      <c r="P25" s="62" t="s">
        <v>1103</v>
      </c>
      <c r="Q25" s="61" t="n">
        <v>20</v>
      </c>
      <c r="R25" s="62" t="s">
        <v>276</v>
      </c>
      <c r="S25" s="63" t="s">
        <v>228</v>
      </c>
      <c r="T25" s="63" t="s">
        <v>1164</v>
      </c>
      <c r="U25" s="63"/>
    </row>
    <row r="26" customFormat="false" ht="15" hidden="false" customHeight="true" outlineLevel="0" collapsed="false">
      <c r="A26" s="54" t="n">
        <v>25</v>
      </c>
      <c r="B26" s="55" t="s">
        <v>1150</v>
      </c>
      <c r="C26" s="56" t="s">
        <v>1165</v>
      </c>
      <c r="D26" s="56" t="s">
        <v>1166</v>
      </c>
      <c r="E26" s="57" t="s">
        <v>1167</v>
      </c>
      <c r="F26" s="55" t="s">
        <v>482</v>
      </c>
      <c r="G26" s="55" t="s">
        <v>165</v>
      </c>
      <c r="H26" s="58" t="n">
        <v>15</v>
      </c>
      <c r="I26" s="58" t="n">
        <v>28</v>
      </c>
      <c r="J26" s="58" t="n">
        <f aca="false">ROUND(AVERAGE(H26:I26),1)</f>
        <v>21.5</v>
      </c>
      <c r="K26" s="59" t="n">
        <v>1</v>
      </c>
      <c r="L26" s="58" t="n">
        <f aca="false">J26+K26</f>
        <v>22.5</v>
      </c>
      <c r="M26" s="60" t="n">
        <f aca="false">IFERROR(INDEX(99_Listas!$C$2:$C$5,MATCH(G26,99_Listas!$B$2:$B$5,0)),0)</f>
        <v>0.11</v>
      </c>
      <c r="N26" s="58" t="n">
        <f aca="false">ROUND(J26*M26,2)</f>
        <v>2.37</v>
      </c>
      <c r="O26" s="58" t="n">
        <f aca="false">ROUND(J26-N26,2)</f>
        <v>19.13</v>
      </c>
      <c r="P26" s="55" t="s">
        <v>1086</v>
      </c>
      <c r="Q26" s="54" t="n">
        <v>15</v>
      </c>
      <c r="R26" s="55" t="s">
        <v>276</v>
      </c>
      <c r="S26" s="56" t="s">
        <v>228</v>
      </c>
      <c r="T26" s="56" t="s">
        <v>203</v>
      </c>
      <c r="U26" s="56"/>
    </row>
    <row r="27" customFormat="false" ht="15" hidden="false" customHeight="true" outlineLevel="0" collapsed="false">
      <c r="A27" s="61" t="n">
        <v>26</v>
      </c>
      <c r="B27" s="62" t="s">
        <v>1150</v>
      </c>
      <c r="C27" s="63" t="s">
        <v>1168</v>
      </c>
      <c r="D27" s="63" t="s">
        <v>1169</v>
      </c>
      <c r="E27" s="57" t="s">
        <v>1170</v>
      </c>
      <c r="F27" s="62" t="s">
        <v>344</v>
      </c>
      <c r="G27" s="62" t="s">
        <v>161</v>
      </c>
      <c r="H27" s="64" t="n">
        <v>12</v>
      </c>
      <c r="I27" s="64" t="n">
        <v>22</v>
      </c>
      <c r="J27" s="64" t="n">
        <f aca="false">ROUND(AVERAGE(H27:I27),1)</f>
        <v>17</v>
      </c>
      <c r="K27" s="59" t="n">
        <v>1</v>
      </c>
      <c r="L27" s="64" t="n">
        <f aca="false">J27+K27</f>
        <v>18</v>
      </c>
      <c r="M27" s="65" t="n">
        <f aca="false">IFERROR(INDEX(99_Listas!$C$2:$C$5,MATCH(G27,99_Listas!$B$2:$B$5,0)),0)</f>
        <v>0.09</v>
      </c>
      <c r="N27" s="64" t="n">
        <f aca="false">ROUND(J27*M27,2)</f>
        <v>1.53</v>
      </c>
      <c r="O27" s="64" t="n">
        <f aca="false">ROUND(J27-N27,2)</f>
        <v>15.47</v>
      </c>
      <c r="P27" s="62" t="s">
        <v>1086</v>
      </c>
      <c r="Q27" s="61" t="n">
        <v>12</v>
      </c>
      <c r="R27" s="62" t="s">
        <v>276</v>
      </c>
      <c r="S27" s="63" t="s">
        <v>228</v>
      </c>
      <c r="T27" s="63" t="s">
        <v>203</v>
      </c>
      <c r="U27" s="63"/>
    </row>
    <row r="28" customFormat="false" ht="15" hidden="false" customHeight="true" outlineLevel="0" collapsed="false">
      <c r="A28" s="54" t="n">
        <v>27</v>
      </c>
      <c r="B28" s="55" t="s">
        <v>1150</v>
      </c>
      <c r="C28" s="56" t="s">
        <v>1171</v>
      </c>
      <c r="D28" s="56" t="s">
        <v>1172</v>
      </c>
      <c r="E28" s="57" t="s">
        <v>1170</v>
      </c>
      <c r="F28" s="55" t="s">
        <v>344</v>
      </c>
      <c r="G28" s="55" t="s">
        <v>165</v>
      </c>
      <c r="H28" s="58" t="n">
        <v>15</v>
      </c>
      <c r="I28" s="58" t="n">
        <v>28</v>
      </c>
      <c r="J28" s="58" t="n">
        <f aca="false">ROUND(AVERAGE(H28:I28),1)</f>
        <v>21.5</v>
      </c>
      <c r="K28" s="59" t="n">
        <v>1</v>
      </c>
      <c r="L28" s="58" t="n">
        <f aca="false">J28+K28</f>
        <v>22.5</v>
      </c>
      <c r="M28" s="60" t="n">
        <f aca="false">IFERROR(INDEX(99_Listas!$C$2:$C$5,MATCH(G28,99_Listas!$B$2:$B$5,0)),0)</f>
        <v>0.11</v>
      </c>
      <c r="N28" s="58" t="n">
        <f aca="false">ROUND(J28*M28,2)</f>
        <v>2.37</v>
      </c>
      <c r="O28" s="58" t="n">
        <f aca="false">ROUND(J28-N28,2)</f>
        <v>19.13</v>
      </c>
      <c r="P28" s="55" t="s">
        <v>1086</v>
      </c>
      <c r="Q28" s="54" t="n">
        <v>12</v>
      </c>
      <c r="R28" s="55" t="s">
        <v>276</v>
      </c>
      <c r="S28" s="56" t="s">
        <v>228</v>
      </c>
      <c r="T28" s="56" t="s">
        <v>203</v>
      </c>
      <c r="U28" s="56"/>
    </row>
    <row r="29" customFormat="false" ht="15" hidden="false" customHeight="true" outlineLevel="0" collapsed="false">
      <c r="A29" s="61" t="n">
        <v>28</v>
      </c>
      <c r="B29" s="62" t="s">
        <v>1173</v>
      </c>
      <c r="C29" s="63" t="s">
        <v>1174</v>
      </c>
      <c r="D29" s="63" t="s">
        <v>1175</v>
      </c>
      <c r="E29" s="57" t="s">
        <v>1176</v>
      </c>
      <c r="F29" s="62" t="s">
        <v>482</v>
      </c>
      <c r="G29" s="62" t="s">
        <v>161</v>
      </c>
      <c r="H29" s="64" t="n">
        <v>10</v>
      </c>
      <c r="I29" s="64" t="n">
        <v>18</v>
      </c>
      <c r="J29" s="64" t="n">
        <f aca="false">ROUND(AVERAGE(H29:I29),1)</f>
        <v>14</v>
      </c>
      <c r="K29" s="59" t="n">
        <v>1</v>
      </c>
      <c r="L29" s="64" t="n">
        <f aca="false">J29+K29</f>
        <v>15</v>
      </c>
      <c r="M29" s="65" t="n">
        <f aca="false">IFERROR(INDEX(99_Listas!$C$2:$C$5,MATCH(G29,99_Listas!$B$2:$B$5,0)),0)</f>
        <v>0.09</v>
      </c>
      <c r="N29" s="64" t="n">
        <f aca="false">ROUND(J29*M29,2)</f>
        <v>1.26</v>
      </c>
      <c r="O29" s="64" t="n">
        <f aca="false">ROUND(J29-N29,2)</f>
        <v>12.74</v>
      </c>
      <c r="P29" s="62" t="s">
        <v>1103</v>
      </c>
      <c r="Q29" s="61" t="n">
        <v>12</v>
      </c>
      <c r="R29" s="62" t="s">
        <v>165</v>
      </c>
      <c r="S29" s="63" t="s">
        <v>228</v>
      </c>
      <c r="T29" s="63" t="s">
        <v>1177</v>
      </c>
      <c r="U29" s="63" t="s">
        <v>1178</v>
      </c>
    </row>
    <row r="30" customFormat="false" ht="15" hidden="false" customHeight="true" outlineLevel="0" collapsed="false">
      <c r="A30" s="54" t="n">
        <v>29</v>
      </c>
      <c r="B30" s="55" t="s">
        <v>1173</v>
      </c>
      <c r="C30" s="56" t="s">
        <v>1179</v>
      </c>
      <c r="D30" s="56" t="s">
        <v>1180</v>
      </c>
      <c r="E30" s="57" t="s">
        <v>1176</v>
      </c>
      <c r="F30" s="55" t="s">
        <v>482</v>
      </c>
      <c r="G30" s="55" t="s">
        <v>161</v>
      </c>
      <c r="H30" s="58" t="n">
        <v>12</v>
      </c>
      <c r="I30" s="58" t="n">
        <v>20</v>
      </c>
      <c r="J30" s="58" t="n">
        <f aca="false">ROUND(AVERAGE(H30:I30),1)</f>
        <v>16</v>
      </c>
      <c r="K30" s="59" t="n">
        <v>1</v>
      </c>
      <c r="L30" s="58" t="n">
        <f aca="false">J30+K30</f>
        <v>17</v>
      </c>
      <c r="M30" s="60" t="n">
        <f aca="false">IFERROR(INDEX(99_Listas!$C$2:$C$5,MATCH(G30,99_Listas!$B$2:$B$5,0)),0)</f>
        <v>0.09</v>
      </c>
      <c r="N30" s="58" t="n">
        <f aca="false">ROUND(J30*M30,2)</f>
        <v>1.44</v>
      </c>
      <c r="O30" s="58" t="n">
        <f aca="false">ROUND(J30-N30,2)</f>
        <v>14.56</v>
      </c>
      <c r="P30" s="55" t="s">
        <v>1103</v>
      </c>
      <c r="Q30" s="54" t="n">
        <v>15</v>
      </c>
      <c r="R30" s="55" t="s">
        <v>165</v>
      </c>
      <c r="S30" s="56" t="s">
        <v>228</v>
      </c>
      <c r="T30" s="56" t="s">
        <v>196</v>
      </c>
      <c r="U30" s="56"/>
    </row>
    <row r="31" customFormat="false" ht="15" hidden="false" customHeight="true" outlineLevel="0" collapsed="false">
      <c r="A31" s="61" t="n">
        <v>30</v>
      </c>
      <c r="B31" s="62" t="s">
        <v>1173</v>
      </c>
      <c r="C31" s="63" t="s">
        <v>1181</v>
      </c>
      <c r="D31" s="63" t="s">
        <v>1182</v>
      </c>
      <c r="E31" s="57" t="s">
        <v>1183</v>
      </c>
      <c r="F31" s="62" t="s">
        <v>482</v>
      </c>
      <c r="G31" s="62" t="s">
        <v>161</v>
      </c>
      <c r="H31" s="64" t="n">
        <v>10</v>
      </c>
      <c r="I31" s="64" t="n">
        <v>18</v>
      </c>
      <c r="J31" s="64" t="n">
        <f aca="false">ROUND(AVERAGE(H31:I31),1)</f>
        <v>14</v>
      </c>
      <c r="K31" s="59" t="n">
        <v>1</v>
      </c>
      <c r="L31" s="64" t="n">
        <f aca="false">J31+K31</f>
        <v>15</v>
      </c>
      <c r="M31" s="65" t="n">
        <f aca="false">IFERROR(INDEX(99_Listas!$C$2:$C$5,MATCH(G31,99_Listas!$B$2:$B$5,0)),0)</f>
        <v>0.09</v>
      </c>
      <c r="N31" s="64" t="n">
        <f aca="false">ROUND(J31*M31,2)</f>
        <v>1.26</v>
      </c>
      <c r="O31" s="64" t="n">
        <f aca="false">ROUND(J31-N31,2)</f>
        <v>12.74</v>
      </c>
      <c r="P31" s="62" t="s">
        <v>1103</v>
      </c>
      <c r="Q31" s="61" t="n">
        <v>12</v>
      </c>
      <c r="R31" s="62" t="s">
        <v>165</v>
      </c>
      <c r="S31" s="63" t="s">
        <v>228</v>
      </c>
      <c r="T31" s="63" t="s">
        <v>196</v>
      </c>
      <c r="U31" s="63"/>
    </row>
    <row r="32" customFormat="false" ht="15" hidden="false" customHeight="true" outlineLevel="0" collapsed="false">
      <c r="A32" s="54" t="n">
        <v>31</v>
      </c>
      <c r="B32" s="55" t="s">
        <v>1173</v>
      </c>
      <c r="C32" s="56" t="s">
        <v>1184</v>
      </c>
      <c r="D32" s="56" t="s">
        <v>1185</v>
      </c>
      <c r="E32" s="57" t="s">
        <v>1186</v>
      </c>
      <c r="F32" s="55" t="s">
        <v>344</v>
      </c>
      <c r="G32" s="55" t="s">
        <v>165</v>
      </c>
      <c r="H32" s="58" t="n">
        <v>20</v>
      </c>
      <c r="I32" s="58" t="n">
        <v>35</v>
      </c>
      <c r="J32" s="58" t="n">
        <f aca="false">ROUND(AVERAGE(H32:I32),1)</f>
        <v>27.5</v>
      </c>
      <c r="K32" s="59" t="n">
        <v>1</v>
      </c>
      <c r="L32" s="58" t="n">
        <f aca="false">J32+K32</f>
        <v>28.5</v>
      </c>
      <c r="M32" s="60" t="n">
        <f aca="false">IFERROR(INDEX(99_Listas!$C$2:$C$5,MATCH(G32,99_Listas!$B$2:$B$5,0)),0)</f>
        <v>0.11</v>
      </c>
      <c r="N32" s="58" t="n">
        <f aca="false">ROUND(J32*M32,2)</f>
        <v>3.03</v>
      </c>
      <c r="O32" s="58" t="n">
        <f aca="false">ROUND(J32-N32,2)</f>
        <v>24.47</v>
      </c>
      <c r="P32" s="55" t="s">
        <v>1103</v>
      </c>
      <c r="Q32" s="54" t="n">
        <v>20</v>
      </c>
      <c r="R32" s="55" t="s">
        <v>165</v>
      </c>
      <c r="S32" s="56" t="s">
        <v>228</v>
      </c>
      <c r="T32" s="56" t="s">
        <v>196</v>
      </c>
      <c r="U32" s="56"/>
    </row>
    <row r="33" customFormat="false" ht="15" hidden="false" customHeight="true" outlineLevel="0" collapsed="false">
      <c r="A33" s="61" t="n">
        <v>32</v>
      </c>
      <c r="B33" s="62" t="s">
        <v>1173</v>
      </c>
      <c r="C33" s="63" t="s">
        <v>1187</v>
      </c>
      <c r="D33" s="63" t="s">
        <v>1188</v>
      </c>
      <c r="E33" s="57" t="s">
        <v>1186</v>
      </c>
      <c r="F33" s="62" t="s">
        <v>902</v>
      </c>
      <c r="G33" s="62" t="s">
        <v>169</v>
      </c>
      <c r="H33" s="64" t="n">
        <v>35</v>
      </c>
      <c r="I33" s="64" t="n">
        <v>65</v>
      </c>
      <c r="J33" s="64" t="n">
        <f aca="false">ROUND(AVERAGE(H33:I33),1)</f>
        <v>50</v>
      </c>
      <c r="K33" s="59" t="n">
        <v>1</v>
      </c>
      <c r="L33" s="64" t="n">
        <f aca="false">J33+K33</f>
        <v>51</v>
      </c>
      <c r="M33" s="65" t="n">
        <f aca="false">IFERROR(INDEX(99_Listas!$C$2:$C$5,MATCH(G33,99_Listas!$B$2:$B$5,0)),0)</f>
        <v>0.13</v>
      </c>
      <c r="N33" s="64" t="n">
        <f aca="false">ROUND(J33*M33,2)</f>
        <v>6.5</v>
      </c>
      <c r="O33" s="64" t="n">
        <f aca="false">ROUND(J33-N33,2)</f>
        <v>43.5</v>
      </c>
      <c r="P33" s="62" t="s">
        <v>1103</v>
      </c>
      <c r="Q33" s="61" t="n">
        <v>25</v>
      </c>
      <c r="R33" s="62" t="s">
        <v>165</v>
      </c>
      <c r="S33" s="63" t="s">
        <v>380</v>
      </c>
      <c r="T33" s="63" t="s">
        <v>196</v>
      </c>
      <c r="U33" s="63" t="s">
        <v>1189</v>
      </c>
    </row>
    <row r="34" customFormat="false" ht="15" hidden="false" customHeight="true" outlineLevel="0" collapsed="false">
      <c r="A34" s="54" t="n">
        <v>33</v>
      </c>
      <c r="B34" s="55" t="s">
        <v>1173</v>
      </c>
      <c r="C34" s="56" t="s">
        <v>1190</v>
      </c>
      <c r="D34" s="56" t="s">
        <v>1191</v>
      </c>
      <c r="E34" s="57" t="s">
        <v>1142</v>
      </c>
      <c r="F34" s="55" t="s">
        <v>294</v>
      </c>
      <c r="G34" s="55" t="s">
        <v>157</v>
      </c>
      <c r="H34" s="58" t="n">
        <v>6</v>
      </c>
      <c r="I34" s="58" t="n">
        <v>12</v>
      </c>
      <c r="J34" s="58" t="n">
        <f aca="false">ROUND(AVERAGE(H34:I34),1)</f>
        <v>9</v>
      </c>
      <c r="K34" s="59" t="n">
        <v>1</v>
      </c>
      <c r="L34" s="58" t="n">
        <f aca="false">J34+K34</f>
        <v>10</v>
      </c>
      <c r="M34" s="60" t="n">
        <f aca="false">IFERROR(INDEX(99_Listas!$C$2:$C$5,MATCH(G34,99_Listas!$B$2:$B$5,0)),0)</f>
        <v>0.07</v>
      </c>
      <c r="N34" s="58" t="n">
        <f aca="false">ROUND(J34*M34,2)</f>
        <v>0.63</v>
      </c>
      <c r="O34" s="58" t="n">
        <f aca="false">ROUND(J34-N34,2)</f>
        <v>8.37</v>
      </c>
      <c r="P34" s="55" t="s">
        <v>1103</v>
      </c>
      <c r="Q34" s="54" t="n">
        <v>8</v>
      </c>
      <c r="R34" s="55" t="s">
        <v>276</v>
      </c>
      <c r="S34" s="56" t="s">
        <v>228</v>
      </c>
      <c r="T34" s="56" t="s">
        <v>1192</v>
      </c>
      <c r="U34" s="56"/>
    </row>
    <row r="35" customFormat="false" ht="23.25" hidden="false" customHeight="true" outlineLevel="0" collapsed="false">
      <c r="A35" s="61" t="n">
        <v>34</v>
      </c>
      <c r="B35" s="62" t="s">
        <v>1193</v>
      </c>
      <c r="C35" s="63" t="s">
        <v>1194</v>
      </c>
      <c r="D35" s="63" t="s">
        <v>727</v>
      </c>
      <c r="E35" s="57" t="s">
        <v>728</v>
      </c>
      <c r="F35" s="62" t="s">
        <v>344</v>
      </c>
      <c r="G35" s="62" t="s">
        <v>161</v>
      </c>
      <c r="H35" s="64" t="n">
        <v>10</v>
      </c>
      <c r="I35" s="64" t="n">
        <v>16</v>
      </c>
      <c r="J35" s="64" t="n">
        <f aca="false">ROUND(AVERAGE(H35:I35),1)</f>
        <v>13</v>
      </c>
      <c r="K35" s="59" t="n">
        <v>1</v>
      </c>
      <c r="L35" s="64" t="n">
        <f aca="false">J35+K35</f>
        <v>14</v>
      </c>
      <c r="M35" s="65" t="n">
        <f aca="false">IFERROR(INDEX(99_Listas!$C$2:$C$5,MATCH(G35,99_Listas!$B$2:$B$5,0)),0)</f>
        <v>0.09</v>
      </c>
      <c r="N35" s="64" t="n">
        <f aca="false">ROUND(J35*M35,2)</f>
        <v>1.17</v>
      </c>
      <c r="O35" s="64" t="n">
        <f aca="false">ROUND(J35-N35,2)</f>
        <v>11.83</v>
      </c>
      <c r="P35" s="62" t="s">
        <v>1195</v>
      </c>
      <c r="Q35" s="61" t="n">
        <v>10</v>
      </c>
      <c r="R35" s="62" t="s">
        <v>276</v>
      </c>
      <c r="S35" s="63" t="s">
        <v>228</v>
      </c>
      <c r="T35" s="63" t="s">
        <v>174</v>
      </c>
      <c r="U35" s="63" t="s">
        <v>1196</v>
      </c>
    </row>
    <row r="36" customFormat="false" ht="15" hidden="false" customHeight="true" outlineLevel="0" collapsed="false">
      <c r="A36" s="54" t="n">
        <v>35</v>
      </c>
      <c r="B36" s="55" t="s">
        <v>1193</v>
      </c>
      <c r="C36" s="56" t="s">
        <v>1197</v>
      </c>
      <c r="D36" s="56" t="s">
        <v>1198</v>
      </c>
      <c r="E36" s="57" t="s">
        <v>739</v>
      </c>
      <c r="F36" s="55" t="s">
        <v>740</v>
      </c>
      <c r="G36" s="55" t="s">
        <v>161</v>
      </c>
      <c r="H36" s="58" t="n">
        <v>12</v>
      </c>
      <c r="I36" s="58" t="n">
        <v>20</v>
      </c>
      <c r="J36" s="58" t="n">
        <f aca="false">ROUND(AVERAGE(H36:I36),1)</f>
        <v>16</v>
      </c>
      <c r="K36" s="59" t="n">
        <v>1</v>
      </c>
      <c r="L36" s="58" t="n">
        <f aca="false">J36+K36</f>
        <v>17</v>
      </c>
      <c r="M36" s="60" t="n">
        <f aca="false">IFERROR(INDEX(99_Listas!$C$2:$C$5,MATCH(G36,99_Listas!$B$2:$B$5,0)),0)</f>
        <v>0.09</v>
      </c>
      <c r="N36" s="58" t="n">
        <f aca="false">ROUND(J36*M36,2)</f>
        <v>1.44</v>
      </c>
      <c r="O36" s="58" t="n">
        <f aca="false">ROUND(J36-N36,2)</f>
        <v>14.56</v>
      </c>
      <c r="P36" s="55" t="s">
        <v>1195</v>
      </c>
      <c r="Q36" s="54" t="n">
        <v>12</v>
      </c>
      <c r="R36" s="55" t="s">
        <v>276</v>
      </c>
      <c r="S36" s="56" t="s">
        <v>228</v>
      </c>
      <c r="T36" s="56" t="s">
        <v>174</v>
      </c>
      <c r="U36" s="56"/>
    </row>
    <row r="37" customFormat="false" ht="23.25" hidden="false" customHeight="true" outlineLevel="0" collapsed="false">
      <c r="A37" s="61" t="n">
        <v>36</v>
      </c>
      <c r="B37" s="62" t="s">
        <v>1193</v>
      </c>
      <c r="C37" s="63" t="s">
        <v>1199</v>
      </c>
      <c r="D37" s="63" t="s">
        <v>1200</v>
      </c>
      <c r="E37" s="57" t="s">
        <v>614</v>
      </c>
      <c r="F37" s="62" t="s">
        <v>226</v>
      </c>
      <c r="G37" s="62" t="s">
        <v>161</v>
      </c>
      <c r="H37" s="64" t="n">
        <v>10</v>
      </c>
      <c r="I37" s="64" t="n">
        <v>16</v>
      </c>
      <c r="J37" s="64" t="n">
        <f aca="false">ROUND(AVERAGE(H37:I37),1)</f>
        <v>13</v>
      </c>
      <c r="K37" s="59" t="n">
        <v>1</v>
      </c>
      <c r="L37" s="64" t="n">
        <f aca="false">J37+K37</f>
        <v>14</v>
      </c>
      <c r="M37" s="65" t="n">
        <f aca="false">IFERROR(INDEX(99_Listas!$C$2:$C$5,MATCH(G37,99_Listas!$B$2:$B$5,0)),0)</f>
        <v>0.09</v>
      </c>
      <c r="N37" s="64" t="n">
        <f aca="false">ROUND(J37*M37,2)</f>
        <v>1.17</v>
      </c>
      <c r="O37" s="64" t="n">
        <f aca="false">ROUND(J37-N37,2)</f>
        <v>11.83</v>
      </c>
      <c r="P37" s="62" t="s">
        <v>1195</v>
      </c>
      <c r="Q37" s="61" t="n">
        <v>8</v>
      </c>
      <c r="R37" s="62" t="s">
        <v>165</v>
      </c>
      <c r="S37" s="63" t="s">
        <v>228</v>
      </c>
      <c r="T37" s="63" t="s">
        <v>174</v>
      </c>
      <c r="U37" s="63"/>
    </row>
    <row r="38" customFormat="false" ht="23.25" hidden="false" customHeight="true" outlineLevel="0" collapsed="false">
      <c r="A38" s="54" t="n">
        <v>37</v>
      </c>
      <c r="B38" s="55" t="s">
        <v>1201</v>
      </c>
      <c r="C38" s="56" t="s">
        <v>1202</v>
      </c>
      <c r="D38" s="56" t="s">
        <v>1203</v>
      </c>
      <c r="E38" s="57" t="s">
        <v>225</v>
      </c>
      <c r="F38" s="55" t="s">
        <v>226</v>
      </c>
      <c r="G38" s="55" t="s">
        <v>161</v>
      </c>
      <c r="H38" s="58" t="n">
        <v>10</v>
      </c>
      <c r="I38" s="58" t="n">
        <v>15</v>
      </c>
      <c r="J38" s="58" t="n">
        <f aca="false">ROUND(AVERAGE(H38:I38),1)</f>
        <v>12.5</v>
      </c>
      <c r="K38" s="59" t="n">
        <v>1</v>
      </c>
      <c r="L38" s="58" t="n">
        <f aca="false">J38+K38</f>
        <v>13.5</v>
      </c>
      <c r="M38" s="60" t="n">
        <f aca="false">IFERROR(INDEX(99_Listas!$C$2:$C$5,MATCH(G38,99_Listas!$B$2:$B$5,0)),0)</f>
        <v>0.09</v>
      </c>
      <c r="N38" s="58" t="n">
        <f aca="false">ROUND(J38*M38,2)</f>
        <v>1.13</v>
      </c>
      <c r="O38" s="58" t="n">
        <f aca="false">ROUND(J38-N38,2)</f>
        <v>11.37</v>
      </c>
      <c r="P38" s="55" t="s">
        <v>1204</v>
      </c>
      <c r="Q38" s="54" t="n">
        <v>10</v>
      </c>
      <c r="R38" s="55" t="s">
        <v>165</v>
      </c>
      <c r="S38" s="56" t="s">
        <v>228</v>
      </c>
      <c r="T38" s="56" t="s">
        <v>186</v>
      </c>
      <c r="U38" s="56" t="s">
        <v>1205</v>
      </c>
    </row>
    <row r="39" customFormat="false" ht="15" hidden="false" customHeight="true" outlineLevel="0" collapsed="false">
      <c r="A39" s="61" t="n">
        <v>38</v>
      </c>
      <c r="B39" s="62" t="s">
        <v>1201</v>
      </c>
      <c r="C39" s="63" t="s">
        <v>1206</v>
      </c>
      <c r="D39" s="63" t="s">
        <v>1207</v>
      </c>
      <c r="E39" s="57" t="s">
        <v>233</v>
      </c>
      <c r="F39" s="62" t="s">
        <v>226</v>
      </c>
      <c r="G39" s="62" t="s">
        <v>161</v>
      </c>
      <c r="H39" s="64" t="n">
        <v>12</v>
      </c>
      <c r="I39" s="64" t="n">
        <v>18</v>
      </c>
      <c r="J39" s="64" t="n">
        <f aca="false">ROUND(AVERAGE(H39:I39),1)</f>
        <v>15</v>
      </c>
      <c r="K39" s="59" t="n">
        <v>1</v>
      </c>
      <c r="L39" s="64" t="n">
        <f aca="false">J39+K39</f>
        <v>16</v>
      </c>
      <c r="M39" s="65" t="n">
        <f aca="false">IFERROR(INDEX(99_Listas!$C$2:$C$5,MATCH(G39,99_Listas!$B$2:$B$5,0)),0)</f>
        <v>0.09</v>
      </c>
      <c r="N39" s="64" t="n">
        <f aca="false">ROUND(J39*M39,2)</f>
        <v>1.35</v>
      </c>
      <c r="O39" s="64" t="n">
        <f aca="false">ROUND(J39-N39,2)</f>
        <v>13.65</v>
      </c>
      <c r="P39" s="62" t="s">
        <v>1204</v>
      </c>
      <c r="Q39" s="61" t="n">
        <v>10</v>
      </c>
      <c r="R39" s="62" t="s">
        <v>165</v>
      </c>
      <c r="S39" s="63" t="s">
        <v>380</v>
      </c>
      <c r="T39" s="63" t="s">
        <v>186</v>
      </c>
      <c r="U39" s="63"/>
    </row>
    <row r="40" customFormat="false" ht="23.25" hidden="false" customHeight="true" outlineLevel="0" collapsed="false">
      <c r="A40" s="54" t="n">
        <v>39</v>
      </c>
      <c r="B40" s="55" t="s">
        <v>1208</v>
      </c>
      <c r="C40" s="56" t="s">
        <v>1209</v>
      </c>
      <c r="D40" s="56" t="s">
        <v>1210</v>
      </c>
      <c r="E40" s="57" t="s">
        <v>1211</v>
      </c>
      <c r="F40" s="55" t="s">
        <v>324</v>
      </c>
      <c r="G40" s="55" t="s">
        <v>157</v>
      </c>
      <c r="H40" s="58" t="n">
        <v>7</v>
      </c>
      <c r="I40" s="58" t="n">
        <v>12</v>
      </c>
      <c r="J40" s="58" t="n">
        <f aca="false">ROUND(AVERAGE(H40:I40),1)</f>
        <v>9.5</v>
      </c>
      <c r="K40" s="59" t="n">
        <v>1</v>
      </c>
      <c r="L40" s="58" t="n">
        <f aca="false">J40+K40</f>
        <v>10.5</v>
      </c>
      <c r="M40" s="60" t="n">
        <f aca="false">IFERROR(INDEX(99_Listas!$C$2:$C$5,MATCH(G40,99_Listas!$B$2:$B$5,0)),0)</f>
        <v>0.07</v>
      </c>
      <c r="N40" s="58" t="n">
        <f aca="false">ROUND(J40*M40,2)</f>
        <v>0.67</v>
      </c>
      <c r="O40" s="58" t="n">
        <f aca="false">ROUND(J40-N40,2)</f>
        <v>8.83</v>
      </c>
      <c r="P40" s="55" t="s">
        <v>1212</v>
      </c>
      <c r="Q40" s="54" t="n">
        <v>8</v>
      </c>
      <c r="R40" s="55" t="s">
        <v>276</v>
      </c>
      <c r="S40" s="56" t="s">
        <v>228</v>
      </c>
      <c r="T40" s="56" t="s">
        <v>339</v>
      </c>
      <c r="U40" s="56" t="s">
        <v>1213</v>
      </c>
    </row>
    <row r="41" customFormat="false" ht="15" hidden="false" customHeight="true" outlineLevel="0" collapsed="false">
      <c r="A41" s="61" t="n">
        <v>40</v>
      </c>
      <c r="B41" s="62" t="s">
        <v>1208</v>
      </c>
      <c r="C41" s="63" t="s">
        <v>1214</v>
      </c>
      <c r="D41" s="63" t="s">
        <v>1215</v>
      </c>
      <c r="E41" s="57" t="s">
        <v>1211</v>
      </c>
      <c r="F41" s="62" t="s">
        <v>324</v>
      </c>
      <c r="G41" s="62" t="s">
        <v>161</v>
      </c>
      <c r="H41" s="64" t="n">
        <v>9</v>
      </c>
      <c r="I41" s="64" t="n">
        <v>15</v>
      </c>
      <c r="J41" s="64" t="n">
        <f aca="false">ROUND(AVERAGE(H41:I41),1)</f>
        <v>12</v>
      </c>
      <c r="K41" s="59" t="n">
        <v>1</v>
      </c>
      <c r="L41" s="64" t="n">
        <f aca="false">J41+K41</f>
        <v>13</v>
      </c>
      <c r="M41" s="65" t="n">
        <f aca="false">IFERROR(INDEX(99_Listas!$C$2:$C$5,MATCH(G41,99_Listas!$B$2:$B$5,0)),0)</f>
        <v>0.09</v>
      </c>
      <c r="N41" s="64" t="n">
        <f aca="false">ROUND(J41*M41,2)</f>
        <v>1.08</v>
      </c>
      <c r="O41" s="64" t="n">
        <f aca="false">ROUND(J41-N41,2)</f>
        <v>10.92</v>
      </c>
      <c r="P41" s="62" t="s">
        <v>1212</v>
      </c>
      <c r="Q41" s="61" t="n">
        <v>8</v>
      </c>
      <c r="R41" s="62" t="s">
        <v>276</v>
      </c>
      <c r="S41" s="63" t="s">
        <v>228</v>
      </c>
      <c r="T41" s="63" t="s">
        <v>585</v>
      </c>
      <c r="U41" s="63"/>
    </row>
    <row r="42" customFormat="false" ht="15" hidden="false" customHeight="true" outlineLevel="0" collapsed="false">
      <c r="A42" s="54" t="n">
        <v>41</v>
      </c>
      <c r="B42" s="55" t="s">
        <v>1208</v>
      </c>
      <c r="C42" s="56" t="s">
        <v>1216</v>
      </c>
      <c r="D42" s="56" t="s">
        <v>346</v>
      </c>
      <c r="E42" s="57" t="s">
        <v>347</v>
      </c>
      <c r="F42" s="55" t="s">
        <v>344</v>
      </c>
      <c r="G42" s="55" t="s">
        <v>157</v>
      </c>
      <c r="H42" s="58" t="n">
        <v>7</v>
      </c>
      <c r="I42" s="58" t="n">
        <v>12</v>
      </c>
      <c r="J42" s="58" t="n">
        <f aca="false">ROUND(AVERAGE(H42:I42),1)</f>
        <v>9.5</v>
      </c>
      <c r="K42" s="59" t="n">
        <v>1</v>
      </c>
      <c r="L42" s="58" t="n">
        <f aca="false">J42+K42</f>
        <v>10.5</v>
      </c>
      <c r="M42" s="60" t="n">
        <f aca="false">IFERROR(INDEX(99_Listas!$C$2:$C$5,MATCH(G42,99_Listas!$B$2:$B$5,0)),0)</f>
        <v>0.07</v>
      </c>
      <c r="N42" s="58" t="n">
        <f aca="false">ROUND(J42*M42,2)</f>
        <v>0.67</v>
      </c>
      <c r="O42" s="58" t="n">
        <f aca="false">ROUND(J42-N42,2)</f>
        <v>8.83</v>
      </c>
      <c r="P42" s="55" t="s">
        <v>1212</v>
      </c>
      <c r="Q42" s="54" t="n">
        <v>8</v>
      </c>
      <c r="R42" s="55" t="s">
        <v>276</v>
      </c>
      <c r="S42" s="56" t="s">
        <v>228</v>
      </c>
      <c r="T42" s="56" t="s">
        <v>339</v>
      </c>
      <c r="U42" s="56"/>
    </row>
    <row r="43" customFormat="false" ht="15" hidden="false" customHeight="true" outlineLevel="0" collapsed="false">
      <c r="A43" s="61" t="n">
        <v>42</v>
      </c>
      <c r="B43" s="62" t="s">
        <v>1208</v>
      </c>
      <c r="C43" s="63" t="s">
        <v>1217</v>
      </c>
      <c r="D43" s="63" t="s">
        <v>1218</v>
      </c>
      <c r="E43" s="57" t="s">
        <v>577</v>
      </c>
      <c r="F43" s="62" t="s">
        <v>226</v>
      </c>
      <c r="G43" s="62" t="s">
        <v>157</v>
      </c>
      <c r="H43" s="64" t="n">
        <v>6</v>
      </c>
      <c r="I43" s="64" t="n">
        <v>10</v>
      </c>
      <c r="J43" s="64" t="n">
        <f aca="false">ROUND(AVERAGE(H43:I43),1)</f>
        <v>8</v>
      </c>
      <c r="K43" s="59" t="n">
        <v>1</v>
      </c>
      <c r="L43" s="64" t="n">
        <f aca="false">J43+K43</f>
        <v>9</v>
      </c>
      <c r="M43" s="65" t="n">
        <f aca="false">IFERROR(INDEX(99_Listas!$C$2:$C$5,MATCH(G43,99_Listas!$B$2:$B$5,0)),0)</f>
        <v>0.07</v>
      </c>
      <c r="N43" s="64" t="n">
        <f aca="false">ROUND(J43*M43,2)</f>
        <v>0.56</v>
      </c>
      <c r="O43" s="64" t="n">
        <f aca="false">ROUND(J43-N43,2)</f>
        <v>7.44</v>
      </c>
      <c r="P43" s="62" t="s">
        <v>1212</v>
      </c>
      <c r="Q43" s="61" t="n">
        <v>8</v>
      </c>
      <c r="R43" s="62" t="s">
        <v>165</v>
      </c>
      <c r="S43" s="63" t="s">
        <v>228</v>
      </c>
      <c r="T43" s="63" t="s">
        <v>339</v>
      </c>
      <c r="U43" s="63"/>
    </row>
    <row r="44" customFormat="false" ht="23.25" hidden="false" customHeight="true" outlineLevel="0" collapsed="false">
      <c r="A44" s="54" t="n">
        <v>43</v>
      </c>
      <c r="B44" s="55" t="s">
        <v>1208</v>
      </c>
      <c r="C44" s="56" t="s">
        <v>1219</v>
      </c>
      <c r="D44" s="56" t="s">
        <v>1220</v>
      </c>
      <c r="E44" s="57" t="s">
        <v>728</v>
      </c>
      <c r="F44" s="55" t="s">
        <v>344</v>
      </c>
      <c r="G44" s="55" t="s">
        <v>157</v>
      </c>
      <c r="H44" s="58" t="n">
        <v>8</v>
      </c>
      <c r="I44" s="58" t="n">
        <v>13</v>
      </c>
      <c r="J44" s="58" t="n">
        <f aca="false">ROUND(AVERAGE(H44:I44),1)</f>
        <v>10.5</v>
      </c>
      <c r="K44" s="59" t="n">
        <v>1</v>
      </c>
      <c r="L44" s="58" t="n">
        <f aca="false">J44+K44</f>
        <v>11.5</v>
      </c>
      <c r="M44" s="60" t="n">
        <f aca="false">IFERROR(INDEX(99_Listas!$C$2:$C$5,MATCH(G44,99_Listas!$B$2:$B$5,0)),0)</f>
        <v>0.07</v>
      </c>
      <c r="N44" s="58" t="n">
        <f aca="false">ROUND(J44*M44,2)</f>
        <v>0.74</v>
      </c>
      <c r="O44" s="58" t="n">
        <f aca="false">ROUND(J44-N44,2)</f>
        <v>9.76</v>
      </c>
      <c r="P44" s="55" t="s">
        <v>1086</v>
      </c>
      <c r="Q44" s="54" t="n">
        <v>10</v>
      </c>
      <c r="R44" s="55" t="s">
        <v>276</v>
      </c>
      <c r="S44" s="56" t="s">
        <v>228</v>
      </c>
      <c r="T44" s="56" t="s">
        <v>174</v>
      </c>
      <c r="U44" s="56"/>
    </row>
    <row r="45" customFormat="false" ht="23.25" hidden="false" customHeight="true" outlineLevel="0" collapsed="false">
      <c r="A45" s="61" t="n">
        <v>44</v>
      </c>
      <c r="B45" s="62" t="s">
        <v>1221</v>
      </c>
      <c r="C45" s="63" t="s">
        <v>1222</v>
      </c>
      <c r="D45" s="63" t="s">
        <v>1223</v>
      </c>
      <c r="E45" s="57" t="s">
        <v>1224</v>
      </c>
      <c r="F45" s="62" t="s">
        <v>482</v>
      </c>
      <c r="G45" s="62" t="s">
        <v>165</v>
      </c>
      <c r="H45" s="64" t="n">
        <v>18</v>
      </c>
      <c r="I45" s="64" t="n">
        <v>35</v>
      </c>
      <c r="J45" s="64" t="n">
        <f aca="false">ROUND(AVERAGE(H45:I45),1)</f>
        <v>26.5</v>
      </c>
      <c r="K45" s="59" t="n">
        <v>1</v>
      </c>
      <c r="L45" s="64" t="n">
        <f aca="false">J45+K45</f>
        <v>27.5</v>
      </c>
      <c r="M45" s="65" t="n">
        <f aca="false">IFERROR(INDEX(99_Listas!$C$2:$C$5,MATCH(G45,99_Listas!$B$2:$B$5,0)),0)</f>
        <v>0.11</v>
      </c>
      <c r="N45" s="64" t="n">
        <f aca="false">ROUND(J45*M45,2)</f>
        <v>2.92</v>
      </c>
      <c r="O45" s="64" t="n">
        <f aca="false">ROUND(J45-N45,2)</f>
        <v>23.58</v>
      </c>
      <c r="P45" s="62" t="s">
        <v>1086</v>
      </c>
      <c r="Q45" s="61" t="n">
        <v>15</v>
      </c>
      <c r="R45" s="62" t="s">
        <v>165</v>
      </c>
      <c r="S45" s="63" t="s">
        <v>228</v>
      </c>
      <c r="T45" s="63" t="s">
        <v>1225</v>
      </c>
      <c r="U45" s="63" t="s">
        <v>1226</v>
      </c>
    </row>
    <row r="46" customFormat="false" ht="23.25" hidden="false" customHeight="true" outlineLevel="0" collapsed="false">
      <c r="A46" s="54" t="n">
        <v>45</v>
      </c>
      <c r="B46" s="55" t="s">
        <v>1221</v>
      </c>
      <c r="C46" s="56" t="s">
        <v>1227</v>
      </c>
      <c r="D46" s="56" t="s">
        <v>1228</v>
      </c>
      <c r="E46" s="57" t="s">
        <v>1224</v>
      </c>
      <c r="F46" s="55" t="s">
        <v>902</v>
      </c>
      <c r="G46" s="55" t="s">
        <v>169</v>
      </c>
      <c r="H46" s="58" t="n">
        <v>35</v>
      </c>
      <c r="I46" s="58" t="n">
        <v>70</v>
      </c>
      <c r="J46" s="58" t="n">
        <f aca="false">ROUND(AVERAGE(H46:I46),1)</f>
        <v>52.5</v>
      </c>
      <c r="K46" s="59" t="n">
        <v>1</v>
      </c>
      <c r="L46" s="58" t="n">
        <f aca="false">J46+K46</f>
        <v>53.5</v>
      </c>
      <c r="M46" s="60" t="n">
        <f aca="false">IFERROR(INDEX(99_Listas!$C$2:$C$5,MATCH(G46,99_Listas!$B$2:$B$5,0)),0)</f>
        <v>0.13</v>
      </c>
      <c r="N46" s="58" t="n">
        <f aca="false">ROUND(J46*M46,2)</f>
        <v>6.83</v>
      </c>
      <c r="O46" s="58" t="n">
        <f aca="false">ROUND(J46-N46,2)</f>
        <v>45.67</v>
      </c>
      <c r="P46" s="55" t="s">
        <v>1086</v>
      </c>
      <c r="Q46" s="54" t="n">
        <v>25</v>
      </c>
      <c r="R46" s="55" t="s">
        <v>165</v>
      </c>
      <c r="S46" s="56" t="s">
        <v>380</v>
      </c>
      <c r="T46" s="56" t="s">
        <v>1225</v>
      </c>
      <c r="U46" s="56"/>
    </row>
    <row r="47" customFormat="false" ht="15" hidden="false" customHeight="true" outlineLevel="0" collapsed="false">
      <c r="A47" s="61" t="n">
        <v>46</v>
      </c>
      <c r="B47" s="62" t="s">
        <v>1221</v>
      </c>
      <c r="C47" s="63" t="s">
        <v>1229</v>
      </c>
      <c r="D47" s="63" t="s">
        <v>1230</v>
      </c>
      <c r="E47" s="57" t="s">
        <v>1231</v>
      </c>
      <c r="F47" s="62" t="s">
        <v>482</v>
      </c>
      <c r="G47" s="62" t="s">
        <v>161</v>
      </c>
      <c r="H47" s="64" t="n">
        <v>10</v>
      </c>
      <c r="I47" s="64" t="n">
        <v>20</v>
      </c>
      <c r="J47" s="64" t="n">
        <f aca="false">ROUND(AVERAGE(H47:I47),1)</f>
        <v>15</v>
      </c>
      <c r="K47" s="59" t="n">
        <v>1</v>
      </c>
      <c r="L47" s="64" t="n">
        <f aca="false">J47+K47</f>
        <v>16</v>
      </c>
      <c r="M47" s="65" t="n">
        <f aca="false">IFERROR(INDEX(99_Listas!$C$2:$C$5,MATCH(G47,99_Listas!$B$2:$B$5,0)),0)</f>
        <v>0.09</v>
      </c>
      <c r="N47" s="64" t="n">
        <f aca="false">ROUND(J47*M47,2)</f>
        <v>1.35</v>
      </c>
      <c r="O47" s="64" t="n">
        <f aca="false">ROUND(J47-N47,2)</f>
        <v>13.65</v>
      </c>
      <c r="P47" s="62" t="s">
        <v>1103</v>
      </c>
      <c r="Q47" s="61" t="n">
        <v>10</v>
      </c>
      <c r="R47" s="62" t="s">
        <v>276</v>
      </c>
      <c r="S47" s="63" t="s">
        <v>228</v>
      </c>
      <c r="T47" s="63" t="s">
        <v>1232</v>
      </c>
      <c r="U47" s="63"/>
    </row>
    <row r="48" customFormat="false" ht="15" hidden="false" customHeight="true" outlineLevel="0" collapsed="false">
      <c r="A48" s="54" t="n">
        <v>47</v>
      </c>
      <c r="B48" s="55" t="s">
        <v>1221</v>
      </c>
      <c r="C48" s="56" t="s">
        <v>1233</v>
      </c>
      <c r="D48" s="56" t="s">
        <v>1234</v>
      </c>
      <c r="E48" s="57" t="s">
        <v>1235</v>
      </c>
      <c r="F48" s="55" t="s">
        <v>902</v>
      </c>
      <c r="G48" s="55" t="s">
        <v>165</v>
      </c>
      <c r="H48" s="58" t="n">
        <v>20</v>
      </c>
      <c r="I48" s="58" t="n">
        <v>40</v>
      </c>
      <c r="J48" s="58" t="n">
        <f aca="false">ROUND(AVERAGE(H48:I48),1)</f>
        <v>30</v>
      </c>
      <c r="K48" s="59" t="n">
        <v>1</v>
      </c>
      <c r="L48" s="58" t="n">
        <f aca="false">J48+K48</f>
        <v>31</v>
      </c>
      <c r="M48" s="60" t="n">
        <f aca="false">IFERROR(INDEX(99_Listas!$C$2:$C$5,MATCH(G48,99_Listas!$B$2:$B$5,0)),0)</f>
        <v>0.11</v>
      </c>
      <c r="N48" s="58" t="n">
        <f aca="false">ROUND(J48*M48,2)</f>
        <v>3.3</v>
      </c>
      <c r="O48" s="58" t="n">
        <f aca="false">ROUND(J48-N48,2)</f>
        <v>26.7</v>
      </c>
      <c r="P48" s="55" t="s">
        <v>1195</v>
      </c>
      <c r="Q48" s="54" t="n">
        <v>18</v>
      </c>
      <c r="R48" s="55" t="s">
        <v>165</v>
      </c>
      <c r="S48" s="56" t="s">
        <v>380</v>
      </c>
      <c r="T48" s="56" t="s">
        <v>1236</v>
      </c>
      <c r="U48" s="56" t="s">
        <v>1237</v>
      </c>
    </row>
    <row r="49" customFormat="false" ht="15" hidden="false" customHeight="true" outlineLevel="0" collapsed="false">
      <c r="A49" s="61" t="n">
        <v>48</v>
      </c>
      <c r="B49" s="62" t="s">
        <v>1083</v>
      </c>
      <c r="C49" s="63" t="s">
        <v>1238</v>
      </c>
      <c r="D49" s="63" t="s">
        <v>1239</v>
      </c>
      <c r="E49" s="57" t="s">
        <v>1098</v>
      </c>
      <c r="F49" s="62" t="s">
        <v>1016</v>
      </c>
      <c r="G49" s="62" t="s">
        <v>161</v>
      </c>
      <c r="H49" s="64" t="n">
        <v>15</v>
      </c>
      <c r="I49" s="64" t="n">
        <v>24</v>
      </c>
      <c r="J49" s="64" t="n">
        <f aca="false">ROUND(AVERAGE(H49:I49),1)</f>
        <v>19.5</v>
      </c>
      <c r="K49" s="59" t="n">
        <v>1</v>
      </c>
      <c r="L49" s="64" t="n">
        <f aca="false">J49+K49</f>
        <v>20.5</v>
      </c>
      <c r="M49" s="65" t="n">
        <f aca="false">IFERROR(INDEX(99_Listas!$C$2:$C$5,MATCH(G49,99_Listas!$B$2:$B$5,0)),0)</f>
        <v>0.09</v>
      </c>
      <c r="N49" s="64" t="n">
        <f aca="false">ROUND(J49*M49,2)</f>
        <v>1.76</v>
      </c>
      <c r="O49" s="64" t="n">
        <f aca="false">ROUND(J49-N49,2)</f>
        <v>17.74</v>
      </c>
      <c r="P49" s="62" t="s">
        <v>1086</v>
      </c>
      <c r="Q49" s="61" t="n">
        <v>12</v>
      </c>
      <c r="R49" s="62" t="s">
        <v>165</v>
      </c>
      <c r="S49" s="63" t="s">
        <v>228</v>
      </c>
      <c r="T49" s="63" t="s">
        <v>167</v>
      </c>
      <c r="U49" s="63" t="s">
        <v>1240</v>
      </c>
    </row>
    <row r="50" customFormat="false" ht="15" hidden="false" customHeight="true" outlineLevel="0" collapsed="false">
      <c r="A50" s="54" t="n">
        <v>49</v>
      </c>
      <c r="B50" s="55" t="s">
        <v>1083</v>
      </c>
      <c r="C50" s="56" t="s">
        <v>1241</v>
      </c>
      <c r="D50" s="56" t="s">
        <v>1242</v>
      </c>
      <c r="E50" s="57" t="s">
        <v>1098</v>
      </c>
      <c r="F50" s="55" t="s">
        <v>1016</v>
      </c>
      <c r="G50" s="55" t="s">
        <v>165</v>
      </c>
      <c r="H50" s="58" t="n">
        <v>30</v>
      </c>
      <c r="I50" s="58" t="n">
        <v>48</v>
      </c>
      <c r="J50" s="58" t="n">
        <f aca="false">ROUND(AVERAGE(H50:I50),1)</f>
        <v>39</v>
      </c>
      <c r="K50" s="59" t="n">
        <v>1</v>
      </c>
      <c r="L50" s="58" t="n">
        <f aca="false">J50+K50</f>
        <v>40</v>
      </c>
      <c r="M50" s="60" t="n">
        <f aca="false">IFERROR(INDEX(99_Listas!$C$2:$C$5,MATCH(G50,99_Listas!$B$2:$B$5,0)),0)</f>
        <v>0.11</v>
      </c>
      <c r="N50" s="58" t="n">
        <f aca="false">ROUND(J50*M50,2)</f>
        <v>4.29</v>
      </c>
      <c r="O50" s="58" t="n">
        <f aca="false">ROUND(J50-N50,2)</f>
        <v>34.71</v>
      </c>
      <c r="P50" s="55" t="s">
        <v>1086</v>
      </c>
      <c r="Q50" s="54" t="n">
        <v>14</v>
      </c>
      <c r="R50" s="55" t="s">
        <v>165</v>
      </c>
      <c r="S50" s="56" t="s">
        <v>380</v>
      </c>
      <c r="T50" s="56" t="s">
        <v>167</v>
      </c>
      <c r="U50" s="56"/>
    </row>
    <row r="51" customFormat="false" ht="23.25" hidden="false" customHeight="true" outlineLevel="0" collapsed="false">
      <c r="A51" s="61" t="n">
        <v>50</v>
      </c>
      <c r="B51" s="62" t="s">
        <v>1083</v>
      </c>
      <c r="C51" s="63" t="s">
        <v>1243</v>
      </c>
      <c r="D51" s="63" t="s">
        <v>1244</v>
      </c>
      <c r="E51" s="57" t="s">
        <v>978</v>
      </c>
      <c r="F51" s="62" t="s">
        <v>482</v>
      </c>
      <c r="G51" s="62" t="s">
        <v>161</v>
      </c>
      <c r="H51" s="64" t="n">
        <v>15</v>
      </c>
      <c r="I51" s="64" t="n">
        <v>24</v>
      </c>
      <c r="J51" s="64" t="n">
        <f aca="false">ROUND(AVERAGE(H51:I51),1)</f>
        <v>19.5</v>
      </c>
      <c r="K51" s="59" t="n">
        <v>1</v>
      </c>
      <c r="L51" s="64" t="n">
        <f aca="false">J51+K51</f>
        <v>20.5</v>
      </c>
      <c r="M51" s="65" t="n">
        <f aca="false">IFERROR(INDEX(99_Listas!$C$2:$C$5,MATCH(G51,99_Listas!$B$2:$B$5,0)),0)</f>
        <v>0.09</v>
      </c>
      <c r="N51" s="64" t="n">
        <f aca="false">ROUND(J51*M51,2)</f>
        <v>1.76</v>
      </c>
      <c r="O51" s="64" t="n">
        <f aca="false">ROUND(J51-N51,2)</f>
        <v>17.74</v>
      </c>
      <c r="P51" s="62" t="s">
        <v>1086</v>
      </c>
      <c r="Q51" s="61" t="n">
        <v>12</v>
      </c>
      <c r="R51" s="62" t="s">
        <v>165</v>
      </c>
      <c r="S51" s="63" t="s">
        <v>228</v>
      </c>
      <c r="T51" s="63" t="s">
        <v>167</v>
      </c>
      <c r="U51" s="63"/>
    </row>
    <row r="52" customFormat="false" ht="15" hidden="false" customHeight="true" outlineLevel="0" collapsed="false">
      <c r="A52" s="54" t="n">
        <v>51</v>
      </c>
      <c r="B52" s="55" t="s">
        <v>1100</v>
      </c>
      <c r="C52" s="56" t="s">
        <v>1245</v>
      </c>
      <c r="D52" s="56" t="s">
        <v>1246</v>
      </c>
      <c r="E52" s="57" t="s">
        <v>677</v>
      </c>
      <c r="F52" s="55" t="s">
        <v>902</v>
      </c>
      <c r="G52" s="55" t="s">
        <v>169</v>
      </c>
      <c r="H52" s="58" t="n">
        <v>45</v>
      </c>
      <c r="I52" s="58" t="n">
        <v>80</v>
      </c>
      <c r="J52" s="58" t="n">
        <f aca="false">ROUND(AVERAGE(H52:I52),1)</f>
        <v>62.5</v>
      </c>
      <c r="K52" s="59" t="n">
        <v>1</v>
      </c>
      <c r="L52" s="58" t="n">
        <f aca="false">J52+K52</f>
        <v>63.5</v>
      </c>
      <c r="M52" s="60" t="n">
        <f aca="false">IFERROR(INDEX(99_Listas!$C$2:$C$5,MATCH(G52,99_Listas!$B$2:$B$5,0)),0)</f>
        <v>0.13</v>
      </c>
      <c r="N52" s="58" t="n">
        <f aca="false">ROUND(J52*M52,2)</f>
        <v>8.13</v>
      </c>
      <c r="O52" s="58" t="n">
        <f aca="false">ROUND(J52-N52,2)</f>
        <v>54.37</v>
      </c>
      <c r="P52" s="55" t="s">
        <v>1103</v>
      </c>
      <c r="Q52" s="54" t="n">
        <v>20</v>
      </c>
      <c r="R52" s="55" t="s">
        <v>165</v>
      </c>
      <c r="S52" s="56" t="s">
        <v>380</v>
      </c>
      <c r="T52" s="56" t="s">
        <v>678</v>
      </c>
      <c r="U52" s="56" t="s">
        <v>1247</v>
      </c>
    </row>
    <row r="53" customFormat="false" ht="23.25" hidden="false" customHeight="true" outlineLevel="0" collapsed="false">
      <c r="A53" s="61" t="n">
        <v>52</v>
      </c>
      <c r="B53" s="62" t="s">
        <v>1100</v>
      </c>
      <c r="C53" s="63" t="s">
        <v>1248</v>
      </c>
      <c r="D53" s="63" t="s">
        <v>1249</v>
      </c>
      <c r="E53" s="57" t="s">
        <v>1109</v>
      </c>
      <c r="F53" s="62" t="s">
        <v>1016</v>
      </c>
      <c r="G53" s="62" t="s">
        <v>165</v>
      </c>
      <c r="H53" s="64" t="n">
        <v>20</v>
      </c>
      <c r="I53" s="64" t="n">
        <v>35</v>
      </c>
      <c r="J53" s="64" t="n">
        <f aca="false">ROUND(AVERAGE(H53:I53),1)</f>
        <v>27.5</v>
      </c>
      <c r="K53" s="59" t="n">
        <v>1</v>
      </c>
      <c r="L53" s="64" t="n">
        <f aca="false">J53+K53</f>
        <v>28.5</v>
      </c>
      <c r="M53" s="65" t="n">
        <f aca="false">IFERROR(INDEX(99_Listas!$C$2:$C$5,MATCH(G53,99_Listas!$B$2:$B$5,0)),0)</f>
        <v>0.11</v>
      </c>
      <c r="N53" s="64" t="n">
        <f aca="false">ROUND(J53*M53,2)</f>
        <v>3.03</v>
      </c>
      <c r="O53" s="64" t="n">
        <f aca="false">ROUND(J53-N53,2)</f>
        <v>24.47</v>
      </c>
      <c r="P53" s="62" t="s">
        <v>1103</v>
      </c>
      <c r="Q53" s="61" t="n">
        <v>16</v>
      </c>
      <c r="R53" s="62" t="s">
        <v>165</v>
      </c>
      <c r="S53" s="63" t="s">
        <v>380</v>
      </c>
      <c r="T53" s="63" t="s">
        <v>678</v>
      </c>
      <c r="U53" s="63"/>
    </row>
    <row r="54" customFormat="false" ht="15" hidden="false" customHeight="true" outlineLevel="0" collapsed="false">
      <c r="A54" s="54" t="n">
        <v>53</v>
      </c>
      <c r="B54" s="55" t="s">
        <v>1100</v>
      </c>
      <c r="C54" s="56" t="s">
        <v>1250</v>
      </c>
      <c r="D54" s="56" t="s">
        <v>1251</v>
      </c>
      <c r="E54" s="57" t="s">
        <v>677</v>
      </c>
      <c r="F54" s="55" t="s">
        <v>482</v>
      </c>
      <c r="G54" s="55" t="s">
        <v>157</v>
      </c>
      <c r="H54" s="58" t="n">
        <v>8</v>
      </c>
      <c r="I54" s="58" t="n">
        <v>15</v>
      </c>
      <c r="J54" s="58" t="n">
        <f aca="false">ROUND(AVERAGE(H54:I54),1)</f>
        <v>11.5</v>
      </c>
      <c r="K54" s="59" t="n">
        <v>1</v>
      </c>
      <c r="L54" s="58" t="n">
        <f aca="false">J54+K54</f>
        <v>12.5</v>
      </c>
      <c r="M54" s="60" t="n">
        <f aca="false">IFERROR(INDEX(99_Listas!$C$2:$C$5,MATCH(G54,99_Listas!$B$2:$B$5,0)),0)</f>
        <v>0.07</v>
      </c>
      <c r="N54" s="58" t="n">
        <f aca="false">ROUND(J54*M54,2)</f>
        <v>0.81</v>
      </c>
      <c r="O54" s="58" t="n">
        <f aca="false">ROUND(J54-N54,2)</f>
        <v>10.69</v>
      </c>
      <c r="P54" s="55" t="s">
        <v>1086</v>
      </c>
      <c r="Q54" s="54" t="n">
        <v>10</v>
      </c>
      <c r="R54" s="55" t="s">
        <v>165</v>
      </c>
      <c r="S54" s="56" t="s">
        <v>228</v>
      </c>
      <c r="T54" s="56" t="s">
        <v>1134</v>
      </c>
      <c r="U54" s="56"/>
    </row>
    <row r="55" customFormat="false" ht="15" hidden="false" customHeight="true" outlineLevel="0" collapsed="false">
      <c r="A55" s="61" t="n">
        <v>54</v>
      </c>
      <c r="B55" s="62" t="s">
        <v>1100</v>
      </c>
      <c r="C55" s="63" t="s">
        <v>1252</v>
      </c>
      <c r="D55" s="63" t="s">
        <v>1253</v>
      </c>
      <c r="E55" s="57" t="s">
        <v>710</v>
      </c>
      <c r="F55" s="62" t="s">
        <v>482</v>
      </c>
      <c r="G55" s="62" t="s">
        <v>161</v>
      </c>
      <c r="H55" s="64" t="n">
        <v>12</v>
      </c>
      <c r="I55" s="64" t="n">
        <v>22</v>
      </c>
      <c r="J55" s="64" t="n">
        <f aca="false">ROUND(AVERAGE(H55:I55),1)</f>
        <v>17</v>
      </c>
      <c r="K55" s="59" t="n">
        <v>1</v>
      </c>
      <c r="L55" s="64" t="n">
        <f aca="false">J55+K55</f>
        <v>18</v>
      </c>
      <c r="M55" s="65" t="n">
        <f aca="false">IFERROR(INDEX(99_Listas!$C$2:$C$5,MATCH(G55,99_Listas!$B$2:$B$5,0)),0)</f>
        <v>0.09</v>
      </c>
      <c r="N55" s="64" t="n">
        <f aca="false">ROUND(J55*M55,2)</f>
        <v>1.53</v>
      </c>
      <c r="O55" s="64" t="n">
        <f aca="false">ROUND(J55-N55,2)</f>
        <v>15.47</v>
      </c>
      <c r="P55" s="62" t="s">
        <v>1103</v>
      </c>
      <c r="Q55" s="61" t="n">
        <v>15</v>
      </c>
      <c r="R55" s="62" t="s">
        <v>165</v>
      </c>
      <c r="S55" s="63" t="s">
        <v>380</v>
      </c>
      <c r="T55" s="63" t="s">
        <v>1254</v>
      </c>
      <c r="U55" s="63"/>
    </row>
    <row r="56" customFormat="false" ht="23.25" hidden="false" customHeight="true" outlineLevel="0" collapsed="false">
      <c r="A56" s="54" t="n">
        <v>55</v>
      </c>
      <c r="B56" s="55" t="s">
        <v>1130</v>
      </c>
      <c r="C56" s="56" t="s">
        <v>1255</v>
      </c>
      <c r="D56" s="56" t="s">
        <v>1256</v>
      </c>
      <c r="E56" s="57" t="s">
        <v>1133</v>
      </c>
      <c r="F56" s="55" t="s">
        <v>294</v>
      </c>
      <c r="G56" s="55" t="s">
        <v>161</v>
      </c>
      <c r="H56" s="58" t="n">
        <v>12</v>
      </c>
      <c r="I56" s="58" t="n">
        <v>22</v>
      </c>
      <c r="J56" s="58" t="n">
        <f aca="false">ROUND(AVERAGE(H56:I56),1)</f>
        <v>17</v>
      </c>
      <c r="K56" s="59" t="n">
        <v>1</v>
      </c>
      <c r="L56" s="58" t="n">
        <f aca="false">J56+K56</f>
        <v>18</v>
      </c>
      <c r="M56" s="60" t="n">
        <f aca="false">IFERROR(INDEX(99_Listas!$C$2:$C$5,MATCH(G56,99_Listas!$B$2:$B$5,0)),0)</f>
        <v>0.09</v>
      </c>
      <c r="N56" s="58" t="n">
        <f aca="false">ROUND(J56*M56,2)</f>
        <v>1.53</v>
      </c>
      <c r="O56" s="58" t="n">
        <f aca="false">ROUND(J56-N56,2)</f>
        <v>15.47</v>
      </c>
      <c r="P56" s="55" t="s">
        <v>1103</v>
      </c>
      <c r="Q56" s="54" t="n">
        <v>12</v>
      </c>
      <c r="R56" s="55" t="s">
        <v>276</v>
      </c>
      <c r="S56" s="56" t="s">
        <v>228</v>
      </c>
      <c r="T56" s="56" t="s">
        <v>1134</v>
      </c>
      <c r="U56" s="56"/>
    </row>
    <row r="57" customFormat="false" ht="23.25" hidden="false" customHeight="true" outlineLevel="0" collapsed="false">
      <c r="A57" s="61" t="n">
        <v>56</v>
      </c>
      <c r="B57" s="62" t="s">
        <v>1130</v>
      </c>
      <c r="C57" s="63" t="s">
        <v>1257</v>
      </c>
      <c r="D57" s="63" t="s">
        <v>1258</v>
      </c>
      <c r="E57" s="57" t="s">
        <v>1133</v>
      </c>
      <c r="F57" s="62" t="s">
        <v>1016</v>
      </c>
      <c r="G57" s="62" t="s">
        <v>161</v>
      </c>
      <c r="H57" s="64" t="n">
        <v>14</v>
      </c>
      <c r="I57" s="64" t="n">
        <v>25</v>
      </c>
      <c r="J57" s="64" t="n">
        <f aca="false">ROUND(AVERAGE(H57:I57),1)</f>
        <v>19.5</v>
      </c>
      <c r="K57" s="59" t="n">
        <v>1</v>
      </c>
      <c r="L57" s="64" t="n">
        <f aca="false">J57+K57</f>
        <v>20.5</v>
      </c>
      <c r="M57" s="65" t="n">
        <f aca="false">IFERROR(INDEX(99_Listas!$C$2:$C$5,MATCH(G57,99_Listas!$B$2:$B$5,0)),0)</f>
        <v>0.09</v>
      </c>
      <c r="N57" s="64" t="n">
        <f aca="false">ROUND(J57*M57,2)</f>
        <v>1.76</v>
      </c>
      <c r="O57" s="64" t="n">
        <f aca="false">ROUND(J57-N57,2)</f>
        <v>17.74</v>
      </c>
      <c r="P57" s="62" t="s">
        <v>1103</v>
      </c>
      <c r="Q57" s="61" t="n">
        <v>12</v>
      </c>
      <c r="R57" s="62" t="s">
        <v>276</v>
      </c>
      <c r="S57" s="63" t="s">
        <v>228</v>
      </c>
      <c r="T57" s="63" t="s">
        <v>1134</v>
      </c>
      <c r="U57" s="63" t="s">
        <v>1259</v>
      </c>
    </row>
    <row r="58" customFormat="false" ht="15" hidden="false" customHeight="true" outlineLevel="0" collapsed="false">
      <c r="A58" s="54" t="n">
        <v>57</v>
      </c>
      <c r="B58" s="55" t="s">
        <v>1130</v>
      </c>
      <c r="C58" s="56" t="s">
        <v>1260</v>
      </c>
      <c r="D58" s="56" t="s">
        <v>1261</v>
      </c>
      <c r="E58" s="57" t="s">
        <v>1262</v>
      </c>
      <c r="F58" s="55" t="s">
        <v>294</v>
      </c>
      <c r="G58" s="55" t="s">
        <v>165</v>
      </c>
      <c r="H58" s="58" t="n">
        <v>15</v>
      </c>
      <c r="I58" s="58" t="n">
        <v>28</v>
      </c>
      <c r="J58" s="58" t="n">
        <f aca="false">ROUND(AVERAGE(H58:I58),1)</f>
        <v>21.5</v>
      </c>
      <c r="K58" s="59" t="n">
        <v>1</v>
      </c>
      <c r="L58" s="58" t="n">
        <f aca="false">J58+K58</f>
        <v>22.5</v>
      </c>
      <c r="M58" s="60" t="n">
        <f aca="false">IFERROR(INDEX(99_Listas!$C$2:$C$5,MATCH(G58,99_Listas!$B$2:$B$5,0)),0)</f>
        <v>0.11</v>
      </c>
      <c r="N58" s="58" t="n">
        <f aca="false">ROUND(J58*M58,2)</f>
        <v>2.37</v>
      </c>
      <c r="O58" s="58" t="n">
        <f aca="false">ROUND(J58-N58,2)</f>
        <v>19.13</v>
      </c>
      <c r="P58" s="55" t="s">
        <v>1103</v>
      </c>
      <c r="Q58" s="54" t="n">
        <v>14</v>
      </c>
      <c r="R58" s="55" t="s">
        <v>276</v>
      </c>
      <c r="S58" s="56" t="s">
        <v>228</v>
      </c>
      <c r="T58" s="56" t="s">
        <v>1263</v>
      </c>
      <c r="U58" s="56" t="s">
        <v>1264</v>
      </c>
    </row>
    <row r="59" customFormat="false" ht="15" hidden="false" customHeight="true" outlineLevel="0" collapsed="false">
      <c r="A59" s="61" t="n">
        <v>58</v>
      </c>
      <c r="B59" s="62" t="s">
        <v>1130</v>
      </c>
      <c r="C59" s="63" t="s">
        <v>1265</v>
      </c>
      <c r="D59" s="63" t="s">
        <v>1266</v>
      </c>
      <c r="E59" s="57" t="s">
        <v>1267</v>
      </c>
      <c r="F59" s="62" t="s">
        <v>294</v>
      </c>
      <c r="G59" s="62" t="s">
        <v>161</v>
      </c>
      <c r="H59" s="64" t="n">
        <v>8</v>
      </c>
      <c r="I59" s="64" t="n">
        <v>16</v>
      </c>
      <c r="J59" s="64" t="n">
        <f aca="false">ROUND(AVERAGE(H59:I59),1)</f>
        <v>12</v>
      </c>
      <c r="K59" s="59" t="n">
        <v>1</v>
      </c>
      <c r="L59" s="64" t="n">
        <f aca="false">J59+K59</f>
        <v>13</v>
      </c>
      <c r="M59" s="65" t="n">
        <f aca="false">IFERROR(INDEX(99_Listas!$C$2:$C$5,MATCH(G59,99_Listas!$B$2:$B$5,0)),0)</f>
        <v>0.09</v>
      </c>
      <c r="N59" s="64" t="n">
        <f aca="false">ROUND(J59*M59,2)</f>
        <v>1.08</v>
      </c>
      <c r="O59" s="64" t="n">
        <f aca="false">ROUND(J59-N59,2)</f>
        <v>10.92</v>
      </c>
      <c r="P59" s="62" t="s">
        <v>1086</v>
      </c>
      <c r="Q59" s="61" t="n">
        <v>8</v>
      </c>
      <c r="R59" s="62" t="s">
        <v>276</v>
      </c>
      <c r="S59" s="63" t="s">
        <v>228</v>
      </c>
      <c r="T59" s="63" t="s">
        <v>182</v>
      </c>
      <c r="U59" s="63"/>
    </row>
    <row r="60" customFormat="false" ht="23.25" hidden="false" customHeight="true" outlineLevel="0" collapsed="false">
      <c r="A60" s="54" t="n">
        <v>59</v>
      </c>
      <c r="B60" s="55" t="s">
        <v>1150</v>
      </c>
      <c r="C60" s="56" t="s">
        <v>1268</v>
      </c>
      <c r="D60" s="56" t="s">
        <v>1269</v>
      </c>
      <c r="E60" s="57" t="s">
        <v>1153</v>
      </c>
      <c r="F60" s="55" t="s">
        <v>1016</v>
      </c>
      <c r="G60" s="55" t="s">
        <v>169</v>
      </c>
      <c r="H60" s="58" t="n">
        <v>38</v>
      </c>
      <c r="I60" s="58" t="n">
        <v>70</v>
      </c>
      <c r="J60" s="58" t="n">
        <f aca="false">ROUND(AVERAGE(H60:I60),1)</f>
        <v>54</v>
      </c>
      <c r="K60" s="59" t="n">
        <v>1</v>
      </c>
      <c r="L60" s="58" t="n">
        <f aca="false">J60+K60</f>
        <v>55</v>
      </c>
      <c r="M60" s="60" t="n">
        <f aca="false">IFERROR(INDEX(99_Listas!$C$2:$C$5,MATCH(G60,99_Listas!$B$2:$B$5,0)),0)</f>
        <v>0.13</v>
      </c>
      <c r="N60" s="58" t="n">
        <f aca="false">ROUND(J60*M60,2)</f>
        <v>7.02</v>
      </c>
      <c r="O60" s="58" t="n">
        <f aca="false">ROUND(J60-N60,2)</f>
        <v>46.98</v>
      </c>
      <c r="P60" s="55" t="s">
        <v>1103</v>
      </c>
      <c r="Q60" s="54" t="n">
        <v>22</v>
      </c>
      <c r="R60" s="55" t="s">
        <v>276</v>
      </c>
      <c r="S60" s="56" t="s">
        <v>380</v>
      </c>
      <c r="T60" s="56" t="s">
        <v>180</v>
      </c>
      <c r="U60" s="56" t="s">
        <v>1270</v>
      </c>
    </row>
    <row r="61" customFormat="false" ht="15" hidden="false" customHeight="true" outlineLevel="0" collapsed="false">
      <c r="A61" s="61" t="n">
        <v>60</v>
      </c>
      <c r="B61" s="62" t="s">
        <v>1150</v>
      </c>
      <c r="C61" s="63" t="s">
        <v>1271</v>
      </c>
      <c r="D61" s="63" t="s">
        <v>1272</v>
      </c>
      <c r="E61" s="57" t="s">
        <v>1273</v>
      </c>
      <c r="F61" s="62" t="s">
        <v>927</v>
      </c>
      <c r="G61" s="62" t="s">
        <v>161</v>
      </c>
      <c r="H61" s="64" t="n">
        <v>15</v>
      </c>
      <c r="I61" s="64" t="n">
        <v>28</v>
      </c>
      <c r="J61" s="64" t="n">
        <f aca="false">ROUND(AVERAGE(H61:I61),1)</f>
        <v>21.5</v>
      </c>
      <c r="K61" s="59" t="n">
        <v>1</v>
      </c>
      <c r="L61" s="64" t="n">
        <f aca="false">J61+K61</f>
        <v>22.5</v>
      </c>
      <c r="M61" s="65" t="n">
        <f aca="false">IFERROR(INDEX(99_Listas!$C$2:$C$5,MATCH(G61,99_Listas!$B$2:$B$5,0)),0)</f>
        <v>0.09</v>
      </c>
      <c r="N61" s="64" t="n">
        <f aca="false">ROUND(J61*M61,2)</f>
        <v>1.94</v>
      </c>
      <c r="O61" s="64" t="n">
        <f aca="false">ROUND(J61-N61,2)</f>
        <v>19.56</v>
      </c>
      <c r="P61" s="62" t="s">
        <v>1103</v>
      </c>
      <c r="Q61" s="61" t="n">
        <v>18</v>
      </c>
      <c r="R61" s="62" t="s">
        <v>276</v>
      </c>
      <c r="S61" s="63" t="s">
        <v>228</v>
      </c>
      <c r="T61" s="63" t="s">
        <v>180</v>
      </c>
      <c r="U61" s="63"/>
    </row>
    <row r="62" customFormat="false" ht="15" hidden="false" customHeight="true" outlineLevel="0" collapsed="false">
      <c r="A62" s="54" t="n">
        <v>61</v>
      </c>
      <c r="B62" s="55" t="s">
        <v>1150</v>
      </c>
      <c r="C62" s="56" t="s">
        <v>1274</v>
      </c>
      <c r="D62" s="56" t="s">
        <v>1275</v>
      </c>
      <c r="E62" s="57" t="s">
        <v>1170</v>
      </c>
      <c r="F62" s="55" t="s">
        <v>344</v>
      </c>
      <c r="G62" s="55" t="s">
        <v>165</v>
      </c>
      <c r="H62" s="58" t="n">
        <v>16</v>
      </c>
      <c r="I62" s="58" t="n">
        <v>30</v>
      </c>
      <c r="J62" s="58" t="n">
        <f aca="false">ROUND(AVERAGE(H62:I62),1)</f>
        <v>23</v>
      </c>
      <c r="K62" s="59" t="n">
        <v>1</v>
      </c>
      <c r="L62" s="58" t="n">
        <f aca="false">J62+K62</f>
        <v>24</v>
      </c>
      <c r="M62" s="60" t="n">
        <f aca="false">IFERROR(INDEX(99_Listas!$C$2:$C$5,MATCH(G62,99_Listas!$B$2:$B$5,0)),0)</f>
        <v>0.11</v>
      </c>
      <c r="N62" s="58" t="n">
        <f aca="false">ROUND(J62*M62,2)</f>
        <v>2.53</v>
      </c>
      <c r="O62" s="58" t="n">
        <f aca="false">ROUND(J62-N62,2)</f>
        <v>20.47</v>
      </c>
      <c r="P62" s="55" t="s">
        <v>1086</v>
      </c>
      <c r="Q62" s="54" t="n">
        <v>15</v>
      </c>
      <c r="R62" s="55" t="s">
        <v>276</v>
      </c>
      <c r="S62" s="56" t="s">
        <v>228</v>
      </c>
      <c r="T62" s="56" t="s">
        <v>203</v>
      </c>
      <c r="U62" s="56"/>
    </row>
    <row r="63" customFormat="false" ht="15" hidden="false" customHeight="true" outlineLevel="0" collapsed="false">
      <c r="A63" s="61" t="n">
        <v>62</v>
      </c>
      <c r="B63" s="62" t="s">
        <v>1150</v>
      </c>
      <c r="C63" s="63" t="s">
        <v>1276</v>
      </c>
      <c r="D63" s="63" t="s">
        <v>1277</v>
      </c>
      <c r="E63" s="57" t="s">
        <v>1170</v>
      </c>
      <c r="F63" s="62" t="s">
        <v>344</v>
      </c>
      <c r="G63" s="62" t="s">
        <v>161</v>
      </c>
      <c r="H63" s="64" t="n">
        <v>14</v>
      </c>
      <c r="I63" s="64" t="n">
        <v>26</v>
      </c>
      <c r="J63" s="64" t="n">
        <f aca="false">ROUND(AVERAGE(H63:I63),1)</f>
        <v>20</v>
      </c>
      <c r="K63" s="59" t="n">
        <v>1</v>
      </c>
      <c r="L63" s="64" t="n">
        <f aca="false">J63+K63</f>
        <v>21</v>
      </c>
      <c r="M63" s="65" t="n">
        <f aca="false">IFERROR(INDEX(99_Listas!$C$2:$C$5,MATCH(G63,99_Listas!$B$2:$B$5,0)),0)</f>
        <v>0.09</v>
      </c>
      <c r="N63" s="64" t="n">
        <f aca="false">ROUND(J63*M63,2)</f>
        <v>1.8</v>
      </c>
      <c r="O63" s="64" t="n">
        <f aca="false">ROUND(J63-N63,2)</f>
        <v>18.2</v>
      </c>
      <c r="P63" s="62" t="s">
        <v>1086</v>
      </c>
      <c r="Q63" s="61" t="n">
        <v>15</v>
      </c>
      <c r="R63" s="62" t="s">
        <v>276</v>
      </c>
      <c r="S63" s="63" t="s">
        <v>228</v>
      </c>
      <c r="T63" s="63" t="s">
        <v>203</v>
      </c>
      <c r="U63" s="63"/>
    </row>
    <row r="64" customFormat="false" ht="15" hidden="false" customHeight="true" outlineLevel="0" collapsed="false">
      <c r="A64" s="54" t="n">
        <v>63</v>
      </c>
      <c r="B64" s="55" t="s">
        <v>1173</v>
      </c>
      <c r="C64" s="56" t="s">
        <v>1278</v>
      </c>
      <c r="D64" s="56" t="s">
        <v>1279</v>
      </c>
      <c r="E64" s="57" t="s">
        <v>1176</v>
      </c>
      <c r="F64" s="55" t="s">
        <v>482</v>
      </c>
      <c r="G64" s="55" t="s">
        <v>161</v>
      </c>
      <c r="H64" s="58" t="n">
        <v>14</v>
      </c>
      <c r="I64" s="58" t="n">
        <v>24</v>
      </c>
      <c r="J64" s="58" t="n">
        <f aca="false">ROUND(AVERAGE(H64:I64),1)</f>
        <v>19</v>
      </c>
      <c r="K64" s="59" t="n">
        <v>1</v>
      </c>
      <c r="L64" s="58" t="n">
        <f aca="false">J64+K64</f>
        <v>20</v>
      </c>
      <c r="M64" s="60" t="n">
        <f aca="false">IFERROR(INDEX(99_Listas!$C$2:$C$5,MATCH(G64,99_Listas!$B$2:$B$5,0)),0)</f>
        <v>0.09</v>
      </c>
      <c r="N64" s="58" t="n">
        <f aca="false">ROUND(J64*M64,2)</f>
        <v>1.71</v>
      </c>
      <c r="O64" s="58" t="n">
        <f aca="false">ROUND(J64-N64,2)</f>
        <v>17.29</v>
      </c>
      <c r="P64" s="55" t="s">
        <v>1103</v>
      </c>
      <c r="Q64" s="54" t="n">
        <v>15</v>
      </c>
      <c r="R64" s="55" t="s">
        <v>165</v>
      </c>
      <c r="S64" s="56" t="s">
        <v>228</v>
      </c>
      <c r="T64" s="56" t="s">
        <v>196</v>
      </c>
      <c r="U64" s="56"/>
    </row>
    <row r="65" customFormat="false" ht="15" hidden="false" customHeight="true" outlineLevel="0" collapsed="false">
      <c r="A65" s="61" t="n">
        <v>64</v>
      </c>
      <c r="B65" s="62" t="s">
        <v>1173</v>
      </c>
      <c r="C65" s="63" t="s">
        <v>1280</v>
      </c>
      <c r="D65" s="63" t="s">
        <v>1281</v>
      </c>
      <c r="E65" s="57" t="s">
        <v>1183</v>
      </c>
      <c r="F65" s="62" t="s">
        <v>482</v>
      </c>
      <c r="G65" s="62" t="s">
        <v>161</v>
      </c>
      <c r="H65" s="64" t="n">
        <v>10</v>
      </c>
      <c r="I65" s="64" t="n">
        <v>18</v>
      </c>
      <c r="J65" s="64" t="n">
        <f aca="false">ROUND(AVERAGE(H65:I65),1)</f>
        <v>14</v>
      </c>
      <c r="K65" s="59" t="n">
        <v>1</v>
      </c>
      <c r="L65" s="64" t="n">
        <f aca="false">J65+K65</f>
        <v>15</v>
      </c>
      <c r="M65" s="65" t="n">
        <f aca="false">IFERROR(INDEX(99_Listas!$C$2:$C$5,MATCH(G65,99_Listas!$B$2:$B$5,0)),0)</f>
        <v>0.09</v>
      </c>
      <c r="N65" s="64" t="n">
        <f aca="false">ROUND(J65*M65,2)</f>
        <v>1.26</v>
      </c>
      <c r="O65" s="64" t="n">
        <f aca="false">ROUND(J65-N65,2)</f>
        <v>12.74</v>
      </c>
      <c r="P65" s="62" t="s">
        <v>1103</v>
      </c>
      <c r="Q65" s="61" t="n">
        <v>12</v>
      </c>
      <c r="R65" s="62" t="s">
        <v>165</v>
      </c>
      <c r="S65" s="63" t="s">
        <v>228</v>
      </c>
      <c r="T65" s="63" t="s">
        <v>196</v>
      </c>
      <c r="U65" s="63"/>
    </row>
    <row r="66" customFormat="false" ht="15" hidden="false" customHeight="true" outlineLevel="0" collapsed="false">
      <c r="A66" s="54" t="n">
        <v>65</v>
      </c>
      <c r="B66" s="55" t="s">
        <v>1173</v>
      </c>
      <c r="C66" s="56" t="s">
        <v>1282</v>
      </c>
      <c r="D66" s="56" t="s">
        <v>1283</v>
      </c>
      <c r="E66" s="57" t="s">
        <v>638</v>
      </c>
      <c r="F66" s="55" t="s">
        <v>344</v>
      </c>
      <c r="G66" s="55" t="s">
        <v>161</v>
      </c>
      <c r="H66" s="58" t="n">
        <v>15</v>
      </c>
      <c r="I66" s="58" t="n">
        <v>26</v>
      </c>
      <c r="J66" s="58" t="n">
        <f aca="false">ROUND(AVERAGE(H66:I66),1)</f>
        <v>20.5</v>
      </c>
      <c r="K66" s="59" t="n">
        <v>1</v>
      </c>
      <c r="L66" s="58" t="n">
        <f aca="false">J66+K66</f>
        <v>21.5</v>
      </c>
      <c r="M66" s="60" t="n">
        <f aca="false">IFERROR(INDEX(99_Listas!$C$2:$C$5,MATCH(G66,99_Listas!$B$2:$B$5,0)),0)</f>
        <v>0.09</v>
      </c>
      <c r="N66" s="58" t="n">
        <f aca="false">ROUND(J66*M66,2)</f>
        <v>1.85</v>
      </c>
      <c r="O66" s="58" t="n">
        <f aca="false">ROUND(J66-N66,2)</f>
        <v>18.65</v>
      </c>
      <c r="P66" s="55" t="s">
        <v>1103</v>
      </c>
      <c r="Q66" s="54" t="n">
        <v>18</v>
      </c>
      <c r="R66" s="55" t="s">
        <v>165</v>
      </c>
      <c r="S66" s="56" t="s">
        <v>228</v>
      </c>
      <c r="T66" s="56" t="s">
        <v>196</v>
      </c>
      <c r="U66" s="56"/>
    </row>
    <row r="67" customFormat="false" ht="15" hidden="false" customHeight="true" outlineLevel="0" collapsed="false">
      <c r="A67" s="61" t="n">
        <v>66</v>
      </c>
      <c r="B67" s="62" t="s">
        <v>1173</v>
      </c>
      <c r="C67" s="63" t="s">
        <v>1284</v>
      </c>
      <c r="D67" s="63" t="s">
        <v>1285</v>
      </c>
      <c r="E67" s="57" t="s">
        <v>1286</v>
      </c>
      <c r="F67" s="62" t="s">
        <v>482</v>
      </c>
      <c r="G67" s="62" t="s">
        <v>161</v>
      </c>
      <c r="H67" s="64" t="n">
        <v>10</v>
      </c>
      <c r="I67" s="64" t="n">
        <v>20</v>
      </c>
      <c r="J67" s="64" t="n">
        <f aca="false">ROUND(AVERAGE(H67:I67),1)</f>
        <v>15</v>
      </c>
      <c r="K67" s="59" t="n">
        <v>1</v>
      </c>
      <c r="L67" s="64" t="n">
        <f aca="false">J67+K67</f>
        <v>16</v>
      </c>
      <c r="M67" s="65" t="n">
        <f aca="false">IFERROR(INDEX(99_Listas!$C$2:$C$5,MATCH(G67,99_Listas!$B$2:$B$5,0)),0)</f>
        <v>0.09</v>
      </c>
      <c r="N67" s="64" t="n">
        <f aca="false">ROUND(J67*M67,2)</f>
        <v>1.35</v>
      </c>
      <c r="O67" s="64" t="n">
        <f aca="false">ROUND(J67-N67,2)</f>
        <v>13.65</v>
      </c>
      <c r="P67" s="62" t="s">
        <v>1103</v>
      </c>
      <c r="Q67" s="61" t="n">
        <v>15</v>
      </c>
      <c r="R67" s="62" t="s">
        <v>165</v>
      </c>
      <c r="S67" s="63" t="s">
        <v>228</v>
      </c>
      <c r="T67" s="63" t="s">
        <v>196</v>
      </c>
      <c r="U67" s="63"/>
    </row>
    <row r="68" customFormat="false" ht="15" hidden="false" customHeight="true" outlineLevel="0" collapsed="false">
      <c r="A68" s="54" t="n">
        <v>67</v>
      </c>
      <c r="B68" s="55" t="s">
        <v>1201</v>
      </c>
      <c r="C68" s="56" t="s">
        <v>1287</v>
      </c>
      <c r="D68" s="56" t="s">
        <v>1288</v>
      </c>
      <c r="E68" s="57" t="s">
        <v>243</v>
      </c>
      <c r="F68" s="55" t="s">
        <v>226</v>
      </c>
      <c r="G68" s="55" t="s">
        <v>161</v>
      </c>
      <c r="H68" s="58" t="n">
        <v>10</v>
      </c>
      <c r="I68" s="58" t="n">
        <v>16</v>
      </c>
      <c r="J68" s="58" t="n">
        <f aca="false">ROUND(AVERAGE(H68:I68),1)</f>
        <v>13</v>
      </c>
      <c r="K68" s="59" t="n">
        <v>1</v>
      </c>
      <c r="L68" s="58" t="n">
        <f aca="false">J68+K68</f>
        <v>14</v>
      </c>
      <c r="M68" s="60" t="n">
        <f aca="false">IFERROR(INDEX(99_Listas!$C$2:$C$5,MATCH(G68,99_Listas!$B$2:$B$5,0)),0)</f>
        <v>0.09</v>
      </c>
      <c r="N68" s="58" t="n">
        <f aca="false">ROUND(J68*M68,2)</f>
        <v>1.17</v>
      </c>
      <c r="O68" s="58" t="n">
        <f aca="false">ROUND(J68-N68,2)</f>
        <v>11.83</v>
      </c>
      <c r="P68" s="55" t="s">
        <v>1204</v>
      </c>
      <c r="Q68" s="54" t="n">
        <v>10</v>
      </c>
      <c r="R68" s="55" t="s">
        <v>165</v>
      </c>
      <c r="S68" s="56" t="s">
        <v>380</v>
      </c>
      <c r="T68" s="56" t="s">
        <v>186</v>
      </c>
      <c r="U68" s="56" t="s">
        <v>1289</v>
      </c>
    </row>
    <row r="69" customFormat="false" ht="15" hidden="false" customHeight="true" outlineLevel="0" collapsed="false">
      <c r="A69" s="61" t="n">
        <v>68</v>
      </c>
      <c r="B69" s="62" t="s">
        <v>1201</v>
      </c>
      <c r="C69" s="63" t="s">
        <v>1290</v>
      </c>
      <c r="D69" s="63" t="s">
        <v>1291</v>
      </c>
      <c r="E69" s="57" t="s">
        <v>577</v>
      </c>
      <c r="F69" s="62" t="s">
        <v>226</v>
      </c>
      <c r="G69" s="62" t="s">
        <v>157</v>
      </c>
      <c r="H69" s="64" t="n">
        <v>8</v>
      </c>
      <c r="I69" s="64" t="n">
        <v>13</v>
      </c>
      <c r="J69" s="64" t="n">
        <f aca="false">ROUND(AVERAGE(H69:I69),1)</f>
        <v>10.5</v>
      </c>
      <c r="K69" s="59" t="n">
        <v>1</v>
      </c>
      <c r="L69" s="64" t="n">
        <f aca="false">J69+K69</f>
        <v>11.5</v>
      </c>
      <c r="M69" s="65" t="n">
        <f aca="false">IFERROR(INDEX(99_Listas!$C$2:$C$5,MATCH(G69,99_Listas!$B$2:$B$5,0)),0)</f>
        <v>0.07</v>
      </c>
      <c r="N69" s="64" t="n">
        <f aca="false">ROUND(J69*M69,2)</f>
        <v>0.74</v>
      </c>
      <c r="O69" s="64" t="n">
        <f aca="false">ROUND(J69-N69,2)</f>
        <v>9.76</v>
      </c>
      <c r="P69" s="62" t="s">
        <v>1204</v>
      </c>
      <c r="Q69" s="61" t="n">
        <v>8</v>
      </c>
      <c r="R69" s="62" t="s">
        <v>165</v>
      </c>
      <c r="S69" s="63" t="s">
        <v>380</v>
      </c>
      <c r="T69" s="63" t="s">
        <v>186</v>
      </c>
      <c r="U69" s="63" t="s">
        <v>1292</v>
      </c>
    </row>
    <row r="70" customFormat="false" ht="15" hidden="false" customHeight="true" outlineLevel="0" collapsed="false">
      <c r="A70" s="54" t="n">
        <v>69</v>
      </c>
      <c r="B70" s="55" t="s">
        <v>1208</v>
      </c>
      <c r="C70" s="56" t="s">
        <v>1293</v>
      </c>
      <c r="D70" s="56" t="s">
        <v>1294</v>
      </c>
      <c r="E70" s="57" t="s">
        <v>449</v>
      </c>
      <c r="F70" s="55" t="s">
        <v>1016</v>
      </c>
      <c r="G70" s="55" t="s">
        <v>157</v>
      </c>
      <c r="H70" s="58" t="n">
        <v>7</v>
      </c>
      <c r="I70" s="58" t="n">
        <v>13</v>
      </c>
      <c r="J70" s="58" t="n">
        <f aca="false">ROUND(AVERAGE(H70:I70),1)</f>
        <v>10</v>
      </c>
      <c r="K70" s="59" t="n">
        <v>1</v>
      </c>
      <c r="L70" s="58" t="n">
        <f aca="false">J70+K70</f>
        <v>11</v>
      </c>
      <c r="M70" s="60" t="n">
        <f aca="false">IFERROR(INDEX(99_Listas!$C$2:$C$5,MATCH(G70,99_Listas!$B$2:$B$5,0)),0)</f>
        <v>0.07</v>
      </c>
      <c r="N70" s="58" t="n">
        <f aca="false">ROUND(J70*M70,2)</f>
        <v>0.7</v>
      </c>
      <c r="O70" s="58" t="n">
        <f aca="false">ROUND(J70-N70,2)</f>
        <v>9.3</v>
      </c>
      <c r="P70" s="55" t="s">
        <v>1086</v>
      </c>
      <c r="Q70" s="54" t="n">
        <v>6</v>
      </c>
      <c r="R70" s="55" t="s">
        <v>276</v>
      </c>
      <c r="S70" s="56" t="s">
        <v>228</v>
      </c>
      <c r="T70" s="56" t="s">
        <v>182</v>
      </c>
      <c r="U70" s="56"/>
    </row>
    <row r="71" customFormat="false" ht="15" hidden="false" customHeight="true" outlineLevel="0" collapsed="false">
      <c r="A71" s="61" t="n">
        <v>70</v>
      </c>
      <c r="B71" s="62" t="s">
        <v>1208</v>
      </c>
      <c r="C71" s="63" t="s">
        <v>1295</v>
      </c>
      <c r="D71" s="63" t="s">
        <v>1296</v>
      </c>
      <c r="E71" s="57" t="s">
        <v>808</v>
      </c>
      <c r="F71" s="62" t="s">
        <v>344</v>
      </c>
      <c r="G71" s="62" t="s">
        <v>161</v>
      </c>
      <c r="H71" s="64" t="n">
        <v>10</v>
      </c>
      <c r="I71" s="64" t="n">
        <v>18</v>
      </c>
      <c r="J71" s="64" t="n">
        <f aca="false">ROUND(AVERAGE(H71:I71),1)</f>
        <v>14</v>
      </c>
      <c r="K71" s="59" t="n">
        <v>1</v>
      </c>
      <c r="L71" s="64" t="n">
        <f aca="false">J71+K71</f>
        <v>15</v>
      </c>
      <c r="M71" s="65" t="n">
        <f aca="false">IFERROR(INDEX(99_Listas!$C$2:$C$5,MATCH(G71,99_Listas!$B$2:$B$5,0)),0)</f>
        <v>0.09</v>
      </c>
      <c r="N71" s="64" t="n">
        <f aca="false">ROUND(J71*M71,2)</f>
        <v>1.26</v>
      </c>
      <c r="O71" s="64" t="n">
        <f aca="false">ROUND(J71-N71,2)</f>
        <v>12.74</v>
      </c>
      <c r="P71" s="62" t="s">
        <v>1212</v>
      </c>
      <c r="Q71" s="61" t="n">
        <v>8</v>
      </c>
      <c r="R71" s="62" t="s">
        <v>276</v>
      </c>
      <c r="S71" s="63" t="s">
        <v>228</v>
      </c>
      <c r="T71" s="63" t="s">
        <v>402</v>
      </c>
      <c r="U71" s="63"/>
    </row>
    <row r="72" customFormat="false" ht="23.25" hidden="false" customHeight="true" outlineLevel="0" collapsed="false">
      <c r="A72" s="54" t="n">
        <v>71</v>
      </c>
      <c r="B72" s="55" t="s">
        <v>1221</v>
      </c>
      <c r="C72" s="56" t="s">
        <v>1297</v>
      </c>
      <c r="D72" s="56" t="s">
        <v>1298</v>
      </c>
      <c r="E72" s="57" t="s">
        <v>1042</v>
      </c>
      <c r="F72" s="55" t="s">
        <v>344</v>
      </c>
      <c r="G72" s="55" t="s">
        <v>165</v>
      </c>
      <c r="H72" s="58" t="n">
        <v>15</v>
      </c>
      <c r="I72" s="58" t="n">
        <v>28</v>
      </c>
      <c r="J72" s="58" t="n">
        <f aca="false">ROUND(AVERAGE(H72:I72),1)</f>
        <v>21.5</v>
      </c>
      <c r="K72" s="59" t="n">
        <v>1</v>
      </c>
      <c r="L72" s="58" t="n">
        <f aca="false">J72+K72</f>
        <v>22.5</v>
      </c>
      <c r="M72" s="60" t="n">
        <f aca="false">IFERROR(INDEX(99_Listas!$C$2:$C$5,MATCH(G72,99_Listas!$B$2:$B$5,0)),0)</f>
        <v>0.11</v>
      </c>
      <c r="N72" s="58" t="n">
        <f aca="false">ROUND(J72*M72,2)</f>
        <v>2.37</v>
      </c>
      <c r="O72" s="58" t="n">
        <f aca="false">ROUND(J72-N72,2)</f>
        <v>19.13</v>
      </c>
      <c r="P72" s="55" t="s">
        <v>1212</v>
      </c>
      <c r="Q72" s="54" t="n">
        <v>12</v>
      </c>
      <c r="R72" s="55" t="s">
        <v>258</v>
      </c>
      <c r="S72" s="56" t="s">
        <v>228</v>
      </c>
      <c r="T72" s="56" t="s">
        <v>177</v>
      </c>
      <c r="U72" s="56" t="s">
        <v>1299</v>
      </c>
    </row>
    <row r="73" customFormat="false" ht="15" hidden="false" customHeight="true" outlineLevel="0" collapsed="false">
      <c r="A73" s="61" t="n">
        <v>72</v>
      </c>
      <c r="B73" s="62" t="s">
        <v>1221</v>
      </c>
      <c r="C73" s="63" t="s">
        <v>1300</v>
      </c>
      <c r="D73" s="63" t="s">
        <v>1301</v>
      </c>
      <c r="E73" s="57" t="s">
        <v>1235</v>
      </c>
      <c r="F73" s="62" t="s">
        <v>902</v>
      </c>
      <c r="G73" s="62" t="s">
        <v>169</v>
      </c>
      <c r="H73" s="64" t="n">
        <v>40</v>
      </c>
      <c r="I73" s="64" t="n">
        <v>80</v>
      </c>
      <c r="J73" s="64" t="n">
        <f aca="false">ROUND(AVERAGE(H73:I73),1)</f>
        <v>60</v>
      </c>
      <c r="K73" s="59" t="n">
        <v>1</v>
      </c>
      <c r="L73" s="64" t="n">
        <f aca="false">J73+K73</f>
        <v>61</v>
      </c>
      <c r="M73" s="65" t="n">
        <f aca="false">IFERROR(INDEX(99_Listas!$C$2:$C$5,MATCH(G73,99_Listas!$B$2:$B$5,0)),0)</f>
        <v>0.13</v>
      </c>
      <c r="N73" s="64" t="n">
        <f aca="false">ROUND(J73*M73,2)</f>
        <v>7.8</v>
      </c>
      <c r="O73" s="64" t="n">
        <f aca="false">ROUND(J73-N73,2)</f>
        <v>52.2</v>
      </c>
      <c r="P73" s="62" t="s">
        <v>1195</v>
      </c>
      <c r="Q73" s="61" t="n">
        <v>22</v>
      </c>
      <c r="R73" s="62" t="s">
        <v>165</v>
      </c>
      <c r="S73" s="63" t="s">
        <v>380</v>
      </c>
      <c r="T73" s="63" t="s">
        <v>1236</v>
      </c>
      <c r="U73" s="63" t="s">
        <v>1302</v>
      </c>
    </row>
    <row r="74" customFormat="false" ht="23.25" hidden="false" customHeight="true" outlineLevel="0" collapsed="false">
      <c r="A74" s="54" t="n">
        <v>73</v>
      </c>
      <c r="B74" s="55" t="s">
        <v>1083</v>
      </c>
      <c r="C74" s="56" t="s">
        <v>1303</v>
      </c>
      <c r="D74" s="56" t="s">
        <v>1304</v>
      </c>
      <c r="E74" s="57" t="s">
        <v>808</v>
      </c>
      <c r="F74" s="55" t="s">
        <v>1016</v>
      </c>
      <c r="G74" s="55" t="s">
        <v>169</v>
      </c>
      <c r="H74" s="58" t="n">
        <v>60</v>
      </c>
      <c r="I74" s="58" t="n">
        <v>100</v>
      </c>
      <c r="J74" s="58" t="n">
        <f aca="false">ROUND(AVERAGE(H74:I74),1)</f>
        <v>80</v>
      </c>
      <c r="K74" s="59" t="n">
        <v>1</v>
      </c>
      <c r="L74" s="58" t="n">
        <f aca="false">J74+K74</f>
        <v>81</v>
      </c>
      <c r="M74" s="60" t="n">
        <f aca="false">IFERROR(INDEX(99_Listas!$C$2:$C$5,MATCH(G74,99_Listas!$B$2:$B$5,0)),0)</f>
        <v>0.13</v>
      </c>
      <c r="N74" s="58" t="n">
        <f aca="false">ROUND(J74*M74,2)</f>
        <v>10.4</v>
      </c>
      <c r="O74" s="58" t="n">
        <f aca="false">ROUND(J74-N74,2)</f>
        <v>69.6</v>
      </c>
      <c r="P74" s="55" t="s">
        <v>1086</v>
      </c>
      <c r="Q74" s="54" t="n">
        <v>18</v>
      </c>
      <c r="R74" s="55" t="s">
        <v>165</v>
      </c>
      <c r="S74" s="56" t="s">
        <v>380</v>
      </c>
      <c r="T74" s="56" t="s">
        <v>167</v>
      </c>
      <c r="U74" s="56" t="s">
        <v>1305</v>
      </c>
    </row>
    <row r="75" customFormat="false" ht="23.25" hidden="false" customHeight="true" outlineLevel="0" collapsed="false">
      <c r="A75" s="61" t="n">
        <v>74</v>
      </c>
      <c r="B75" s="62" t="s">
        <v>1083</v>
      </c>
      <c r="C75" s="63" t="s">
        <v>1306</v>
      </c>
      <c r="D75" s="63" t="s">
        <v>1307</v>
      </c>
      <c r="E75" s="57" t="s">
        <v>978</v>
      </c>
      <c r="F75" s="62" t="s">
        <v>344</v>
      </c>
      <c r="G75" s="62" t="s">
        <v>161</v>
      </c>
      <c r="H75" s="64" t="n">
        <v>14</v>
      </c>
      <c r="I75" s="64" t="n">
        <v>24</v>
      </c>
      <c r="J75" s="64" t="n">
        <f aca="false">ROUND(AVERAGE(H75:I75),1)</f>
        <v>19</v>
      </c>
      <c r="K75" s="59" t="n">
        <v>1</v>
      </c>
      <c r="L75" s="64" t="n">
        <f aca="false">J75+K75</f>
        <v>20</v>
      </c>
      <c r="M75" s="65" t="n">
        <f aca="false">IFERROR(INDEX(99_Listas!$C$2:$C$5,MATCH(G75,99_Listas!$B$2:$B$5,0)),0)</f>
        <v>0.09</v>
      </c>
      <c r="N75" s="64" t="n">
        <f aca="false">ROUND(J75*M75,2)</f>
        <v>1.71</v>
      </c>
      <c r="O75" s="64" t="n">
        <f aca="false">ROUND(J75-N75,2)</f>
        <v>17.29</v>
      </c>
      <c r="P75" s="62" t="s">
        <v>1086</v>
      </c>
      <c r="Q75" s="61" t="n">
        <v>14</v>
      </c>
      <c r="R75" s="62" t="s">
        <v>165</v>
      </c>
      <c r="S75" s="63" t="s">
        <v>228</v>
      </c>
      <c r="T75" s="63" t="s">
        <v>167</v>
      </c>
      <c r="U75" s="63"/>
    </row>
    <row r="76" customFormat="false" ht="15" hidden="false" customHeight="true" outlineLevel="0" collapsed="false">
      <c r="A76" s="54" t="n">
        <v>75</v>
      </c>
      <c r="B76" s="55" t="s">
        <v>1083</v>
      </c>
      <c r="C76" s="56" t="s">
        <v>1308</v>
      </c>
      <c r="D76" s="56" t="s">
        <v>1309</v>
      </c>
      <c r="E76" s="57" t="s">
        <v>804</v>
      </c>
      <c r="F76" s="55" t="s">
        <v>482</v>
      </c>
      <c r="G76" s="55" t="s">
        <v>157</v>
      </c>
      <c r="H76" s="58" t="n">
        <v>8</v>
      </c>
      <c r="I76" s="58" t="n">
        <v>16</v>
      </c>
      <c r="J76" s="58" t="n">
        <f aca="false">ROUND(AVERAGE(H76:I76),1)</f>
        <v>12</v>
      </c>
      <c r="K76" s="59" t="n">
        <v>1</v>
      </c>
      <c r="L76" s="58" t="n">
        <f aca="false">J76+K76</f>
        <v>13</v>
      </c>
      <c r="M76" s="60" t="n">
        <f aca="false">IFERROR(INDEX(99_Listas!$C$2:$C$5,MATCH(G76,99_Listas!$B$2:$B$5,0)),0)</f>
        <v>0.07</v>
      </c>
      <c r="N76" s="58" t="n">
        <f aca="false">ROUND(J76*M76,2)</f>
        <v>0.84</v>
      </c>
      <c r="O76" s="58" t="n">
        <f aca="false">ROUND(J76-N76,2)</f>
        <v>11.16</v>
      </c>
      <c r="P76" s="55" t="s">
        <v>1103</v>
      </c>
      <c r="Q76" s="54" t="n">
        <v>8</v>
      </c>
      <c r="R76" s="55" t="s">
        <v>165</v>
      </c>
      <c r="S76" s="56" t="s">
        <v>228</v>
      </c>
      <c r="T76" s="56" t="s">
        <v>167</v>
      </c>
      <c r="U76" s="56"/>
    </row>
    <row r="77" customFormat="false" ht="15" hidden="false" customHeight="true" outlineLevel="0" collapsed="false">
      <c r="A77" s="61" t="n">
        <v>76</v>
      </c>
      <c r="B77" s="62" t="s">
        <v>1083</v>
      </c>
      <c r="C77" s="63" t="s">
        <v>1310</v>
      </c>
      <c r="D77" s="63" t="s">
        <v>1311</v>
      </c>
      <c r="E77" s="57" t="s">
        <v>808</v>
      </c>
      <c r="F77" s="62" t="s">
        <v>482</v>
      </c>
      <c r="G77" s="62" t="s">
        <v>157</v>
      </c>
      <c r="H77" s="64" t="n">
        <v>5</v>
      </c>
      <c r="I77" s="64" t="n">
        <v>12</v>
      </c>
      <c r="J77" s="64" t="n">
        <f aca="false">ROUND(AVERAGE(H77:I77),1)</f>
        <v>8.5</v>
      </c>
      <c r="K77" s="59" t="n">
        <v>1</v>
      </c>
      <c r="L77" s="64" t="n">
        <f aca="false">J77+K77</f>
        <v>9.5</v>
      </c>
      <c r="M77" s="65" t="n">
        <f aca="false">IFERROR(INDEX(99_Listas!$C$2:$C$5,MATCH(G77,99_Listas!$B$2:$B$5,0)),0)</f>
        <v>0.07</v>
      </c>
      <c r="N77" s="64" t="n">
        <f aca="false">ROUND(J77*M77,2)</f>
        <v>0.6</v>
      </c>
      <c r="O77" s="64" t="n">
        <f aca="false">ROUND(J77-N77,2)</f>
        <v>7.9</v>
      </c>
      <c r="P77" s="62" t="s">
        <v>1103</v>
      </c>
      <c r="Q77" s="61" t="n">
        <v>5</v>
      </c>
      <c r="R77" s="62" t="s">
        <v>276</v>
      </c>
      <c r="S77" s="63" t="s">
        <v>228</v>
      </c>
      <c r="T77" s="63" t="s">
        <v>167</v>
      </c>
      <c r="U77" s="63"/>
    </row>
    <row r="78" customFormat="false" ht="15" hidden="false" customHeight="true" outlineLevel="0" collapsed="false">
      <c r="A78" s="54" t="n">
        <v>77</v>
      </c>
      <c r="B78" s="55" t="s">
        <v>1100</v>
      </c>
      <c r="C78" s="56" t="s">
        <v>1312</v>
      </c>
      <c r="D78" s="56" t="s">
        <v>1313</v>
      </c>
      <c r="E78" s="57" t="s">
        <v>677</v>
      </c>
      <c r="F78" s="55" t="s">
        <v>482</v>
      </c>
      <c r="G78" s="55" t="s">
        <v>165</v>
      </c>
      <c r="H78" s="58" t="n">
        <v>20</v>
      </c>
      <c r="I78" s="58" t="n">
        <v>34</v>
      </c>
      <c r="J78" s="58" t="n">
        <f aca="false">ROUND(AVERAGE(H78:I78),1)</f>
        <v>27</v>
      </c>
      <c r="K78" s="59" t="n">
        <v>1</v>
      </c>
      <c r="L78" s="58" t="n">
        <f aca="false">J78+K78</f>
        <v>28</v>
      </c>
      <c r="M78" s="60" t="n">
        <f aca="false">IFERROR(INDEX(99_Listas!$C$2:$C$5,MATCH(G78,99_Listas!$B$2:$B$5,0)),0)</f>
        <v>0.11</v>
      </c>
      <c r="N78" s="58" t="n">
        <f aca="false">ROUND(J78*M78,2)</f>
        <v>2.97</v>
      </c>
      <c r="O78" s="58" t="n">
        <f aca="false">ROUND(J78-N78,2)</f>
        <v>24.03</v>
      </c>
      <c r="P78" s="55" t="s">
        <v>1103</v>
      </c>
      <c r="Q78" s="54" t="n">
        <v>16</v>
      </c>
      <c r="R78" s="55" t="s">
        <v>165</v>
      </c>
      <c r="S78" s="56" t="s">
        <v>380</v>
      </c>
      <c r="T78" s="56" t="s">
        <v>678</v>
      </c>
      <c r="U78" s="56"/>
    </row>
    <row r="79" customFormat="false" ht="15" hidden="false" customHeight="true" outlineLevel="0" collapsed="false">
      <c r="A79" s="61" t="n">
        <v>78</v>
      </c>
      <c r="B79" s="62" t="s">
        <v>1100</v>
      </c>
      <c r="C79" s="63" t="s">
        <v>1314</v>
      </c>
      <c r="D79" s="63" t="s">
        <v>1249</v>
      </c>
      <c r="E79" s="57" t="s">
        <v>677</v>
      </c>
      <c r="F79" s="62" t="s">
        <v>1016</v>
      </c>
      <c r="G79" s="62" t="s">
        <v>165</v>
      </c>
      <c r="H79" s="64" t="n">
        <v>18</v>
      </c>
      <c r="I79" s="64" t="n">
        <v>32</v>
      </c>
      <c r="J79" s="64" t="n">
        <f aca="false">ROUND(AVERAGE(H79:I79),1)</f>
        <v>25</v>
      </c>
      <c r="K79" s="59" t="n">
        <v>1</v>
      </c>
      <c r="L79" s="64" t="n">
        <f aca="false">J79+K79</f>
        <v>26</v>
      </c>
      <c r="M79" s="65" t="n">
        <f aca="false">IFERROR(INDEX(99_Listas!$C$2:$C$5,MATCH(G79,99_Listas!$B$2:$B$5,0)),0)</f>
        <v>0.11</v>
      </c>
      <c r="N79" s="64" t="n">
        <f aca="false">ROUND(J79*M79,2)</f>
        <v>2.75</v>
      </c>
      <c r="O79" s="64" t="n">
        <f aca="false">ROUND(J79-N79,2)</f>
        <v>22.25</v>
      </c>
      <c r="P79" s="62" t="s">
        <v>1103</v>
      </c>
      <c r="Q79" s="61" t="n">
        <v>16</v>
      </c>
      <c r="R79" s="62" t="s">
        <v>165</v>
      </c>
      <c r="S79" s="63" t="s">
        <v>228</v>
      </c>
      <c r="T79" s="63" t="s">
        <v>678</v>
      </c>
      <c r="U79" s="63"/>
    </row>
    <row r="80" customFormat="false" ht="15" hidden="false" customHeight="true" outlineLevel="0" collapsed="false">
      <c r="A80" s="54" t="n">
        <v>79</v>
      </c>
      <c r="B80" s="55" t="s">
        <v>1100</v>
      </c>
      <c r="C80" s="56" t="s">
        <v>1315</v>
      </c>
      <c r="D80" s="56" t="s">
        <v>1316</v>
      </c>
      <c r="E80" s="57" t="s">
        <v>677</v>
      </c>
      <c r="F80" s="55" t="s">
        <v>482</v>
      </c>
      <c r="G80" s="55" t="s">
        <v>161</v>
      </c>
      <c r="H80" s="58" t="n">
        <v>10</v>
      </c>
      <c r="I80" s="58" t="n">
        <v>20</v>
      </c>
      <c r="J80" s="58" t="n">
        <f aca="false">ROUND(AVERAGE(H80:I80),1)</f>
        <v>15</v>
      </c>
      <c r="K80" s="59" t="n">
        <v>1</v>
      </c>
      <c r="L80" s="58" t="n">
        <f aca="false">J80+K80</f>
        <v>16</v>
      </c>
      <c r="M80" s="60" t="n">
        <f aca="false">IFERROR(INDEX(99_Listas!$C$2:$C$5,MATCH(G80,99_Listas!$B$2:$B$5,0)),0)</f>
        <v>0.09</v>
      </c>
      <c r="N80" s="58" t="n">
        <f aca="false">ROUND(J80*M80,2)</f>
        <v>1.35</v>
      </c>
      <c r="O80" s="58" t="n">
        <f aca="false">ROUND(J80-N80,2)</f>
        <v>13.65</v>
      </c>
      <c r="P80" s="55" t="s">
        <v>1103</v>
      </c>
      <c r="Q80" s="54" t="n">
        <v>12</v>
      </c>
      <c r="R80" s="55" t="s">
        <v>165</v>
      </c>
      <c r="S80" s="56" t="s">
        <v>228</v>
      </c>
      <c r="T80" s="56" t="s">
        <v>1134</v>
      </c>
      <c r="U80" s="56"/>
    </row>
    <row r="81" customFormat="false" ht="15" hidden="false" customHeight="true" outlineLevel="0" collapsed="false">
      <c r="A81" s="61" t="n">
        <v>80</v>
      </c>
      <c r="B81" s="62" t="s">
        <v>1100</v>
      </c>
      <c r="C81" s="63" t="s">
        <v>1317</v>
      </c>
      <c r="D81" s="63" t="s">
        <v>462</v>
      </c>
      <c r="E81" s="57" t="s">
        <v>677</v>
      </c>
      <c r="F81" s="62" t="s">
        <v>482</v>
      </c>
      <c r="G81" s="62" t="s">
        <v>161</v>
      </c>
      <c r="H81" s="64" t="n">
        <v>10</v>
      </c>
      <c r="I81" s="64" t="n">
        <v>18</v>
      </c>
      <c r="J81" s="64" t="n">
        <f aca="false">ROUND(AVERAGE(H81:I81),1)</f>
        <v>14</v>
      </c>
      <c r="K81" s="59" t="n">
        <v>1</v>
      </c>
      <c r="L81" s="64" t="n">
        <f aca="false">J81+K81</f>
        <v>15</v>
      </c>
      <c r="M81" s="65" t="n">
        <f aca="false">IFERROR(INDEX(99_Listas!$C$2:$C$5,MATCH(G81,99_Listas!$B$2:$B$5,0)),0)</f>
        <v>0.09</v>
      </c>
      <c r="N81" s="64" t="n">
        <f aca="false">ROUND(J81*M81,2)</f>
        <v>1.26</v>
      </c>
      <c r="O81" s="64" t="n">
        <f aca="false">ROUND(J81-N81,2)</f>
        <v>12.74</v>
      </c>
      <c r="P81" s="62" t="s">
        <v>1103</v>
      </c>
      <c r="Q81" s="61" t="n">
        <v>12</v>
      </c>
      <c r="R81" s="62" t="s">
        <v>165</v>
      </c>
      <c r="S81" s="63" t="s">
        <v>228</v>
      </c>
      <c r="T81" s="63" t="s">
        <v>1118</v>
      </c>
      <c r="U81" s="63"/>
    </row>
    <row r="82" customFormat="false" ht="15" hidden="false" customHeight="true" outlineLevel="0" collapsed="false">
      <c r="A82" s="54" t="n">
        <v>81</v>
      </c>
      <c r="B82" s="55" t="s">
        <v>1100</v>
      </c>
      <c r="C82" s="56" t="s">
        <v>1318</v>
      </c>
      <c r="D82" s="56" t="s">
        <v>1319</v>
      </c>
      <c r="E82" s="57" t="s">
        <v>1320</v>
      </c>
      <c r="F82" s="55" t="s">
        <v>482</v>
      </c>
      <c r="G82" s="55" t="s">
        <v>157</v>
      </c>
      <c r="H82" s="58" t="n">
        <v>6</v>
      </c>
      <c r="I82" s="58" t="n">
        <v>13</v>
      </c>
      <c r="J82" s="58" t="n">
        <f aca="false">ROUND(AVERAGE(H82:I82),1)</f>
        <v>9.5</v>
      </c>
      <c r="K82" s="59" t="n">
        <v>1</v>
      </c>
      <c r="L82" s="58" t="n">
        <f aca="false">J82+K82</f>
        <v>10.5</v>
      </c>
      <c r="M82" s="60" t="n">
        <f aca="false">IFERROR(INDEX(99_Listas!$C$2:$C$5,MATCH(G82,99_Listas!$B$2:$B$5,0)),0)</f>
        <v>0.07</v>
      </c>
      <c r="N82" s="58" t="n">
        <f aca="false">ROUND(J82*M82,2)</f>
        <v>0.67</v>
      </c>
      <c r="O82" s="58" t="n">
        <f aca="false">ROUND(J82-N82,2)</f>
        <v>8.83</v>
      </c>
      <c r="P82" s="55" t="s">
        <v>1128</v>
      </c>
      <c r="Q82" s="54" t="n">
        <v>8</v>
      </c>
      <c r="R82" s="55" t="s">
        <v>276</v>
      </c>
      <c r="S82" s="56" t="s">
        <v>228</v>
      </c>
      <c r="T82" s="56" t="s">
        <v>1143</v>
      </c>
      <c r="U82" s="56"/>
    </row>
    <row r="83" customFormat="false" ht="23.25" hidden="false" customHeight="true" outlineLevel="0" collapsed="false">
      <c r="A83" s="61" t="n">
        <v>82</v>
      </c>
      <c r="B83" s="62" t="s">
        <v>1130</v>
      </c>
      <c r="C83" s="63" t="s">
        <v>1321</v>
      </c>
      <c r="D83" s="63" t="s">
        <v>1322</v>
      </c>
      <c r="E83" s="57" t="s">
        <v>1133</v>
      </c>
      <c r="F83" s="62" t="s">
        <v>294</v>
      </c>
      <c r="G83" s="62" t="s">
        <v>161</v>
      </c>
      <c r="H83" s="64" t="n">
        <v>9</v>
      </c>
      <c r="I83" s="64" t="n">
        <v>17</v>
      </c>
      <c r="J83" s="64" t="n">
        <f aca="false">ROUND(AVERAGE(H83:I83),1)</f>
        <v>13</v>
      </c>
      <c r="K83" s="59" t="n">
        <v>1</v>
      </c>
      <c r="L83" s="64" t="n">
        <f aca="false">J83+K83</f>
        <v>14</v>
      </c>
      <c r="M83" s="65" t="n">
        <f aca="false">IFERROR(INDEX(99_Listas!$C$2:$C$5,MATCH(G83,99_Listas!$B$2:$B$5,0)),0)</f>
        <v>0.09</v>
      </c>
      <c r="N83" s="64" t="n">
        <f aca="false">ROUND(J83*M83,2)</f>
        <v>1.17</v>
      </c>
      <c r="O83" s="64" t="n">
        <f aca="false">ROUND(J83-N83,2)</f>
        <v>11.83</v>
      </c>
      <c r="P83" s="62" t="s">
        <v>1103</v>
      </c>
      <c r="Q83" s="61" t="n">
        <v>12</v>
      </c>
      <c r="R83" s="62" t="s">
        <v>276</v>
      </c>
      <c r="S83" s="63" t="s">
        <v>228</v>
      </c>
      <c r="T83" s="63" t="s">
        <v>1323</v>
      </c>
      <c r="U83" s="63"/>
    </row>
    <row r="84" customFormat="false" ht="23.25" hidden="false" customHeight="true" outlineLevel="0" collapsed="false">
      <c r="A84" s="54" t="n">
        <v>83</v>
      </c>
      <c r="B84" s="55" t="s">
        <v>1130</v>
      </c>
      <c r="C84" s="56" t="s">
        <v>1324</v>
      </c>
      <c r="D84" s="56" t="s">
        <v>1325</v>
      </c>
      <c r="E84" s="57" t="s">
        <v>1133</v>
      </c>
      <c r="F84" s="55" t="s">
        <v>294</v>
      </c>
      <c r="G84" s="55" t="s">
        <v>161</v>
      </c>
      <c r="H84" s="58" t="n">
        <v>13</v>
      </c>
      <c r="I84" s="58" t="n">
        <v>24</v>
      </c>
      <c r="J84" s="58" t="n">
        <f aca="false">ROUND(AVERAGE(H84:I84),1)</f>
        <v>18.5</v>
      </c>
      <c r="K84" s="59" t="n">
        <v>1</v>
      </c>
      <c r="L84" s="58" t="n">
        <f aca="false">J84+K84</f>
        <v>19.5</v>
      </c>
      <c r="M84" s="60" t="n">
        <f aca="false">IFERROR(INDEX(99_Listas!$C$2:$C$5,MATCH(G84,99_Listas!$B$2:$B$5,0)),0)</f>
        <v>0.09</v>
      </c>
      <c r="N84" s="58" t="n">
        <f aca="false">ROUND(J84*M84,2)</f>
        <v>1.67</v>
      </c>
      <c r="O84" s="58" t="n">
        <f aca="false">ROUND(J84-N84,2)</f>
        <v>16.83</v>
      </c>
      <c r="P84" s="55" t="s">
        <v>1103</v>
      </c>
      <c r="Q84" s="54" t="n">
        <v>13</v>
      </c>
      <c r="R84" s="55" t="s">
        <v>276</v>
      </c>
      <c r="S84" s="56" t="s">
        <v>228</v>
      </c>
      <c r="T84" s="56" t="s">
        <v>1134</v>
      </c>
      <c r="U84" s="56"/>
    </row>
    <row r="85" customFormat="false" ht="23.25" hidden="false" customHeight="true" outlineLevel="0" collapsed="false">
      <c r="A85" s="61" t="n">
        <v>84</v>
      </c>
      <c r="B85" s="62" t="s">
        <v>1130</v>
      </c>
      <c r="C85" s="63" t="s">
        <v>1326</v>
      </c>
      <c r="D85" s="63" t="s">
        <v>1327</v>
      </c>
      <c r="E85" s="57" t="s">
        <v>1146</v>
      </c>
      <c r="F85" s="62" t="s">
        <v>294</v>
      </c>
      <c r="G85" s="62" t="s">
        <v>161</v>
      </c>
      <c r="H85" s="64" t="n">
        <v>9</v>
      </c>
      <c r="I85" s="64" t="n">
        <v>17</v>
      </c>
      <c r="J85" s="64" t="n">
        <f aca="false">ROUND(AVERAGE(H85:I85),1)</f>
        <v>13</v>
      </c>
      <c r="K85" s="59" t="n">
        <v>1</v>
      </c>
      <c r="L85" s="64" t="n">
        <f aca="false">J85+K85</f>
        <v>14</v>
      </c>
      <c r="M85" s="65" t="n">
        <f aca="false">IFERROR(INDEX(99_Listas!$C$2:$C$5,MATCH(G85,99_Listas!$B$2:$B$5,0)),0)</f>
        <v>0.09</v>
      </c>
      <c r="N85" s="64" t="n">
        <f aca="false">ROUND(J85*M85,2)</f>
        <v>1.17</v>
      </c>
      <c r="O85" s="64" t="n">
        <f aca="false">ROUND(J85-N85,2)</f>
        <v>11.83</v>
      </c>
      <c r="P85" s="62" t="s">
        <v>1103</v>
      </c>
      <c r="Q85" s="61" t="n">
        <v>8</v>
      </c>
      <c r="R85" s="62" t="s">
        <v>276</v>
      </c>
      <c r="S85" s="63" t="s">
        <v>228</v>
      </c>
      <c r="T85" s="63" t="s">
        <v>1143</v>
      </c>
      <c r="U85" s="63"/>
    </row>
    <row r="86" customFormat="false" ht="23.25" hidden="false" customHeight="true" outlineLevel="0" collapsed="false">
      <c r="A86" s="54" t="n">
        <v>85</v>
      </c>
      <c r="B86" s="55" t="s">
        <v>1130</v>
      </c>
      <c r="C86" s="56" t="s">
        <v>1328</v>
      </c>
      <c r="D86" s="56" t="s">
        <v>1309</v>
      </c>
      <c r="E86" s="57" t="s">
        <v>1133</v>
      </c>
      <c r="F86" s="55" t="s">
        <v>1016</v>
      </c>
      <c r="G86" s="55" t="s">
        <v>165</v>
      </c>
      <c r="H86" s="58" t="n">
        <v>22</v>
      </c>
      <c r="I86" s="58" t="n">
        <v>40</v>
      </c>
      <c r="J86" s="58" t="n">
        <f aca="false">ROUND(AVERAGE(H86:I86),1)</f>
        <v>31</v>
      </c>
      <c r="K86" s="59" t="n">
        <v>1</v>
      </c>
      <c r="L86" s="58" t="n">
        <f aca="false">J86+K86</f>
        <v>32</v>
      </c>
      <c r="M86" s="60" t="n">
        <f aca="false">IFERROR(INDEX(99_Listas!$C$2:$C$5,MATCH(G86,99_Listas!$B$2:$B$5,0)),0)</f>
        <v>0.11</v>
      </c>
      <c r="N86" s="58" t="n">
        <f aca="false">ROUND(J86*M86,2)</f>
        <v>3.41</v>
      </c>
      <c r="O86" s="58" t="n">
        <f aca="false">ROUND(J86-N86,2)</f>
        <v>27.59</v>
      </c>
      <c r="P86" s="55" t="s">
        <v>1103</v>
      </c>
      <c r="Q86" s="54" t="n">
        <v>16</v>
      </c>
      <c r="R86" s="55" t="s">
        <v>276</v>
      </c>
      <c r="S86" s="56" t="s">
        <v>380</v>
      </c>
      <c r="T86" s="56" t="s">
        <v>1134</v>
      </c>
      <c r="U86" s="56"/>
    </row>
    <row r="87" customFormat="false" ht="23.25" hidden="false" customHeight="true" outlineLevel="0" collapsed="false">
      <c r="A87" s="61" t="n">
        <v>86</v>
      </c>
      <c r="B87" s="62" t="s">
        <v>1150</v>
      </c>
      <c r="C87" s="63" t="s">
        <v>1329</v>
      </c>
      <c r="D87" s="63" t="s">
        <v>1330</v>
      </c>
      <c r="E87" s="57" t="s">
        <v>1153</v>
      </c>
      <c r="F87" s="62" t="s">
        <v>1016</v>
      </c>
      <c r="G87" s="62" t="s">
        <v>165</v>
      </c>
      <c r="H87" s="64" t="n">
        <v>30</v>
      </c>
      <c r="I87" s="64" t="n">
        <v>55</v>
      </c>
      <c r="J87" s="64" t="n">
        <f aca="false">ROUND(AVERAGE(H87:I87),1)</f>
        <v>42.5</v>
      </c>
      <c r="K87" s="59" t="n">
        <v>1</v>
      </c>
      <c r="L87" s="64" t="n">
        <f aca="false">J87+K87</f>
        <v>43.5</v>
      </c>
      <c r="M87" s="65" t="n">
        <f aca="false">IFERROR(INDEX(99_Listas!$C$2:$C$5,MATCH(G87,99_Listas!$B$2:$B$5,0)),0)</f>
        <v>0.11</v>
      </c>
      <c r="N87" s="64" t="n">
        <f aca="false">ROUND(J87*M87,2)</f>
        <v>4.68</v>
      </c>
      <c r="O87" s="64" t="n">
        <f aca="false">ROUND(J87-N87,2)</f>
        <v>37.82</v>
      </c>
      <c r="P87" s="62" t="s">
        <v>1103</v>
      </c>
      <c r="Q87" s="61" t="n">
        <v>22</v>
      </c>
      <c r="R87" s="62" t="s">
        <v>276</v>
      </c>
      <c r="S87" s="63" t="s">
        <v>380</v>
      </c>
      <c r="T87" s="63" t="s">
        <v>180</v>
      </c>
      <c r="U87" s="63"/>
    </row>
    <row r="88" customFormat="false" ht="23.25" hidden="false" customHeight="true" outlineLevel="0" collapsed="false">
      <c r="A88" s="54" t="n">
        <v>87</v>
      </c>
      <c r="B88" s="55" t="s">
        <v>1150</v>
      </c>
      <c r="C88" s="56" t="s">
        <v>1331</v>
      </c>
      <c r="D88" s="56" t="s">
        <v>1332</v>
      </c>
      <c r="E88" s="57" t="s">
        <v>1153</v>
      </c>
      <c r="F88" s="55" t="s">
        <v>1157</v>
      </c>
      <c r="G88" s="55" t="s">
        <v>165</v>
      </c>
      <c r="H88" s="58" t="n">
        <v>22</v>
      </c>
      <c r="I88" s="58" t="n">
        <v>42</v>
      </c>
      <c r="J88" s="58" t="n">
        <f aca="false">ROUND(AVERAGE(H88:I88),1)</f>
        <v>32</v>
      </c>
      <c r="K88" s="59" t="n">
        <v>1</v>
      </c>
      <c r="L88" s="58" t="n">
        <f aca="false">J88+K88</f>
        <v>33</v>
      </c>
      <c r="M88" s="60" t="n">
        <f aca="false">IFERROR(INDEX(99_Listas!$C$2:$C$5,MATCH(G88,99_Listas!$B$2:$B$5,0)),0)</f>
        <v>0.11</v>
      </c>
      <c r="N88" s="58" t="n">
        <f aca="false">ROUND(J88*M88,2)</f>
        <v>3.52</v>
      </c>
      <c r="O88" s="58" t="n">
        <f aca="false">ROUND(J88-N88,2)</f>
        <v>28.48</v>
      </c>
      <c r="P88" s="55" t="s">
        <v>1103</v>
      </c>
      <c r="Q88" s="54" t="n">
        <v>18</v>
      </c>
      <c r="R88" s="55" t="s">
        <v>276</v>
      </c>
      <c r="S88" s="56" t="s">
        <v>228</v>
      </c>
      <c r="T88" s="56" t="s">
        <v>180</v>
      </c>
      <c r="U88" s="56"/>
    </row>
    <row r="89" customFormat="false" ht="23.25" hidden="false" customHeight="true" outlineLevel="0" collapsed="false">
      <c r="A89" s="61" t="n">
        <v>88</v>
      </c>
      <c r="B89" s="62" t="s">
        <v>1150</v>
      </c>
      <c r="C89" s="63" t="s">
        <v>1333</v>
      </c>
      <c r="D89" s="63" t="s">
        <v>1334</v>
      </c>
      <c r="E89" s="57" t="s">
        <v>1153</v>
      </c>
      <c r="F89" s="62" t="s">
        <v>1157</v>
      </c>
      <c r="G89" s="62" t="s">
        <v>165</v>
      </c>
      <c r="H89" s="64" t="n">
        <v>24</v>
      </c>
      <c r="I89" s="64" t="n">
        <v>45</v>
      </c>
      <c r="J89" s="64" t="n">
        <f aca="false">ROUND(AVERAGE(H89:I89),1)</f>
        <v>34.5</v>
      </c>
      <c r="K89" s="59" t="n">
        <v>1</v>
      </c>
      <c r="L89" s="64" t="n">
        <f aca="false">J89+K89</f>
        <v>35.5</v>
      </c>
      <c r="M89" s="65" t="n">
        <f aca="false">IFERROR(INDEX(99_Listas!$C$2:$C$5,MATCH(G89,99_Listas!$B$2:$B$5,0)),0)</f>
        <v>0.11</v>
      </c>
      <c r="N89" s="64" t="n">
        <f aca="false">ROUND(J89*M89,2)</f>
        <v>3.8</v>
      </c>
      <c r="O89" s="64" t="n">
        <f aca="false">ROUND(J89-N89,2)</f>
        <v>30.7</v>
      </c>
      <c r="P89" s="62" t="s">
        <v>1103</v>
      </c>
      <c r="Q89" s="61" t="n">
        <v>18</v>
      </c>
      <c r="R89" s="62" t="s">
        <v>276</v>
      </c>
      <c r="S89" s="63" t="s">
        <v>228</v>
      </c>
      <c r="T89" s="63" t="s">
        <v>180</v>
      </c>
      <c r="U89" s="63"/>
    </row>
    <row r="90" customFormat="false" ht="15" hidden="false" customHeight="true" outlineLevel="0" collapsed="false">
      <c r="A90" s="54" t="n">
        <v>89</v>
      </c>
      <c r="B90" s="55" t="s">
        <v>1150</v>
      </c>
      <c r="C90" s="56" t="s">
        <v>1335</v>
      </c>
      <c r="D90" s="56" t="s">
        <v>1336</v>
      </c>
      <c r="E90" s="57" t="s">
        <v>1262</v>
      </c>
      <c r="F90" s="55" t="s">
        <v>1157</v>
      </c>
      <c r="G90" s="55" t="s">
        <v>169</v>
      </c>
      <c r="H90" s="58" t="n">
        <v>30</v>
      </c>
      <c r="I90" s="58" t="n">
        <v>60</v>
      </c>
      <c r="J90" s="58" t="n">
        <f aca="false">ROUND(AVERAGE(H90:I90),1)</f>
        <v>45</v>
      </c>
      <c r="K90" s="59" t="n">
        <v>1</v>
      </c>
      <c r="L90" s="58" t="n">
        <f aca="false">J90+K90</f>
        <v>46</v>
      </c>
      <c r="M90" s="60" t="n">
        <f aca="false">IFERROR(INDEX(99_Listas!$C$2:$C$5,MATCH(G90,99_Listas!$B$2:$B$5,0)),0)</f>
        <v>0.13</v>
      </c>
      <c r="N90" s="58" t="n">
        <f aca="false">ROUND(J90*M90,2)</f>
        <v>5.85</v>
      </c>
      <c r="O90" s="58" t="n">
        <f aca="false">ROUND(J90-N90,2)</f>
        <v>39.15</v>
      </c>
      <c r="P90" s="55" t="s">
        <v>1103</v>
      </c>
      <c r="Q90" s="54" t="n">
        <v>20</v>
      </c>
      <c r="R90" s="55" t="s">
        <v>276</v>
      </c>
      <c r="S90" s="56" t="s">
        <v>228</v>
      </c>
      <c r="T90" s="56" t="s">
        <v>1164</v>
      </c>
      <c r="U90" s="56" t="s">
        <v>1337</v>
      </c>
    </row>
    <row r="91" customFormat="false" ht="15" hidden="false" customHeight="true" outlineLevel="0" collapsed="false">
      <c r="A91" s="61" t="n">
        <v>90</v>
      </c>
      <c r="B91" s="62" t="s">
        <v>1150</v>
      </c>
      <c r="C91" s="63" t="s">
        <v>1338</v>
      </c>
      <c r="D91" s="63" t="s">
        <v>1339</v>
      </c>
      <c r="E91" s="57" t="s">
        <v>1167</v>
      </c>
      <c r="F91" s="62" t="s">
        <v>344</v>
      </c>
      <c r="G91" s="62" t="s">
        <v>165</v>
      </c>
      <c r="H91" s="64" t="n">
        <v>15</v>
      </c>
      <c r="I91" s="64" t="n">
        <v>28</v>
      </c>
      <c r="J91" s="64" t="n">
        <f aca="false">ROUND(AVERAGE(H91:I91),1)</f>
        <v>21.5</v>
      </c>
      <c r="K91" s="59" t="n">
        <v>1</v>
      </c>
      <c r="L91" s="64" t="n">
        <f aca="false">J91+K91</f>
        <v>22.5</v>
      </c>
      <c r="M91" s="65" t="n">
        <f aca="false">IFERROR(INDEX(99_Listas!$C$2:$C$5,MATCH(G91,99_Listas!$B$2:$B$5,0)),0)</f>
        <v>0.11</v>
      </c>
      <c r="N91" s="64" t="n">
        <f aca="false">ROUND(J91*M91,2)</f>
        <v>2.37</v>
      </c>
      <c r="O91" s="64" t="n">
        <f aca="false">ROUND(J91-N91,2)</f>
        <v>19.13</v>
      </c>
      <c r="P91" s="62" t="s">
        <v>1086</v>
      </c>
      <c r="Q91" s="61" t="n">
        <v>18</v>
      </c>
      <c r="R91" s="62" t="s">
        <v>276</v>
      </c>
      <c r="S91" s="63" t="s">
        <v>228</v>
      </c>
      <c r="T91" s="63" t="s">
        <v>203</v>
      </c>
      <c r="U91" s="63"/>
    </row>
    <row r="92" customFormat="false" ht="15" hidden="false" customHeight="true" outlineLevel="0" collapsed="false">
      <c r="A92" s="54" t="n">
        <v>91</v>
      </c>
      <c r="B92" s="55" t="s">
        <v>1150</v>
      </c>
      <c r="C92" s="56" t="s">
        <v>1340</v>
      </c>
      <c r="D92" s="56" t="s">
        <v>1341</v>
      </c>
      <c r="E92" s="57" t="s">
        <v>1170</v>
      </c>
      <c r="F92" s="55" t="s">
        <v>344</v>
      </c>
      <c r="G92" s="55" t="s">
        <v>165</v>
      </c>
      <c r="H92" s="58" t="n">
        <v>15</v>
      </c>
      <c r="I92" s="58" t="n">
        <v>28</v>
      </c>
      <c r="J92" s="58" t="n">
        <f aca="false">ROUND(AVERAGE(H92:I92),1)</f>
        <v>21.5</v>
      </c>
      <c r="K92" s="59" t="n">
        <v>1</v>
      </c>
      <c r="L92" s="58" t="n">
        <f aca="false">J92+K92</f>
        <v>22.5</v>
      </c>
      <c r="M92" s="60" t="n">
        <f aca="false">IFERROR(INDEX(99_Listas!$C$2:$C$5,MATCH(G92,99_Listas!$B$2:$B$5,0)),0)</f>
        <v>0.11</v>
      </c>
      <c r="N92" s="58" t="n">
        <f aca="false">ROUND(J92*M92,2)</f>
        <v>2.37</v>
      </c>
      <c r="O92" s="58" t="n">
        <f aca="false">ROUND(J92-N92,2)</f>
        <v>19.13</v>
      </c>
      <c r="P92" s="55" t="s">
        <v>1086</v>
      </c>
      <c r="Q92" s="54" t="n">
        <v>14</v>
      </c>
      <c r="R92" s="55" t="s">
        <v>276</v>
      </c>
      <c r="S92" s="56" t="s">
        <v>228</v>
      </c>
      <c r="T92" s="56" t="s">
        <v>203</v>
      </c>
      <c r="U92" s="56"/>
    </row>
    <row r="93" customFormat="false" ht="15" hidden="false" customHeight="true" outlineLevel="0" collapsed="false">
      <c r="A93" s="61" t="n">
        <v>92</v>
      </c>
      <c r="B93" s="62" t="s">
        <v>1173</v>
      </c>
      <c r="C93" s="63" t="s">
        <v>1342</v>
      </c>
      <c r="D93" s="63" t="s">
        <v>1175</v>
      </c>
      <c r="E93" s="57" t="s">
        <v>1176</v>
      </c>
      <c r="F93" s="62" t="s">
        <v>482</v>
      </c>
      <c r="G93" s="62" t="s">
        <v>157</v>
      </c>
      <c r="H93" s="64" t="n">
        <v>8</v>
      </c>
      <c r="I93" s="64" t="n">
        <v>16</v>
      </c>
      <c r="J93" s="64" t="n">
        <f aca="false">ROUND(AVERAGE(H93:I93),1)</f>
        <v>12</v>
      </c>
      <c r="K93" s="59" t="n">
        <v>1</v>
      </c>
      <c r="L93" s="64" t="n">
        <f aca="false">J93+K93</f>
        <v>13</v>
      </c>
      <c r="M93" s="65" t="n">
        <f aca="false">IFERROR(INDEX(99_Listas!$C$2:$C$5,MATCH(G93,99_Listas!$B$2:$B$5,0)),0)</f>
        <v>0.07</v>
      </c>
      <c r="N93" s="64" t="n">
        <f aca="false">ROUND(J93*M93,2)</f>
        <v>0.84</v>
      </c>
      <c r="O93" s="64" t="n">
        <f aca="false">ROUND(J93-N93,2)</f>
        <v>11.16</v>
      </c>
      <c r="P93" s="62" t="s">
        <v>1103</v>
      </c>
      <c r="Q93" s="61" t="n">
        <v>12</v>
      </c>
      <c r="R93" s="62" t="s">
        <v>165</v>
      </c>
      <c r="S93" s="63" t="s">
        <v>228</v>
      </c>
      <c r="T93" s="63" t="s">
        <v>196</v>
      </c>
      <c r="U93" s="63"/>
    </row>
    <row r="94" customFormat="false" ht="15" hidden="false" customHeight="true" outlineLevel="0" collapsed="false">
      <c r="A94" s="54" t="n">
        <v>93</v>
      </c>
      <c r="B94" s="55" t="s">
        <v>1173</v>
      </c>
      <c r="C94" s="56" t="s">
        <v>1343</v>
      </c>
      <c r="D94" s="56" t="s">
        <v>1344</v>
      </c>
      <c r="E94" s="57" t="s">
        <v>1186</v>
      </c>
      <c r="F94" s="55" t="s">
        <v>482</v>
      </c>
      <c r="G94" s="55" t="s">
        <v>161</v>
      </c>
      <c r="H94" s="58" t="n">
        <v>10</v>
      </c>
      <c r="I94" s="58" t="n">
        <v>20</v>
      </c>
      <c r="J94" s="58" t="n">
        <f aca="false">ROUND(AVERAGE(H94:I94),1)</f>
        <v>15</v>
      </c>
      <c r="K94" s="59" t="n">
        <v>1</v>
      </c>
      <c r="L94" s="58" t="n">
        <f aca="false">J94+K94</f>
        <v>16</v>
      </c>
      <c r="M94" s="60" t="n">
        <f aca="false">IFERROR(INDEX(99_Listas!$C$2:$C$5,MATCH(G94,99_Listas!$B$2:$B$5,0)),0)</f>
        <v>0.09</v>
      </c>
      <c r="N94" s="58" t="n">
        <f aca="false">ROUND(J94*M94,2)</f>
        <v>1.35</v>
      </c>
      <c r="O94" s="58" t="n">
        <f aca="false">ROUND(J94-N94,2)</f>
        <v>13.65</v>
      </c>
      <c r="P94" s="55" t="s">
        <v>1103</v>
      </c>
      <c r="Q94" s="54" t="n">
        <v>12</v>
      </c>
      <c r="R94" s="55" t="s">
        <v>165</v>
      </c>
      <c r="S94" s="56" t="s">
        <v>228</v>
      </c>
      <c r="T94" s="56" t="s">
        <v>196</v>
      </c>
      <c r="U94" s="56"/>
    </row>
    <row r="95" customFormat="false" ht="15" hidden="false" customHeight="true" outlineLevel="0" collapsed="false">
      <c r="A95" s="61" t="n">
        <v>94</v>
      </c>
      <c r="B95" s="62" t="s">
        <v>1173</v>
      </c>
      <c r="C95" s="63" t="s">
        <v>1345</v>
      </c>
      <c r="D95" s="63" t="s">
        <v>1346</v>
      </c>
      <c r="E95" s="57" t="s">
        <v>1347</v>
      </c>
      <c r="F95" s="62" t="s">
        <v>482</v>
      </c>
      <c r="G95" s="62" t="s">
        <v>157</v>
      </c>
      <c r="H95" s="64" t="n">
        <v>8</v>
      </c>
      <c r="I95" s="64" t="n">
        <v>16</v>
      </c>
      <c r="J95" s="64" t="n">
        <f aca="false">ROUND(AVERAGE(H95:I95),1)</f>
        <v>12</v>
      </c>
      <c r="K95" s="59" t="n">
        <v>1</v>
      </c>
      <c r="L95" s="64" t="n">
        <f aca="false">J95+K95</f>
        <v>13</v>
      </c>
      <c r="M95" s="65" t="n">
        <f aca="false">IFERROR(INDEX(99_Listas!$C$2:$C$5,MATCH(G95,99_Listas!$B$2:$B$5,0)),0)</f>
        <v>0.07</v>
      </c>
      <c r="N95" s="64" t="n">
        <f aca="false">ROUND(J95*M95,2)</f>
        <v>0.84</v>
      </c>
      <c r="O95" s="64" t="n">
        <f aca="false">ROUND(J95-N95,2)</f>
        <v>11.16</v>
      </c>
      <c r="P95" s="62" t="s">
        <v>1103</v>
      </c>
      <c r="Q95" s="61" t="n">
        <v>10</v>
      </c>
      <c r="R95" s="62" t="s">
        <v>165</v>
      </c>
      <c r="S95" s="63" t="s">
        <v>228</v>
      </c>
      <c r="T95" s="63" t="s">
        <v>196</v>
      </c>
      <c r="U95" s="63"/>
    </row>
    <row r="96" customFormat="false" ht="15" hidden="false" customHeight="true" outlineLevel="0" collapsed="false">
      <c r="A96" s="54" t="n">
        <v>95</v>
      </c>
      <c r="B96" s="55" t="s">
        <v>1173</v>
      </c>
      <c r="C96" s="56" t="s">
        <v>1348</v>
      </c>
      <c r="D96" s="56" t="s">
        <v>1349</v>
      </c>
      <c r="E96" s="57" t="s">
        <v>1350</v>
      </c>
      <c r="F96" s="55" t="s">
        <v>482</v>
      </c>
      <c r="G96" s="55" t="s">
        <v>165</v>
      </c>
      <c r="H96" s="58" t="n">
        <v>22</v>
      </c>
      <c r="I96" s="58" t="n">
        <v>40</v>
      </c>
      <c r="J96" s="58" t="n">
        <f aca="false">ROUND(AVERAGE(H96:I96),1)</f>
        <v>31</v>
      </c>
      <c r="K96" s="59" t="n">
        <v>1</v>
      </c>
      <c r="L96" s="58" t="n">
        <f aca="false">J96+K96</f>
        <v>32</v>
      </c>
      <c r="M96" s="60" t="n">
        <f aca="false">IFERROR(INDEX(99_Listas!$C$2:$C$5,MATCH(G96,99_Listas!$B$2:$B$5,0)),0)</f>
        <v>0.11</v>
      </c>
      <c r="N96" s="58" t="n">
        <f aca="false">ROUND(J96*M96,2)</f>
        <v>3.41</v>
      </c>
      <c r="O96" s="58" t="n">
        <f aca="false">ROUND(J96-N96,2)</f>
        <v>27.59</v>
      </c>
      <c r="P96" s="55" t="s">
        <v>1103</v>
      </c>
      <c r="Q96" s="54" t="n">
        <v>25</v>
      </c>
      <c r="R96" s="55" t="s">
        <v>165</v>
      </c>
      <c r="S96" s="56" t="s">
        <v>380</v>
      </c>
      <c r="T96" s="56" t="s">
        <v>196</v>
      </c>
      <c r="U96" s="56"/>
    </row>
    <row r="97" customFormat="false" ht="15" hidden="false" customHeight="true" outlineLevel="0" collapsed="false">
      <c r="A97" s="61" t="n">
        <v>96</v>
      </c>
      <c r="B97" s="62" t="s">
        <v>1173</v>
      </c>
      <c r="C97" s="63" t="s">
        <v>1351</v>
      </c>
      <c r="D97" s="63" t="s">
        <v>1352</v>
      </c>
      <c r="E97" s="57" t="s">
        <v>1262</v>
      </c>
      <c r="F97" s="62" t="s">
        <v>344</v>
      </c>
      <c r="G97" s="62" t="s">
        <v>169</v>
      </c>
      <c r="H97" s="64" t="n">
        <v>25</v>
      </c>
      <c r="I97" s="64" t="n">
        <v>45</v>
      </c>
      <c r="J97" s="64" t="n">
        <f aca="false">ROUND(AVERAGE(H97:I97),1)</f>
        <v>35</v>
      </c>
      <c r="K97" s="59" t="n">
        <v>1</v>
      </c>
      <c r="L97" s="64" t="n">
        <f aca="false">J97+K97</f>
        <v>36</v>
      </c>
      <c r="M97" s="65" t="n">
        <f aca="false">IFERROR(INDEX(99_Listas!$C$2:$C$5,MATCH(G97,99_Listas!$B$2:$B$5,0)),0)</f>
        <v>0.13</v>
      </c>
      <c r="N97" s="64" t="n">
        <f aca="false">ROUND(J97*M97,2)</f>
        <v>4.55</v>
      </c>
      <c r="O97" s="64" t="n">
        <f aca="false">ROUND(J97-N97,2)</f>
        <v>30.45</v>
      </c>
      <c r="P97" s="62" t="s">
        <v>1103</v>
      </c>
      <c r="Q97" s="61" t="n">
        <v>22</v>
      </c>
      <c r="R97" s="62" t="s">
        <v>165</v>
      </c>
      <c r="S97" s="63" t="s">
        <v>228</v>
      </c>
      <c r="T97" s="63" t="s">
        <v>1353</v>
      </c>
      <c r="U97" s="63"/>
    </row>
    <row r="98" customFormat="false" ht="15" hidden="false" customHeight="true" outlineLevel="0" collapsed="false">
      <c r="A98" s="54" t="n">
        <v>97</v>
      </c>
      <c r="B98" s="55" t="s">
        <v>1201</v>
      </c>
      <c r="C98" s="56" t="s">
        <v>1354</v>
      </c>
      <c r="D98" s="56" t="s">
        <v>950</v>
      </c>
      <c r="E98" s="57" t="s">
        <v>951</v>
      </c>
      <c r="F98" s="55" t="s">
        <v>226</v>
      </c>
      <c r="G98" s="55" t="s">
        <v>157</v>
      </c>
      <c r="H98" s="58" t="n">
        <v>8</v>
      </c>
      <c r="I98" s="58" t="n">
        <v>14</v>
      </c>
      <c r="J98" s="58" t="n">
        <f aca="false">ROUND(AVERAGE(H98:I98),1)</f>
        <v>11</v>
      </c>
      <c r="K98" s="59" t="n">
        <v>1</v>
      </c>
      <c r="L98" s="58" t="n">
        <f aca="false">J98+K98</f>
        <v>12</v>
      </c>
      <c r="M98" s="60" t="n">
        <f aca="false">IFERROR(INDEX(99_Listas!$C$2:$C$5,MATCH(G98,99_Listas!$B$2:$B$5,0)),0)</f>
        <v>0.07</v>
      </c>
      <c r="N98" s="58" t="n">
        <f aca="false">ROUND(J98*M98,2)</f>
        <v>0.77</v>
      </c>
      <c r="O98" s="58" t="n">
        <f aca="false">ROUND(J98-N98,2)</f>
        <v>10.23</v>
      </c>
      <c r="P98" s="55" t="s">
        <v>1204</v>
      </c>
      <c r="Q98" s="54" t="n">
        <v>10</v>
      </c>
      <c r="R98" s="55" t="s">
        <v>165</v>
      </c>
      <c r="S98" s="56" t="s">
        <v>380</v>
      </c>
      <c r="T98" s="56" t="s">
        <v>186</v>
      </c>
      <c r="U98" s="56" t="s">
        <v>1355</v>
      </c>
    </row>
    <row r="99" customFormat="false" ht="23.25" hidden="false" customHeight="true" outlineLevel="0" collapsed="false">
      <c r="A99" s="61" t="n">
        <v>98</v>
      </c>
      <c r="B99" s="62" t="s">
        <v>1201</v>
      </c>
      <c r="C99" s="63" t="s">
        <v>1356</v>
      </c>
      <c r="D99" s="63" t="s">
        <v>1357</v>
      </c>
      <c r="E99" s="57" t="s">
        <v>225</v>
      </c>
      <c r="F99" s="62" t="s">
        <v>1358</v>
      </c>
      <c r="G99" s="62" t="s">
        <v>165</v>
      </c>
      <c r="H99" s="64" t="n">
        <v>35</v>
      </c>
      <c r="I99" s="64" t="n">
        <v>60</v>
      </c>
      <c r="J99" s="64" t="n">
        <f aca="false">ROUND(AVERAGE(H99:I99),1)</f>
        <v>47.5</v>
      </c>
      <c r="K99" s="59" t="n">
        <v>1</v>
      </c>
      <c r="L99" s="64" t="n">
        <f aca="false">J99+K99</f>
        <v>48.5</v>
      </c>
      <c r="M99" s="65" t="n">
        <f aca="false">IFERROR(INDEX(99_Listas!$C$2:$C$5,MATCH(G99,99_Listas!$B$2:$B$5,0)),0)</f>
        <v>0.11</v>
      </c>
      <c r="N99" s="64" t="n">
        <f aca="false">ROUND(J99*M99,2)</f>
        <v>5.23</v>
      </c>
      <c r="O99" s="64" t="n">
        <f aca="false">ROUND(J99-N99,2)</f>
        <v>42.27</v>
      </c>
      <c r="P99" s="62" t="s">
        <v>1204</v>
      </c>
      <c r="Q99" s="61" t="n">
        <v>20</v>
      </c>
      <c r="R99" s="62" t="s">
        <v>165</v>
      </c>
      <c r="S99" s="63" t="s">
        <v>380</v>
      </c>
      <c r="T99" s="63" t="s">
        <v>186</v>
      </c>
      <c r="U99" s="63"/>
    </row>
    <row r="100" customFormat="false" ht="23.25" hidden="false" customHeight="true" outlineLevel="0" collapsed="false">
      <c r="A100" s="54" t="n">
        <v>99</v>
      </c>
      <c r="B100" s="55" t="s">
        <v>1201</v>
      </c>
      <c r="C100" s="56" t="s">
        <v>1359</v>
      </c>
      <c r="D100" s="56" t="s">
        <v>1360</v>
      </c>
      <c r="E100" s="57" t="s">
        <v>246</v>
      </c>
      <c r="F100" s="55" t="s">
        <v>226</v>
      </c>
      <c r="G100" s="55" t="s">
        <v>157</v>
      </c>
      <c r="H100" s="58" t="n">
        <v>9</v>
      </c>
      <c r="I100" s="58" t="n">
        <v>16</v>
      </c>
      <c r="J100" s="58" t="n">
        <f aca="false">ROUND(AVERAGE(H100:I100),1)</f>
        <v>12.5</v>
      </c>
      <c r="K100" s="59" t="n">
        <v>1</v>
      </c>
      <c r="L100" s="58" t="n">
        <f aca="false">J100+K100</f>
        <v>13.5</v>
      </c>
      <c r="M100" s="60" t="n">
        <f aca="false">IFERROR(INDEX(99_Listas!$C$2:$C$5,MATCH(G100,99_Listas!$B$2:$B$5,0)),0)</f>
        <v>0.07</v>
      </c>
      <c r="N100" s="58" t="n">
        <f aca="false">ROUND(J100*M100,2)</f>
        <v>0.88</v>
      </c>
      <c r="O100" s="58" t="n">
        <f aca="false">ROUND(J100-N100,2)</f>
        <v>11.62</v>
      </c>
      <c r="P100" s="55" t="s">
        <v>1204</v>
      </c>
      <c r="Q100" s="54" t="n">
        <v>12</v>
      </c>
      <c r="R100" s="55" t="s">
        <v>165</v>
      </c>
      <c r="S100" s="56" t="s">
        <v>248</v>
      </c>
      <c r="T100" s="56" t="s">
        <v>186</v>
      </c>
      <c r="U100" s="56"/>
    </row>
    <row r="101" customFormat="false" ht="15" hidden="false" customHeight="true" outlineLevel="0" collapsed="false">
      <c r="A101" s="61" t="n">
        <v>100</v>
      </c>
      <c r="B101" s="62" t="s">
        <v>1208</v>
      </c>
      <c r="C101" s="63" t="s">
        <v>1361</v>
      </c>
      <c r="D101" s="63" t="s">
        <v>1362</v>
      </c>
      <c r="E101" s="57" t="s">
        <v>814</v>
      </c>
      <c r="F101" s="62" t="s">
        <v>226</v>
      </c>
      <c r="G101" s="62" t="s">
        <v>157</v>
      </c>
      <c r="H101" s="64" t="n">
        <v>7</v>
      </c>
      <c r="I101" s="64" t="n">
        <v>13</v>
      </c>
      <c r="J101" s="64" t="n">
        <f aca="false">ROUND(AVERAGE(H101:I101),1)</f>
        <v>10</v>
      </c>
      <c r="K101" s="59" t="n">
        <v>1</v>
      </c>
      <c r="L101" s="64" t="n">
        <f aca="false">J101+K101</f>
        <v>11</v>
      </c>
      <c r="M101" s="65" t="n">
        <f aca="false">IFERROR(INDEX(99_Listas!$C$2:$C$5,MATCH(G101,99_Listas!$B$2:$B$5,0)),0)</f>
        <v>0.07</v>
      </c>
      <c r="N101" s="64" t="n">
        <f aca="false">ROUND(J101*M101,2)</f>
        <v>0.7</v>
      </c>
      <c r="O101" s="64" t="n">
        <f aca="false">ROUND(J101-N101,2)</f>
        <v>9.3</v>
      </c>
      <c r="P101" s="62" t="s">
        <v>1212</v>
      </c>
      <c r="Q101" s="61" t="n">
        <v>10</v>
      </c>
      <c r="R101" s="62" t="s">
        <v>165</v>
      </c>
      <c r="S101" s="63" t="s">
        <v>228</v>
      </c>
      <c r="T101" s="63" t="s">
        <v>339</v>
      </c>
      <c r="U101" s="63"/>
    </row>
    <row r="102" customFormat="false" ht="15" hidden="false" customHeight="true" outlineLevel="0" collapsed="false">
      <c r="A102" s="54" t="n">
        <v>101</v>
      </c>
      <c r="B102" s="55" t="s">
        <v>1208</v>
      </c>
      <c r="C102" s="56" t="s">
        <v>1363</v>
      </c>
      <c r="D102" s="56" t="s">
        <v>1364</v>
      </c>
      <c r="E102" s="57" t="s">
        <v>1365</v>
      </c>
      <c r="F102" s="55" t="s">
        <v>494</v>
      </c>
      <c r="G102" s="55" t="s">
        <v>157</v>
      </c>
      <c r="H102" s="58" t="n">
        <v>4</v>
      </c>
      <c r="I102" s="58" t="n">
        <v>9</v>
      </c>
      <c r="J102" s="58" t="n">
        <f aca="false">ROUND(AVERAGE(H102:I102),1)</f>
        <v>6.5</v>
      </c>
      <c r="K102" s="59" t="n">
        <v>1</v>
      </c>
      <c r="L102" s="58" t="n">
        <f aca="false">J102+K102</f>
        <v>7.5</v>
      </c>
      <c r="M102" s="60" t="n">
        <f aca="false">IFERROR(INDEX(99_Listas!$C$2:$C$5,MATCH(G102,99_Listas!$B$2:$B$5,0)),0)</f>
        <v>0.07</v>
      </c>
      <c r="N102" s="58" t="n">
        <f aca="false">ROUND(J102*M102,2)</f>
        <v>0.46</v>
      </c>
      <c r="O102" s="58" t="n">
        <f aca="false">ROUND(J102-N102,2)</f>
        <v>6.04</v>
      </c>
      <c r="P102" s="55" t="s">
        <v>1212</v>
      </c>
      <c r="Q102" s="54" t="n">
        <v>5</v>
      </c>
      <c r="R102" s="55" t="s">
        <v>276</v>
      </c>
      <c r="S102" s="56" t="s">
        <v>248</v>
      </c>
      <c r="T102" s="56" t="s">
        <v>1366</v>
      </c>
      <c r="U102" s="56"/>
    </row>
    <row r="103" customFormat="false" ht="15" hidden="false" customHeight="true" outlineLevel="0" collapsed="false">
      <c r="A103" s="61" t="n">
        <v>102</v>
      </c>
      <c r="B103" s="62" t="s">
        <v>1208</v>
      </c>
      <c r="C103" s="63" t="s">
        <v>1367</v>
      </c>
      <c r="D103" s="63" t="s">
        <v>1368</v>
      </c>
      <c r="E103" s="57" t="s">
        <v>1369</v>
      </c>
      <c r="F103" s="62" t="s">
        <v>344</v>
      </c>
      <c r="G103" s="62" t="s">
        <v>161</v>
      </c>
      <c r="H103" s="64" t="n">
        <v>12</v>
      </c>
      <c r="I103" s="64" t="n">
        <v>22</v>
      </c>
      <c r="J103" s="64" t="n">
        <f aca="false">ROUND(AVERAGE(H103:I103),1)</f>
        <v>17</v>
      </c>
      <c r="K103" s="59" t="n">
        <v>1</v>
      </c>
      <c r="L103" s="64" t="n">
        <f aca="false">J103+K103</f>
        <v>18</v>
      </c>
      <c r="M103" s="65" t="n">
        <f aca="false">IFERROR(INDEX(99_Listas!$C$2:$C$5,MATCH(G103,99_Listas!$B$2:$B$5,0)),0)</f>
        <v>0.09</v>
      </c>
      <c r="N103" s="64" t="n">
        <f aca="false">ROUND(J103*M103,2)</f>
        <v>1.53</v>
      </c>
      <c r="O103" s="64" t="n">
        <f aca="false">ROUND(J103-N103,2)</f>
        <v>15.47</v>
      </c>
      <c r="P103" s="62" t="s">
        <v>1212</v>
      </c>
      <c r="Q103" s="61" t="n">
        <v>10</v>
      </c>
      <c r="R103" s="62" t="s">
        <v>276</v>
      </c>
      <c r="S103" s="63" t="s">
        <v>228</v>
      </c>
      <c r="T103" s="63" t="s">
        <v>203</v>
      </c>
      <c r="U103" s="63"/>
    </row>
    <row r="104" customFormat="false" ht="23.25" hidden="false" customHeight="true" outlineLevel="0" collapsed="false">
      <c r="A104" s="54" t="n">
        <v>103</v>
      </c>
      <c r="B104" s="55" t="s">
        <v>1208</v>
      </c>
      <c r="C104" s="56" t="s">
        <v>1370</v>
      </c>
      <c r="D104" s="56" t="s">
        <v>1371</v>
      </c>
      <c r="E104" s="57" t="s">
        <v>614</v>
      </c>
      <c r="F104" s="55" t="s">
        <v>226</v>
      </c>
      <c r="G104" s="55" t="s">
        <v>157</v>
      </c>
      <c r="H104" s="58" t="n">
        <v>9</v>
      </c>
      <c r="I104" s="58" t="n">
        <v>15</v>
      </c>
      <c r="J104" s="58" t="n">
        <f aca="false">ROUND(AVERAGE(H104:I104),1)</f>
        <v>12</v>
      </c>
      <c r="K104" s="59" t="n">
        <v>1</v>
      </c>
      <c r="L104" s="58" t="n">
        <f aca="false">J104+K104</f>
        <v>13</v>
      </c>
      <c r="M104" s="60" t="n">
        <f aca="false">IFERROR(INDEX(99_Listas!$C$2:$C$5,MATCH(G104,99_Listas!$B$2:$B$5,0)),0)</f>
        <v>0.07</v>
      </c>
      <c r="N104" s="58" t="n">
        <f aca="false">ROUND(J104*M104,2)</f>
        <v>0.84</v>
      </c>
      <c r="O104" s="58" t="n">
        <f aca="false">ROUND(J104-N104,2)</f>
        <v>11.16</v>
      </c>
      <c r="P104" s="55" t="s">
        <v>1086</v>
      </c>
      <c r="Q104" s="54" t="n">
        <v>8</v>
      </c>
      <c r="R104" s="55" t="s">
        <v>165</v>
      </c>
      <c r="S104" s="56" t="s">
        <v>228</v>
      </c>
      <c r="T104" s="56" t="s">
        <v>174</v>
      </c>
      <c r="U104" s="56"/>
    </row>
    <row r="105" customFormat="false" ht="15" hidden="false" customHeight="true" outlineLevel="0" collapsed="false">
      <c r="A105" s="61" t="n">
        <v>104</v>
      </c>
      <c r="B105" s="62" t="s">
        <v>1208</v>
      </c>
      <c r="C105" s="63" t="s">
        <v>1372</v>
      </c>
      <c r="D105" s="63" t="s">
        <v>1373</v>
      </c>
      <c r="E105" s="57" t="s">
        <v>312</v>
      </c>
      <c r="F105" s="62" t="s">
        <v>344</v>
      </c>
      <c r="G105" s="62" t="s">
        <v>157</v>
      </c>
      <c r="H105" s="64" t="n">
        <v>8</v>
      </c>
      <c r="I105" s="64" t="n">
        <v>15</v>
      </c>
      <c r="J105" s="64" t="n">
        <f aca="false">ROUND(AVERAGE(H105:I105),1)</f>
        <v>11.5</v>
      </c>
      <c r="K105" s="59" t="n">
        <v>1</v>
      </c>
      <c r="L105" s="64" t="n">
        <f aca="false">J105+K105</f>
        <v>12.5</v>
      </c>
      <c r="M105" s="65" t="n">
        <f aca="false">IFERROR(INDEX(99_Listas!$C$2:$C$5,MATCH(G105,99_Listas!$B$2:$B$5,0)),0)</f>
        <v>0.07</v>
      </c>
      <c r="N105" s="64" t="n">
        <f aca="false">ROUND(J105*M105,2)</f>
        <v>0.81</v>
      </c>
      <c r="O105" s="64" t="n">
        <f aca="false">ROUND(J105-N105,2)</f>
        <v>10.69</v>
      </c>
      <c r="P105" s="62" t="s">
        <v>1212</v>
      </c>
      <c r="Q105" s="61" t="n">
        <v>8</v>
      </c>
      <c r="R105" s="62" t="s">
        <v>276</v>
      </c>
      <c r="S105" s="63" t="s">
        <v>228</v>
      </c>
      <c r="T105" s="63" t="s">
        <v>182</v>
      </c>
      <c r="U105" s="63"/>
    </row>
    <row r="106" customFormat="false" ht="23.25" hidden="false" customHeight="true" outlineLevel="0" collapsed="false">
      <c r="A106" s="54" t="n">
        <v>105</v>
      </c>
      <c r="B106" s="55" t="s">
        <v>1221</v>
      </c>
      <c r="C106" s="56" t="s">
        <v>1374</v>
      </c>
      <c r="D106" s="56" t="s">
        <v>1375</v>
      </c>
      <c r="E106" s="57" t="s">
        <v>1224</v>
      </c>
      <c r="F106" s="55" t="s">
        <v>482</v>
      </c>
      <c r="G106" s="55" t="s">
        <v>165</v>
      </c>
      <c r="H106" s="58" t="n">
        <v>20</v>
      </c>
      <c r="I106" s="58" t="n">
        <v>38</v>
      </c>
      <c r="J106" s="58" t="n">
        <f aca="false">ROUND(AVERAGE(H106:I106),1)</f>
        <v>29</v>
      </c>
      <c r="K106" s="59" t="n">
        <v>1</v>
      </c>
      <c r="L106" s="58" t="n">
        <f aca="false">J106+K106</f>
        <v>30</v>
      </c>
      <c r="M106" s="60" t="n">
        <f aca="false">IFERROR(INDEX(99_Listas!$C$2:$C$5,MATCH(G106,99_Listas!$B$2:$B$5,0)),0)</f>
        <v>0.11</v>
      </c>
      <c r="N106" s="58" t="n">
        <f aca="false">ROUND(J106*M106,2)</f>
        <v>3.19</v>
      </c>
      <c r="O106" s="58" t="n">
        <f aca="false">ROUND(J106-N106,2)</f>
        <v>25.81</v>
      </c>
      <c r="P106" s="55" t="s">
        <v>1086</v>
      </c>
      <c r="Q106" s="54" t="n">
        <v>16</v>
      </c>
      <c r="R106" s="55" t="s">
        <v>165</v>
      </c>
      <c r="S106" s="56" t="s">
        <v>228</v>
      </c>
      <c r="T106" s="56" t="s">
        <v>1225</v>
      </c>
      <c r="U106" s="56"/>
    </row>
    <row r="107" customFormat="false" ht="23.25" hidden="false" customHeight="true" outlineLevel="0" collapsed="false">
      <c r="A107" s="61" t="n">
        <v>106</v>
      </c>
      <c r="B107" s="62" t="s">
        <v>1221</v>
      </c>
      <c r="C107" s="63" t="s">
        <v>1376</v>
      </c>
      <c r="D107" s="63" t="s">
        <v>1377</v>
      </c>
      <c r="E107" s="57" t="s">
        <v>1224</v>
      </c>
      <c r="F107" s="62" t="s">
        <v>482</v>
      </c>
      <c r="G107" s="62" t="s">
        <v>161</v>
      </c>
      <c r="H107" s="64" t="n">
        <v>15</v>
      </c>
      <c r="I107" s="64" t="n">
        <v>30</v>
      </c>
      <c r="J107" s="64" t="n">
        <f aca="false">ROUND(AVERAGE(H107:I107),1)</f>
        <v>22.5</v>
      </c>
      <c r="K107" s="59" t="n">
        <v>1</v>
      </c>
      <c r="L107" s="64" t="n">
        <f aca="false">J107+K107</f>
        <v>23.5</v>
      </c>
      <c r="M107" s="65" t="n">
        <f aca="false">IFERROR(INDEX(99_Listas!$C$2:$C$5,MATCH(G107,99_Listas!$B$2:$B$5,0)),0)</f>
        <v>0.09</v>
      </c>
      <c r="N107" s="64" t="n">
        <f aca="false">ROUND(J107*M107,2)</f>
        <v>2.03</v>
      </c>
      <c r="O107" s="64" t="n">
        <f aca="false">ROUND(J107-N107,2)</f>
        <v>20.47</v>
      </c>
      <c r="P107" s="62" t="s">
        <v>1086</v>
      </c>
      <c r="Q107" s="61" t="n">
        <v>14</v>
      </c>
      <c r="R107" s="62" t="s">
        <v>165</v>
      </c>
      <c r="S107" s="63" t="s">
        <v>228</v>
      </c>
      <c r="T107" s="63" t="s">
        <v>1225</v>
      </c>
      <c r="U107" s="63"/>
    </row>
    <row r="108" customFormat="false" ht="15" hidden="false" customHeight="true" outlineLevel="0" collapsed="false">
      <c r="A108" s="54" t="n">
        <v>107</v>
      </c>
      <c r="B108" s="55" t="s">
        <v>1221</v>
      </c>
      <c r="C108" s="56" t="s">
        <v>1378</v>
      </c>
      <c r="D108" s="56" t="s">
        <v>1379</v>
      </c>
      <c r="E108" s="57" t="s">
        <v>1380</v>
      </c>
      <c r="F108" s="55" t="s">
        <v>482</v>
      </c>
      <c r="G108" s="55" t="s">
        <v>161</v>
      </c>
      <c r="H108" s="58" t="n">
        <v>12</v>
      </c>
      <c r="I108" s="58" t="n">
        <v>24</v>
      </c>
      <c r="J108" s="58" t="n">
        <f aca="false">ROUND(AVERAGE(H108:I108),1)</f>
        <v>18</v>
      </c>
      <c r="K108" s="59" t="n">
        <v>1</v>
      </c>
      <c r="L108" s="58" t="n">
        <f aca="false">J108+K108</f>
        <v>19</v>
      </c>
      <c r="M108" s="60" t="n">
        <f aca="false">IFERROR(INDEX(99_Listas!$C$2:$C$5,MATCH(G108,99_Listas!$B$2:$B$5,0)),0)</f>
        <v>0.09</v>
      </c>
      <c r="N108" s="58" t="n">
        <f aca="false">ROUND(J108*M108,2)</f>
        <v>1.62</v>
      </c>
      <c r="O108" s="58" t="n">
        <f aca="false">ROUND(J108-N108,2)</f>
        <v>16.38</v>
      </c>
      <c r="P108" s="55" t="s">
        <v>1086</v>
      </c>
      <c r="Q108" s="54" t="n">
        <v>12</v>
      </c>
      <c r="R108" s="55" t="s">
        <v>165</v>
      </c>
      <c r="S108" s="56" t="s">
        <v>228</v>
      </c>
      <c r="T108" s="56" t="s">
        <v>1225</v>
      </c>
      <c r="U108" s="56"/>
    </row>
    <row r="109" customFormat="false" ht="15" hidden="false" customHeight="true" outlineLevel="0" collapsed="false">
      <c r="A109" s="61" t="n">
        <v>108</v>
      </c>
      <c r="B109" s="62" t="s">
        <v>1221</v>
      </c>
      <c r="C109" s="63" t="s">
        <v>1381</v>
      </c>
      <c r="D109" s="63" t="s">
        <v>1382</v>
      </c>
      <c r="E109" s="57" t="s">
        <v>1235</v>
      </c>
      <c r="F109" s="62" t="s">
        <v>902</v>
      </c>
      <c r="G109" s="62" t="s">
        <v>169</v>
      </c>
      <c r="H109" s="64" t="n">
        <v>35</v>
      </c>
      <c r="I109" s="64" t="n">
        <v>75</v>
      </c>
      <c r="J109" s="64" t="n">
        <f aca="false">ROUND(AVERAGE(H109:I109),1)</f>
        <v>55</v>
      </c>
      <c r="K109" s="59" t="n">
        <v>1</v>
      </c>
      <c r="L109" s="64" t="n">
        <f aca="false">J109+K109</f>
        <v>56</v>
      </c>
      <c r="M109" s="65" t="n">
        <f aca="false">IFERROR(INDEX(99_Listas!$C$2:$C$5,MATCH(G109,99_Listas!$B$2:$B$5,0)),0)</f>
        <v>0.13</v>
      </c>
      <c r="N109" s="64" t="n">
        <f aca="false">ROUND(J109*M109,2)</f>
        <v>7.15</v>
      </c>
      <c r="O109" s="64" t="n">
        <f aca="false">ROUND(J109-N109,2)</f>
        <v>47.85</v>
      </c>
      <c r="P109" s="62" t="s">
        <v>1195</v>
      </c>
      <c r="Q109" s="61" t="n">
        <v>12</v>
      </c>
      <c r="R109" s="62" t="s">
        <v>276</v>
      </c>
      <c r="S109" s="63" t="s">
        <v>228</v>
      </c>
      <c r="T109" s="63" t="s">
        <v>1236</v>
      </c>
      <c r="U109" s="63" t="s">
        <v>1383</v>
      </c>
    </row>
    <row r="110" customFormat="false" ht="23.25" hidden="false" customHeight="true" outlineLevel="0" collapsed="false">
      <c r="A110" s="54" t="n">
        <v>109</v>
      </c>
      <c r="B110" s="55" t="s">
        <v>1221</v>
      </c>
      <c r="C110" s="56" t="s">
        <v>1384</v>
      </c>
      <c r="D110" s="56" t="s">
        <v>1385</v>
      </c>
      <c r="E110" s="57" t="s">
        <v>1109</v>
      </c>
      <c r="F110" s="55" t="s">
        <v>1016</v>
      </c>
      <c r="G110" s="55" t="s">
        <v>165</v>
      </c>
      <c r="H110" s="58" t="n">
        <v>25</v>
      </c>
      <c r="I110" s="58" t="n">
        <v>45</v>
      </c>
      <c r="J110" s="58" t="n">
        <f aca="false">ROUND(AVERAGE(H110:I110),1)</f>
        <v>35</v>
      </c>
      <c r="K110" s="59" t="n">
        <v>1</v>
      </c>
      <c r="L110" s="58" t="n">
        <f aca="false">J110+K110</f>
        <v>36</v>
      </c>
      <c r="M110" s="60" t="n">
        <f aca="false">IFERROR(INDEX(99_Listas!$C$2:$C$5,MATCH(G110,99_Listas!$B$2:$B$5,0)),0)</f>
        <v>0.11</v>
      </c>
      <c r="N110" s="58" t="n">
        <f aca="false">ROUND(J110*M110,2)</f>
        <v>3.85</v>
      </c>
      <c r="O110" s="58" t="n">
        <f aca="false">ROUND(J110-N110,2)</f>
        <v>31.15</v>
      </c>
      <c r="P110" s="55" t="s">
        <v>1195</v>
      </c>
      <c r="Q110" s="54" t="n">
        <v>18</v>
      </c>
      <c r="R110" s="55" t="s">
        <v>165</v>
      </c>
      <c r="S110" s="56" t="s">
        <v>380</v>
      </c>
      <c r="T110" s="56" t="s">
        <v>1236</v>
      </c>
      <c r="U110" s="56" t="s">
        <v>1386</v>
      </c>
    </row>
    <row r="111" customFormat="false" ht="15" hidden="false" customHeight="true" outlineLevel="0" collapsed="false">
      <c r="A111" s="61" t="n">
        <v>110</v>
      </c>
      <c r="B111" s="62" t="s">
        <v>1221</v>
      </c>
      <c r="C111" s="63" t="s">
        <v>1387</v>
      </c>
      <c r="D111" s="63" t="s">
        <v>1388</v>
      </c>
      <c r="E111" s="57" t="s">
        <v>1235</v>
      </c>
      <c r="F111" s="62" t="s">
        <v>902</v>
      </c>
      <c r="G111" s="62" t="s">
        <v>165</v>
      </c>
      <c r="H111" s="64" t="n">
        <v>25</v>
      </c>
      <c r="I111" s="64" t="n">
        <v>45</v>
      </c>
      <c r="J111" s="64" t="n">
        <f aca="false">ROUND(AVERAGE(H111:I111),1)</f>
        <v>35</v>
      </c>
      <c r="K111" s="59" t="n">
        <v>1</v>
      </c>
      <c r="L111" s="64" t="n">
        <f aca="false">J111+K111</f>
        <v>36</v>
      </c>
      <c r="M111" s="65" t="n">
        <f aca="false">IFERROR(INDEX(99_Listas!$C$2:$C$5,MATCH(G111,99_Listas!$B$2:$B$5,0)),0)</f>
        <v>0.11</v>
      </c>
      <c r="N111" s="64" t="n">
        <f aca="false">ROUND(J111*M111,2)</f>
        <v>3.85</v>
      </c>
      <c r="O111" s="64" t="n">
        <f aca="false">ROUND(J111-N111,2)</f>
        <v>31.15</v>
      </c>
      <c r="P111" s="62" t="s">
        <v>1086</v>
      </c>
      <c r="Q111" s="61" t="n">
        <v>20</v>
      </c>
      <c r="R111" s="62" t="s">
        <v>165</v>
      </c>
      <c r="S111" s="63" t="s">
        <v>228</v>
      </c>
      <c r="T111" s="63" t="s">
        <v>203</v>
      </c>
      <c r="U111" s="63"/>
    </row>
    <row r="112" customFormat="false" ht="15" hidden="false" customHeight="true" outlineLevel="0" collapsed="false">
      <c r="A112" s="54" t="n">
        <v>111</v>
      </c>
      <c r="B112" s="55" t="s">
        <v>1221</v>
      </c>
      <c r="C112" s="56" t="s">
        <v>1389</v>
      </c>
      <c r="D112" s="56" t="s">
        <v>1390</v>
      </c>
      <c r="E112" s="57" t="s">
        <v>1142</v>
      </c>
      <c r="F112" s="55" t="s">
        <v>294</v>
      </c>
      <c r="G112" s="55" t="s">
        <v>157</v>
      </c>
      <c r="H112" s="58" t="n">
        <v>9</v>
      </c>
      <c r="I112" s="58" t="n">
        <v>16</v>
      </c>
      <c r="J112" s="58" t="n">
        <f aca="false">ROUND(AVERAGE(H112:I112),1)</f>
        <v>12.5</v>
      </c>
      <c r="K112" s="59" t="n">
        <v>1</v>
      </c>
      <c r="L112" s="58" t="n">
        <f aca="false">J112+K112</f>
        <v>13.5</v>
      </c>
      <c r="M112" s="60" t="n">
        <f aca="false">IFERROR(INDEX(99_Listas!$C$2:$C$5,MATCH(G112,99_Listas!$B$2:$B$5,0)),0)</f>
        <v>0.07</v>
      </c>
      <c r="N112" s="58" t="n">
        <f aca="false">ROUND(J112*M112,2)</f>
        <v>0.88</v>
      </c>
      <c r="O112" s="58" t="n">
        <f aca="false">ROUND(J112-N112,2)</f>
        <v>11.62</v>
      </c>
      <c r="P112" s="55" t="s">
        <v>1103</v>
      </c>
      <c r="Q112" s="54" t="n">
        <v>10</v>
      </c>
      <c r="R112" s="55" t="s">
        <v>276</v>
      </c>
      <c r="S112" s="56" t="s">
        <v>228</v>
      </c>
      <c r="T112" s="56" t="s">
        <v>1192</v>
      </c>
      <c r="U112" s="56"/>
    </row>
    <row r="113" customFormat="false" ht="15" hidden="false" customHeight="true" outlineLevel="0" collapsed="false">
      <c r="A113" s="61" t="n">
        <v>112</v>
      </c>
      <c r="B113" s="62" t="s">
        <v>1221</v>
      </c>
      <c r="C113" s="63" t="s">
        <v>1391</v>
      </c>
      <c r="D113" s="63" t="s">
        <v>1392</v>
      </c>
      <c r="E113" s="57" t="s">
        <v>1231</v>
      </c>
      <c r="F113" s="62" t="s">
        <v>482</v>
      </c>
      <c r="G113" s="62" t="s">
        <v>157</v>
      </c>
      <c r="H113" s="64" t="n">
        <v>8</v>
      </c>
      <c r="I113" s="64" t="n">
        <v>16</v>
      </c>
      <c r="J113" s="64" t="n">
        <f aca="false">ROUND(AVERAGE(H113:I113),1)</f>
        <v>12</v>
      </c>
      <c r="K113" s="59" t="n">
        <v>1</v>
      </c>
      <c r="L113" s="64" t="n">
        <f aca="false">J113+K113</f>
        <v>13</v>
      </c>
      <c r="M113" s="65" t="n">
        <f aca="false">IFERROR(INDEX(99_Listas!$C$2:$C$5,MATCH(G113,99_Listas!$B$2:$B$5,0)),0)</f>
        <v>0.07</v>
      </c>
      <c r="N113" s="64" t="n">
        <f aca="false">ROUND(J113*M113,2)</f>
        <v>0.84</v>
      </c>
      <c r="O113" s="64" t="n">
        <f aca="false">ROUND(J113-N113,2)</f>
        <v>11.16</v>
      </c>
      <c r="P113" s="62" t="s">
        <v>1103</v>
      </c>
      <c r="Q113" s="61" t="n">
        <v>10</v>
      </c>
      <c r="R113" s="62" t="s">
        <v>276</v>
      </c>
      <c r="S113" s="63" t="s">
        <v>228</v>
      </c>
      <c r="T113" s="63" t="s">
        <v>1393</v>
      </c>
      <c r="U113" s="63"/>
    </row>
    <row r="115" customFormat="false" ht="15" hidden="false" customHeight="true" outlineLevel="0" collapsed="false">
      <c r="B115" s="8" t="s">
        <v>1394</v>
      </c>
    </row>
    <row r="116" customFormat="false" ht="15" hidden="false" customHeight="true" outlineLevel="0" collapsed="false">
      <c r="B116" s="8" t="s">
        <v>561</v>
      </c>
    </row>
  </sheetData>
  <autoFilter ref="A1:U113"/>
  <dataValidations count="2">
    <dataValidation allowBlank="true" errorStyle="stop" operator="between" showDropDown="false" showErrorMessage="false" showInputMessage="false" sqref="G2:G113" type="list">
      <formula1>99_Listas!$B$2:$B$5</formula1>
      <formula2>0</formula2>
    </dataValidation>
    <dataValidation allowBlank="true" errorStyle="stop" operator="between" showDropDown="false" showErrorMessage="false" showInputMessage="false" sqref="R2:R113" type="list">
      <formula1>"Alto,Medio,Bajo"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6" min="15" style="1" width="14"/>
    <col collapsed="false" customWidth="true" hidden="false" outlineLevel="0" max="17" min="17" style="1" width="9"/>
    <col collapsed="false" customWidth="true" hidden="false" outlineLevel="0" max="18" min="18" style="1" width="13"/>
    <col collapsed="false" customWidth="true" hidden="false" outlineLevel="0" max="19" min="19" style="1" width="22"/>
    <col collapsed="false" customWidth="true" hidden="false" outlineLevel="0" max="20" min="20" style="1" width="24"/>
    <col collapsed="false" customWidth="true" hidden="false" outlineLevel="0" max="21" min="21" style="1" width="46"/>
  </cols>
  <sheetData>
    <row r="1" customFormat="false" ht="33.75" hidden="false" customHeight="true" outlineLevel="0" collapsed="false">
      <c r="A1" s="13" t="s">
        <v>206</v>
      </c>
      <c r="B1" s="13" t="s">
        <v>70</v>
      </c>
      <c r="C1" s="13" t="s">
        <v>207</v>
      </c>
      <c r="D1" s="13" t="s">
        <v>208</v>
      </c>
      <c r="E1" s="13" t="s">
        <v>209</v>
      </c>
      <c r="F1" s="13" t="s">
        <v>210</v>
      </c>
      <c r="G1" s="13" t="s">
        <v>72</v>
      </c>
      <c r="H1" s="13" t="s">
        <v>211</v>
      </c>
      <c r="I1" s="13" t="s">
        <v>212</v>
      </c>
      <c r="J1" s="13" t="s">
        <v>73</v>
      </c>
      <c r="K1" s="13" t="s">
        <v>213</v>
      </c>
      <c r="L1" s="13" t="s">
        <v>74</v>
      </c>
      <c r="M1" s="13" t="s">
        <v>214</v>
      </c>
      <c r="N1" s="13" t="s">
        <v>215</v>
      </c>
      <c r="O1" s="13" t="s">
        <v>216</v>
      </c>
      <c r="P1" s="13" t="s">
        <v>217</v>
      </c>
      <c r="Q1" s="13" t="s">
        <v>218</v>
      </c>
      <c r="R1" s="13" t="s">
        <v>219</v>
      </c>
      <c r="S1" s="13" t="s">
        <v>220</v>
      </c>
      <c r="T1" s="13" t="s">
        <v>155</v>
      </c>
      <c r="U1" s="13" t="s">
        <v>221</v>
      </c>
    </row>
    <row r="2" customFormat="false" ht="15" hidden="false" customHeight="true" outlineLevel="0" collapsed="false">
      <c r="A2" s="54" t="n">
        <v>1</v>
      </c>
      <c r="B2" s="55" t="s">
        <v>1395</v>
      </c>
      <c r="C2" s="56" t="s">
        <v>1396</v>
      </c>
      <c r="D2" s="56" t="s">
        <v>1397</v>
      </c>
      <c r="E2" s="57" t="s">
        <v>1398</v>
      </c>
      <c r="F2" s="55" t="s">
        <v>344</v>
      </c>
      <c r="G2" s="55" t="s">
        <v>169</v>
      </c>
      <c r="H2" s="58" t="n">
        <v>30</v>
      </c>
      <c r="I2" s="58" t="n">
        <v>50</v>
      </c>
      <c r="J2" s="58" t="n">
        <f aca="false">ROUND(AVERAGE(H2:I2),1)</f>
        <v>40</v>
      </c>
      <c r="K2" s="59" t="n">
        <v>1.5</v>
      </c>
      <c r="L2" s="58" t="n">
        <f aca="false">J2+K2</f>
        <v>41.5</v>
      </c>
      <c r="M2" s="60" t="n">
        <f aca="false">IFERROR(INDEX(99_Listas!$C$2:$C$5,MATCH(G2,99_Listas!$B$2:$B$5,0)),0)</f>
        <v>0.13</v>
      </c>
      <c r="N2" s="58" t="n">
        <f aca="false">ROUND(J2*M2,2)</f>
        <v>5.2</v>
      </c>
      <c r="O2" s="58" t="n">
        <f aca="false">ROUND(J2-N2,2)</f>
        <v>34.8</v>
      </c>
      <c r="P2" s="55" t="s">
        <v>711</v>
      </c>
      <c r="Q2" s="54" t="n">
        <v>30</v>
      </c>
      <c r="R2" s="55" t="s">
        <v>165</v>
      </c>
      <c r="S2" s="56" t="s">
        <v>1399</v>
      </c>
      <c r="T2" s="56" t="s">
        <v>1400</v>
      </c>
      <c r="U2" s="56" t="s">
        <v>1401</v>
      </c>
    </row>
    <row r="3" customFormat="false" ht="15" hidden="false" customHeight="true" outlineLevel="0" collapsed="false">
      <c r="A3" s="61" t="n">
        <v>2</v>
      </c>
      <c r="B3" s="62" t="s">
        <v>1395</v>
      </c>
      <c r="C3" s="63" t="s">
        <v>1402</v>
      </c>
      <c r="D3" s="63" t="s">
        <v>1403</v>
      </c>
      <c r="E3" s="57" t="s">
        <v>1398</v>
      </c>
      <c r="F3" s="62" t="s">
        <v>344</v>
      </c>
      <c r="G3" s="62" t="s">
        <v>169</v>
      </c>
      <c r="H3" s="64" t="n">
        <v>30</v>
      </c>
      <c r="I3" s="64" t="n">
        <v>50</v>
      </c>
      <c r="J3" s="64" t="n">
        <f aca="false">ROUND(AVERAGE(H3:I3),1)</f>
        <v>40</v>
      </c>
      <c r="K3" s="59" t="n">
        <v>1.5</v>
      </c>
      <c r="L3" s="64" t="n">
        <f aca="false">J3+K3</f>
        <v>41.5</v>
      </c>
      <c r="M3" s="65" t="n">
        <f aca="false">IFERROR(INDEX(99_Listas!$C$2:$C$5,MATCH(G3,99_Listas!$B$2:$B$5,0)),0)</f>
        <v>0.13</v>
      </c>
      <c r="N3" s="64" t="n">
        <f aca="false">ROUND(J3*M3,2)</f>
        <v>5.2</v>
      </c>
      <c r="O3" s="64" t="n">
        <f aca="false">ROUND(J3-N3,2)</f>
        <v>34.8</v>
      </c>
      <c r="P3" s="62" t="s">
        <v>711</v>
      </c>
      <c r="Q3" s="61" t="n">
        <v>40</v>
      </c>
      <c r="R3" s="62" t="s">
        <v>165</v>
      </c>
      <c r="S3" s="63" t="s">
        <v>1399</v>
      </c>
      <c r="T3" s="63" t="s">
        <v>1400</v>
      </c>
      <c r="U3" s="63"/>
    </row>
    <row r="4" customFormat="false" ht="15" hidden="false" customHeight="true" outlineLevel="0" collapsed="false">
      <c r="A4" s="54" t="n">
        <v>3</v>
      </c>
      <c r="B4" s="55" t="s">
        <v>1395</v>
      </c>
      <c r="C4" s="56" t="s">
        <v>1404</v>
      </c>
      <c r="D4" s="56" t="s">
        <v>1405</v>
      </c>
      <c r="E4" s="57" t="s">
        <v>677</v>
      </c>
      <c r="F4" s="55" t="s">
        <v>344</v>
      </c>
      <c r="G4" s="55" t="s">
        <v>169</v>
      </c>
      <c r="H4" s="58" t="n">
        <v>25</v>
      </c>
      <c r="I4" s="58" t="n">
        <v>45</v>
      </c>
      <c r="J4" s="58" t="n">
        <f aca="false">ROUND(AVERAGE(H4:I4),1)</f>
        <v>35</v>
      </c>
      <c r="K4" s="59" t="n">
        <v>1.5</v>
      </c>
      <c r="L4" s="58" t="n">
        <f aca="false">J4+K4</f>
        <v>36.5</v>
      </c>
      <c r="M4" s="60" t="n">
        <f aca="false">IFERROR(INDEX(99_Listas!$C$2:$C$5,MATCH(G4,99_Listas!$B$2:$B$5,0)),0)</f>
        <v>0.13</v>
      </c>
      <c r="N4" s="58" t="n">
        <f aca="false">ROUND(J4*M4,2)</f>
        <v>4.55</v>
      </c>
      <c r="O4" s="58" t="n">
        <f aca="false">ROUND(J4-N4,2)</f>
        <v>30.45</v>
      </c>
      <c r="P4" s="55" t="s">
        <v>1406</v>
      </c>
      <c r="Q4" s="54" t="n">
        <v>25</v>
      </c>
      <c r="R4" s="55" t="s">
        <v>165</v>
      </c>
      <c r="S4" s="56" t="s">
        <v>380</v>
      </c>
      <c r="T4" s="56" t="s">
        <v>260</v>
      </c>
      <c r="U4" s="56"/>
    </row>
    <row r="5" customFormat="false" ht="15" hidden="false" customHeight="true" outlineLevel="0" collapsed="false">
      <c r="A5" s="61" t="n">
        <v>4</v>
      </c>
      <c r="B5" s="62" t="s">
        <v>1395</v>
      </c>
      <c r="C5" s="63" t="s">
        <v>1407</v>
      </c>
      <c r="D5" s="63" t="s">
        <v>1408</v>
      </c>
      <c r="E5" s="57" t="s">
        <v>1398</v>
      </c>
      <c r="F5" s="62" t="s">
        <v>482</v>
      </c>
      <c r="G5" s="62" t="s">
        <v>165</v>
      </c>
      <c r="H5" s="64" t="n">
        <v>18</v>
      </c>
      <c r="I5" s="64" t="n">
        <v>30</v>
      </c>
      <c r="J5" s="64" t="n">
        <f aca="false">ROUND(AVERAGE(H5:I5),1)</f>
        <v>24</v>
      </c>
      <c r="K5" s="59" t="n">
        <v>1.5</v>
      </c>
      <c r="L5" s="64" t="n">
        <f aca="false">J5+K5</f>
        <v>25.5</v>
      </c>
      <c r="M5" s="65" t="n">
        <f aca="false">IFERROR(INDEX(99_Listas!$C$2:$C$5,MATCH(G5,99_Listas!$B$2:$B$5,0)),0)</f>
        <v>0.11</v>
      </c>
      <c r="N5" s="64" t="n">
        <f aca="false">ROUND(J5*M5,2)</f>
        <v>2.64</v>
      </c>
      <c r="O5" s="64" t="n">
        <f aca="false">ROUND(J5-N5,2)</f>
        <v>21.36</v>
      </c>
      <c r="P5" s="62" t="s">
        <v>711</v>
      </c>
      <c r="Q5" s="61" t="n">
        <v>25</v>
      </c>
      <c r="R5" s="62" t="s">
        <v>165</v>
      </c>
      <c r="S5" s="63" t="s">
        <v>380</v>
      </c>
      <c r="T5" s="63" t="s">
        <v>260</v>
      </c>
      <c r="U5" s="63"/>
    </row>
    <row r="6" customFormat="false" ht="15" hidden="false" customHeight="true" outlineLevel="0" collapsed="false">
      <c r="A6" s="54" t="n">
        <v>5</v>
      </c>
      <c r="B6" s="55" t="s">
        <v>1409</v>
      </c>
      <c r="C6" s="56" t="s">
        <v>1410</v>
      </c>
      <c r="D6" s="56" t="s">
        <v>1411</v>
      </c>
      <c r="E6" s="57" t="s">
        <v>1412</v>
      </c>
      <c r="F6" s="55" t="s">
        <v>344</v>
      </c>
      <c r="G6" s="55" t="s">
        <v>169</v>
      </c>
      <c r="H6" s="58" t="n">
        <v>20</v>
      </c>
      <c r="I6" s="58" t="n">
        <v>35</v>
      </c>
      <c r="J6" s="58" t="n">
        <f aca="false">ROUND(AVERAGE(H6:I6),1)</f>
        <v>27.5</v>
      </c>
      <c r="K6" s="59" t="n">
        <v>1.5</v>
      </c>
      <c r="L6" s="58" t="n">
        <f aca="false">J6+K6</f>
        <v>29</v>
      </c>
      <c r="M6" s="60" t="n">
        <f aca="false">IFERROR(INDEX(99_Listas!$C$2:$C$5,MATCH(G6,99_Listas!$B$2:$B$5,0)),0)</f>
        <v>0.13</v>
      </c>
      <c r="N6" s="58" t="n">
        <f aca="false">ROUND(J6*M6,2)</f>
        <v>3.58</v>
      </c>
      <c r="O6" s="58" t="n">
        <f aca="false">ROUND(J6-N6,2)</f>
        <v>23.92</v>
      </c>
      <c r="P6" s="55" t="s">
        <v>711</v>
      </c>
      <c r="Q6" s="54" t="n">
        <v>40</v>
      </c>
      <c r="R6" s="55" t="s">
        <v>165</v>
      </c>
      <c r="S6" s="56" t="s">
        <v>1413</v>
      </c>
      <c r="T6" s="56" t="s">
        <v>1414</v>
      </c>
      <c r="U6" s="56" t="s">
        <v>1415</v>
      </c>
    </row>
    <row r="7" customFormat="false" ht="15" hidden="false" customHeight="true" outlineLevel="0" collapsed="false">
      <c r="A7" s="61" t="n">
        <v>6</v>
      </c>
      <c r="B7" s="62" t="s">
        <v>1409</v>
      </c>
      <c r="C7" s="63" t="s">
        <v>1416</v>
      </c>
      <c r="D7" s="63" t="s">
        <v>1417</v>
      </c>
      <c r="E7" s="57" t="s">
        <v>1262</v>
      </c>
      <c r="F7" s="62" t="s">
        <v>344</v>
      </c>
      <c r="G7" s="62" t="s">
        <v>169</v>
      </c>
      <c r="H7" s="64" t="n">
        <v>25</v>
      </c>
      <c r="I7" s="64" t="n">
        <v>45</v>
      </c>
      <c r="J7" s="64" t="n">
        <f aca="false">ROUND(AVERAGE(H7:I7),1)</f>
        <v>35</v>
      </c>
      <c r="K7" s="59" t="n">
        <v>1.5</v>
      </c>
      <c r="L7" s="64" t="n">
        <f aca="false">J7+K7</f>
        <v>36.5</v>
      </c>
      <c r="M7" s="65" t="n">
        <f aca="false">IFERROR(INDEX(99_Listas!$C$2:$C$5,MATCH(G7,99_Listas!$B$2:$B$5,0)),0)</f>
        <v>0.13</v>
      </c>
      <c r="N7" s="64" t="n">
        <f aca="false">ROUND(J7*M7,2)</f>
        <v>4.55</v>
      </c>
      <c r="O7" s="64" t="n">
        <f aca="false">ROUND(J7-N7,2)</f>
        <v>30.45</v>
      </c>
      <c r="P7" s="62" t="s">
        <v>805</v>
      </c>
      <c r="Q7" s="61" t="n">
        <v>20</v>
      </c>
      <c r="R7" s="62" t="s">
        <v>165</v>
      </c>
      <c r="S7" s="63" t="s">
        <v>228</v>
      </c>
      <c r="T7" s="63" t="s">
        <v>163</v>
      </c>
      <c r="U7" s="63" t="s">
        <v>1418</v>
      </c>
    </row>
    <row r="8" customFormat="false" ht="15" hidden="false" customHeight="true" outlineLevel="0" collapsed="false">
      <c r="A8" s="54" t="n">
        <v>7</v>
      </c>
      <c r="B8" s="55" t="s">
        <v>1409</v>
      </c>
      <c r="C8" s="56" t="s">
        <v>1419</v>
      </c>
      <c r="D8" s="56" t="s">
        <v>1420</v>
      </c>
      <c r="E8" s="57" t="s">
        <v>1262</v>
      </c>
      <c r="F8" s="55" t="s">
        <v>344</v>
      </c>
      <c r="G8" s="55" t="s">
        <v>169</v>
      </c>
      <c r="H8" s="58" t="n">
        <v>28</v>
      </c>
      <c r="I8" s="58" t="n">
        <v>50</v>
      </c>
      <c r="J8" s="58" t="n">
        <f aca="false">ROUND(AVERAGE(H8:I8),1)</f>
        <v>39</v>
      </c>
      <c r="K8" s="59" t="n">
        <v>1.5</v>
      </c>
      <c r="L8" s="58" t="n">
        <f aca="false">J8+K8</f>
        <v>40.5</v>
      </c>
      <c r="M8" s="60" t="n">
        <f aca="false">IFERROR(INDEX(99_Listas!$C$2:$C$5,MATCH(G8,99_Listas!$B$2:$B$5,0)),0)</f>
        <v>0.13</v>
      </c>
      <c r="N8" s="58" t="n">
        <f aca="false">ROUND(J8*M8,2)</f>
        <v>5.07</v>
      </c>
      <c r="O8" s="58" t="n">
        <f aca="false">ROUND(J8-N8,2)</f>
        <v>33.93</v>
      </c>
      <c r="P8" s="55" t="s">
        <v>805</v>
      </c>
      <c r="Q8" s="54" t="n">
        <v>20</v>
      </c>
      <c r="R8" s="55" t="s">
        <v>165</v>
      </c>
      <c r="S8" s="56" t="s">
        <v>228</v>
      </c>
      <c r="T8" s="56" t="s">
        <v>163</v>
      </c>
      <c r="U8" s="56"/>
    </row>
    <row r="9" customFormat="false" ht="15" hidden="false" customHeight="true" outlineLevel="0" collapsed="false">
      <c r="A9" s="61" t="n">
        <v>8</v>
      </c>
      <c r="B9" s="62" t="s">
        <v>1409</v>
      </c>
      <c r="C9" s="63" t="s">
        <v>718</v>
      </c>
      <c r="D9" s="63" t="s">
        <v>1421</v>
      </c>
      <c r="E9" s="57" t="s">
        <v>720</v>
      </c>
      <c r="F9" s="62" t="s">
        <v>344</v>
      </c>
      <c r="G9" s="62" t="s">
        <v>165</v>
      </c>
      <c r="H9" s="64" t="n">
        <v>18</v>
      </c>
      <c r="I9" s="64" t="n">
        <v>30</v>
      </c>
      <c r="J9" s="64" t="n">
        <f aca="false">ROUND(AVERAGE(H9:I9),1)</f>
        <v>24</v>
      </c>
      <c r="K9" s="59" t="n">
        <v>1.5</v>
      </c>
      <c r="L9" s="64" t="n">
        <f aca="false">J9+K9</f>
        <v>25.5</v>
      </c>
      <c r="M9" s="65" t="n">
        <f aca="false">IFERROR(INDEX(99_Listas!$C$2:$C$5,MATCH(G9,99_Listas!$B$2:$B$5,0)),0)</f>
        <v>0.11</v>
      </c>
      <c r="N9" s="64" t="n">
        <f aca="false">ROUND(J9*M9,2)</f>
        <v>2.64</v>
      </c>
      <c r="O9" s="64" t="n">
        <f aca="false">ROUND(J9-N9,2)</f>
        <v>21.36</v>
      </c>
      <c r="P9" s="62" t="s">
        <v>1422</v>
      </c>
      <c r="Q9" s="61" t="n">
        <v>20</v>
      </c>
      <c r="R9" s="62" t="s">
        <v>165</v>
      </c>
      <c r="S9" s="63" t="s">
        <v>228</v>
      </c>
      <c r="T9" s="63" t="s">
        <v>260</v>
      </c>
      <c r="U9" s="63"/>
    </row>
    <row r="10" customFormat="false" ht="15" hidden="false" customHeight="true" outlineLevel="0" collapsed="false">
      <c r="A10" s="54" t="n">
        <v>9</v>
      </c>
      <c r="B10" s="55" t="s">
        <v>1409</v>
      </c>
      <c r="C10" s="56" t="s">
        <v>1423</v>
      </c>
      <c r="D10" s="56" t="s">
        <v>1424</v>
      </c>
      <c r="E10" s="57" t="s">
        <v>1186</v>
      </c>
      <c r="F10" s="55" t="s">
        <v>902</v>
      </c>
      <c r="G10" s="55" t="s">
        <v>169</v>
      </c>
      <c r="H10" s="58" t="n">
        <v>40</v>
      </c>
      <c r="I10" s="58" t="n">
        <v>80</v>
      </c>
      <c r="J10" s="58" t="n">
        <f aca="false">ROUND(AVERAGE(H10:I10),1)</f>
        <v>60</v>
      </c>
      <c r="K10" s="59" t="n">
        <v>1.5</v>
      </c>
      <c r="L10" s="58" t="n">
        <f aca="false">J10+K10</f>
        <v>61.5</v>
      </c>
      <c r="M10" s="60" t="n">
        <f aca="false">IFERROR(INDEX(99_Listas!$C$2:$C$5,MATCH(G10,99_Listas!$B$2:$B$5,0)),0)</f>
        <v>0.13</v>
      </c>
      <c r="N10" s="58" t="n">
        <f aca="false">ROUND(J10*M10,2)</f>
        <v>7.8</v>
      </c>
      <c r="O10" s="58" t="n">
        <f aca="false">ROUND(J10-N10,2)</f>
        <v>52.2</v>
      </c>
      <c r="P10" s="55" t="s">
        <v>805</v>
      </c>
      <c r="Q10" s="54" t="n">
        <v>30</v>
      </c>
      <c r="R10" s="55" t="s">
        <v>165</v>
      </c>
      <c r="S10" s="56" t="s">
        <v>380</v>
      </c>
      <c r="T10" s="56" t="s">
        <v>1353</v>
      </c>
      <c r="U10" s="56" t="s">
        <v>1425</v>
      </c>
    </row>
    <row r="11" customFormat="false" ht="23.25" hidden="false" customHeight="true" outlineLevel="0" collapsed="false">
      <c r="A11" s="61" t="n">
        <v>10</v>
      </c>
      <c r="B11" s="62" t="s">
        <v>1409</v>
      </c>
      <c r="C11" s="63" t="s">
        <v>1426</v>
      </c>
      <c r="D11" s="63" t="s">
        <v>1427</v>
      </c>
      <c r="E11" s="57" t="s">
        <v>246</v>
      </c>
      <c r="F11" s="62" t="s">
        <v>226</v>
      </c>
      <c r="G11" s="62" t="s">
        <v>165</v>
      </c>
      <c r="H11" s="64" t="n">
        <v>15</v>
      </c>
      <c r="I11" s="64" t="n">
        <v>25</v>
      </c>
      <c r="J11" s="64" t="n">
        <f aca="false">ROUND(AVERAGE(H11:I11),1)</f>
        <v>20</v>
      </c>
      <c r="K11" s="59" t="n">
        <v>1.5</v>
      </c>
      <c r="L11" s="64" t="n">
        <f aca="false">J11+K11</f>
        <v>21.5</v>
      </c>
      <c r="M11" s="65" t="n">
        <f aca="false">IFERROR(INDEX(99_Listas!$C$2:$C$5,MATCH(G11,99_Listas!$B$2:$B$5,0)),0)</f>
        <v>0.11</v>
      </c>
      <c r="N11" s="64" t="n">
        <f aca="false">ROUND(J11*M11,2)</f>
        <v>2.2</v>
      </c>
      <c r="O11" s="64" t="n">
        <f aca="false">ROUND(J11-N11,2)</f>
        <v>17.8</v>
      </c>
      <c r="P11" s="62" t="s">
        <v>711</v>
      </c>
      <c r="Q11" s="61" t="n">
        <v>20</v>
      </c>
      <c r="R11" s="62" t="s">
        <v>165</v>
      </c>
      <c r="S11" s="63" t="s">
        <v>1428</v>
      </c>
      <c r="T11" s="63" t="s">
        <v>260</v>
      </c>
      <c r="U11" s="63"/>
    </row>
    <row r="12" customFormat="false" ht="15" hidden="false" customHeight="true" outlineLevel="0" collapsed="false">
      <c r="A12" s="54" t="n">
        <v>11</v>
      </c>
      <c r="B12" s="55" t="s">
        <v>1429</v>
      </c>
      <c r="C12" s="56" t="s">
        <v>1430</v>
      </c>
      <c r="D12" s="56" t="s">
        <v>1431</v>
      </c>
      <c r="E12" s="57" t="s">
        <v>1432</v>
      </c>
      <c r="F12" s="55" t="s">
        <v>344</v>
      </c>
      <c r="G12" s="55" t="s">
        <v>169</v>
      </c>
      <c r="H12" s="58" t="n">
        <v>25</v>
      </c>
      <c r="I12" s="58" t="n">
        <v>45</v>
      </c>
      <c r="J12" s="58" t="n">
        <f aca="false">ROUND(AVERAGE(H12:I12),1)</f>
        <v>35</v>
      </c>
      <c r="K12" s="59" t="n">
        <v>1.5</v>
      </c>
      <c r="L12" s="58" t="n">
        <f aca="false">J12+K12</f>
        <v>36.5</v>
      </c>
      <c r="M12" s="60" t="n">
        <f aca="false">IFERROR(INDEX(99_Listas!$C$2:$C$5,MATCH(G12,99_Listas!$B$2:$B$5,0)),0)</f>
        <v>0.13</v>
      </c>
      <c r="N12" s="58" t="n">
        <f aca="false">ROUND(J12*M12,2)</f>
        <v>4.55</v>
      </c>
      <c r="O12" s="58" t="n">
        <f aca="false">ROUND(J12-N12,2)</f>
        <v>30.45</v>
      </c>
      <c r="P12" s="55" t="s">
        <v>711</v>
      </c>
      <c r="Q12" s="54" t="n">
        <v>40</v>
      </c>
      <c r="R12" s="55" t="s">
        <v>165</v>
      </c>
      <c r="S12" s="56" t="s">
        <v>1433</v>
      </c>
      <c r="T12" s="56" t="s">
        <v>1414</v>
      </c>
      <c r="U12" s="56" t="s">
        <v>1434</v>
      </c>
    </row>
    <row r="13" customFormat="false" ht="23.25" hidden="false" customHeight="true" outlineLevel="0" collapsed="false">
      <c r="A13" s="61" t="n">
        <v>12</v>
      </c>
      <c r="B13" s="62" t="s">
        <v>1429</v>
      </c>
      <c r="C13" s="63" t="s">
        <v>1435</v>
      </c>
      <c r="D13" s="63" t="s">
        <v>1436</v>
      </c>
      <c r="E13" s="57" t="s">
        <v>1437</v>
      </c>
      <c r="F13" s="62" t="s">
        <v>344</v>
      </c>
      <c r="G13" s="62" t="s">
        <v>169</v>
      </c>
      <c r="H13" s="64" t="n">
        <v>30</v>
      </c>
      <c r="I13" s="64" t="n">
        <v>55</v>
      </c>
      <c r="J13" s="64" t="n">
        <f aca="false">ROUND(AVERAGE(H13:I13),1)</f>
        <v>42.5</v>
      </c>
      <c r="K13" s="59" t="n">
        <v>1.5</v>
      </c>
      <c r="L13" s="64" t="n">
        <f aca="false">J13+K13</f>
        <v>44</v>
      </c>
      <c r="M13" s="65" t="n">
        <f aca="false">IFERROR(INDEX(99_Listas!$C$2:$C$5,MATCH(G13,99_Listas!$B$2:$B$5,0)),0)</f>
        <v>0.13</v>
      </c>
      <c r="N13" s="64" t="n">
        <f aca="false">ROUND(J13*M13,2)</f>
        <v>5.53</v>
      </c>
      <c r="O13" s="64" t="n">
        <f aca="false">ROUND(J13-N13,2)</f>
        <v>36.97</v>
      </c>
      <c r="P13" s="62" t="s">
        <v>711</v>
      </c>
      <c r="Q13" s="61" t="n">
        <v>60</v>
      </c>
      <c r="R13" s="62" t="s">
        <v>258</v>
      </c>
      <c r="S13" s="63" t="s">
        <v>1399</v>
      </c>
      <c r="T13" s="63" t="s">
        <v>1414</v>
      </c>
      <c r="U13" s="63" t="s">
        <v>1438</v>
      </c>
    </row>
    <row r="14" customFormat="false" ht="15" hidden="false" customHeight="true" outlineLevel="0" collapsed="false">
      <c r="A14" s="54" t="n">
        <v>13</v>
      </c>
      <c r="B14" s="55" t="s">
        <v>1429</v>
      </c>
      <c r="C14" s="56" t="s">
        <v>1439</v>
      </c>
      <c r="D14" s="56" t="s">
        <v>1440</v>
      </c>
      <c r="E14" s="57" t="s">
        <v>714</v>
      </c>
      <c r="F14" s="55" t="s">
        <v>344</v>
      </c>
      <c r="G14" s="55" t="s">
        <v>165</v>
      </c>
      <c r="H14" s="58" t="n">
        <v>20</v>
      </c>
      <c r="I14" s="58" t="n">
        <v>35</v>
      </c>
      <c r="J14" s="58" t="n">
        <f aca="false">ROUND(AVERAGE(H14:I14),1)</f>
        <v>27.5</v>
      </c>
      <c r="K14" s="59" t="n">
        <v>1.5</v>
      </c>
      <c r="L14" s="58" t="n">
        <f aca="false">J14+K14</f>
        <v>29</v>
      </c>
      <c r="M14" s="60" t="n">
        <f aca="false">IFERROR(INDEX(99_Listas!$C$2:$C$5,MATCH(G14,99_Listas!$B$2:$B$5,0)),0)</f>
        <v>0.11</v>
      </c>
      <c r="N14" s="58" t="n">
        <f aca="false">ROUND(J14*M14,2)</f>
        <v>3.03</v>
      </c>
      <c r="O14" s="58" t="n">
        <f aca="false">ROUND(J14-N14,2)</f>
        <v>24.47</v>
      </c>
      <c r="P14" s="55" t="s">
        <v>711</v>
      </c>
      <c r="Q14" s="54" t="n">
        <v>60</v>
      </c>
      <c r="R14" s="55" t="s">
        <v>258</v>
      </c>
      <c r="S14" s="56" t="s">
        <v>1441</v>
      </c>
      <c r="T14" s="56" t="s">
        <v>1414</v>
      </c>
      <c r="U14" s="56" t="s">
        <v>1442</v>
      </c>
    </row>
    <row r="15" customFormat="false" ht="15" hidden="false" customHeight="true" outlineLevel="0" collapsed="false">
      <c r="A15" s="61" t="n">
        <v>14</v>
      </c>
      <c r="B15" s="62" t="s">
        <v>1429</v>
      </c>
      <c r="C15" s="63" t="s">
        <v>1443</v>
      </c>
      <c r="D15" s="63" t="s">
        <v>1444</v>
      </c>
      <c r="E15" s="57" t="s">
        <v>1445</v>
      </c>
      <c r="F15" s="62" t="s">
        <v>344</v>
      </c>
      <c r="G15" s="62" t="s">
        <v>165</v>
      </c>
      <c r="H15" s="64" t="n">
        <v>20</v>
      </c>
      <c r="I15" s="64" t="n">
        <v>35</v>
      </c>
      <c r="J15" s="64" t="n">
        <f aca="false">ROUND(AVERAGE(H15:I15),1)</f>
        <v>27.5</v>
      </c>
      <c r="K15" s="59" t="n">
        <v>1.5</v>
      </c>
      <c r="L15" s="64" t="n">
        <f aca="false">J15+K15</f>
        <v>29</v>
      </c>
      <c r="M15" s="65" t="n">
        <f aca="false">IFERROR(INDEX(99_Listas!$C$2:$C$5,MATCH(G15,99_Listas!$B$2:$B$5,0)),0)</f>
        <v>0.11</v>
      </c>
      <c r="N15" s="64" t="n">
        <f aca="false">ROUND(J15*M15,2)</f>
        <v>3.03</v>
      </c>
      <c r="O15" s="64" t="n">
        <f aca="false">ROUND(J15-N15,2)</f>
        <v>24.47</v>
      </c>
      <c r="P15" s="62" t="s">
        <v>711</v>
      </c>
      <c r="Q15" s="61" t="n">
        <v>30</v>
      </c>
      <c r="R15" s="62" t="s">
        <v>165</v>
      </c>
      <c r="S15" s="63" t="s">
        <v>380</v>
      </c>
      <c r="T15" s="63" t="s">
        <v>203</v>
      </c>
      <c r="U15" s="63"/>
    </row>
    <row r="16" customFormat="false" ht="15" hidden="false" customHeight="true" outlineLevel="0" collapsed="false">
      <c r="A16" s="54" t="n">
        <v>15</v>
      </c>
      <c r="B16" s="55" t="s">
        <v>1429</v>
      </c>
      <c r="C16" s="56" t="s">
        <v>1446</v>
      </c>
      <c r="D16" s="56" t="s">
        <v>1447</v>
      </c>
      <c r="E16" s="57" t="s">
        <v>710</v>
      </c>
      <c r="F16" s="55" t="s">
        <v>902</v>
      </c>
      <c r="G16" s="55" t="s">
        <v>169</v>
      </c>
      <c r="H16" s="58" t="n">
        <v>50</v>
      </c>
      <c r="I16" s="58" t="n">
        <v>90</v>
      </c>
      <c r="J16" s="58" t="n">
        <f aca="false">ROUND(AVERAGE(H16:I16),1)</f>
        <v>70</v>
      </c>
      <c r="K16" s="59" t="n">
        <v>1.5</v>
      </c>
      <c r="L16" s="58" t="n">
        <f aca="false">J16+K16</f>
        <v>71.5</v>
      </c>
      <c r="M16" s="60" t="n">
        <f aca="false">IFERROR(INDEX(99_Listas!$C$2:$C$5,MATCH(G16,99_Listas!$B$2:$B$5,0)),0)</f>
        <v>0.13</v>
      </c>
      <c r="N16" s="58" t="n">
        <f aca="false">ROUND(J16*M16,2)</f>
        <v>9.1</v>
      </c>
      <c r="O16" s="58" t="n">
        <f aca="false">ROUND(J16-N16,2)</f>
        <v>60.9</v>
      </c>
      <c r="P16" s="55" t="s">
        <v>1448</v>
      </c>
      <c r="Q16" s="54" t="n">
        <v>30</v>
      </c>
      <c r="R16" s="55" t="s">
        <v>165</v>
      </c>
      <c r="S16" s="56" t="s">
        <v>1449</v>
      </c>
      <c r="T16" s="56" t="s">
        <v>1254</v>
      </c>
      <c r="U16" s="56" t="s">
        <v>399</v>
      </c>
    </row>
    <row r="17" customFormat="false" ht="15" hidden="false" customHeight="true" outlineLevel="0" collapsed="false">
      <c r="A17" s="61" t="n">
        <v>16</v>
      </c>
      <c r="B17" s="62" t="s">
        <v>1429</v>
      </c>
      <c r="C17" s="63" t="s">
        <v>1450</v>
      </c>
      <c r="D17" s="63" t="s">
        <v>1451</v>
      </c>
      <c r="E17" s="57" t="s">
        <v>1445</v>
      </c>
      <c r="F17" s="62" t="s">
        <v>1094</v>
      </c>
      <c r="G17" s="62" t="s">
        <v>169</v>
      </c>
      <c r="H17" s="64" t="n">
        <v>40</v>
      </c>
      <c r="I17" s="64" t="n">
        <v>65</v>
      </c>
      <c r="J17" s="64" t="n">
        <f aca="false">ROUND(AVERAGE(H17:I17),1)</f>
        <v>52.5</v>
      </c>
      <c r="K17" s="59" t="n">
        <v>1.5</v>
      </c>
      <c r="L17" s="64" t="n">
        <f aca="false">J17+K17</f>
        <v>54</v>
      </c>
      <c r="M17" s="65" t="n">
        <f aca="false">IFERROR(INDEX(99_Listas!$C$2:$C$5,MATCH(G17,99_Listas!$B$2:$B$5,0)),0)</f>
        <v>0.13</v>
      </c>
      <c r="N17" s="64" t="n">
        <f aca="false">ROUND(J17*M17,2)</f>
        <v>6.83</v>
      </c>
      <c r="O17" s="64" t="n">
        <f aca="false">ROUND(J17-N17,2)</f>
        <v>45.67</v>
      </c>
      <c r="P17" s="62" t="s">
        <v>1452</v>
      </c>
      <c r="Q17" s="61" t="n">
        <v>40</v>
      </c>
      <c r="R17" s="62" t="s">
        <v>165</v>
      </c>
      <c r="S17" s="63" t="s">
        <v>380</v>
      </c>
      <c r="T17" s="63" t="s">
        <v>203</v>
      </c>
      <c r="U17" s="63"/>
    </row>
    <row r="18" customFormat="false" ht="23.25" hidden="false" customHeight="true" outlineLevel="0" collapsed="false">
      <c r="A18" s="54" t="n">
        <v>17</v>
      </c>
      <c r="B18" s="55" t="s">
        <v>1453</v>
      </c>
      <c r="C18" s="56" t="s">
        <v>1454</v>
      </c>
      <c r="D18" s="56" t="s">
        <v>1455</v>
      </c>
      <c r="E18" s="57" t="s">
        <v>757</v>
      </c>
      <c r="F18" s="55" t="s">
        <v>344</v>
      </c>
      <c r="G18" s="55" t="s">
        <v>169</v>
      </c>
      <c r="H18" s="58" t="n">
        <v>25</v>
      </c>
      <c r="I18" s="58" t="n">
        <v>45</v>
      </c>
      <c r="J18" s="58" t="n">
        <f aca="false">ROUND(AVERAGE(H18:I18),1)</f>
        <v>35</v>
      </c>
      <c r="K18" s="59" t="n">
        <v>1.5</v>
      </c>
      <c r="L18" s="58" t="n">
        <f aca="false">J18+K18</f>
        <v>36.5</v>
      </c>
      <c r="M18" s="60" t="n">
        <f aca="false">IFERROR(INDEX(99_Listas!$C$2:$C$5,MATCH(G18,99_Listas!$B$2:$B$5,0)),0)</f>
        <v>0.13</v>
      </c>
      <c r="N18" s="58" t="n">
        <f aca="false">ROUND(J18*M18,2)</f>
        <v>4.55</v>
      </c>
      <c r="O18" s="58" t="n">
        <f aca="false">ROUND(J18-N18,2)</f>
        <v>30.45</v>
      </c>
      <c r="P18" s="55" t="s">
        <v>1456</v>
      </c>
      <c r="Q18" s="54" t="n">
        <v>25</v>
      </c>
      <c r="R18" s="55" t="s">
        <v>165</v>
      </c>
      <c r="S18" s="56" t="s">
        <v>228</v>
      </c>
      <c r="T18" s="56" t="s">
        <v>163</v>
      </c>
      <c r="U18" s="56"/>
    </row>
    <row r="19" customFormat="false" ht="23.25" hidden="false" customHeight="true" outlineLevel="0" collapsed="false">
      <c r="A19" s="61" t="n">
        <v>18</v>
      </c>
      <c r="B19" s="62" t="s">
        <v>1453</v>
      </c>
      <c r="C19" s="63" t="s">
        <v>1457</v>
      </c>
      <c r="D19" s="63" t="s">
        <v>1458</v>
      </c>
      <c r="E19" s="57" t="s">
        <v>757</v>
      </c>
      <c r="F19" s="62" t="s">
        <v>344</v>
      </c>
      <c r="G19" s="62" t="s">
        <v>169</v>
      </c>
      <c r="H19" s="64" t="n">
        <v>25</v>
      </c>
      <c r="I19" s="64" t="n">
        <v>45</v>
      </c>
      <c r="J19" s="64" t="n">
        <f aca="false">ROUND(AVERAGE(H19:I19),1)</f>
        <v>35</v>
      </c>
      <c r="K19" s="59" t="n">
        <v>1.5</v>
      </c>
      <c r="L19" s="64" t="n">
        <f aca="false">J19+K19</f>
        <v>36.5</v>
      </c>
      <c r="M19" s="65" t="n">
        <f aca="false">IFERROR(INDEX(99_Listas!$C$2:$C$5,MATCH(G19,99_Listas!$B$2:$B$5,0)),0)</f>
        <v>0.13</v>
      </c>
      <c r="N19" s="64" t="n">
        <f aca="false">ROUND(J19*M19,2)</f>
        <v>4.55</v>
      </c>
      <c r="O19" s="64" t="n">
        <f aca="false">ROUND(J19-N19,2)</f>
        <v>30.45</v>
      </c>
      <c r="P19" s="62" t="s">
        <v>1456</v>
      </c>
      <c r="Q19" s="61" t="n">
        <v>20</v>
      </c>
      <c r="R19" s="62" t="s">
        <v>165</v>
      </c>
      <c r="S19" s="63" t="s">
        <v>228</v>
      </c>
      <c r="T19" s="63" t="s">
        <v>163</v>
      </c>
      <c r="U19" s="63" t="s">
        <v>1459</v>
      </c>
    </row>
    <row r="20" customFormat="false" ht="23.25" hidden="false" customHeight="true" outlineLevel="0" collapsed="false">
      <c r="A20" s="54" t="n">
        <v>19</v>
      </c>
      <c r="B20" s="55" t="s">
        <v>1453</v>
      </c>
      <c r="C20" s="56" t="s">
        <v>1460</v>
      </c>
      <c r="D20" s="56" t="s">
        <v>1461</v>
      </c>
      <c r="E20" s="57" t="s">
        <v>757</v>
      </c>
      <c r="F20" s="55" t="s">
        <v>344</v>
      </c>
      <c r="G20" s="55" t="s">
        <v>169</v>
      </c>
      <c r="H20" s="58" t="n">
        <v>25</v>
      </c>
      <c r="I20" s="58" t="n">
        <v>45</v>
      </c>
      <c r="J20" s="58" t="n">
        <f aca="false">ROUND(AVERAGE(H20:I20),1)</f>
        <v>35</v>
      </c>
      <c r="K20" s="59" t="n">
        <v>1.5</v>
      </c>
      <c r="L20" s="58" t="n">
        <f aca="false">J20+K20</f>
        <v>36.5</v>
      </c>
      <c r="M20" s="60" t="n">
        <f aca="false">IFERROR(INDEX(99_Listas!$C$2:$C$5,MATCH(G20,99_Listas!$B$2:$B$5,0)),0)</f>
        <v>0.13</v>
      </c>
      <c r="N20" s="58" t="n">
        <f aca="false">ROUND(J20*M20,2)</f>
        <v>4.55</v>
      </c>
      <c r="O20" s="58" t="n">
        <f aca="false">ROUND(J20-N20,2)</f>
        <v>30.45</v>
      </c>
      <c r="P20" s="55" t="s">
        <v>1456</v>
      </c>
      <c r="Q20" s="54" t="n">
        <v>20</v>
      </c>
      <c r="R20" s="55" t="s">
        <v>165</v>
      </c>
      <c r="S20" s="56" t="s">
        <v>228</v>
      </c>
      <c r="T20" s="56" t="s">
        <v>163</v>
      </c>
      <c r="U20" s="56"/>
    </row>
    <row r="21" customFormat="false" ht="23.25" hidden="false" customHeight="true" outlineLevel="0" collapsed="false">
      <c r="A21" s="61" t="n">
        <v>20</v>
      </c>
      <c r="B21" s="62" t="s">
        <v>1453</v>
      </c>
      <c r="C21" s="63" t="s">
        <v>1462</v>
      </c>
      <c r="D21" s="63" t="s">
        <v>1463</v>
      </c>
      <c r="E21" s="57" t="s">
        <v>757</v>
      </c>
      <c r="F21" s="62" t="s">
        <v>902</v>
      </c>
      <c r="G21" s="62" t="s">
        <v>169</v>
      </c>
      <c r="H21" s="64" t="n">
        <v>40</v>
      </c>
      <c r="I21" s="64" t="n">
        <v>70</v>
      </c>
      <c r="J21" s="64" t="n">
        <f aca="false">ROUND(AVERAGE(H21:I21),1)</f>
        <v>55</v>
      </c>
      <c r="K21" s="59" t="n">
        <v>1.5</v>
      </c>
      <c r="L21" s="64" t="n">
        <f aca="false">J21+K21</f>
        <v>56.5</v>
      </c>
      <c r="M21" s="65" t="n">
        <f aca="false">IFERROR(INDEX(99_Listas!$C$2:$C$5,MATCH(G21,99_Listas!$B$2:$B$5,0)),0)</f>
        <v>0.13</v>
      </c>
      <c r="N21" s="64" t="n">
        <f aca="false">ROUND(J21*M21,2)</f>
        <v>7.15</v>
      </c>
      <c r="O21" s="64" t="n">
        <f aca="false">ROUND(J21-N21,2)</f>
        <v>47.85</v>
      </c>
      <c r="P21" s="62" t="s">
        <v>1456</v>
      </c>
      <c r="Q21" s="61" t="n">
        <v>25</v>
      </c>
      <c r="R21" s="62" t="s">
        <v>165</v>
      </c>
      <c r="S21" s="63" t="s">
        <v>228</v>
      </c>
      <c r="T21" s="63" t="s">
        <v>163</v>
      </c>
      <c r="U21" s="63"/>
    </row>
    <row r="22" customFormat="false" ht="23.25" hidden="false" customHeight="true" outlineLevel="0" collapsed="false">
      <c r="A22" s="54" t="n">
        <v>21</v>
      </c>
      <c r="B22" s="55" t="s">
        <v>1464</v>
      </c>
      <c r="C22" s="56" t="s">
        <v>1465</v>
      </c>
      <c r="D22" s="56" t="s">
        <v>1466</v>
      </c>
      <c r="E22" s="57" t="s">
        <v>1211</v>
      </c>
      <c r="F22" s="55" t="s">
        <v>324</v>
      </c>
      <c r="G22" s="55" t="s">
        <v>165</v>
      </c>
      <c r="H22" s="58" t="n">
        <v>15</v>
      </c>
      <c r="I22" s="58" t="n">
        <v>30</v>
      </c>
      <c r="J22" s="58" t="n">
        <f aca="false">ROUND(AVERAGE(H22:I22),1)</f>
        <v>22.5</v>
      </c>
      <c r="K22" s="59" t="n">
        <v>1.5</v>
      </c>
      <c r="L22" s="58" t="n">
        <f aca="false">J22+K22</f>
        <v>24</v>
      </c>
      <c r="M22" s="60" t="n">
        <f aca="false">IFERROR(INDEX(99_Listas!$C$2:$C$5,MATCH(G22,99_Listas!$B$2:$B$5,0)),0)</f>
        <v>0.11</v>
      </c>
      <c r="N22" s="58" t="n">
        <f aca="false">ROUND(J22*M22,2)</f>
        <v>2.48</v>
      </c>
      <c r="O22" s="58" t="n">
        <f aca="false">ROUND(J22-N22,2)</f>
        <v>20.02</v>
      </c>
      <c r="P22" s="55" t="s">
        <v>1422</v>
      </c>
      <c r="Q22" s="54" t="n">
        <v>20</v>
      </c>
      <c r="R22" s="55" t="s">
        <v>165</v>
      </c>
      <c r="S22" s="56" t="s">
        <v>1428</v>
      </c>
      <c r="T22" s="56" t="s">
        <v>260</v>
      </c>
      <c r="U22" s="56" t="s">
        <v>1467</v>
      </c>
    </row>
    <row r="23" customFormat="false" ht="23.25" hidden="false" customHeight="true" outlineLevel="0" collapsed="false">
      <c r="A23" s="61" t="n">
        <v>22</v>
      </c>
      <c r="B23" s="62" t="s">
        <v>1464</v>
      </c>
      <c r="C23" s="63" t="s">
        <v>1468</v>
      </c>
      <c r="D23" s="63" t="s">
        <v>1469</v>
      </c>
      <c r="E23" s="57" t="s">
        <v>565</v>
      </c>
      <c r="F23" s="62" t="s">
        <v>324</v>
      </c>
      <c r="G23" s="62" t="s">
        <v>165</v>
      </c>
      <c r="H23" s="64" t="n">
        <v>25</v>
      </c>
      <c r="I23" s="64" t="n">
        <v>50</v>
      </c>
      <c r="J23" s="64" t="n">
        <f aca="false">ROUND(AVERAGE(H23:I23),1)</f>
        <v>37.5</v>
      </c>
      <c r="K23" s="59" t="n">
        <v>1.5</v>
      </c>
      <c r="L23" s="64" t="n">
        <f aca="false">J23+K23</f>
        <v>39</v>
      </c>
      <c r="M23" s="65" t="n">
        <f aca="false">IFERROR(INDEX(99_Listas!$C$2:$C$5,MATCH(G23,99_Listas!$B$2:$B$5,0)),0)</f>
        <v>0.11</v>
      </c>
      <c r="N23" s="64" t="n">
        <f aca="false">ROUND(J23*M23,2)</f>
        <v>4.13</v>
      </c>
      <c r="O23" s="64" t="n">
        <f aca="false">ROUND(J23-N23,2)</f>
        <v>33.37</v>
      </c>
      <c r="P23" s="62" t="s">
        <v>1422</v>
      </c>
      <c r="Q23" s="61" t="n">
        <v>25</v>
      </c>
      <c r="R23" s="62" t="s">
        <v>165</v>
      </c>
      <c r="S23" s="63" t="s">
        <v>1470</v>
      </c>
      <c r="T23" s="63" t="s">
        <v>203</v>
      </c>
      <c r="U23" s="63" t="s">
        <v>1471</v>
      </c>
    </row>
    <row r="24" customFormat="false" ht="15" hidden="false" customHeight="true" outlineLevel="0" collapsed="false">
      <c r="A24" s="54" t="n">
        <v>23</v>
      </c>
      <c r="B24" s="55" t="s">
        <v>1464</v>
      </c>
      <c r="C24" s="56" t="s">
        <v>1472</v>
      </c>
      <c r="D24" s="56" t="s">
        <v>1473</v>
      </c>
      <c r="E24" s="57" t="s">
        <v>1211</v>
      </c>
      <c r="F24" s="55" t="s">
        <v>324</v>
      </c>
      <c r="G24" s="55" t="s">
        <v>169</v>
      </c>
      <c r="H24" s="58" t="n">
        <v>35</v>
      </c>
      <c r="I24" s="58" t="n">
        <v>80</v>
      </c>
      <c r="J24" s="58" t="n">
        <f aca="false">ROUND(AVERAGE(H24:I24),1)</f>
        <v>57.5</v>
      </c>
      <c r="K24" s="59" t="n">
        <v>1.5</v>
      </c>
      <c r="L24" s="58" t="n">
        <f aca="false">J24+K24</f>
        <v>59</v>
      </c>
      <c r="M24" s="60" t="n">
        <f aca="false">IFERROR(INDEX(99_Listas!$C$2:$C$5,MATCH(G24,99_Listas!$B$2:$B$5,0)),0)</f>
        <v>0.13</v>
      </c>
      <c r="N24" s="58" t="n">
        <f aca="false">ROUND(J24*M24,2)</f>
        <v>7.48</v>
      </c>
      <c r="O24" s="58" t="n">
        <f aca="false">ROUND(J24-N24,2)</f>
        <v>50.02</v>
      </c>
      <c r="P24" s="55" t="s">
        <v>1103</v>
      </c>
      <c r="Q24" s="54" t="n">
        <v>30</v>
      </c>
      <c r="R24" s="55" t="s">
        <v>165</v>
      </c>
      <c r="S24" s="56" t="s">
        <v>1474</v>
      </c>
      <c r="T24" s="56" t="s">
        <v>203</v>
      </c>
      <c r="U24" s="56"/>
    </row>
    <row r="25" customFormat="false" ht="15" hidden="false" customHeight="true" outlineLevel="0" collapsed="false">
      <c r="A25" s="61" t="n">
        <v>24</v>
      </c>
      <c r="B25" s="62" t="s">
        <v>1464</v>
      </c>
      <c r="C25" s="63" t="s">
        <v>1475</v>
      </c>
      <c r="D25" s="63" t="s">
        <v>1476</v>
      </c>
      <c r="E25" s="57" t="s">
        <v>1211</v>
      </c>
      <c r="F25" s="62" t="s">
        <v>324</v>
      </c>
      <c r="G25" s="62" t="s">
        <v>169</v>
      </c>
      <c r="H25" s="64" t="n">
        <v>35</v>
      </c>
      <c r="I25" s="64" t="n">
        <v>80</v>
      </c>
      <c r="J25" s="64" t="n">
        <f aca="false">ROUND(AVERAGE(H25:I25),1)</f>
        <v>57.5</v>
      </c>
      <c r="K25" s="59" t="n">
        <v>1.5</v>
      </c>
      <c r="L25" s="64" t="n">
        <f aca="false">J25+K25</f>
        <v>59</v>
      </c>
      <c r="M25" s="65" t="n">
        <f aca="false">IFERROR(INDEX(99_Listas!$C$2:$C$5,MATCH(G25,99_Listas!$B$2:$B$5,0)),0)</f>
        <v>0.13</v>
      </c>
      <c r="N25" s="64" t="n">
        <f aca="false">ROUND(J25*M25,2)</f>
        <v>7.48</v>
      </c>
      <c r="O25" s="64" t="n">
        <f aca="false">ROUND(J25-N25,2)</f>
        <v>50.02</v>
      </c>
      <c r="P25" s="62" t="s">
        <v>1103</v>
      </c>
      <c r="Q25" s="61" t="n">
        <v>30</v>
      </c>
      <c r="R25" s="62" t="s">
        <v>165</v>
      </c>
      <c r="S25" s="63" t="s">
        <v>1477</v>
      </c>
      <c r="T25" s="63" t="s">
        <v>203</v>
      </c>
      <c r="U25" s="63"/>
    </row>
    <row r="26" customFormat="false" ht="15" hidden="false" customHeight="true" outlineLevel="0" collapsed="false">
      <c r="A26" s="54" t="n">
        <v>25</v>
      </c>
      <c r="B26" s="55" t="s">
        <v>1464</v>
      </c>
      <c r="C26" s="56" t="s">
        <v>1478</v>
      </c>
      <c r="D26" s="56" t="s">
        <v>1479</v>
      </c>
      <c r="E26" s="57" t="s">
        <v>387</v>
      </c>
      <c r="F26" s="55" t="s">
        <v>388</v>
      </c>
      <c r="G26" s="55" t="s">
        <v>169</v>
      </c>
      <c r="H26" s="58" t="n">
        <v>35</v>
      </c>
      <c r="I26" s="58" t="n">
        <v>70</v>
      </c>
      <c r="J26" s="58" t="n">
        <f aca="false">ROUND(AVERAGE(H26:I26),1)</f>
        <v>52.5</v>
      </c>
      <c r="K26" s="59" t="n">
        <v>1.5</v>
      </c>
      <c r="L26" s="58" t="n">
        <f aca="false">J26+K26</f>
        <v>54</v>
      </c>
      <c r="M26" s="60" t="n">
        <f aca="false">IFERROR(INDEX(99_Listas!$C$2:$C$5,MATCH(G26,99_Listas!$B$2:$B$5,0)),0)</f>
        <v>0.13</v>
      </c>
      <c r="N26" s="58" t="n">
        <f aca="false">ROUND(J26*M26,2)</f>
        <v>6.83</v>
      </c>
      <c r="O26" s="58" t="n">
        <f aca="false">ROUND(J26-N26,2)</f>
        <v>45.67</v>
      </c>
      <c r="P26" s="55" t="s">
        <v>578</v>
      </c>
      <c r="Q26" s="54" t="n">
        <v>0</v>
      </c>
      <c r="R26" s="55" t="s">
        <v>258</v>
      </c>
      <c r="S26" s="56" t="s">
        <v>389</v>
      </c>
      <c r="T26" s="56" t="s">
        <v>1480</v>
      </c>
      <c r="U26" s="56" t="s">
        <v>1481</v>
      </c>
    </row>
    <row r="27" customFormat="false" ht="15" hidden="false" customHeight="true" outlineLevel="0" collapsed="false">
      <c r="A27" s="61" t="n">
        <v>26</v>
      </c>
      <c r="B27" s="62" t="s">
        <v>1482</v>
      </c>
      <c r="C27" s="63" t="s">
        <v>1483</v>
      </c>
      <c r="D27" s="63" t="s">
        <v>1484</v>
      </c>
      <c r="E27" s="57" t="s">
        <v>477</v>
      </c>
      <c r="F27" s="62" t="s">
        <v>397</v>
      </c>
      <c r="G27" s="62" t="s">
        <v>165</v>
      </c>
      <c r="H27" s="64" t="n">
        <v>90</v>
      </c>
      <c r="I27" s="64" t="n">
        <v>150</v>
      </c>
      <c r="J27" s="64" t="n">
        <f aca="false">ROUND(AVERAGE(H27:I27),1)</f>
        <v>120</v>
      </c>
      <c r="K27" s="59" t="n">
        <v>1.5</v>
      </c>
      <c r="L27" s="64" t="n">
        <f aca="false">J27+K27</f>
        <v>121.5</v>
      </c>
      <c r="M27" s="65" t="n">
        <f aca="false">IFERROR(INDEX(99_Listas!$C$2:$C$5,MATCH(G27,99_Listas!$B$2:$B$5,0)),0)</f>
        <v>0.11</v>
      </c>
      <c r="N27" s="64" t="n">
        <f aca="false">ROUND(J27*M27,2)</f>
        <v>13.2</v>
      </c>
      <c r="O27" s="64" t="n">
        <f aca="false">ROUND(J27-N27,2)</f>
        <v>106.8</v>
      </c>
      <c r="P27" s="62" t="s">
        <v>1485</v>
      </c>
      <c r="Q27" s="61" t="n">
        <v>60</v>
      </c>
      <c r="R27" s="62" t="s">
        <v>165</v>
      </c>
      <c r="S27" s="63" t="s">
        <v>228</v>
      </c>
      <c r="T27" s="63" t="s">
        <v>1486</v>
      </c>
      <c r="U27" s="63" t="s">
        <v>1487</v>
      </c>
    </row>
    <row r="28" customFormat="false" ht="15" hidden="false" customHeight="true" outlineLevel="0" collapsed="false">
      <c r="A28" s="54" t="n">
        <v>27</v>
      </c>
      <c r="B28" s="55" t="s">
        <v>1482</v>
      </c>
      <c r="C28" s="56" t="s">
        <v>1488</v>
      </c>
      <c r="D28" s="56" t="s">
        <v>1489</v>
      </c>
      <c r="E28" s="57" t="s">
        <v>477</v>
      </c>
      <c r="F28" s="55" t="s">
        <v>397</v>
      </c>
      <c r="G28" s="55" t="s">
        <v>169</v>
      </c>
      <c r="H28" s="58" t="n">
        <v>220</v>
      </c>
      <c r="I28" s="58" t="n">
        <v>375</v>
      </c>
      <c r="J28" s="58" t="n">
        <f aca="false">ROUND(AVERAGE(H28:I28),1)</f>
        <v>297.5</v>
      </c>
      <c r="K28" s="59" t="n">
        <v>1.5</v>
      </c>
      <c r="L28" s="58" t="n">
        <f aca="false">J28+K28</f>
        <v>299</v>
      </c>
      <c r="M28" s="60" t="n">
        <f aca="false">IFERROR(INDEX(99_Listas!$C$2:$C$5,MATCH(G28,99_Listas!$B$2:$B$5,0)),0)</f>
        <v>0.13</v>
      </c>
      <c r="N28" s="58" t="n">
        <f aca="false">ROUND(J28*M28,2)</f>
        <v>38.68</v>
      </c>
      <c r="O28" s="58" t="n">
        <f aca="false">ROUND(J28-N28,2)</f>
        <v>258.82</v>
      </c>
      <c r="P28" s="55" t="s">
        <v>1485</v>
      </c>
      <c r="Q28" s="54" t="n">
        <v>90</v>
      </c>
      <c r="R28" s="55" t="s">
        <v>165</v>
      </c>
      <c r="S28" s="56" t="s">
        <v>228</v>
      </c>
      <c r="T28" s="56" t="s">
        <v>200</v>
      </c>
      <c r="U28" s="56" t="s">
        <v>1490</v>
      </c>
    </row>
    <row r="29" customFormat="false" ht="15" hidden="false" customHeight="true" outlineLevel="0" collapsed="false">
      <c r="A29" s="61" t="n">
        <v>28</v>
      </c>
      <c r="B29" s="62" t="s">
        <v>1482</v>
      </c>
      <c r="C29" s="63" t="s">
        <v>1491</v>
      </c>
      <c r="D29" s="63" t="s">
        <v>1492</v>
      </c>
      <c r="E29" s="57" t="s">
        <v>1493</v>
      </c>
      <c r="F29" s="62" t="s">
        <v>1494</v>
      </c>
      <c r="G29" s="62" t="s">
        <v>161</v>
      </c>
      <c r="H29" s="64" t="n">
        <v>10</v>
      </c>
      <c r="I29" s="64" t="n">
        <v>20</v>
      </c>
      <c r="J29" s="64" t="n">
        <f aca="false">ROUND(AVERAGE(H29:I29),1)</f>
        <v>15</v>
      </c>
      <c r="K29" s="59" t="n">
        <v>1.5</v>
      </c>
      <c r="L29" s="64" t="n">
        <f aca="false">J29+K29</f>
        <v>16.5</v>
      </c>
      <c r="M29" s="65" t="n">
        <f aca="false">IFERROR(INDEX(99_Listas!$C$2:$C$5,MATCH(G29,99_Listas!$B$2:$B$5,0)),0)</f>
        <v>0.09</v>
      </c>
      <c r="N29" s="64" t="n">
        <f aca="false">ROUND(J29*M29,2)</f>
        <v>1.35</v>
      </c>
      <c r="O29" s="64" t="n">
        <f aca="false">ROUND(J29-N29,2)</f>
        <v>13.65</v>
      </c>
      <c r="P29" s="62" t="s">
        <v>519</v>
      </c>
      <c r="Q29" s="61" t="n">
        <v>10</v>
      </c>
      <c r="R29" s="62" t="s">
        <v>165</v>
      </c>
      <c r="S29" s="63" t="s">
        <v>228</v>
      </c>
      <c r="T29" s="63" t="s">
        <v>200</v>
      </c>
      <c r="U29" s="63" t="s">
        <v>1495</v>
      </c>
    </row>
    <row r="30" customFormat="false" ht="15" hidden="false" customHeight="true" outlineLevel="0" collapsed="false">
      <c r="A30" s="54" t="n">
        <v>29</v>
      </c>
      <c r="B30" s="55" t="s">
        <v>1482</v>
      </c>
      <c r="C30" s="56" t="s">
        <v>1496</v>
      </c>
      <c r="D30" s="56" t="s">
        <v>1497</v>
      </c>
      <c r="E30" s="57" t="s">
        <v>477</v>
      </c>
      <c r="F30" s="55" t="s">
        <v>397</v>
      </c>
      <c r="G30" s="55" t="s">
        <v>165</v>
      </c>
      <c r="H30" s="58" t="n">
        <v>80</v>
      </c>
      <c r="I30" s="58" t="n">
        <v>150</v>
      </c>
      <c r="J30" s="58" t="n">
        <f aca="false">ROUND(AVERAGE(H30:I30),1)</f>
        <v>115</v>
      </c>
      <c r="K30" s="59" t="n">
        <v>1.5</v>
      </c>
      <c r="L30" s="58" t="n">
        <f aca="false">J30+K30</f>
        <v>116.5</v>
      </c>
      <c r="M30" s="60" t="n">
        <f aca="false">IFERROR(INDEX(99_Listas!$C$2:$C$5,MATCH(G30,99_Listas!$B$2:$B$5,0)),0)</f>
        <v>0.11</v>
      </c>
      <c r="N30" s="58" t="n">
        <f aca="false">ROUND(J30*M30,2)</f>
        <v>12.65</v>
      </c>
      <c r="O30" s="58" t="n">
        <f aca="false">ROUND(J30-N30,2)</f>
        <v>102.35</v>
      </c>
      <c r="P30" s="55" t="s">
        <v>227</v>
      </c>
      <c r="Q30" s="54" t="n">
        <v>45</v>
      </c>
      <c r="R30" s="55" t="s">
        <v>165</v>
      </c>
      <c r="S30" s="56" t="s">
        <v>228</v>
      </c>
      <c r="T30" s="56" t="s">
        <v>200</v>
      </c>
      <c r="U30" s="56"/>
    </row>
    <row r="31" customFormat="false" ht="15" hidden="false" customHeight="true" outlineLevel="0" collapsed="false">
      <c r="A31" s="61" t="n">
        <v>30</v>
      </c>
      <c r="B31" s="62" t="s">
        <v>1482</v>
      </c>
      <c r="C31" s="63" t="s">
        <v>1498</v>
      </c>
      <c r="D31" s="63" t="s">
        <v>1499</v>
      </c>
      <c r="E31" s="57" t="s">
        <v>1500</v>
      </c>
      <c r="F31" s="62" t="s">
        <v>397</v>
      </c>
      <c r="G31" s="62" t="s">
        <v>165</v>
      </c>
      <c r="H31" s="64" t="n">
        <v>80</v>
      </c>
      <c r="I31" s="64" t="n">
        <v>180</v>
      </c>
      <c r="J31" s="64" t="n">
        <f aca="false">ROUND(AVERAGE(H31:I31),1)</f>
        <v>130</v>
      </c>
      <c r="K31" s="59" t="n">
        <v>1.5</v>
      </c>
      <c r="L31" s="64" t="n">
        <f aca="false">J31+K31</f>
        <v>131.5</v>
      </c>
      <c r="M31" s="65" t="n">
        <f aca="false">IFERROR(INDEX(99_Listas!$C$2:$C$5,MATCH(G31,99_Listas!$B$2:$B$5,0)),0)</f>
        <v>0.11</v>
      </c>
      <c r="N31" s="64" t="n">
        <f aca="false">ROUND(J31*M31,2)</f>
        <v>14.3</v>
      </c>
      <c r="O31" s="64" t="n">
        <f aca="false">ROUND(J31-N31,2)</f>
        <v>115.7</v>
      </c>
      <c r="P31" s="62" t="s">
        <v>1501</v>
      </c>
      <c r="Q31" s="61" t="n">
        <v>45</v>
      </c>
      <c r="R31" s="62" t="s">
        <v>165</v>
      </c>
      <c r="S31" s="63" t="s">
        <v>228</v>
      </c>
      <c r="T31" s="63" t="s">
        <v>200</v>
      </c>
      <c r="U31" s="63" t="s">
        <v>1502</v>
      </c>
    </row>
    <row r="32" customFormat="false" ht="23.25" hidden="false" customHeight="true" outlineLevel="0" collapsed="false">
      <c r="A32" s="54" t="n">
        <v>31</v>
      </c>
      <c r="B32" s="55" t="s">
        <v>1482</v>
      </c>
      <c r="C32" s="56" t="s">
        <v>1503</v>
      </c>
      <c r="D32" s="56" t="s">
        <v>1504</v>
      </c>
      <c r="E32" s="57" t="s">
        <v>1505</v>
      </c>
      <c r="F32" s="55" t="s">
        <v>927</v>
      </c>
      <c r="G32" s="55" t="s">
        <v>165</v>
      </c>
      <c r="H32" s="58" t="n">
        <v>40</v>
      </c>
      <c r="I32" s="58" t="n">
        <v>90</v>
      </c>
      <c r="J32" s="58" t="n">
        <f aca="false">ROUND(AVERAGE(H32:I32),1)</f>
        <v>65</v>
      </c>
      <c r="K32" s="59" t="n">
        <v>1.5</v>
      </c>
      <c r="L32" s="58" t="n">
        <f aca="false">J32+K32</f>
        <v>66.5</v>
      </c>
      <c r="M32" s="60" t="n">
        <f aca="false">IFERROR(INDEX(99_Listas!$C$2:$C$5,MATCH(G32,99_Listas!$B$2:$B$5,0)),0)</f>
        <v>0.11</v>
      </c>
      <c r="N32" s="58" t="n">
        <f aca="false">ROUND(J32*M32,2)</f>
        <v>7.15</v>
      </c>
      <c r="O32" s="58" t="n">
        <f aca="false">ROUND(J32-N32,2)</f>
        <v>57.85</v>
      </c>
      <c r="P32" s="55" t="s">
        <v>928</v>
      </c>
      <c r="Q32" s="54" t="n">
        <v>120</v>
      </c>
      <c r="R32" s="55" t="s">
        <v>258</v>
      </c>
      <c r="S32" s="56" t="s">
        <v>228</v>
      </c>
      <c r="T32" s="56" t="s">
        <v>528</v>
      </c>
      <c r="U32" s="56" t="s">
        <v>1506</v>
      </c>
    </row>
    <row r="33" customFormat="false" ht="15" hidden="false" customHeight="true" outlineLevel="0" collapsed="false">
      <c r="A33" s="61" t="n">
        <v>32</v>
      </c>
      <c r="B33" s="62" t="s">
        <v>1482</v>
      </c>
      <c r="C33" s="63" t="s">
        <v>1507</v>
      </c>
      <c r="D33" s="63" t="s">
        <v>1508</v>
      </c>
      <c r="E33" s="57" t="s">
        <v>1500</v>
      </c>
      <c r="F33" s="62" t="s">
        <v>324</v>
      </c>
      <c r="G33" s="62" t="s">
        <v>169</v>
      </c>
      <c r="H33" s="64" t="n">
        <v>80</v>
      </c>
      <c r="I33" s="64" t="n">
        <v>180</v>
      </c>
      <c r="J33" s="64" t="n">
        <f aca="false">ROUND(AVERAGE(H33:I33),1)</f>
        <v>130</v>
      </c>
      <c r="K33" s="59" t="n">
        <v>1.5</v>
      </c>
      <c r="L33" s="64" t="n">
        <f aca="false">J33+K33</f>
        <v>131.5</v>
      </c>
      <c r="M33" s="65" t="n">
        <f aca="false">IFERROR(INDEX(99_Listas!$C$2:$C$5,MATCH(G33,99_Listas!$B$2:$B$5,0)),0)</f>
        <v>0.13</v>
      </c>
      <c r="N33" s="64" t="n">
        <f aca="false">ROUND(J33*M33,2)</f>
        <v>16.9</v>
      </c>
      <c r="O33" s="64" t="n">
        <f aca="false">ROUND(J33-N33,2)</f>
        <v>113.1</v>
      </c>
      <c r="P33" s="62" t="s">
        <v>928</v>
      </c>
      <c r="Q33" s="61" t="n">
        <v>120</v>
      </c>
      <c r="R33" s="62" t="s">
        <v>258</v>
      </c>
      <c r="S33" s="63" t="s">
        <v>228</v>
      </c>
      <c r="T33" s="63" t="s">
        <v>528</v>
      </c>
      <c r="U33" s="63"/>
    </row>
    <row r="34" customFormat="false" ht="15" hidden="false" customHeight="true" outlineLevel="0" collapsed="false">
      <c r="A34" s="54" t="n">
        <v>33</v>
      </c>
      <c r="B34" s="55" t="s">
        <v>1509</v>
      </c>
      <c r="C34" s="56" t="s">
        <v>1510</v>
      </c>
      <c r="D34" s="56" t="s">
        <v>1511</v>
      </c>
      <c r="E34" s="57" t="s">
        <v>1512</v>
      </c>
      <c r="F34" s="55" t="s">
        <v>324</v>
      </c>
      <c r="G34" s="55" t="s">
        <v>165</v>
      </c>
      <c r="H34" s="58" t="n">
        <v>15</v>
      </c>
      <c r="I34" s="58" t="n">
        <v>28</v>
      </c>
      <c r="J34" s="58" t="n">
        <f aca="false">ROUND(AVERAGE(H34:I34),1)</f>
        <v>21.5</v>
      </c>
      <c r="K34" s="59" t="n">
        <v>1.5</v>
      </c>
      <c r="L34" s="58" t="n">
        <f aca="false">J34+K34</f>
        <v>23</v>
      </c>
      <c r="M34" s="60" t="n">
        <f aca="false">IFERROR(INDEX(99_Listas!$C$2:$C$5,MATCH(G34,99_Listas!$B$2:$B$5,0)),0)</f>
        <v>0.11</v>
      </c>
      <c r="N34" s="58" t="n">
        <f aca="false">ROUND(J34*M34,2)</f>
        <v>2.37</v>
      </c>
      <c r="O34" s="58" t="n">
        <f aca="false">ROUND(J34-N34,2)</f>
        <v>19.13</v>
      </c>
      <c r="P34" s="55" t="s">
        <v>578</v>
      </c>
      <c r="Q34" s="54" t="n">
        <v>15</v>
      </c>
      <c r="R34" s="55" t="s">
        <v>165</v>
      </c>
      <c r="S34" s="56" t="s">
        <v>228</v>
      </c>
      <c r="T34" s="56" t="s">
        <v>1513</v>
      </c>
      <c r="U34" s="56" t="s">
        <v>1514</v>
      </c>
    </row>
    <row r="35" customFormat="false" ht="23.25" hidden="false" customHeight="true" outlineLevel="0" collapsed="false">
      <c r="A35" s="61" t="n">
        <v>34</v>
      </c>
      <c r="B35" s="62" t="s">
        <v>1509</v>
      </c>
      <c r="C35" s="63" t="s">
        <v>1515</v>
      </c>
      <c r="D35" s="63" t="s">
        <v>1516</v>
      </c>
      <c r="E35" s="57" t="s">
        <v>584</v>
      </c>
      <c r="F35" s="62" t="s">
        <v>324</v>
      </c>
      <c r="G35" s="62" t="s">
        <v>165</v>
      </c>
      <c r="H35" s="64" t="n">
        <v>12</v>
      </c>
      <c r="I35" s="64" t="n">
        <v>22</v>
      </c>
      <c r="J35" s="64" t="n">
        <f aca="false">ROUND(AVERAGE(H35:I35),1)</f>
        <v>17</v>
      </c>
      <c r="K35" s="59" t="n">
        <v>1.5</v>
      </c>
      <c r="L35" s="64" t="n">
        <f aca="false">J35+K35</f>
        <v>18.5</v>
      </c>
      <c r="M35" s="65" t="n">
        <f aca="false">IFERROR(INDEX(99_Listas!$C$2:$C$5,MATCH(G35,99_Listas!$B$2:$B$5,0)),0)</f>
        <v>0.11</v>
      </c>
      <c r="N35" s="64" t="n">
        <f aca="false">ROUND(J35*M35,2)</f>
        <v>1.87</v>
      </c>
      <c r="O35" s="64" t="n">
        <f aca="false">ROUND(J35-N35,2)</f>
        <v>15.13</v>
      </c>
      <c r="P35" s="62" t="s">
        <v>578</v>
      </c>
      <c r="Q35" s="61" t="n">
        <v>12</v>
      </c>
      <c r="R35" s="62" t="s">
        <v>165</v>
      </c>
      <c r="S35" s="63" t="s">
        <v>228</v>
      </c>
      <c r="T35" s="63" t="s">
        <v>1517</v>
      </c>
      <c r="U35" s="63" t="s">
        <v>1518</v>
      </c>
    </row>
    <row r="36" customFormat="false" ht="15" hidden="false" customHeight="true" outlineLevel="0" collapsed="false">
      <c r="A36" s="54" t="n">
        <v>35</v>
      </c>
      <c r="B36" s="55" t="s">
        <v>1509</v>
      </c>
      <c r="C36" s="56" t="s">
        <v>1519</v>
      </c>
      <c r="D36" s="56" t="s">
        <v>1520</v>
      </c>
      <c r="E36" s="57" t="s">
        <v>1521</v>
      </c>
      <c r="F36" s="55" t="s">
        <v>324</v>
      </c>
      <c r="G36" s="55" t="s">
        <v>165</v>
      </c>
      <c r="H36" s="58" t="n">
        <v>15</v>
      </c>
      <c r="I36" s="58" t="n">
        <v>25</v>
      </c>
      <c r="J36" s="58" t="n">
        <f aca="false">ROUND(AVERAGE(H36:I36),1)</f>
        <v>20</v>
      </c>
      <c r="K36" s="59" t="n">
        <v>1.5</v>
      </c>
      <c r="L36" s="58" t="n">
        <f aca="false">J36+K36</f>
        <v>21.5</v>
      </c>
      <c r="M36" s="60" t="n">
        <f aca="false">IFERROR(INDEX(99_Listas!$C$2:$C$5,MATCH(G36,99_Listas!$B$2:$B$5,0)),0)</f>
        <v>0.11</v>
      </c>
      <c r="N36" s="58" t="n">
        <f aca="false">ROUND(J36*M36,2)</f>
        <v>2.2</v>
      </c>
      <c r="O36" s="58" t="n">
        <f aca="false">ROUND(J36-N36,2)</f>
        <v>17.8</v>
      </c>
      <c r="P36" s="55" t="s">
        <v>578</v>
      </c>
      <c r="Q36" s="54" t="n">
        <v>12</v>
      </c>
      <c r="R36" s="55" t="s">
        <v>165</v>
      </c>
      <c r="S36" s="56" t="s">
        <v>228</v>
      </c>
      <c r="T36" s="56" t="s">
        <v>402</v>
      </c>
      <c r="U36" s="56"/>
    </row>
    <row r="37" customFormat="false" ht="15" hidden="false" customHeight="true" outlineLevel="0" collapsed="false">
      <c r="A37" s="61" t="n">
        <v>36</v>
      </c>
      <c r="B37" s="62" t="s">
        <v>1509</v>
      </c>
      <c r="C37" s="63" t="s">
        <v>1522</v>
      </c>
      <c r="D37" s="63" t="s">
        <v>1523</v>
      </c>
      <c r="E37" s="57" t="s">
        <v>1521</v>
      </c>
      <c r="F37" s="62" t="s">
        <v>324</v>
      </c>
      <c r="G37" s="62" t="s">
        <v>165</v>
      </c>
      <c r="H37" s="64" t="n">
        <v>15</v>
      </c>
      <c r="I37" s="64" t="n">
        <v>28</v>
      </c>
      <c r="J37" s="64" t="n">
        <f aca="false">ROUND(AVERAGE(H37:I37),1)</f>
        <v>21.5</v>
      </c>
      <c r="K37" s="59" t="n">
        <v>1.5</v>
      </c>
      <c r="L37" s="64" t="n">
        <f aca="false">J37+K37</f>
        <v>23</v>
      </c>
      <c r="M37" s="65" t="n">
        <f aca="false">IFERROR(INDEX(99_Listas!$C$2:$C$5,MATCH(G37,99_Listas!$B$2:$B$5,0)),0)</f>
        <v>0.11</v>
      </c>
      <c r="N37" s="64" t="n">
        <f aca="false">ROUND(J37*M37,2)</f>
        <v>2.37</v>
      </c>
      <c r="O37" s="64" t="n">
        <f aca="false">ROUND(J37-N37,2)</f>
        <v>19.13</v>
      </c>
      <c r="P37" s="62" t="s">
        <v>923</v>
      </c>
      <c r="Q37" s="61" t="n">
        <v>15</v>
      </c>
      <c r="R37" s="62" t="s">
        <v>165</v>
      </c>
      <c r="S37" s="63" t="s">
        <v>228</v>
      </c>
      <c r="T37" s="63" t="s">
        <v>402</v>
      </c>
      <c r="U37" s="63"/>
    </row>
    <row r="38" customFormat="false" ht="15" hidden="false" customHeight="true" outlineLevel="0" collapsed="false">
      <c r="A38" s="54" t="n">
        <v>37</v>
      </c>
      <c r="B38" s="55" t="s">
        <v>1509</v>
      </c>
      <c r="C38" s="56" t="s">
        <v>1524</v>
      </c>
      <c r="D38" s="56" t="s">
        <v>1525</v>
      </c>
      <c r="E38" s="57" t="s">
        <v>1526</v>
      </c>
      <c r="F38" s="55" t="s">
        <v>482</v>
      </c>
      <c r="G38" s="55" t="s">
        <v>157</v>
      </c>
      <c r="H38" s="58" t="n">
        <v>5</v>
      </c>
      <c r="I38" s="58" t="n">
        <v>12</v>
      </c>
      <c r="J38" s="58" t="n">
        <f aca="false">ROUND(AVERAGE(H38:I38),1)</f>
        <v>8.5</v>
      </c>
      <c r="K38" s="59" t="n">
        <v>1.5</v>
      </c>
      <c r="L38" s="58" t="n">
        <f aca="false">J38+K38</f>
        <v>10</v>
      </c>
      <c r="M38" s="60" t="n">
        <f aca="false">IFERROR(INDEX(99_Listas!$C$2:$C$5,MATCH(G38,99_Listas!$B$2:$B$5,0)),0)</f>
        <v>0.07</v>
      </c>
      <c r="N38" s="58" t="n">
        <f aca="false">ROUND(J38*M38,2)</f>
        <v>0.6</v>
      </c>
      <c r="O38" s="58" t="n">
        <f aca="false">ROUND(J38-N38,2)</f>
        <v>7.9</v>
      </c>
      <c r="P38" s="55" t="s">
        <v>928</v>
      </c>
      <c r="Q38" s="54" t="n">
        <v>10</v>
      </c>
      <c r="R38" s="55" t="s">
        <v>165</v>
      </c>
      <c r="S38" s="56" t="s">
        <v>228</v>
      </c>
      <c r="T38" s="56" t="s">
        <v>339</v>
      </c>
      <c r="U38" s="56" t="s">
        <v>1527</v>
      </c>
    </row>
    <row r="39" customFormat="false" ht="15" hidden="false" customHeight="true" outlineLevel="0" collapsed="false">
      <c r="A39" s="61" t="n">
        <v>38</v>
      </c>
      <c r="B39" s="62" t="s">
        <v>1509</v>
      </c>
      <c r="C39" s="63" t="s">
        <v>1528</v>
      </c>
      <c r="D39" s="63" t="s">
        <v>1529</v>
      </c>
      <c r="E39" s="57" t="s">
        <v>1521</v>
      </c>
      <c r="F39" s="62" t="s">
        <v>324</v>
      </c>
      <c r="G39" s="62" t="s">
        <v>161</v>
      </c>
      <c r="H39" s="64" t="n">
        <v>10</v>
      </c>
      <c r="I39" s="64" t="n">
        <v>18</v>
      </c>
      <c r="J39" s="64" t="n">
        <f aca="false">ROUND(AVERAGE(H39:I39),1)</f>
        <v>14</v>
      </c>
      <c r="K39" s="59" t="n">
        <v>1.5</v>
      </c>
      <c r="L39" s="64" t="n">
        <f aca="false">J39+K39</f>
        <v>15.5</v>
      </c>
      <c r="M39" s="65" t="n">
        <f aca="false">IFERROR(INDEX(99_Listas!$C$2:$C$5,MATCH(G39,99_Listas!$B$2:$B$5,0)),0)</f>
        <v>0.09</v>
      </c>
      <c r="N39" s="64" t="n">
        <f aca="false">ROUND(J39*M39,2)</f>
        <v>1.26</v>
      </c>
      <c r="O39" s="64" t="n">
        <f aca="false">ROUND(J39-N39,2)</f>
        <v>12.74</v>
      </c>
      <c r="P39" s="62" t="s">
        <v>578</v>
      </c>
      <c r="Q39" s="61" t="n">
        <v>12</v>
      </c>
      <c r="R39" s="62" t="s">
        <v>165</v>
      </c>
      <c r="S39" s="63" t="s">
        <v>228</v>
      </c>
      <c r="T39" s="63" t="s">
        <v>339</v>
      </c>
      <c r="U39" s="63"/>
    </row>
    <row r="40" customFormat="false" ht="15" hidden="false" customHeight="true" outlineLevel="0" collapsed="false">
      <c r="A40" s="54" t="n">
        <v>39</v>
      </c>
      <c r="B40" s="55" t="s">
        <v>1530</v>
      </c>
      <c r="C40" s="56" t="s">
        <v>1531</v>
      </c>
      <c r="D40" s="56" t="s">
        <v>1532</v>
      </c>
      <c r="E40" s="57" t="s">
        <v>1533</v>
      </c>
      <c r="F40" s="55" t="s">
        <v>902</v>
      </c>
      <c r="G40" s="55" t="s">
        <v>169</v>
      </c>
      <c r="H40" s="58" t="n">
        <v>40</v>
      </c>
      <c r="I40" s="58" t="n">
        <v>90</v>
      </c>
      <c r="J40" s="58" t="n">
        <f aca="false">ROUND(AVERAGE(H40:I40),1)</f>
        <v>65</v>
      </c>
      <c r="K40" s="59" t="n">
        <v>1.5</v>
      </c>
      <c r="L40" s="58" t="n">
        <f aca="false">J40+K40</f>
        <v>66.5</v>
      </c>
      <c r="M40" s="60" t="n">
        <f aca="false">IFERROR(INDEX(99_Listas!$C$2:$C$5,MATCH(G40,99_Listas!$B$2:$B$5,0)),0)</f>
        <v>0.13</v>
      </c>
      <c r="N40" s="58" t="n">
        <f aca="false">ROUND(J40*M40,2)</f>
        <v>8.45</v>
      </c>
      <c r="O40" s="58" t="n">
        <f aca="false">ROUND(J40-N40,2)</f>
        <v>56.55</v>
      </c>
      <c r="P40" s="55" t="s">
        <v>1456</v>
      </c>
      <c r="Q40" s="54" t="n">
        <v>30</v>
      </c>
      <c r="R40" s="55" t="s">
        <v>165</v>
      </c>
      <c r="S40" s="56" t="s">
        <v>389</v>
      </c>
      <c r="T40" s="56" t="s">
        <v>1534</v>
      </c>
      <c r="U40" s="56" t="s">
        <v>1535</v>
      </c>
    </row>
    <row r="41" customFormat="false" ht="15" hidden="false" customHeight="true" outlineLevel="0" collapsed="false">
      <c r="A41" s="61" t="n">
        <v>40</v>
      </c>
      <c r="B41" s="62" t="s">
        <v>1530</v>
      </c>
      <c r="C41" s="63" t="s">
        <v>1536</v>
      </c>
      <c r="D41" s="63" t="s">
        <v>1537</v>
      </c>
      <c r="E41" s="57" t="s">
        <v>1538</v>
      </c>
      <c r="F41" s="62" t="s">
        <v>388</v>
      </c>
      <c r="G41" s="62" t="s">
        <v>169</v>
      </c>
      <c r="H41" s="64" t="n">
        <v>50</v>
      </c>
      <c r="I41" s="64" t="n">
        <v>120</v>
      </c>
      <c r="J41" s="64" t="n">
        <f aca="false">ROUND(AVERAGE(H41:I41),1)</f>
        <v>85</v>
      </c>
      <c r="K41" s="59" t="n">
        <v>1.5</v>
      </c>
      <c r="L41" s="64" t="n">
        <f aca="false">J41+K41</f>
        <v>86.5</v>
      </c>
      <c r="M41" s="65" t="n">
        <f aca="false">IFERROR(INDEX(99_Listas!$C$2:$C$5,MATCH(G41,99_Listas!$B$2:$B$5,0)),0)</f>
        <v>0.13</v>
      </c>
      <c r="N41" s="64" t="n">
        <f aca="false">ROUND(J41*M41,2)</f>
        <v>11.05</v>
      </c>
      <c r="O41" s="64" t="n">
        <f aca="false">ROUND(J41-N41,2)</f>
        <v>73.95</v>
      </c>
      <c r="P41" s="62" t="s">
        <v>1539</v>
      </c>
      <c r="Q41" s="61" t="n">
        <v>0</v>
      </c>
      <c r="R41" s="62" t="s">
        <v>258</v>
      </c>
      <c r="S41" s="63" t="s">
        <v>389</v>
      </c>
      <c r="T41" s="63" t="s">
        <v>1534</v>
      </c>
      <c r="U41" s="63" t="s">
        <v>391</v>
      </c>
    </row>
    <row r="42" customFormat="false" ht="15" hidden="false" customHeight="true" outlineLevel="0" collapsed="false">
      <c r="A42" s="54" t="n">
        <v>41</v>
      </c>
      <c r="B42" s="55" t="s">
        <v>1395</v>
      </c>
      <c r="C42" s="56" t="s">
        <v>1540</v>
      </c>
      <c r="D42" s="56" t="s">
        <v>1541</v>
      </c>
      <c r="E42" s="57" t="s">
        <v>1398</v>
      </c>
      <c r="F42" s="55" t="s">
        <v>344</v>
      </c>
      <c r="G42" s="55" t="s">
        <v>169</v>
      </c>
      <c r="H42" s="58" t="n">
        <v>35</v>
      </c>
      <c r="I42" s="58" t="n">
        <v>60</v>
      </c>
      <c r="J42" s="58" t="n">
        <f aca="false">ROUND(AVERAGE(H42:I42),1)</f>
        <v>47.5</v>
      </c>
      <c r="K42" s="59" t="n">
        <v>1.5</v>
      </c>
      <c r="L42" s="58" t="n">
        <f aca="false">J42+K42</f>
        <v>49</v>
      </c>
      <c r="M42" s="60" t="n">
        <f aca="false">IFERROR(INDEX(99_Listas!$C$2:$C$5,MATCH(G42,99_Listas!$B$2:$B$5,0)),0)</f>
        <v>0.13</v>
      </c>
      <c r="N42" s="58" t="n">
        <f aca="false">ROUND(J42*M42,2)</f>
        <v>6.18</v>
      </c>
      <c r="O42" s="58" t="n">
        <f aca="false">ROUND(J42-N42,2)</f>
        <v>41.32</v>
      </c>
      <c r="P42" s="55" t="s">
        <v>711</v>
      </c>
      <c r="Q42" s="54" t="n">
        <v>45</v>
      </c>
      <c r="R42" s="55" t="s">
        <v>165</v>
      </c>
      <c r="S42" s="56" t="s">
        <v>1542</v>
      </c>
      <c r="T42" s="56" t="s">
        <v>1414</v>
      </c>
      <c r="U42" s="56"/>
    </row>
    <row r="43" customFormat="false" ht="15" hidden="false" customHeight="true" outlineLevel="0" collapsed="false">
      <c r="A43" s="61" t="n">
        <v>42</v>
      </c>
      <c r="B43" s="62" t="s">
        <v>1395</v>
      </c>
      <c r="C43" s="63" t="s">
        <v>1543</v>
      </c>
      <c r="D43" s="63" t="s">
        <v>1544</v>
      </c>
      <c r="E43" s="57" t="s">
        <v>1398</v>
      </c>
      <c r="F43" s="62" t="s">
        <v>902</v>
      </c>
      <c r="G43" s="62" t="s">
        <v>169</v>
      </c>
      <c r="H43" s="64" t="n">
        <v>100</v>
      </c>
      <c r="I43" s="64" t="n">
        <v>180</v>
      </c>
      <c r="J43" s="64" t="n">
        <f aca="false">ROUND(AVERAGE(H43:I43),1)</f>
        <v>140</v>
      </c>
      <c r="K43" s="59" t="n">
        <v>1.5</v>
      </c>
      <c r="L43" s="64" t="n">
        <f aca="false">J43+K43</f>
        <v>141.5</v>
      </c>
      <c r="M43" s="65" t="n">
        <f aca="false">IFERROR(INDEX(99_Listas!$C$2:$C$5,MATCH(G43,99_Listas!$B$2:$B$5,0)),0)</f>
        <v>0.13</v>
      </c>
      <c r="N43" s="64" t="n">
        <f aca="false">ROUND(J43*M43,2)</f>
        <v>18.2</v>
      </c>
      <c r="O43" s="64" t="n">
        <f aca="false">ROUND(J43-N43,2)</f>
        <v>121.8</v>
      </c>
      <c r="P43" s="62" t="s">
        <v>711</v>
      </c>
      <c r="Q43" s="61" t="n">
        <v>60</v>
      </c>
      <c r="R43" s="62" t="s">
        <v>165</v>
      </c>
      <c r="S43" s="63" t="s">
        <v>1542</v>
      </c>
      <c r="T43" s="63" t="s">
        <v>1414</v>
      </c>
      <c r="U43" s="63" t="s">
        <v>1545</v>
      </c>
    </row>
    <row r="44" customFormat="false" ht="15" hidden="false" customHeight="true" outlineLevel="0" collapsed="false">
      <c r="A44" s="54" t="n">
        <v>43</v>
      </c>
      <c r="B44" s="55" t="s">
        <v>1409</v>
      </c>
      <c r="C44" s="56" t="s">
        <v>1546</v>
      </c>
      <c r="D44" s="56" t="s">
        <v>1547</v>
      </c>
      <c r="E44" s="57" t="s">
        <v>1548</v>
      </c>
      <c r="F44" s="55" t="s">
        <v>482</v>
      </c>
      <c r="G44" s="55" t="s">
        <v>169</v>
      </c>
      <c r="H44" s="58" t="n">
        <v>25</v>
      </c>
      <c r="I44" s="58" t="n">
        <v>45</v>
      </c>
      <c r="J44" s="58" t="n">
        <f aca="false">ROUND(AVERAGE(H44:I44),1)</f>
        <v>35</v>
      </c>
      <c r="K44" s="59" t="n">
        <v>1.5</v>
      </c>
      <c r="L44" s="58" t="n">
        <f aca="false">J44+K44</f>
        <v>36.5</v>
      </c>
      <c r="M44" s="60" t="n">
        <f aca="false">IFERROR(INDEX(99_Listas!$C$2:$C$5,MATCH(G44,99_Listas!$B$2:$B$5,0)),0)</f>
        <v>0.13</v>
      </c>
      <c r="N44" s="58" t="n">
        <f aca="false">ROUND(J44*M44,2)</f>
        <v>4.55</v>
      </c>
      <c r="O44" s="58" t="n">
        <f aca="false">ROUND(J44-N44,2)</f>
        <v>30.45</v>
      </c>
      <c r="P44" s="55" t="s">
        <v>1422</v>
      </c>
      <c r="Q44" s="54" t="n">
        <v>60</v>
      </c>
      <c r="R44" s="55" t="s">
        <v>165</v>
      </c>
      <c r="S44" s="56" t="s">
        <v>380</v>
      </c>
      <c r="T44" s="56" t="s">
        <v>1414</v>
      </c>
      <c r="U44" s="56"/>
    </row>
    <row r="45" customFormat="false" ht="15" hidden="false" customHeight="true" outlineLevel="0" collapsed="false">
      <c r="A45" s="61" t="n">
        <v>44</v>
      </c>
      <c r="B45" s="62" t="s">
        <v>1409</v>
      </c>
      <c r="C45" s="63" t="s">
        <v>1549</v>
      </c>
      <c r="D45" s="63" t="s">
        <v>1550</v>
      </c>
      <c r="E45" s="57" t="s">
        <v>1262</v>
      </c>
      <c r="F45" s="62" t="s">
        <v>344</v>
      </c>
      <c r="G45" s="62" t="s">
        <v>169</v>
      </c>
      <c r="H45" s="64" t="n">
        <v>28</v>
      </c>
      <c r="I45" s="64" t="n">
        <v>50</v>
      </c>
      <c r="J45" s="64" t="n">
        <f aca="false">ROUND(AVERAGE(H45:I45),1)</f>
        <v>39</v>
      </c>
      <c r="K45" s="59" t="n">
        <v>1.5</v>
      </c>
      <c r="L45" s="64" t="n">
        <f aca="false">J45+K45</f>
        <v>40.5</v>
      </c>
      <c r="M45" s="65" t="n">
        <f aca="false">IFERROR(INDEX(99_Listas!$C$2:$C$5,MATCH(G45,99_Listas!$B$2:$B$5,0)),0)</f>
        <v>0.13</v>
      </c>
      <c r="N45" s="64" t="n">
        <f aca="false">ROUND(J45*M45,2)</f>
        <v>5.07</v>
      </c>
      <c r="O45" s="64" t="n">
        <f aca="false">ROUND(J45-N45,2)</f>
        <v>33.93</v>
      </c>
      <c r="P45" s="62" t="s">
        <v>805</v>
      </c>
      <c r="Q45" s="61" t="n">
        <v>20</v>
      </c>
      <c r="R45" s="62" t="s">
        <v>165</v>
      </c>
      <c r="S45" s="63" t="s">
        <v>228</v>
      </c>
      <c r="T45" s="63" t="s">
        <v>163</v>
      </c>
      <c r="U45" s="63"/>
    </row>
    <row r="46" customFormat="false" ht="15" hidden="false" customHeight="true" outlineLevel="0" collapsed="false">
      <c r="A46" s="54" t="n">
        <v>45</v>
      </c>
      <c r="B46" s="55" t="s">
        <v>1409</v>
      </c>
      <c r="C46" s="56" t="s">
        <v>1551</v>
      </c>
      <c r="D46" s="56" t="s">
        <v>1552</v>
      </c>
      <c r="E46" s="57" t="s">
        <v>1553</v>
      </c>
      <c r="F46" s="55" t="s">
        <v>344</v>
      </c>
      <c r="G46" s="55" t="s">
        <v>161</v>
      </c>
      <c r="H46" s="58" t="n">
        <v>12</v>
      </c>
      <c r="I46" s="58" t="n">
        <v>22</v>
      </c>
      <c r="J46" s="58" t="n">
        <f aca="false">ROUND(AVERAGE(H46:I46),1)</f>
        <v>17</v>
      </c>
      <c r="K46" s="59" t="n">
        <v>1.5</v>
      </c>
      <c r="L46" s="58" t="n">
        <f aca="false">J46+K46</f>
        <v>18.5</v>
      </c>
      <c r="M46" s="60" t="n">
        <f aca="false">IFERROR(INDEX(99_Listas!$C$2:$C$5,MATCH(G46,99_Listas!$B$2:$B$5,0)),0)</f>
        <v>0.09</v>
      </c>
      <c r="N46" s="58" t="n">
        <f aca="false">ROUND(J46*M46,2)</f>
        <v>1.53</v>
      </c>
      <c r="O46" s="58" t="n">
        <f aca="false">ROUND(J46-N46,2)</f>
        <v>15.47</v>
      </c>
      <c r="P46" s="55" t="s">
        <v>715</v>
      </c>
      <c r="Q46" s="54" t="n">
        <v>18</v>
      </c>
      <c r="R46" s="55" t="s">
        <v>276</v>
      </c>
      <c r="S46" s="56" t="s">
        <v>228</v>
      </c>
      <c r="T46" s="56" t="s">
        <v>260</v>
      </c>
      <c r="U46" s="56"/>
    </row>
    <row r="47" customFormat="false" ht="15" hidden="false" customHeight="true" outlineLevel="0" collapsed="false">
      <c r="A47" s="61" t="n">
        <v>46</v>
      </c>
      <c r="B47" s="62" t="s">
        <v>1429</v>
      </c>
      <c r="C47" s="63" t="s">
        <v>1554</v>
      </c>
      <c r="D47" s="63" t="s">
        <v>1555</v>
      </c>
      <c r="E47" s="57" t="s">
        <v>1556</v>
      </c>
      <c r="F47" s="62" t="s">
        <v>1094</v>
      </c>
      <c r="G47" s="62" t="s">
        <v>169</v>
      </c>
      <c r="H47" s="64" t="n">
        <v>180</v>
      </c>
      <c r="I47" s="64" t="n">
        <v>350</v>
      </c>
      <c r="J47" s="64" t="n">
        <f aca="false">ROUND(AVERAGE(H47:I47),1)</f>
        <v>265</v>
      </c>
      <c r="K47" s="59" t="n">
        <v>1.5</v>
      </c>
      <c r="L47" s="64" t="n">
        <f aca="false">J47+K47</f>
        <v>266.5</v>
      </c>
      <c r="M47" s="65" t="n">
        <f aca="false">IFERROR(INDEX(99_Listas!$C$2:$C$5,MATCH(G47,99_Listas!$B$2:$B$5,0)),0)</f>
        <v>0.13</v>
      </c>
      <c r="N47" s="64" t="n">
        <f aca="false">ROUND(J47*M47,2)</f>
        <v>34.45</v>
      </c>
      <c r="O47" s="64" t="n">
        <f aca="false">ROUND(J47-N47,2)</f>
        <v>230.55</v>
      </c>
      <c r="P47" s="62" t="s">
        <v>928</v>
      </c>
      <c r="Q47" s="61" t="n">
        <v>180</v>
      </c>
      <c r="R47" s="62" t="s">
        <v>165</v>
      </c>
      <c r="S47" s="63" t="s">
        <v>1474</v>
      </c>
      <c r="T47" s="63" t="s">
        <v>1557</v>
      </c>
      <c r="U47" s="63" t="s">
        <v>1558</v>
      </c>
    </row>
    <row r="48" customFormat="false" ht="15" hidden="false" customHeight="true" outlineLevel="0" collapsed="false">
      <c r="A48" s="54" t="n">
        <v>47</v>
      </c>
      <c r="B48" s="55" t="s">
        <v>1429</v>
      </c>
      <c r="C48" s="56" t="s">
        <v>1559</v>
      </c>
      <c r="D48" s="56" t="s">
        <v>1560</v>
      </c>
      <c r="E48" s="57" t="s">
        <v>1432</v>
      </c>
      <c r="F48" s="55" t="s">
        <v>902</v>
      </c>
      <c r="G48" s="55" t="s">
        <v>169</v>
      </c>
      <c r="H48" s="58" t="n">
        <v>180</v>
      </c>
      <c r="I48" s="58" t="n">
        <v>350</v>
      </c>
      <c r="J48" s="58" t="n">
        <f aca="false">ROUND(AVERAGE(H48:I48),1)</f>
        <v>265</v>
      </c>
      <c r="K48" s="59" t="n">
        <v>1.5</v>
      </c>
      <c r="L48" s="58" t="n">
        <f aca="false">J48+K48</f>
        <v>266.5</v>
      </c>
      <c r="M48" s="60" t="n">
        <f aca="false">IFERROR(INDEX(99_Listas!$C$2:$C$5,MATCH(G48,99_Listas!$B$2:$B$5,0)),0)</f>
        <v>0.13</v>
      </c>
      <c r="N48" s="58" t="n">
        <f aca="false">ROUND(J48*M48,2)</f>
        <v>34.45</v>
      </c>
      <c r="O48" s="58" t="n">
        <f aca="false">ROUND(J48-N48,2)</f>
        <v>230.55</v>
      </c>
      <c r="P48" s="55" t="s">
        <v>711</v>
      </c>
      <c r="Q48" s="54" t="n">
        <v>120</v>
      </c>
      <c r="R48" s="55" t="s">
        <v>165</v>
      </c>
      <c r="S48" s="56" t="s">
        <v>1542</v>
      </c>
      <c r="T48" s="56" t="s">
        <v>1414</v>
      </c>
      <c r="U48" s="56"/>
    </row>
    <row r="49" customFormat="false" ht="15" hidden="false" customHeight="true" outlineLevel="0" collapsed="false">
      <c r="A49" s="61" t="n">
        <v>48</v>
      </c>
      <c r="B49" s="62" t="s">
        <v>1429</v>
      </c>
      <c r="C49" s="63" t="s">
        <v>1561</v>
      </c>
      <c r="D49" s="63" t="s">
        <v>1188</v>
      </c>
      <c r="E49" s="57" t="s">
        <v>1186</v>
      </c>
      <c r="F49" s="62" t="s">
        <v>902</v>
      </c>
      <c r="G49" s="62" t="s">
        <v>169</v>
      </c>
      <c r="H49" s="64" t="n">
        <v>120</v>
      </c>
      <c r="I49" s="64" t="n">
        <v>220</v>
      </c>
      <c r="J49" s="64" t="n">
        <f aca="false">ROUND(AVERAGE(H49:I49),1)</f>
        <v>170</v>
      </c>
      <c r="K49" s="59" t="n">
        <v>1.5</v>
      </c>
      <c r="L49" s="64" t="n">
        <f aca="false">J49+K49</f>
        <v>171.5</v>
      </c>
      <c r="M49" s="65" t="n">
        <f aca="false">IFERROR(INDEX(99_Listas!$C$2:$C$5,MATCH(G49,99_Listas!$B$2:$B$5,0)),0)</f>
        <v>0.13</v>
      </c>
      <c r="N49" s="64" t="n">
        <f aca="false">ROUND(J49*M49,2)</f>
        <v>22.1</v>
      </c>
      <c r="O49" s="64" t="n">
        <f aca="false">ROUND(J49-N49,2)</f>
        <v>147.9</v>
      </c>
      <c r="P49" s="62" t="s">
        <v>805</v>
      </c>
      <c r="Q49" s="61" t="n">
        <v>40</v>
      </c>
      <c r="R49" s="62" t="s">
        <v>165</v>
      </c>
      <c r="S49" s="63" t="s">
        <v>380</v>
      </c>
      <c r="T49" s="63" t="s">
        <v>196</v>
      </c>
      <c r="U49" s="63"/>
    </row>
    <row r="50" customFormat="false" ht="15" hidden="false" customHeight="true" outlineLevel="0" collapsed="false">
      <c r="A50" s="54" t="n">
        <v>49</v>
      </c>
      <c r="B50" s="55" t="s">
        <v>1429</v>
      </c>
      <c r="C50" s="56" t="s">
        <v>1562</v>
      </c>
      <c r="D50" s="56" t="s">
        <v>1563</v>
      </c>
      <c r="E50" s="57" t="s">
        <v>1564</v>
      </c>
      <c r="F50" s="55" t="s">
        <v>902</v>
      </c>
      <c r="G50" s="55" t="s">
        <v>169</v>
      </c>
      <c r="H50" s="58" t="n">
        <v>70</v>
      </c>
      <c r="I50" s="58" t="n">
        <v>130</v>
      </c>
      <c r="J50" s="58" t="n">
        <f aca="false">ROUND(AVERAGE(H50:I50),1)</f>
        <v>100</v>
      </c>
      <c r="K50" s="59" t="n">
        <v>1.5</v>
      </c>
      <c r="L50" s="58" t="n">
        <f aca="false">J50+K50</f>
        <v>101.5</v>
      </c>
      <c r="M50" s="60" t="n">
        <f aca="false">IFERROR(INDEX(99_Listas!$C$2:$C$5,MATCH(G50,99_Listas!$B$2:$B$5,0)),0)</f>
        <v>0.13</v>
      </c>
      <c r="N50" s="58" t="n">
        <f aca="false">ROUND(J50*M50,2)</f>
        <v>13</v>
      </c>
      <c r="O50" s="58" t="n">
        <f aca="false">ROUND(J50-N50,2)</f>
        <v>87</v>
      </c>
      <c r="P50" s="55" t="s">
        <v>1422</v>
      </c>
      <c r="Q50" s="54" t="n">
        <v>45</v>
      </c>
      <c r="R50" s="55" t="s">
        <v>276</v>
      </c>
      <c r="S50" s="56" t="s">
        <v>380</v>
      </c>
      <c r="T50" s="56" t="s">
        <v>203</v>
      </c>
      <c r="U50" s="56"/>
    </row>
    <row r="51" customFormat="false" ht="23.25" hidden="false" customHeight="true" outlineLevel="0" collapsed="false">
      <c r="A51" s="61" t="n">
        <v>50</v>
      </c>
      <c r="B51" s="62" t="s">
        <v>1453</v>
      </c>
      <c r="C51" s="63" t="s">
        <v>1565</v>
      </c>
      <c r="D51" s="63" t="s">
        <v>1566</v>
      </c>
      <c r="E51" s="57" t="s">
        <v>757</v>
      </c>
      <c r="F51" s="62" t="s">
        <v>344</v>
      </c>
      <c r="G51" s="62" t="s">
        <v>169</v>
      </c>
      <c r="H51" s="64" t="n">
        <v>25</v>
      </c>
      <c r="I51" s="64" t="n">
        <v>45</v>
      </c>
      <c r="J51" s="64" t="n">
        <f aca="false">ROUND(AVERAGE(H51:I51),1)</f>
        <v>35</v>
      </c>
      <c r="K51" s="59" t="n">
        <v>1.5</v>
      </c>
      <c r="L51" s="64" t="n">
        <f aca="false">J51+K51</f>
        <v>36.5</v>
      </c>
      <c r="M51" s="65" t="n">
        <f aca="false">IFERROR(INDEX(99_Listas!$C$2:$C$5,MATCH(G51,99_Listas!$B$2:$B$5,0)),0)</f>
        <v>0.13</v>
      </c>
      <c r="N51" s="64" t="n">
        <f aca="false">ROUND(J51*M51,2)</f>
        <v>4.55</v>
      </c>
      <c r="O51" s="64" t="n">
        <f aca="false">ROUND(J51-N51,2)</f>
        <v>30.45</v>
      </c>
      <c r="P51" s="62" t="s">
        <v>1456</v>
      </c>
      <c r="Q51" s="61" t="n">
        <v>20</v>
      </c>
      <c r="R51" s="62" t="s">
        <v>165</v>
      </c>
      <c r="S51" s="63" t="s">
        <v>228</v>
      </c>
      <c r="T51" s="63" t="s">
        <v>163</v>
      </c>
      <c r="U51" s="63"/>
    </row>
    <row r="52" customFormat="false" ht="23.25" hidden="false" customHeight="true" outlineLevel="0" collapsed="false">
      <c r="A52" s="54" t="n">
        <v>51</v>
      </c>
      <c r="B52" s="55" t="s">
        <v>1453</v>
      </c>
      <c r="C52" s="56" t="s">
        <v>1567</v>
      </c>
      <c r="D52" s="56" t="s">
        <v>1568</v>
      </c>
      <c r="E52" s="57" t="s">
        <v>757</v>
      </c>
      <c r="F52" s="55" t="s">
        <v>344</v>
      </c>
      <c r="G52" s="55" t="s">
        <v>169</v>
      </c>
      <c r="H52" s="58" t="n">
        <v>28</v>
      </c>
      <c r="I52" s="58" t="n">
        <v>50</v>
      </c>
      <c r="J52" s="58" t="n">
        <f aca="false">ROUND(AVERAGE(H52:I52),1)</f>
        <v>39</v>
      </c>
      <c r="K52" s="59" t="n">
        <v>1.5</v>
      </c>
      <c r="L52" s="58" t="n">
        <f aca="false">J52+K52</f>
        <v>40.5</v>
      </c>
      <c r="M52" s="60" t="n">
        <f aca="false">IFERROR(INDEX(99_Listas!$C$2:$C$5,MATCH(G52,99_Listas!$B$2:$B$5,0)),0)</f>
        <v>0.13</v>
      </c>
      <c r="N52" s="58" t="n">
        <f aca="false">ROUND(J52*M52,2)</f>
        <v>5.07</v>
      </c>
      <c r="O52" s="58" t="n">
        <f aca="false">ROUND(J52-N52,2)</f>
        <v>33.93</v>
      </c>
      <c r="P52" s="55" t="s">
        <v>1456</v>
      </c>
      <c r="Q52" s="54" t="n">
        <v>22</v>
      </c>
      <c r="R52" s="55" t="s">
        <v>165</v>
      </c>
      <c r="S52" s="56" t="s">
        <v>228</v>
      </c>
      <c r="T52" s="56" t="s">
        <v>163</v>
      </c>
      <c r="U52" s="56"/>
    </row>
    <row r="53" customFormat="false" ht="15" hidden="false" customHeight="true" outlineLevel="0" collapsed="false">
      <c r="A53" s="61" t="n">
        <v>52</v>
      </c>
      <c r="B53" s="62" t="s">
        <v>1482</v>
      </c>
      <c r="C53" s="63" t="s">
        <v>1569</v>
      </c>
      <c r="D53" s="63" t="s">
        <v>1570</v>
      </c>
      <c r="E53" s="57" t="s">
        <v>477</v>
      </c>
      <c r="F53" s="62" t="s">
        <v>397</v>
      </c>
      <c r="G53" s="62" t="s">
        <v>169</v>
      </c>
      <c r="H53" s="64" t="n">
        <v>200</v>
      </c>
      <c r="I53" s="64" t="n">
        <v>400</v>
      </c>
      <c r="J53" s="64" t="n">
        <f aca="false">ROUND(AVERAGE(H53:I53),1)</f>
        <v>300</v>
      </c>
      <c r="K53" s="59" t="n">
        <v>1.5</v>
      </c>
      <c r="L53" s="64" t="n">
        <f aca="false">J53+K53</f>
        <v>301.5</v>
      </c>
      <c r="M53" s="65" t="n">
        <f aca="false">IFERROR(INDEX(99_Listas!$C$2:$C$5,MATCH(G53,99_Listas!$B$2:$B$5,0)),0)</f>
        <v>0.13</v>
      </c>
      <c r="N53" s="64" t="n">
        <f aca="false">ROUND(J53*M53,2)</f>
        <v>39</v>
      </c>
      <c r="O53" s="64" t="n">
        <f aca="false">ROUND(J53-N53,2)</f>
        <v>261</v>
      </c>
      <c r="P53" s="62" t="s">
        <v>1086</v>
      </c>
      <c r="Q53" s="61" t="n">
        <v>90</v>
      </c>
      <c r="R53" s="62" t="s">
        <v>165</v>
      </c>
      <c r="S53" s="63" t="s">
        <v>228</v>
      </c>
      <c r="T53" s="63" t="s">
        <v>200</v>
      </c>
      <c r="U53" s="63"/>
    </row>
    <row r="54" customFormat="false" ht="15" hidden="false" customHeight="true" outlineLevel="0" collapsed="false">
      <c r="A54" s="54" t="n">
        <v>53</v>
      </c>
      <c r="B54" s="55" t="s">
        <v>1482</v>
      </c>
      <c r="C54" s="56" t="s">
        <v>1571</v>
      </c>
      <c r="D54" s="56" t="s">
        <v>1572</v>
      </c>
      <c r="E54" s="57" t="s">
        <v>1493</v>
      </c>
      <c r="F54" s="55" t="s">
        <v>397</v>
      </c>
      <c r="G54" s="55" t="s">
        <v>165</v>
      </c>
      <c r="H54" s="58" t="n">
        <v>150</v>
      </c>
      <c r="I54" s="58" t="n">
        <v>300</v>
      </c>
      <c r="J54" s="58" t="n">
        <f aca="false">ROUND(AVERAGE(H54:I54),1)</f>
        <v>225</v>
      </c>
      <c r="K54" s="59" t="n">
        <v>1.5</v>
      </c>
      <c r="L54" s="58" t="n">
        <f aca="false">J54+K54</f>
        <v>226.5</v>
      </c>
      <c r="M54" s="60" t="n">
        <f aca="false">IFERROR(INDEX(99_Listas!$C$2:$C$5,MATCH(G54,99_Listas!$B$2:$B$5,0)),0)</f>
        <v>0.11</v>
      </c>
      <c r="N54" s="58" t="n">
        <f aca="false">ROUND(J54*M54,2)</f>
        <v>24.75</v>
      </c>
      <c r="O54" s="58" t="n">
        <f aca="false">ROUND(J54-N54,2)</f>
        <v>200.25</v>
      </c>
      <c r="P54" s="55" t="s">
        <v>325</v>
      </c>
      <c r="Q54" s="54" t="n">
        <v>60</v>
      </c>
      <c r="R54" s="55" t="s">
        <v>276</v>
      </c>
      <c r="S54" s="56" t="s">
        <v>1573</v>
      </c>
      <c r="T54" s="56" t="s">
        <v>200</v>
      </c>
      <c r="U54" s="56" t="s">
        <v>1574</v>
      </c>
    </row>
    <row r="55" customFormat="false" ht="15" hidden="false" customHeight="true" outlineLevel="0" collapsed="false">
      <c r="A55" s="61" t="n">
        <v>54</v>
      </c>
      <c r="B55" s="62" t="s">
        <v>1482</v>
      </c>
      <c r="C55" s="63" t="s">
        <v>1575</v>
      </c>
      <c r="D55" s="63" t="s">
        <v>1576</v>
      </c>
      <c r="E55" s="57" t="s">
        <v>477</v>
      </c>
      <c r="F55" s="62" t="s">
        <v>397</v>
      </c>
      <c r="G55" s="62" t="s">
        <v>169</v>
      </c>
      <c r="H55" s="64" t="n">
        <v>450</v>
      </c>
      <c r="I55" s="64" t="n">
        <v>700</v>
      </c>
      <c r="J55" s="64" t="n">
        <f aca="false">ROUND(AVERAGE(H55:I55),1)</f>
        <v>575</v>
      </c>
      <c r="K55" s="59" t="n">
        <v>1.5</v>
      </c>
      <c r="L55" s="64" t="n">
        <f aca="false">J55+K55</f>
        <v>576.5</v>
      </c>
      <c r="M55" s="65" t="n">
        <f aca="false">IFERROR(INDEX(99_Listas!$C$2:$C$5,MATCH(G55,99_Listas!$B$2:$B$5,0)),0)</f>
        <v>0.13</v>
      </c>
      <c r="N55" s="64" t="n">
        <f aca="false">ROUND(J55*M55,2)</f>
        <v>74.75</v>
      </c>
      <c r="O55" s="64" t="n">
        <f aca="false">ROUND(J55-N55,2)</f>
        <v>500.25</v>
      </c>
      <c r="P55" s="62" t="s">
        <v>1577</v>
      </c>
      <c r="Q55" s="61" t="n">
        <v>120</v>
      </c>
      <c r="R55" s="62" t="s">
        <v>276</v>
      </c>
      <c r="S55" s="63" t="s">
        <v>228</v>
      </c>
      <c r="T55" s="63" t="s">
        <v>200</v>
      </c>
      <c r="U55" s="63" t="s">
        <v>1578</v>
      </c>
    </row>
    <row r="56" customFormat="false" ht="15" hidden="false" customHeight="true" outlineLevel="0" collapsed="false">
      <c r="A56" s="54" t="n">
        <v>55</v>
      </c>
      <c r="B56" s="55" t="s">
        <v>1482</v>
      </c>
      <c r="C56" s="56" t="s">
        <v>1579</v>
      </c>
      <c r="D56" s="56" t="s">
        <v>1580</v>
      </c>
      <c r="E56" s="57" t="s">
        <v>1500</v>
      </c>
      <c r="F56" s="55" t="s">
        <v>324</v>
      </c>
      <c r="G56" s="55" t="s">
        <v>169</v>
      </c>
      <c r="H56" s="58" t="n">
        <v>90</v>
      </c>
      <c r="I56" s="58" t="n">
        <v>200</v>
      </c>
      <c r="J56" s="58" t="n">
        <f aca="false">ROUND(AVERAGE(H56:I56),1)</f>
        <v>145</v>
      </c>
      <c r="K56" s="59" t="n">
        <v>1.5</v>
      </c>
      <c r="L56" s="58" t="n">
        <f aca="false">J56+K56</f>
        <v>146.5</v>
      </c>
      <c r="M56" s="60" t="n">
        <f aca="false">IFERROR(INDEX(99_Listas!$C$2:$C$5,MATCH(G56,99_Listas!$B$2:$B$5,0)),0)</f>
        <v>0.13</v>
      </c>
      <c r="N56" s="58" t="n">
        <f aca="false">ROUND(J56*M56,2)</f>
        <v>18.85</v>
      </c>
      <c r="O56" s="58" t="n">
        <f aca="false">ROUND(J56-N56,2)</f>
        <v>126.15</v>
      </c>
      <c r="P56" s="55" t="s">
        <v>928</v>
      </c>
      <c r="Q56" s="54" t="n">
        <v>120</v>
      </c>
      <c r="R56" s="55" t="s">
        <v>165</v>
      </c>
      <c r="S56" s="56" t="s">
        <v>228</v>
      </c>
      <c r="T56" s="56" t="s">
        <v>528</v>
      </c>
      <c r="U56" s="56"/>
    </row>
    <row r="57" customFormat="false" ht="23.25" hidden="false" customHeight="true" outlineLevel="0" collapsed="false">
      <c r="A57" s="61" t="n">
        <v>56</v>
      </c>
      <c r="B57" s="62" t="s">
        <v>1482</v>
      </c>
      <c r="C57" s="63" t="s">
        <v>1581</v>
      </c>
      <c r="D57" s="63" t="s">
        <v>1582</v>
      </c>
      <c r="E57" s="57" t="s">
        <v>1505</v>
      </c>
      <c r="F57" s="62" t="s">
        <v>927</v>
      </c>
      <c r="G57" s="62" t="s">
        <v>169</v>
      </c>
      <c r="H57" s="64" t="n">
        <v>250</v>
      </c>
      <c r="I57" s="64" t="n">
        <v>700</v>
      </c>
      <c r="J57" s="64" t="n">
        <f aca="false">ROUND(AVERAGE(H57:I57),1)</f>
        <v>475</v>
      </c>
      <c r="K57" s="59" t="n">
        <v>1.5</v>
      </c>
      <c r="L57" s="64" t="n">
        <f aca="false">J57+K57</f>
        <v>476.5</v>
      </c>
      <c r="M57" s="65" t="n">
        <f aca="false">IFERROR(INDEX(99_Listas!$C$2:$C$5,MATCH(G57,99_Listas!$B$2:$B$5,0)),0)</f>
        <v>0.13</v>
      </c>
      <c r="N57" s="64" t="n">
        <f aca="false">ROUND(J57*M57,2)</f>
        <v>61.75</v>
      </c>
      <c r="O57" s="64" t="n">
        <f aca="false">ROUND(J57-N57,2)</f>
        <v>413.25</v>
      </c>
      <c r="P57" s="62" t="s">
        <v>928</v>
      </c>
      <c r="Q57" s="61" t="n">
        <v>300</v>
      </c>
      <c r="R57" s="62" t="s">
        <v>165</v>
      </c>
      <c r="S57" s="63" t="s">
        <v>228</v>
      </c>
      <c r="T57" s="63" t="s">
        <v>528</v>
      </c>
      <c r="U57" s="63" t="s">
        <v>1583</v>
      </c>
    </row>
    <row r="58" customFormat="false" ht="15" hidden="false" customHeight="true" outlineLevel="0" collapsed="false">
      <c r="A58" s="54" t="n">
        <v>57</v>
      </c>
      <c r="B58" s="55" t="s">
        <v>1509</v>
      </c>
      <c r="C58" s="56" t="s">
        <v>1584</v>
      </c>
      <c r="D58" s="56" t="s">
        <v>1585</v>
      </c>
      <c r="E58" s="57" t="s">
        <v>1521</v>
      </c>
      <c r="F58" s="55" t="s">
        <v>324</v>
      </c>
      <c r="G58" s="55" t="s">
        <v>165</v>
      </c>
      <c r="H58" s="58" t="n">
        <v>14</v>
      </c>
      <c r="I58" s="58" t="n">
        <v>25</v>
      </c>
      <c r="J58" s="58" t="n">
        <f aca="false">ROUND(AVERAGE(H58:I58),1)</f>
        <v>19.5</v>
      </c>
      <c r="K58" s="59" t="n">
        <v>1.5</v>
      </c>
      <c r="L58" s="58" t="n">
        <f aca="false">J58+K58</f>
        <v>21</v>
      </c>
      <c r="M58" s="60" t="n">
        <f aca="false">IFERROR(INDEX(99_Listas!$C$2:$C$5,MATCH(G58,99_Listas!$B$2:$B$5,0)),0)</f>
        <v>0.11</v>
      </c>
      <c r="N58" s="58" t="n">
        <f aca="false">ROUND(J58*M58,2)</f>
        <v>2.15</v>
      </c>
      <c r="O58" s="58" t="n">
        <f aca="false">ROUND(J58-N58,2)</f>
        <v>17.35</v>
      </c>
      <c r="P58" s="55" t="s">
        <v>578</v>
      </c>
      <c r="Q58" s="54" t="n">
        <v>15</v>
      </c>
      <c r="R58" s="55" t="s">
        <v>276</v>
      </c>
      <c r="S58" s="56" t="s">
        <v>228</v>
      </c>
      <c r="T58" s="56" t="s">
        <v>402</v>
      </c>
      <c r="U58" s="56"/>
    </row>
    <row r="59" customFormat="false" ht="15" hidden="false" customHeight="true" outlineLevel="0" collapsed="false">
      <c r="A59" s="61" t="n">
        <v>58</v>
      </c>
      <c r="B59" s="62" t="s">
        <v>1509</v>
      </c>
      <c r="C59" s="63" t="s">
        <v>1586</v>
      </c>
      <c r="D59" s="63" t="s">
        <v>1525</v>
      </c>
      <c r="E59" s="57" t="s">
        <v>1521</v>
      </c>
      <c r="F59" s="62" t="s">
        <v>324</v>
      </c>
      <c r="G59" s="62" t="s">
        <v>161</v>
      </c>
      <c r="H59" s="64" t="n">
        <v>12</v>
      </c>
      <c r="I59" s="64" t="n">
        <v>22</v>
      </c>
      <c r="J59" s="64" t="n">
        <f aca="false">ROUND(AVERAGE(H59:I59),1)</f>
        <v>17</v>
      </c>
      <c r="K59" s="59" t="n">
        <v>1.5</v>
      </c>
      <c r="L59" s="64" t="n">
        <f aca="false">J59+K59</f>
        <v>18.5</v>
      </c>
      <c r="M59" s="65" t="n">
        <f aca="false">IFERROR(INDEX(99_Listas!$C$2:$C$5,MATCH(G59,99_Listas!$B$2:$B$5,0)),0)</f>
        <v>0.09</v>
      </c>
      <c r="N59" s="64" t="n">
        <f aca="false">ROUND(J59*M59,2)</f>
        <v>1.53</v>
      </c>
      <c r="O59" s="64" t="n">
        <f aca="false">ROUND(J59-N59,2)</f>
        <v>15.47</v>
      </c>
      <c r="P59" s="62" t="s">
        <v>928</v>
      </c>
      <c r="Q59" s="61" t="n">
        <v>15</v>
      </c>
      <c r="R59" s="62" t="s">
        <v>276</v>
      </c>
      <c r="S59" s="63" t="s">
        <v>228</v>
      </c>
      <c r="T59" s="63" t="s">
        <v>339</v>
      </c>
      <c r="U59" s="63" t="s">
        <v>1587</v>
      </c>
    </row>
    <row r="60" customFormat="false" ht="15" hidden="false" customHeight="true" outlineLevel="0" collapsed="false">
      <c r="A60" s="54" t="n">
        <v>59</v>
      </c>
      <c r="B60" s="55" t="s">
        <v>1509</v>
      </c>
      <c r="C60" s="56" t="s">
        <v>1588</v>
      </c>
      <c r="D60" s="56" t="s">
        <v>1589</v>
      </c>
      <c r="E60" s="57" t="s">
        <v>1521</v>
      </c>
      <c r="F60" s="55" t="s">
        <v>324</v>
      </c>
      <c r="G60" s="55" t="s">
        <v>165</v>
      </c>
      <c r="H60" s="58" t="n">
        <v>18</v>
      </c>
      <c r="I60" s="58" t="n">
        <v>32</v>
      </c>
      <c r="J60" s="58" t="n">
        <f aca="false">ROUND(AVERAGE(H60:I60),1)</f>
        <v>25</v>
      </c>
      <c r="K60" s="59" t="n">
        <v>1.5</v>
      </c>
      <c r="L60" s="58" t="n">
        <f aca="false">J60+K60</f>
        <v>26.5</v>
      </c>
      <c r="M60" s="60" t="n">
        <f aca="false">IFERROR(INDEX(99_Listas!$C$2:$C$5,MATCH(G60,99_Listas!$B$2:$B$5,0)),0)</f>
        <v>0.11</v>
      </c>
      <c r="N60" s="58" t="n">
        <f aca="false">ROUND(J60*M60,2)</f>
        <v>2.75</v>
      </c>
      <c r="O60" s="58" t="n">
        <f aca="false">ROUND(J60-N60,2)</f>
        <v>22.25</v>
      </c>
      <c r="P60" s="55" t="s">
        <v>923</v>
      </c>
      <c r="Q60" s="54" t="n">
        <v>15</v>
      </c>
      <c r="R60" s="55" t="s">
        <v>276</v>
      </c>
      <c r="S60" s="56" t="s">
        <v>228</v>
      </c>
      <c r="T60" s="56" t="s">
        <v>402</v>
      </c>
      <c r="U60" s="56"/>
    </row>
    <row r="61" customFormat="false" ht="15" hidden="false" customHeight="true" outlineLevel="0" collapsed="false">
      <c r="A61" s="61" t="n">
        <v>60</v>
      </c>
      <c r="B61" s="62" t="s">
        <v>1530</v>
      </c>
      <c r="C61" s="63" t="s">
        <v>1590</v>
      </c>
      <c r="D61" s="63" t="s">
        <v>1591</v>
      </c>
      <c r="E61" s="57" t="s">
        <v>1211</v>
      </c>
      <c r="F61" s="62" t="s">
        <v>388</v>
      </c>
      <c r="G61" s="62" t="s">
        <v>169</v>
      </c>
      <c r="H61" s="64" t="n">
        <v>45</v>
      </c>
      <c r="I61" s="64" t="n">
        <v>100</v>
      </c>
      <c r="J61" s="64" t="n">
        <f aca="false">ROUND(AVERAGE(H61:I61),1)</f>
        <v>72.5</v>
      </c>
      <c r="K61" s="59" t="n">
        <v>1.5</v>
      </c>
      <c r="L61" s="64" t="n">
        <f aca="false">J61+K61</f>
        <v>74</v>
      </c>
      <c r="M61" s="65" t="n">
        <f aca="false">IFERROR(INDEX(99_Listas!$C$2:$C$5,MATCH(G61,99_Listas!$B$2:$B$5,0)),0)</f>
        <v>0.13</v>
      </c>
      <c r="N61" s="64" t="n">
        <f aca="false">ROUND(J61*M61,2)</f>
        <v>9.43</v>
      </c>
      <c r="O61" s="64" t="n">
        <f aca="false">ROUND(J61-N61,2)</f>
        <v>63.07</v>
      </c>
      <c r="P61" s="62" t="s">
        <v>1485</v>
      </c>
      <c r="Q61" s="61" t="n">
        <v>0</v>
      </c>
      <c r="R61" s="62" t="s">
        <v>258</v>
      </c>
      <c r="S61" s="63" t="s">
        <v>389</v>
      </c>
      <c r="T61" s="63" t="s">
        <v>1534</v>
      </c>
      <c r="U61" s="63" t="s">
        <v>1592</v>
      </c>
    </row>
    <row r="62" customFormat="false" ht="23.25" hidden="false" customHeight="true" outlineLevel="0" collapsed="false">
      <c r="A62" s="54" t="n">
        <v>61</v>
      </c>
      <c r="B62" s="55" t="s">
        <v>1530</v>
      </c>
      <c r="C62" s="56" t="s">
        <v>1593</v>
      </c>
      <c r="D62" s="56" t="s">
        <v>1594</v>
      </c>
      <c r="E62" s="57" t="s">
        <v>1493</v>
      </c>
      <c r="F62" s="55" t="s">
        <v>1494</v>
      </c>
      <c r="G62" s="55" t="s">
        <v>165</v>
      </c>
      <c r="H62" s="58" t="n">
        <v>15</v>
      </c>
      <c r="I62" s="58" t="n">
        <v>30</v>
      </c>
      <c r="J62" s="58" t="n">
        <f aca="false">ROUND(AVERAGE(H62:I62),1)</f>
        <v>22.5</v>
      </c>
      <c r="K62" s="59" t="n">
        <v>1.5</v>
      </c>
      <c r="L62" s="58" t="n">
        <f aca="false">J62+K62</f>
        <v>24</v>
      </c>
      <c r="M62" s="60" t="n">
        <f aca="false">IFERROR(INDEX(99_Listas!$C$2:$C$5,MATCH(G62,99_Listas!$B$2:$B$5,0)),0)</f>
        <v>0.11</v>
      </c>
      <c r="N62" s="58" t="n">
        <f aca="false">ROUND(J62*M62,2)</f>
        <v>2.48</v>
      </c>
      <c r="O62" s="58" t="n">
        <f aca="false">ROUND(J62-N62,2)</f>
        <v>20.02</v>
      </c>
      <c r="P62" s="55" t="s">
        <v>471</v>
      </c>
      <c r="Q62" s="54" t="n">
        <v>15</v>
      </c>
      <c r="R62" s="55" t="s">
        <v>276</v>
      </c>
      <c r="S62" s="56" t="s">
        <v>389</v>
      </c>
      <c r="T62" s="56" t="s">
        <v>200</v>
      </c>
      <c r="U62" s="56" t="s">
        <v>1595</v>
      </c>
    </row>
    <row r="63" customFormat="false" ht="15" hidden="false" customHeight="true" outlineLevel="0" collapsed="false">
      <c r="A63" s="61" t="n">
        <v>62</v>
      </c>
      <c r="B63" s="62" t="s">
        <v>1395</v>
      </c>
      <c r="C63" s="63" t="s">
        <v>1596</v>
      </c>
      <c r="D63" s="63" t="s">
        <v>1597</v>
      </c>
      <c r="E63" s="57" t="s">
        <v>1398</v>
      </c>
      <c r="F63" s="62" t="s">
        <v>344</v>
      </c>
      <c r="G63" s="62" t="s">
        <v>169</v>
      </c>
      <c r="H63" s="64" t="n">
        <v>30</v>
      </c>
      <c r="I63" s="64" t="n">
        <v>50</v>
      </c>
      <c r="J63" s="64" t="n">
        <f aca="false">ROUND(AVERAGE(H63:I63),1)</f>
        <v>40</v>
      </c>
      <c r="K63" s="59" t="n">
        <v>1.5</v>
      </c>
      <c r="L63" s="64" t="n">
        <f aca="false">J63+K63</f>
        <v>41.5</v>
      </c>
      <c r="M63" s="65" t="n">
        <f aca="false">IFERROR(INDEX(99_Listas!$C$2:$C$5,MATCH(G63,99_Listas!$B$2:$B$5,0)),0)</f>
        <v>0.13</v>
      </c>
      <c r="N63" s="64" t="n">
        <f aca="false">ROUND(J63*M63,2)</f>
        <v>5.2</v>
      </c>
      <c r="O63" s="64" t="n">
        <f aca="false">ROUND(J63-N63,2)</f>
        <v>34.8</v>
      </c>
      <c r="P63" s="62" t="s">
        <v>1422</v>
      </c>
      <c r="Q63" s="61" t="n">
        <v>35</v>
      </c>
      <c r="R63" s="62" t="s">
        <v>165</v>
      </c>
      <c r="S63" s="63" t="s">
        <v>380</v>
      </c>
      <c r="T63" s="63" t="s">
        <v>1414</v>
      </c>
      <c r="U63" s="63"/>
    </row>
    <row r="64" customFormat="false" ht="15" hidden="false" customHeight="true" outlineLevel="0" collapsed="false">
      <c r="A64" s="54" t="n">
        <v>63</v>
      </c>
      <c r="B64" s="55" t="s">
        <v>1395</v>
      </c>
      <c r="C64" s="56" t="s">
        <v>1598</v>
      </c>
      <c r="D64" s="56" t="s">
        <v>1599</v>
      </c>
      <c r="E64" s="57" t="s">
        <v>1398</v>
      </c>
      <c r="F64" s="55" t="s">
        <v>344</v>
      </c>
      <c r="G64" s="55" t="s">
        <v>169</v>
      </c>
      <c r="H64" s="58" t="n">
        <v>32</v>
      </c>
      <c r="I64" s="58" t="n">
        <v>55</v>
      </c>
      <c r="J64" s="58" t="n">
        <f aca="false">ROUND(AVERAGE(H64:I64),1)</f>
        <v>43.5</v>
      </c>
      <c r="K64" s="59" t="n">
        <v>1.5</v>
      </c>
      <c r="L64" s="58" t="n">
        <f aca="false">J64+K64</f>
        <v>45</v>
      </c>
      <c r="M64" s="60" t="n">
        <f aca="false">IFERROR(INDEX(99_Listas!$C$2:$C$5,MATCH(G64,99_Listas!$B$2:$B$5,0)),0)</f>
        <v>0.13</v>
      </c>
      <c r="N64" s="58" t="n">
        <f aca="false">ROUND(J64*M64,2)</f>
        <v>5.66</v>
      </c>
      <c r="O64" s="58" t="n">
        <f aca="false">ROUND(J64-N64,2)</f>
        <v>37.84</v>
      </c>
      <c r="P64" s="55" t="s">
        <v>711</v>
      </c>
      <c r="Q64" s="54" t="n">
        <v>35</v>
      </c>
      <c r="R64" s="55" t="s">
        <v>165</v>
      </c>
      <c r="S64" s="56" t="s">
        <v>1542</v>
      </c>
      <c r="T64" s="56" t="s">
        <v>260</v>
      </c>
      <c r="U64" s="56"/>
    </row>
    <row r="65" customFormat="false" ht="15" hidden="false" customHeight="true" outlineLevel="0" collapsed="false">
      <c r="A65" s="61" t="n">
        <v>64</v>
      </c>
      <c r="B65" s="62" t="s">
        <v>1395</v>
      </c>
      <c r="C65" s="63" t="s">
        <v>1600</v>
      </c>
      <c r="D65" s="63" t="s">
        <v>1601</v>
      </c>
      <c r="E65" s="57" t="s">
        <v>1602</v>
      </c>
      <c r="F65" s="62" t="s">
        <v>226</v>
      </c>
      <c r="G65" s="62" t="s">
        <v>165</v>
      </c>
      <c r="H65" s="64" t="n">
        <v>18</v>
      </c>
      <c r="I65" s="64" t="n">
        <v>32</v>
      </c>
      <c r="J65" s="64" t="n">
        <f aca="false">ROUND(AVERAGE(H65:I65),1)</f>
        <v>25</v>
      </c>
      <c r="K65" s="59" t="n">
        <v>1.5</v>
      </c>
      <c r="L65" s="64" t="n">
        <f aca="false">J65+K65</f>
        <v>26.5</v>
      </c>
      <c r="M65" s="65" t="n">
        <f aca="false">IFERROR(INDEX(99_Listas!$C$2:$C$5,MATCH(G65,99_Listas!$B$2:$B$5,0)),0)</f>
        <v>0.11</v>
      </c>
      <c r="N65" s="64" t="n">
        <f aca="false">ROUND(J65*M65,2)</f>
        <v>2.75</v>
      </c>
      <c r="O65" s="64" t="n">
        <f aca="false">ROUND(J65-N65,2)</f>
        <v>22.25</v>
      </c>
      <c r="P65" s="62" t="s">
        <v>519</v>
      </c>
      <c r="Q65" s="61" t="n">
        <v>25</v>
      </c>
      <c r="R65" s="62" t="s">
        <v>165</v>
      </c>
      <c r="S65" s="63" t="s">
        <v>380</v>
      </c>
      <c r="T65" s="63" t="s">
        <v>260</v>
      </c>
      <c r="U65" s="63" t="s">
        <v>841</v>
      </c>
    </row>
    <row r="66" customFormat="false" ht="15" hidden="false" customHeight="true" outlineLevel="0" collapsed="false">
      <c r="A66" s="54" t="n">
        <v>65</v>
      </c>
      <c r="B66" s="55" t="s">
        <v>1409</v>
      </c>
      <c r="C66" s="56" t="s">
        <v>1603</v>
      </c>
      <c r="D66" s="56" t="s">
        <v>1604</v>
      </c>
      <c r="E66" s="57" t="s">
        <v>1262</v>
      </c>
      <c r="F66" s="55" t="s">
        <v>344</v>
      </c>
      <c r="G66" s="55" t="s">
        <v>169</v>
      </c>
      <c r="H66" s="58" t="n">
        <v>25</v>
      </c>
      <c r="I66" s="58" t="n">
        <v>45</v>
      </c>
      <c r="J66" s="58" t="n">
        <f aca="false">ROUND(AVERAGE(H66:I66),1)</f>
        <v>35</v>
      </c>
      <c r="K66" s="59" t="n">
        <v>1.5</v>
      </c>
      <c r="L66" s="58" t="n">
        <f aca="false">J66+K66</f>
        <v>36.5</v>
      </c>
      <c r="M66" s="60" t="n">
        <f aca="false">IFERROR(INDEX(99_Listas!$C$2:$C$5,MATCH(G66,99_Listas!$B$2:$B$5,0)),0)</f>
        <v>0.13</v>
      </c>
      <c r="N66" s="58" t="n">
        <f aca="false">ROUND(J66*M66,2)</f>
        <v>4.55</v>
      </c>
      <c r="O66" s="58" t="n">
        <f aca="false">ROUND(J66-N66,2)</f>
        <v>30.45</v>
      </c>
      <c r="P66" s="55" t="s">
        <v>923</v>
      </c>
      <c r="Q66" s="54" t="n">
        <v>40</v>
      </c>
      <c r="R66" s="55" t="s">
        <v>165</v>
      </c>
      <c r="S66" s="56" t="s">
        <v>228</v>
      </c>
      <c r="T66" s="56" t="s">
        <v>163</v>
      </c>
      <c r="U66" s="56"/>
    </row>
    <row r="67" customFormat="false" ht="23.25" hidden="false" customHeight="true" outlineLevel="0" collapsed="false">
      <c r="A67" s="61" t="n">
        <v>66</v>
      </c>
      <c r="B67" s="62" t="s">
        <v>1409</v>
      </c>
      <c r="C67" s="63" t="s">
        <v>1605</v>
      </c>
      <c r="D67" s="63" t="s">
        <v>1606</v>
      </c>
      <c r="E67" s="57" t="s">
        <v>650</v>
      </c>
      <c r="F67" s="62" t="s">
        <v>344</v>
      </c>
      <c r="G67" s="62" t="s">
        <v>165</v>
      </c>
      <c r="H67" s="64" t="n">
        <v>20</v>
      </c>
      <c r="I67" s="64" t="n">
        <v>35</v>
      </c>
      <c r="J67" s="64" t="n">
        <f aca="false">ROUND(AVERAGE(H67:I67),1)</f>
        <v>27.5</v>
      </c>
      <c r="K67" s="59" t="n">
        <v>1.5</v>
      </c>
      <c r="L67" s="64" t="n">
        <f aca="false">J67+K67</f>
        <v>29</v>
      </c>
      <c r="M67" s="65" t="n">
        <f aca="false">IFERROR(INDEX(99_Listas!$C$2:$C$5,MATCH(G67,99_Listas!$B$2:$B$5,0)),0)</f>
        <v>0.11</v>
      </c>
      <c r="N67" s="64" t="n">
        <f aca="false">ROUND(J67*M67,2)</f>
        <v>3.03</v>
      </c>
      <c r="O67" s="64" t="n">
        <f aca="false">ROUND(J67-N67,2)</f>
        <v>24.47</v>
      </c>
      <c r="P67" s="62" t="s">
        <v>1607</v>
      </c>
      <c r="Q67" s="61" t="n">
        <v>30</v>
      </c>
      <c r="R67" s="62" t="s">
        <v>276</v>
      </c>
      <c r="S67" s="63" t="s">
        <v>228</v>
      </c>
      <c r="T67" s="63" t="s">
        <v>260</v>
      </c>
      <c r="U67" s="63"/>
    </row>
    <row r="68" customFormat="false" ht="15" hidden="false" customHeight="true" outlineLevel="0" collapsed="false">
      <c r="A68" s="54" t="n">
        <v>67</v>
      </c>
      <c r="B68" s="55" t="s">
        <v>1409</v>
      </c>
      <c r="C68" s="56" t="s">
        <v>1608</v>
      </c>
      <c r="D68" s="56" t="s">
        <v>1609</v>
      </c>
      <c r="E68" s="57" t="s">
        <v>720</v>
      </c>
      <c r="F68" s="55" t="s">
        <v>482</v>
      </c>
      <c r="G68" s="55" t="s">
        <v>161</v>
      </c>
      <c r="H68" s="58" t="n">
        <v>14</v>
      </c>
      <c r="I68" s="58" t="n">
        <v>26</v>
      </c>
      <c r="J68" s="58" t="n">
        <f aca="false">ROUND(AVERAGE(H68:I68),1)</f>
        <v>20</v>
      </c>
      <c r="K68" s="59" t="n">
        <v>1.5</v>
      </c>
      <c r="L68" s="58" t="n">
        <f aca="false">J68+K68</f>
        <v>21.5</v>
      </c>
      <c r="M68" s="60" t="n">
        <f aca="false">IFERROR(INDEX(99_Listas!$C$2:$C$5,MATCH(G68,99_Listas!$B$2:$B$5,0)),0)</f>
        <v>0.09</v>
      </c>
      <c r="N68" s="58" t="n">
        <f aca="false">ROUND(J68*M68,2)</f>
        <v>1.8</v>
      </c>
      <c r="O68" s="58" t="n">
        <f aca="false">ROUND(J68-N68,2)</f>
        <v>18.2</v>
      </c>
      <c r="P68" s="55" t="s">
        <v>1607</v>
      </c>
      <c r="Q68" s="54" t="n">
        <v>15</v>
      </c>
      <c r="R68" s="55" t="s">
        <v>276</v>
      </c>
      <c r="S68" s="56" t="s">
        <v>228</v>
      </c>
      <c r="T68" s="56" t="s">
        <v>260</v>
      </c>
      <c r="U68" s="56"/>
    </row>
    <row r="69" customFormat="false" ht="15" hidden="false" customHeight="true" outlineLevel="0" collapsed="false">
      <c r="A69" s="61" t="n">
        <v>68</v>
      </c>
      <c r="B69" s="62" t="s">
        <v>1409</v>
      </c>
      <c r="C69" s="63" t="s">
        <v>1610</v>
      </c>
      <c r="D69" s="63" t="s">
        <v>1611</v>
      </c>
      <c r="E69" s="57" t="s">
        <v>1548</v>
      </c>
      <c r="F69" s="62" t="s">
        <v>344</v>
      </c>
      <c r="G69" s="62" t="s">
        <v>169</v>
      </c>
      <c r="H69" s="64" t="n">
        <v>22</v>
      </c>
      <c r="I69" s="64" t="n">
        <v>40</v>
      </c>
      <c r="J69" s="64" t="n">
        <f aca="false">ROUND(AVERAGE(H69:I69),1)</f>
        <v>31</v>
      </c>
      <c r="K69" s="59" t="n">
        <v>1.5</v>
      </c>
      <c r="L69" s="64" t="n">
        <f aca="false">J69+K69</f>
        <v>32.5</v>
      </c>
      <c r="M69" s="65" t="n">
        <f aca="false">IFERROR(INDEX(99_Listas!$C$2:$C$5,MATCH(G69,99_Listas!$B$2:$B$5,0)),0)</f>
        <v>0.13</v>
      </c>
      <c r="N69" s="64" t="n">
        <f aca="false">ROUND(J69*M69,2)</f>
        <v>4.03</v>
      </c>
      <c r="O69" s="64" t="n">
        <f aca="false">ROUND(J69-N69,2)</f>
        <v>26.97</v>
      </c>
      <c r="P69" s="62" t="s">
        <v>1422</v>
      </c>
      <c r="Q69" s="61" t="n">
        <v>45</v>
      </c>
      <c r="R69" s="62" t="s">
        <v>165</v>
      </c>
      <c r="S69" s="63" t="s">
        <v>1449</v>
      </c>
      <c r="T69" s="63" t="s">
        <v>1414</v>
      </c>
      <c r="U69" s="63"/>
    </row>
    <row r="70" customFormat="false" ht="15" hidden="false" customHeight="true" outlineLevel="0" collapsed="false">
      <c r="A70" s="54" t="n">
        <v>69</v>
      </c>
      <c r="B70" s="55" t="s">
        <v>1409</v>
      </c>
      <c r="C70" s="56" t="s">
        <v>1612</v>
      </c>
      <c r="D70" s="56" t="s">
        <v>1613</v>
      </c>
      <c r="E70" s="57" t="s">
        <v>881</v>
      </c>
      <c r="F70" s="55" t="s">
        <v>226</v>
      </c>
      <c r="G70" s="55" t="s">
        <v>165</v>
      </c>
      <c r="H70" s="58" t="n">
        <v>15</v>
      </c>
      <c r="I70" s="58" t="n">
        <v>28</v>
      </c>
      <c r="J70" s="58" t="n">
        <f aca="false">ROUND(AVERAGE(H70:I70),1)</f>
        <v>21.5</v>
      </c>
      <c r="K70" s="59" t="n">
        <v>1.5</v>
      </c>
      <c r="L70" s="58" t="n">
        <f aca="false">J70+K70</f>
        <v>23</v>
      </c>
      <c r="M70" s="60" t="n">
        <f aca="false">IFERROR(INDEX(99_Listas!$C$2:$C$5,MATCH(G70,99_Listas!$B$2:$B$5,0)),0)</f>
        <v>0.11</v>
      </c>
      <c r="N70" s="58" t="n">
        <f aca="false">ROUND(J70*M70,2)</f>
        <v>2.37</v>
      </c>
      <c r="O70" s="58" t="n">
        <f aca="false">ROUND(J70-N70,2)</f>
        <v>19.13</v>
      </c>
      <c r="P70" s="55" t="s">
        <v>711</v>
      </c>
      <c r="Q70" s="54" t="n">
        <v>20</v>
      </c>
      <c r="R70" s="55" t="s">
        <v>165</v>
      </c>
      <c r="S70" s="56" t="s">
        <v>1428</v>
      </c>
      <c r="T70" s="56" t="s">
        <v>260</v>
      </c>
      <c r="U70" s="56"/>
    </row>
    <row r="71" customFormat="false" ht="15" hidden="false" customHeight="true" outlineLevel="0" collapsed="false">
      <c r="A71" s="61" t="n">
        <v>70</v>
      </c>
      <c r="B71" s="62" t="s">
        <v>1429</v>
      </c>
      <c r="C71" s="63" t="s">
        <v>1614</v>
      </c>
      <c r="D71" s="63" t="s">
        <v>1615</v>
      </c>
      <c r="E71" s="57" t="s">
        <v>1432</v>
      </c>
      <c r="F71" s="62" t="s">
        <v>482</v>
      </c>
      <c r="G71" s="62" t="s">
        <v>169</v>
      </c>
      <c r="H71" s="64" t="n">
        <v>25</v>
      </c>
      <c r="I71" s="64" t="n">
        <v>45</v>
      </c>
      <c r="J71" s="64" t="n">
        <f aca="false">ROUND(AVERAGE(H71:I71),1)</f>
        <v>35</v>
      </c>
      <c r="K71" s="59" t="n">
        <v>1.5</v>
      </c>
      <c r="L71" s="64" t="n">
        <f aca="false">J71+K71</f>
        <v>36.5</v>
      </c>
      <c r="M71" s="65" t="n">
        <f aca="false">IFERROR(INDEX(99_Listas!$C$2:$C$5,MATCH(G71,99_Listas!$B$2:$B$5,0)),0)</f>
        <v>0.13</v>
      </c>
      <c r="N71" s="64" t="n">
        <f aca="false">ROUND(J71*M71,2)</f>
        <v>4.55</v>
      </c>
      <c r="O71" s="64" t="n">
        <f aca="false">ROUND(J71-N71,2)</f>
        <v>30.45</v>
      </c>
      <c r="P71" s="62" t="s">
        <v>1422</v>
      </c>
      <c r="Q71" s="61" t="n">
        <v>90</v>
      </c>
      <c r="R71" s="62" t="s">
        <v>165</v>
      </c>
      <c r="S71" s="63" t="s">
        <v>1542</v>
      </c>
      <c r="T71" s="63" t="s">
        <v>1414</v>
      </c>
      <c r="U71" s="63" t="s">
        <v>1616</v>
      </c>
    </row>
    <row r="72" customFormat="false" ht="15" hidden="false" customHeight="true" outlineLevel="0" collapsed="false">
      <c r="A72" s="54" t="n">
        <v>71</v>
      </c>
      <c r="B72" s="55" t="s">
        <v>1429</v>
      </c>
      <c r="C72" s="56" t="s">
        <v>1617</v>
      </c>
      <c r="D72" s="56" t="s">
        <v>1618</v>
      </c>
      <c r="E72" s="57" t="s">
        <v>1176</v>
      </c>
      <c r="F72" s="55" t="s">
        <v>902</v>
      </c>
      <c r="G72" s="55" t="s">
        <v>169</v>
      </c>
      <c r="H72" s="58" t="n">
        <v>80</v>
      </c>
      <c r="I72" s="58" t="n">
        <v>150</v>
      </c>
      <c r="J72" s="58" t="n">
        <f aca="false">ROUND(AVERAGE(H72:I72),1)</f>
        <v>115</v>
      </c>
      <c r="K72" s="59" t="n">
        <v>1.5</v>
      </c>
      <c r="L72" s="58" t="n">
        <f aca="false">J72+K72</f>
        <v>116.5</v>
      </c>
      <c r="M72" s="60" t="n">
        <f aca="false">IFERROR(INDEX(99_Listas!$C$2:$C$5,MATCH(G72,99_Listas!$B$2:$B$5,0)),0)</f>
        <v>0.13</v>
      </c>
      <c r="N72" s="58" t="n">
        <f aca="false">ROUND(J72*M72,2)</f>
        <v>14.95</v>
      </c>
      <c r="O72" s="58" t="n">
        <f aca="false">ROUND(J72-N72,2)</f>
        <v>100.05</v>
      </c>
      <c r="P72" s="55" t="s">
        <v>1103</v>
      </c>
      <c r="Q72" s="54" t="n">
        <v>35</v>
      </c>
      <c r="R72" s="55" t="s">
        <v>165</v>
      </c>
      <c r="S72" s="56" t="s">
        <v>380</v>
      </c>
      <c r="T72" s="56" t="s">
        <v>196</v>
      </c>
      <c r="U72" s="56"/>
    </row>
    <row r="73" customFormat="false" ht="23.25" hidden="false" customHeight="true" outlineLevel="0" collapsed="false">
      <c r="A73" s="61" t="n">
        <v>72</v>
      </c>
      <c r="B73" s="62" t="s">
        <v>1429</v>
      </c>
      <c r="C73" s="63" t="s">
        <v>1619</v>
      </c>
      <c r="D73" s="63" t="s">
        <v>1620</v>
      </c>
      <c r="E73" s="57" t="s">
        <v>757</v>
      </c>
      <c r="F73" s="62" t="s">
        <v>902</v>
      </c>
      <c r="G73" s="62" t="s">
        <v>169</v>
      </c>
      <c r="H73" s="64" t="n">
        <v>110</v>
      </c>
      <c r="I73" s="64" t="n">
        <v>200</v>
      </c>
      <c r="J73" s="64" t="n">
        <f aca="false">ROUND(AVERAGE(H73:I73),1)</f>
        <v>155</v>
      </c>
      <c r="K73" s="59" t="n">
        <v>1.5</v>
      </c>
      <c r="L73" s="64" t="n">
        <f aca="false">J73+K73</f>
        <v>156.5</v>
      </c>
      <c r="M73" s="65" t="n">
        <f aca="false">IFERROR(INDEX(99_Listas!$C$2:$C$5,MATCH(G73,99_Listas!$B$2:$B$5,0)),0)</f>
        <v>0.13</v>
      </c>
      <c r="N73" s="64" t="n">
        <f aca="false">ROUND(J73*M73,2)</f>
        <v>20.15</v>
      </c>
      <c r="O73" s="64" t="n">
        <f aca="false">ROUND(J73-N73,2)</f>
        <v>134.85</v>
      </c>
      <c r="P73" s="62" t="s">
        <v>1456</v>
      </c>
      <c r="Q73" s="61" t="n">
        <v>40</v>
      </c>
      <c r="R73" s="62" t="s">
        <v>165</v>
      </c>
      <c r="S73" s="63" t="s">
        <v>380</v>
      </c>
      <c r="T73" s="63" t="s">
        <v>163</v>
      </c>
      <c r="U73" s="63"/>
    </row>
    <row r="74" customFormat="false" ht="15" hidden="false" customHeight="true" outlineLevel="0" collapsed="false">
      <c r="A74" s="54" t="n">
        <v>73</v>
      </c>
      <c r="B74" s="55" t="s">
        <v>1429</v>
      </c>
      <c r="C74" s="56" t="s">
        <v>1621</v>
      </c>
      <c r="D74" s="56" t="s">
        <v>1622</v>
      </c>
      <c r="E74" s="57" t="s">
        <v>387</v>
      </c>
      <c r="F74" s="55" t="s">
        <v>1623</v>
      </c>
      <c r="G74" s="55" t="s">
        <v>169</v>
      </c>
      <c r="H74" s="58" t="n">
        <v>600</v>
      </c>
      <c r="I74" s="58" t="n">
        <v>1200</v>
      </c>
      <c r="J74" s="58" t="n">
        <f aca="false">ROUND(AVERAGE(H74:I74),1)</f>
        <v>900</v>
      </c>
      <c r="K74" s="59" t="n">
        <v>1.5</v>
      </c>
      <c r="L74" s="58" t="n">
        <f aca="false">J74+K74</f>
        <v>901.5</v>
      </c>
      <c r="M74" s="60" t="n">
        <f aca="false">IFERROR(INDEX(99_Listas!$C$2:$C$5,MATCH(G74,99_Listas!$B$2:$B$5,0)),0)</f>
        <v>0.13</v>
      </c>
      <c r="N74" s="58" t="n">
        <f aca="false">ROUND(J74*M74,2)</f>
        <v>117</v>
      </c>
      <c r="O74" s="58" t="n">
        <f aca="false">ROUND(J74-N74,2)</f>
        <v>783</v>
      </c>
      <c r="P74" s="55" t="s">
        <v>1422</v>
      </c>
      <c r="Q74" s="54" t="n">
        <v>240</v>
      </c>
      <c r="R74" s="55" t="s">
        <v>258</v>
      </c>
      <c r="S74" s="56" t="s">
        <v>228</v>
      </c>
      <c r="T74" s="56" t="s">
        <v>200</v>
      </c>
      <c r="U74" s="56" t="s">
        <v>1624</v>
      </c>
    </row>
    <row r="75" customFormat="false" ht="15" hidden="false" customHeight="true" outlineLevel="0" collapsed="false">
      <c r="A75" s="61" t="n">
        <v>74</v>
      </c>
      <c r="B75" s="62" t="s">
        <v>1429</v>
      </c>
      <c r="C75" s="63" t="s">
        <v>1625</v>
      </c>
      <c r="D75" s="63" t="s">
        <v>1626</v>
      </c>
      <c r="E75" s="57" t="s">
        <v>477</v>
      </c>
      <c r="F75" s="62" t="s">
        <v>397</v>
      </c>
      <c r="G75" s="62" t="s">
        <v>169</v>
      </c>
      <c r="H75" s="64" t="n">
        <v>180</v>
      </c>
      <c r="I75" s="64" t="n">
        <v>400</v>
      </c>
      <c r="J75" s="64" t="n">
        <f aca="false">ROUND(AVERAGE(H75:I75),1)</f>
        <v>290</v>
      </c>
      <c r="K75" s="59" t="n">
        <v>1.5</v>
      </c>
      <c r="L75" s="64" t="n">
        <f aca="false">J75+K75</f>
        <v>291.5</v>
      </c>
      <c r="M75" s="65" t="n">
        <f aca="false">IFERROR(INDEX(99_Listas!$C$2:$C$5,MATCH(G75,99_Listas!$B$2:$B$5,0)),0)</f>
        <v>0.13</v>
      </c>
      <c r="N75" s="64" t="n">
        <f aca="false">ROUND(J75*M75,2)</f>
        <v>37.7</v>
      </c>
      <c r="O75" s="64" t="n">
        <f aca="false">ROUND(J75-N75,2)</f>
        <v>252.3</v>
      </c>
      <c r="P75" s="62" t="s">
        <v>928</v>
      </c>
      <c r="Q75" s="61" t="n">
        <v>90</v>
      </c>
      <c r="R75" s="62" t="s">
        <v>165</v>
      </c>
      <c r="S75" s="63" t="s">
        <v>1474</v>
      </c>
      <c r="T75" s="63" t="s">
        <v>200</v>
      </c>
      <c r="U75" s="63" t="s">
        <v>1627</v>
      </c>
    </row>
    <row r="76" customFormat="false" ht="15" hidden="false" customHeight="true" outlineLevel="0" collapsed="false">
      <c r="A76" s="54" t="n">
        <v>75</v>
      </c>
      <c r="B76" s="55" t="s">
        <v>1429</v>
      </c>
      <c r="C76" s="56" t="s">
        <v>1628</v>
      </c>
      <c r="D76" s="56" t="s">
        <v>1629</v>
      </c>
      <c r="E76" s="57" t="s">
        <v>284</v>
      </c>
      <c r="F76" s="55" t="s">
        <v>1016</v>
      </c>
      <c r="G76" s="55" t="s">
        <v>157</v>
      </c>
      <c r="H76" s="58" t="n">
        <v>8</v>
      </c>
      <c r="I76" s="58" t="n">
        <v>18</v>
      </c>
      <c r="J76" s="58" t="n">
        <f aca="false">ROUND(AVERAGE(H76:I76),1)</f>
        <v>13</v>
      </c>
      <c r="K76" s="59" t="n">
        <v>1.5</v>
      </c>
      <c r="L76" s="58" t="n">
        <f aca="false">J76+K76</f>
        <v>14.5</v>
      </c>
      <c r="M76" s="60" t="n">
        <f aca="false">IFERROR(INDEX(99_Listas!$C$2:$C$5,MATCH(G76,99_Listas!$B$2:$B$5,0)),0)</f>
        <v>0.07</v>
      </c>
      <c r="N76" s="58" t="n">
        <f aca="false">ROUND(J76*M76,2)</f>
        <v>0.91</v>
      </c>
      <c r="O76" s="58" t="n">
        <f aca="false">ROUND(J76-N76,2)</f>
        <v>12.09</v>
      </c>
      <c r="P76" s="55" t="s">
        <v>928</v>
      </c>
      <c r="Q76" s="54" t="n">
        <v>8</v>
      </c>
      <c r="R76" s="55" t="s">
        <v>276</v>
      </c>
      <c r="S76" s="56" t="s">
        <v>1474</v>
      </c>
      <c r="T76" s="56" t="s">
        <v>528</v>
      </c>
      <c r="U76" s="56"/>
    </row>
    <row r="77" customFormat="false" ht="23.25" hidden="false" customHeight="true" outlineLevel="0" collapsed="false">
      <c r="A77" s="61" t="n">
        <v>76</v>
      </c>
      <c r="B77" s="62" t="s">
        <v>1453</v>
      </c>
      <c r="C77" s="63" t="s">
        <v>1630</v>
      </c>
      <c r="D77" s="63" t="s">
        <v>1631</v>
      </c>
      <c r="E77" s="57" t="s">
        <v>757</v>
      </c>
      <c r="F77" s="62" t="s">
        <v>344</v>
      </c>
      <c r="G77" s="62" t="s">
        <v>169</v>
      </c>
      <c r="H77" s="64" t="n">
        <v>28</v>
      </c>
      <c r="I77" s="64" t="n">
        <v>50</v>
      </c>
      <c r="J77" s="64" t="n">
        <f aca="false">ROUND(AVERAGE(H77:I77),1)</f>
        <v>39</v>
      </c>
      <c r="K77" s="59" t="n">
        <v>1.5</v>
      </c>
      <c r="L77" s="64" t="n">
        <f aca="false">J77+K77</f>
        <v>40.5</v>
      </c>
      <c r="M77" s="65" t="n">
        <f aca="false">IFERROR(INDEX(99_Listas!$C$2:$C$5,MATCH(G77,99_Listas!$B$2:$B$5,0)),0)</f>
        <v>0.13</v>
      </c>
      <c r="N77" s="64" t="n">
        <f aca="false">ROUND(J77*M77,2)</f>
        <v>5.07</v>
      </c>
      <c r="O77" s="64" t="n">
        <f aca="false">ROUND(J77-N77,2)</f>
        <v>33.93</v>
      </c>
      <c r="P77" s="62" t="s">
        <v>1456</v>
      </c>
      <c r="Q77" s="61" t="n">
        <v>22</v>
      </c>
      <c r="R77" s="62" t="s">
        <v>165</v>
      </c>
      <c r="S77" s="63" t="s">
        <v>228</v>
      </c>
      <c r="T77" s="63" t="s">
        <v>163</v>
      </c>
      <c r="U77" s="63"/>
    </row>
    <row r="78" customFormat="false" ht="23.25" hidden="false" customHeight="true" outlineLevel="0" collapsed="false">
      <c r="A78" s="54" t="n">
        <v>77</v>
      </c>
      <c r="B78" s="55" t="s">
        <v>1453</v>
      </c>
      <c r="C78" s="56" t="s">
        <v>1632</v>
      </c>
      <c r="D78" s="56" t="s">
        <v>1633</v>
      </c>
      <c r="E78" s="57" t="s">
        <v>757</v>
      </c>
      <c r="F78" s="55" t="s">
        <v>344</v>
      </c>
      <c r="G78" s="55" t="s">
        <v>169</v>
      </c>
      <c r="H78" s="58" t="n">
        <v>25</v>
      </c>
      <c r="I78" s="58" t="n">
        <v>45</v>
      </c>
      <c r="J78" s="58" t="n">
        <f aca="false">ROUND(AVERAGE(H78:I78),1)</f>
        <v>35</v>
      </c>
      <c r="K78" s="59" t="n">
        <v>1.5</v>
      </c>
      <c r="L78" s="58" t="n">
        <f aca="false">J78+K78</f>
        <v>36.5</v>
      </c>
      <c r="M78" s="60" t="n">
        <f aca="false">IFERROR(INDEX(99_Listas!$C$2:$C$5,MATCH(G78,99_Listas!$B$2:$B$5,0)),0)</f>
        <v>0.13</v>
      </c>
      <c r="N78" s="58" t="n">
        <f aca="false">ROUND(J78*M78,2)</f>
        <v>4.55</v>
      </c>
      <c r="O78" s="58" t="n">
        <f aca="false">ROUND(J78-N78,2)</f>
        <v>30.45</v>
      </c>
      <c r="P78" s="55" t="s">
        <v>711</v>
      </c>
      <c r="Q78" s="54" t="n">
        <v>15</v>
      </c>
      <c r="R78" s="55" t="s">
        <v>258</v>
      </c>
      <c r="S78" s="56" t="s">
        <v>228</v>
      </c>
      <c r="T78" s="56" t="s">
        <v>177</v>
      </c>
      <c r="U78" s="56" t="s">
        <v>1043</v>
      </c>
    </row>
    <row r="79" customFormat="false" ht="23.25" hidden="false" customHeight="true" outlineLevel="0" collapsed="false">
      <c r="A79" s="61" t="n">
        <v>78</v>
      </c>
      <c r="B79" s="62" t="s">
        <v>1453</v>
      </c>
      <c r="C79" s="63" t="s">
        <v>1634</v>
      </c>
      <c r="D79" s="63" t="s">
        <v>1635</v>
      </c>
      <c r="E79" s="57" t="s">
        <v>757</v>
      </c>
      <c r="F79" s="62" t="s">
        <v>344</v>
      </c>
      <c r="G79" s="62" t="s">
        <v>169</v>
      </c>
      <c r="H79" s="64" t="n">
        <v>28</v>
      </c>
      <c r="I79" s="64" t="n">
        <v>50</v>
      </c>
      <c r="J79" s="64" t="n">
        <f aca="false">ROUND(AVERAGE(H79:I79),1)</f>
        <v>39</v>
      </c>
      <c r="K79" s="59" t="n">
        <v>1.5</v>
      </c>
      <c r="L79" s="64" t="n">
        <f aca="false">J79+K79</f>
        <v>40.5</v>
      </c>
      <c r="M79" s="65" t="n">
        <f aca="false">IFERROR(INDEX(99_Listas!$C$2:$C$5,MATCH(G79,99_Listas!$B$2:$B$5,0)),0)</f>
        <v>0.13</v>
      </c>
      <c r="N79" s="64" t="n">
        <f aca="false">ROUND(J79*M79,2)</f>
        <v>5.07</v>
      </c>
      <c r="O79" s="64" t="n">
        <f aca="false">ROUND(J79-N79,2)</f>
        <v>33.93</v>
      </c>
      <c r="P79" s="62" t="s">
        <v>1456</v>
      </c>
      <c r="Q79" s="61" t="n">
        <v>22</v>
      </c>
      <c r="R79" s="62" t="s">
        <v>165</v>
      </c>
      <c r="S79" s="63" t="s">
        <v>228</v>
      </c>
      <c r="T79" s="63" t="s">
        <v>163</v>
      </c>
      <c r="U79" s="63"/>
    </row>
    <row r="80" customFormat="false" ht="15" hidden="false" customHeight="true" outlineLevel="0" collapsed="false">
      <c r="A80" s="54" t="n">
        <v>79</v>
      </c>
      <c r="B80" s="55" t="s">
        <v>1482</v>
      </c>
      <c r="C80" s="56" t="s">
        <v>1636</v>
      </c>
      <c r="D80" s="56" t="s">
        <v>1637</v>
      </c>
      <c r="E80" s="57" t="s">
        <v>338</v>
      </c>
      <c r="F80" s="55" t="s">
        <v>397</v>
      </c>
      <c r="G80" s="55" t="s">
        <v>169</v>
      </c>
      <c r="H80" s="58" t="n">
        <v>400</v>
      </c>
      <c r="I80" s="58" t="n">
        <v>800</v>
      </c>
      <c r="J80" s="58" t="n">
        <f aca="false">ROUND(AVERAGE(H80:I80),1)</f>
        <v>600</v>
      </c>
      <c r="K80" s="59" t="n">
        <v>1.5</v>
      </c>
      <c r="L80" s="58" t="n">
        <f aca="false">J80+K80</f>
        <v>601.5</v>
      </c>
      <c r="M80" s="60" t="n">
        <f aca="false">IFERROR(INDEX(99_Listas!$C$2:$C$5,MATCH(G80,99_Listas!$B$2:$B$5,0)),0)</f>
        <v>0.13</v>
      </c>
      <c r="N80" s="58" t="n">
        <f aca="false">ROUND(J80*M80,2)</f>
        <v>78</v>
      </c>
      <c r="O80" s="58" t="n">
        <f aca="false">ROUND(J80-N80,2)</f>
        <v>522</v>
      </c>
      <c r="P80" s="55" t="s">
        <v>227</v>
      </c>
      <c r="Q80" s="54" t="n">
        <v>150</v>
      </c>
      <c r="R80" s="55" t="s">
        <v>276</v>
      </c>
      <c r="S80" s="56" t="s">
        <v>228</v>
      </c>
      <c r="T80" s="56" t="s">
        <v>200</v>
      </c>
      <c r="U80" s="56" t="s">
        <v>1638</v>
      </c>
    </row>
    <row r="81" customFormat="false" ht="15" hidden="false" customHeight="true" outlineLevel="0" collapsed="false">
      <c r="A81" s="61" t="n">
        <v>80</v>
      </c>
      <c r="B81" s="62" t="s">
        <v>1482</v>
      </c>
      <c r="C81" s="63" t="s">
        <v>1639</v>
      </c>
      <c r="D81" s="63" t="s">
        <v>1640</v>
      </c>
      <c r="E81" s="57" t="s">
        <v>477</v>
      </c>
      <c r="F81" s="62" t="s">
        <v>397</v>
      </c>
      <c r="G81" s="62" t="s">
        <v>169</v>
      </c>
      <c r="H81" s="64" t="n">
        <v>180</v>
      </c>
      <c r="I81" s="64" t="n">
        <v>330</v>
      </c>
      <c r="J81" s="64" t="n">
        <f aca="false">ROUND(AVERAGE(H81:I81),1)</f>
        <v>255</v>
      </c>
      <c r="K81" s="59" t="n">
        <v>1.5</v>
      </c>
      <c r="L81" s="64" t="n">
        <f aca="false">J81+K81</f>
        <v>256.5</v>
      </c>
      <c r="M81" s="65" t="n">
        <f aca="false">IFERROR(INDEX(99_Listas!$C$2:$C$5,MATCH(G81,99_Listas!$B$2:$B$5,0)),0)</f>
        <v>0.13</v>
      </c>
      <c r="N81" s="64" t="n">
        <f aca="false">ROUND(J81*M81,2)</f>
        <v>33.15</v>
      </c>
      <c r="O81" s="64" t="n">
        <f aca="false">ROUND(J81-N81,2)</f>
        <v>221.85</v>
      </c>
      <c r="P81" s="62" t="s">
        <v>1485</v>
      </c>
      <c r="Q81" s="61" t="n">
        <v>75</v>
      </c>
      <c r="R81" s="62" t="s">
        <v>276</v>
      </c>
      <c r="S81" s="63" t="s">
        <v>228</v>
      </c>
      <c r="T81" s="63" t="s">
        <v>200</v>
      </c>
      <c r="U81" s="63"/>
    </row>
    <row r="82" customFormat="false" ht="15" hidden="false" customHeight="true" outlineLevel="0" collapsed="false">
      <c r="A82" s="54" t="n">
        <v>81</v>
      </c>
      <c r="B82" s="55" t="s">
        <v>1482</v>
      </c>
      <c r="C82" s="56" t="s">
        <v>1641</v>
      </c>
      <c r="D82" s="56" t="s">
        <v>1642</v>
      </c>
      <c r="E82" s="57" t="s">
        <v>1500</v>
      </c>
      <c r="F82" s="55" t="s">
        <v>397</v>
      </c>
      <c r="G82" s="55" t="s">
        <v>169</v>
      </c>
      <c r="H82" s="58" t="n">
        <v>200</v>
      </c>
      <c r="I82" s="58" t="n">
        <v>450</v>
      </c>
      <c r="J82" s="58" t="n">
        <f aca="false">ROUND(AVERAGE(H82:I82),1)</f>
        <v>325</v>
      </c>
      <c r="K82" s="59" t="n">
        <v>1.5</v>
      </c>
      <c r="L82" s="58" t="n">
        <f aca="false">J82+K82</f>
        <v>326.5</v>
      </c>
      <c r="M82" s="60" t="n">
        <f aca="false">IFERROR(INDEX(99_Listas!$C$2:$C$5,MATCH(G82,99_Listas!$B$2:$B$5,0)),0)</f>
        <v>0.13</v>
      </c>
      <c r="N82" s="58" t="n">
        <f aca="false">ROUND(J82*M82,2)</f>
        <v>42.25</v>
      </c>
      <c r="O82" s="58" t="n">
        <f aca="false">ROUND(J82-N82,2)</f>
        <v>282.75</v>
      </c>
      <c r="P82" s="55" t="s">
        <v>1501</v>
      </c>
      <c r="Q82" s="54" t="n">
        <v>90</v>
      </c>
      <c r="R82" s="55" t="s">
        <v>165</v>
      </c>
      <c r="S82" s="56" t="s">
        <v>228</v>
      </c>
      <c r="T82" s="56" t="s">
        <v>200</v>
      </c>
      <c r="U82" s="56"/>
    </row>
    <row r="83" customFormat="false" ht="15" hidden="false" customHeight="true" outlineLevel="0" collapsed="false">
      <c r="A83" s="61" t="n">
        <v>82</v>
      </c>
      <c r="B83" s="62" t="s">
        <v>1482</v>
      </c>
      <c r="C83" s="63" t="s">
        <v>1643</v>
      </c>
      <c r="D83" s="63" t="s">
        <v>1644</v>
      </c>
      <c r="E83" s="57" t="s">
        <v>1211</v>
      </c>
      <c r="F83" s="62" t="s">
        <v>1623</v>
      </c>
      <c r="G83" s="62" t="s">
        <v>169</v>
      </c>
      <c r="H83" s="64" t="n">
        <v>900</v>
      </c>
      <c r="I83" s="64" t="n">
        <v>2000</v>
      </c>
      <c r="J83" s="64" t="n">
        <f aca="false">ROUND(AVERAGE(H83:I83),1)</f>
        <v>1450</v>
      </c>
      <c r="K83" s="59" t="n">
        <v>1.5</v>
      </c>
      <c r="L83" s="64" t="n">
        <f aca="false">J83+K83</f>
        <v>1451.5</v>
      </c>
      <c r="M83" s="65" t="n">
        <f aca="false">IFERROR(INDEX(99_Listas!$C$2:$C$5,MATCH(G83,99_Listas!$B$2:$B$5,0)),0)</f>
        <v>0.13</v>
      </c>
      <c r="N83" s="64" t="n">
        <f aca="false">ROUND(J83*M83,2)</f>
        <v>188.5</v>
      </c>
      <c r="O83" s="64" t="n">
        <f aca="false">ROUND(J83-N83,2)</f>
        <v>1261.5</v>
      </c>
      <c r="P83" s="62" t="s">
        <v>1103</v>
      </c>
      <c r="Q83" s="61" t="n">
        <v>300</v>
      </c>
      <c r="R83" s="62" t="s">
        <v>258</v>
      </c>
      <c r="S83" s="63" t="s">
        <v>228</v>
      </c>
      <c r="T83" s="63" t="s">
        <v>200</v>
      </c>
      <c r="U83" s="63"/>
    </row>
    <row r="84" customFormat="false" ht="23.25" hidden="false" customHeight="true" outlineLevel="0" collapsed="false">
      <c r="A84" s="54" t="n">
        <v>83</v>
      </c>
      <c r="B84" s="55" t="s">
        <v>1482</v>
      </c>
      <c r="C84" s="56" t="s">
        <v>1645</v>
      </c>
      <c r="D84" s="56" t="s">
        <v>1646</v>
      </c>
      <c r="E84" s="57" t="s">
        <v>1505</v>
      </c>
      <c r="F84" s="55" t="s">
        <v>927</v>
      </c>
      <c r="G84" s="55" t="s">
        <v>169</v>
      </c>
      <c r="H84" s="58" t="n">
        <v>80</v>
      </c>
      <c r="I84" s="58" t="n">
        <v>250</v>
      </c>
      <c r="J84" s="58" t="n">
        <f aca="false">ROUND(AVERAGE(H84:I84),1)</f>
        <v>165</v>
      </c>
      <c r="K84" s="59" t="n">
        <v>1.5</v>
      </c>
      <c r="L84" s="58" t="n">
        <f aca="false">J84+K84</f>
        <v>166.5</v>
      </c>
      <c r="M84" s="60" t="n">
        <f aca="false">IFERROR(INDEX(99_Listas!$C$2:$C$5,MATCH(G84,99_Listas!$B$2:$B$5,0)),0)</f>
        <v>0.13</v>
      </c>
      <c r="N84" s="58" t="n">
        <f aca="false">ROUND(J84*M84,2)</f>
        <v>21.45</v>
      </c>
      <c r="O84" s="58" t="n">
        <f aca="false">ROUND(J84-N84,2)</f>
        <v>143.55</v>
      </c>
      <c r="P84" s="55" t="s">
        <v>928</v>
      </c>
      <c r="Q84" s="54" t="n">
        <v>180</v>
      </c>
      <c r="R84" s="55" t="s">
        <v>165</v>
      </c>
      <c r="S84" s="56" t="s">
        <v>228</v>
      </c>
      <c r="T84" s="56" t="s">
        <v>528</v>
      </c>
      <c r="U84" s="56"/>
    </row>
    <row r="85" customFormat="false" ht="15" hidden="false" customHeight="true" outlineLevel="0" collapsed="false">
      <c r="A85" s="61" t="n">
        <v>84</v>
      </c>
      <c r="B85" s="62" t="s">
        <v>1482</v>
      </c>
      <c r="C85" s="63" t="s">
        <v>1647</v>
      </c>
      <c r="D85" s="63" t="s">
        <v>1648</v>
      </c>
      <c r="E85" s="57" t="s">
        <v>512</v>
      </c>
      <c r="F85" s="62" t="s">
        <v>324</v>
      </c>
      <c r="G85" s="62" t="s">
        <v>169</v>
      </c>
      <c r="H85" s="64" t="n">
        <v>90</v>
      </c>
      <c r="I85" s="64" t="n">
        <v>180</v>
      </c>
      <c r="J85" s="64" t="n">
        <f aca="false">ROUND(AVERAGE(H85:I85),1)</f>
        <v>135</v>
      </c>
      <c r="K85" s="59" t="n">
        <v>1.5</v>
      </c>
      <c r="L85" s="64" t="n">
        <f aca="false">J85+K85</f>
        <v>136.5</v>
      </c>
      <c r="M85" s="65" t="n">
        <f aca="false">IFERROR(INDEX(99_Listas!$C$2:$C$5,MATCH(G85,99_Listas!$B$2:$B$5,0)),0)</f>
        <v>0.13</v>
      </c>
      <c r="N85" s="64" t="n">
        <f aca="false">ROUND(J85*M85,2)</f>
        <v>17.55</v>
      </c>
      <c r="O85" s="64" t="n">
        <f aca="false">ROUND(J85-N85,2)</f>
        <v>117.45</v>
      </c>
      <c r="P85" s="62" t="s">
        <v>928</v>
      </c>
      <c r="Q85" s="61" t="n">
        <v>90</v>
      </c>
      <c r="R85" s="62" t="s">
        <v>276</v>
      </c>
      <c r="S85" s="63" t="s">
        <v>228</v>
      </c>
      <c r="T85" s="63" t="s">
        <v>200</v>
      </c>
      <c r="U85" s="63"/>
    </row>
    <row r="86" customFormat="false" ht="15" hidden="false" customHeight="true" outlineLevel="0" collapsed="false">
      <c r="A86" s="54" t="n">
        <v>85</v>
      </c>
      <c r="B86" s="55" t="s">
        <v>1482</v>
      </c>
      <c r="C86" s="56" t="s">
        <v>1649</v>
      </c>
      <c r="D86" s="56" t="s">
        <v>1650</v>
      </c>
      <c r="E86" s="57" t="s">
        <v>1493</v>
      </c>
      <c r="F86" s="55" t="s">
        <v>397</v>
      </c>
      <c r="G86" s="55" t="s">
        <v>165</v>
      </c>
      <c r="H86" s="58" t="n">
        <v>60</v>
      </c>
      <c r="I86" s="58" t="n">
        <v>130</v>
      </c>
      <c r="J86" s="58" t="n">
        <f aca="false">ROUND(AVERAGE(H86:I86),1)</f>
        <v>95</v>
      </c>
      <c r="K86" s="59" t="n">
        <v>1.5</v>
      </c>
      <c r="L86" s="58" t="n">
        <f aca="false">J86+K86</f>
        <v>96.5</v>
      </c>
      <c r="M86" s="60" t="n">
        <f aca="false">IFERROR(INDEX(99_Listas!$C$2:$C$5,MATCH(G86,99_Listas!$B$2:$B$5,0)),0)</f>
        <v>0.11</v>
      </c>
      <c r="N86" s="58" t="n">
        <f aca="false">ROUND(J86*M86,2)</f>
        <v>10.45</v>
      </c>
      <c r="O86" s="58" t="n">
        <f aca="false">ROUND(J86-N86,2)</f>
        <v>84.55</v>
      </c>
      <c r="P86" s="55" t="s">
        <v>1651</v>
      </c>
      <c r="Q86" s="54" t="n">
        <v>45</v>
      </c>
      <c r="R86" s="55" t="s">
        <v>276</v>
      </c>
      <c r="S86" s="56" t="s">
        <v>228</v>
      </c>
      <c r="T86" s="56" t="s">
        <v>200</v>
      </c>
      <c r="U86" s="56" t="s">
        <v>1652</v>
      </c>
    </row>
    <row r="87" customFormat="false" ht="15" hidden="false" customHeight="true" outlineLevel="0" collapsed="false">
      <c r="A87" s="61" t="n">
        <v>86</v>
      </c>
      <c r="B87" s="62" t="s">
        <v>1509</v>
      </c>
      <c r="C87" s="63" t="s">
        <v>1653</v>
      </c>
      <c r="D87" s="63" t="s">
        <v>1654</v>
      </c>
      <c r="E87" s="57" t="s">
        <v>1655</v>
      </c>
      <c r="F87" s="62" t="s">
        <v>324</v>
      </c>
      <c r="G87" s="62" t="s">
        <v>165</v>
      </c>
      <c r="H87" s="64" t="n">
        <v>14</v>
      </c>
      <c r="I87" s="64" t="n">
        <v>25</v>
      </c>
      <c r="J87" s="64" t="n">
        <f aca="false">ROUND(AVERAGE(H87:I87),1)</f>
        <v>19.5</v>
      </c>
      <c r="K87" s="59" t="n">
        <v>1.5</v>
      </c>
      <c r="L87" s="64" t="n">
        <f aca="false">J87+K87</f>
        <v>21</v>
      </c>
      <c r="M87" s="65" t="n">
        <f aca="false">IFERROR(INDEX(99_Listas!$C$2:$C$5,MATCH(G87,99_Listas!$B$2:$B$5,0)),0)</f>
        <v>0.11</v>
      </c>
      <c r="N87" s="64" t="n">
        <f aca="false">ROUND(J87*M87,2)</f>
        <v>2.15</v>
      </c>
      <c r="O87" s="64" t="n">
        <f aca="false">ROUND(J87-N87,2)</f>
        <v>17.35</v>
      </c>
      <c r="P87" s="62" t="s">
        <v>578</v>
      </c>
      <c r="Q87" s="61" t="n">
        <v>15</v>
      </c>
      <c r="R87" s="62" t="s">
        <v>276</v>
      </c>
      <c r="S87" s="63" t="s">
        <v>228</v>
      </c>
      <c r="T87" s="63" t="s">
        <v>402</v>
      </c>
      <c r="U87" s="63"/>
    </row>
    <row r="88" customFormat="false" ht="15" hidden="false" customHeight="true" outlineLevel="0" collapsed="false">
      <c r="A88" s="54" t="n">
        <v>87</v>
      </c>
      <c r="B88" s="55" t="s">
        <v>1509</v>
      </c>
      <c r="C88" s="56" t="s">
        <v>1656</v>
      </c>
      <c r="D88" s="56" t="s">
        <v>1657</v>
      </c>
      <c r="E88" s="57" t="s">
        <v>1521</v>
      </c>
      <c r="F88" s="55" t="s">
        <v>324</v>
      </c>
      <c r="G88" s="55" t="s">
        <v>165</v>
      </c>
      <c r="H88" s="58" t="n">
        <v>14</v>
      </c>
      <c r="I88" s="58" t="n">
        <v>25</v>
      </c>
      <c r="J88" s="58" t="n">
        <f aca="false">ROUND(AVERAGE(H88:I88),1)</f>
        <v>19.5</v>
      </c>
      <c r="K88" s="59" t="n">
        <v>1.5</v>
      </c>
      <c r="L88" s="58" t="n">
        <f aca="false">J88+K88</f>
        <v>21</v>
      </c>
      <c r="M88" s="60" t="n">
        <f aca="false">IFERROR(INDEX(99_Listas!$C$2:$C$5,MATCH(G88,99_Listas!$B$2:$B$5,0)),0)</f>
        <v>0.11</v>
      </c>
      <c r="N88" s="58" t="n">
        <f aca="false">ROUND(J88*M88,2)</f>
        <v>2.15</v>
      </c>
      <c r="O88" s="58" t="n">
        <f aca="false">ROUND(J88-N88,2)</f>
        <v>17.35</v>
      </c>
      <c r="P88" s="55" t="s">
        <v>578</v>
      </c>
      <c r="Q88" s="54" t="n">
        <v>15</v>
      </c>
      <c r="R88" s="55" t="s">
        <v>276</v>
      </c>
      <c r="S88" s="56" t="s">
        <v>228</v>
      </c>
      <c r="T88" s="56" t="s">
        <v>402</v>
      </c>
      <c r="U88" s="56"/>
    </row>
    <row r="89" customFormat="false" ht="15" hidden="false" customHeight="true" outlineLevel="0" collapsed="false">
      <c r="A89" s="61" t="n">
        <v>88</v>
      </c>
      <c r="B89" s="62" t="s">
        <v>1509</v>
      </c>
      <c r="C89" s="63" t="s">
        <v>1658</v>
      </c>
      <c r="D89" s="63" t="s">
        <v>1659</v>
      </c>
      <c r="E89" s="57" t="s">
        <v>1660</v>
      </c>
      <c r="F89" s="62" t="s">
        <v>1661</v>
      </c>
      <c r="G89" s="62" t="s">
        <v>169</v>
      </c>
      <c r="H89" s="64" t="n">
        <v>60</v>
      </c>
      <c r="I89" s="64" t="n">
        <v>110</v>
      </c>
      <c r="J89" s="64" t="n">
        <f aca="false">ROUND(AVERAGE(H89:I89),1)</f>
        <v>85</v>
      </c>
      <c r="K89" s="59" t="n">
        <v>1.5</v>
      </c>
      <c r="L89" s="64" t="n">
        <f aca="false">J89+K89</f>
        <v>86.5</v>
      </c>
      <c r="M89" s="65" t="n">
        <f aca="false">IFERROR(INDEX(99_Listas!$C$2:$C$5,MATCH(G89,99_Listas!$B$2:$B$5,0)),0)</f>
        <v>0.13</v>
      </c>
      <c r="N89" s="64" t="n">
        <f aca="false">ROUND(J89*M89,2)</f>
        <v>11.05</v>
      </c>
      <c r="O89" s="64" t="n">
        <f aca="false">ROUND(J89-N89,2)</f>
        <v>73.95</v>
      </c>
      <c r="P89" s="62" t="s">
        <v>1485</v>
      </c>
      <c r="Q89" s="61" t="n">
        <v>60</v>
      </c>
      <c r="R89" s="62" t="s">
        <v>276</v>
      </c>
      <c r="S89" s="63" t="s">
        <v>228</v>
      </c>
      <c r="T89" s="63" t="s">
        <v>1662</v>
      </c>
      <c r="U89" s="63" t="s">
        <v>1663</v>
      </c>
    </row>
    <row r="90" customFormat="false" ht="15" hidden="false" customHeight="true" outlineLevel="0" collapsed="false">
      <c r="A90" s="54" t="n">
        <v>89</v>
      </c>
      <c r="B90" s="55" t="s">
        <v>1509</v>
      </c>
      <c r="C90" s="56" t="s">
        <v>1664</v>
      </c>
      <c r="D90" s="56" t="s">
        <v>1665</v>
      </c>
      <c r="E90" s="57" t="s">
        <v>1660</v>
      </c>
      <c r="F90" s="55" t="s">
        <v>1661</v>
      </c>
      <c r="G90" s="55" t="s">
        <v>169</v>
      </c>
      <c r="H90" s="58" t="n">
        <v>220</v>
      </c>
      <c r="I90" s="58" t="n">
        <v>420</v>
      </c>
      <c r="J90" s="58" t="n">
        <f aca="false">ROUND(AVERAGE(H90:I90),1)</f>
        <v>320</v>
      </c>
      <c r="K90" s="59" t="n">
        <v>1.5</v>
      </c>
      <c r="L90" s="58" t="n">
        <f aca="false">J90+K90</f>
        <v>321.5</v>
      </c>
      <c r="M90" s="60" t="n">
        <f aca="false">IFERROR(INDEX(99_Listas!$C$2:$C$5,MATCH(G90,99_Listas!$B$2:$B$5,0)),0)</f>
        <v>0.13</v>
      </c>
      <c r="N90" s="58" t="n">
        <f aca="false">ROUND(J90*M90,2)</f>
        <v>41.6</v>
      </c>
      <c r="O90" s="58" t="n">
        <f aca="false">ROUND(J90-N90,2)</f>
        <v>278.4</v>
      </c>
      <c r="P90" s="55" t="s">
        <v>1485</v>
      </c>
      <c r="Q90" s="54" t="n">
        <v>0</v>
      </c>
      <c r="R90" s="55" t="s">
        <v>276</v>
      </c>
      <c r="S90" s="56" t="s">
        <v>228</v>
      </c>
      <c r="T90" s="56" t="s">
        <v>1662</v>
      </c>
      <c r="U90" s="56" t="s">
        <v>1666</v>
      </c>
    </row>
    <row r="91" customFormat="false" ht="15" hidden="false" customHeight="true" outlineLevel="0" collapsed="false">
      <c r="A91" s="61" t="n">
        <v>90</v>
      </c>
      <c r="B91" s="62" t="s">
        <v>1509</v>
      </c>
      <c r="C91" s="63" t="s">
        <v>1667</v>
      </c>
      <c r="D91" s="63" t="s">
        <v>1668</v>
      </c>
      <c r="E91" s="57" t="s">
        <v>1521</v>
      </c>
      <c r="F91" s="62" t="s">
        <v>324</v>
      </c>
      <c r="G91" s="62" t="s">
        <v>165</v>
      </c>
      <c r="H91" s="64" t="n">
        <v>14</v>
      </c>
      <c r="I91" s="64" t="n">
        <v>25</v>
      </c>
      <c r="J91" s="64" t="n">
        <f aca="false">ROUND(AVERAGE(H91:I91),1)</f>
        <v>19.5</v>
      </c>
      <c r="K91" s="59" t="n">
        <v>1.5</v>
      </c>
      <c r="L91" s="64" t="n">
        <f aca="false">J91+K91</f>
        <v>21</v>
      </c>
      <c r="M91" s="65" t="n">
        <f aca="false">IFERROR(INDEX(99_Listas!$C$2:$C$5,MATCH(G91,99_Listas!$B$2:$B$5,0)),0)</f>
        <v>0.11</v>
      </c>
      <c r="N91" s="64" t="n">
        <f aca="false">ROUND(J91*M91,2)</f>
        <v>2.15</v>
      </c>
      <c r="O91" s="64" t="n">
        <f aca="false">ROUND(J91-N91,2)</f>
        <v>17.35</v>
      </c>
      <c r="P91" s="62" t="s">
        <v>578</v>
      </c>
      <c r="Q91" s="61" t="n">
        <v>15</v>
      </c>
      <c r="R91" s="62" t="s">
        <v>276</v>
      </c>
      <c r="S91" s="63" t="s">
        <v>228</v>
      </c>
      <c r="T91" s="63" t="s">
        <v>402</v>
      </c>
      <c r="U91" s="63"/>
    </row>
    <row r="92" customFormat="false" ht="15" hidden="false" customHeight="true" outlineLevel="0" collapsed="false">
      <c r="A92" s="54" t="n">
        <v>91</v>
      </c>
      <c r="B92" s="55" t="s">
        <v>1509</v>
      </c>
      <c r="C92" s="56" t="s">
        <v>1669</v>
      </c>
      <c r="D92" s="56" t="s">
        <v>1670</v>
      </c>
      <c r="E92" s="57" t="s">
        <v>565</v>
      </c>
      <c r="F92" s="55" t="s">
        <v>324</v>
      </c>
      <c r="G92" s="55" t="s">
        <v>161</v>
      </c>
      <c r="H92" s="58" t="n">
        <v>9</v>
      </c>
      <c r="I92" s="58" t="n">
        <v>16</v>
      </c>
      <c r="J92" s="58" t="n">
        <f aca="false">ROUND(AVERAGE(H92:I92),1)</f>
        <v>12.5</v>
      </c>
      <c r="K92" s="59" t="n">
        <v>1.5</v>
      </c>
      <c r="L92" s="58" t="n">
        <f aca="false">J92+K92</f>
        <v>14</v>
      </c>
      <c r="M92" s="60" t="n">
        <f aca="false">IFERROR(INDEX(99_Listas!$C$2:$C$5,MATCH(G92,99_Listas!$B$2:$B$5,0)),0)</f>
        <v>0.09</v>
      </c>
      <c r="N92" s="58" t="n">
        <f aca="false">ROUND(J92*M92,2)</f>
        <v>1.13</v>
      </c>
      <c r="O92" s="58" t="n">
        <f aca="false">ROUND(J92-N92,2)</f>
        <v>11.37</v>
      </c>
      <c r="P92" s="55" t="s">
        <v>578</v>
      </c>
      <c r="Q92" s="54" t="n">
        <v>12</v>
      </c>
      <c r="R92" s="55" t="s">
        <v>276</v>
      </c>
      <c r="S92" s="56" t="s">
        <v>1573</v>
      </c>
      <c r="T92" s="56" t="s">
        <v>402</v>
      </c>
      <c r="U92" s="56"/>
    </row>
    <row r="93" customFormat="false" ht="15" hidden="false" customHeight="true" outlineLevel="0" collapsed="false">
      <c r="A93" s="61" t="n">
        <v>92</v>
      </c>
      <c r="B93" s="62" t="s">
        <v>1530</v>
      </c>
      <c r="C93" s="63" t="s">
        <v>1671</v>
      </c>
      <c r="D93" s="63" t="s">
        <v>1672</v>
      </c>
      <c r="E93" s="57" t="s">
        <v>1211</v>
      </c>
      <c r="F93" s="62" t="s">
        <v>388</v>
      </c>
      <c r="G93" s="62" t="s">
        <v>169</v>
      </c>
      <c r="H93" s="64" t="n">
        <v>30</v>
      </c>
      <c r="I93" s="64" t="n">
        <v>60</v>
      </c>
      <c r="J93" s="64" t="n">
        <f aca="false">ROUND(AVERAGE(H93:I93),1)</f>
        <v>45</v>
      </c>
      <c r="K93" s="59" t="n">
        <v>1.5</v>
      </c>
      <c r="L93" s="64" t="n">
        <f aca="false">J93+K93</f>
        <v>46.5</v>
      </c>
      <c r="M93" s="65" t="n">
        <f aca="false">IFERROR(INDEX(99_Listas!$C$2:$C$5,MATCH(G93,99_Listas!$B$2:$B$5,0)),0)</f>
        <v>0.13</v>
      </c>
      <c r="N93" s="64" t="n">
        <f aca="false">ROUND(J93*M93,2)</f>
        <v>5.85</v>
      </c>
      <c r="O93" s="64" t="n">
        <f aca="false">ROUND(J93-N93,2)</f>
        <v>39.15</v>
      </c>
      <c r="P93" s="62" t="s">
        <v>1673</v>
      </c>
      <c r="Q93" s="61" t="n">
        <v>30</v>
      </c>
      <c r="R93" s="62" t="s">
        <v>258</v>
      </c>
      <c r="S93" s="63" t="s">
        <v>380</v>
      </c>
      <c r="T93" s="63" t="s">
        <v>1414</v>
      </c>
      <c r="U93" s="63" t="s">
        <v>1674</v>
      </c>
    </row>
    <row r="94" customFormat="false" ht="15" hidden="false" customHeight="true" outlineLevel="0" collapsed="false">
      <c r="A94" s="54" t="n">
        <v>93</v>
      </c>
      <c r="B94" s="55" t="s">
        <v>1530</v>
      </c>
      <c r="C94" s="56" t="s">
        <v>1675</v>
      </c>
      <c r="D94" s="56" t="s">
        <v>1676</v>
      </c>
      <c r="E94" s="57" t="s">
        <v>1211</v>
      </c>
      <c r="F94" s="55" t="s">
        <v>324</v>
      </c>
      <c r="G94" s="55" t="s">
        <v>165</v>
      </c>
      <c r="H94" s="58" t="n">
        <v>18</v>
      </c>
      <c r="I94" s="58" t="n">
        <v>35</v>
      </c>
      <c r="J94" s="58" t="n">
        <f aca="false">ROUND(AVERAGE(H94:I94),1)</f>
        <v>26.5</v>
      </c>
      <c r="K94" s="59" t="n">
        <v>1.5</v>
      </c>
      <c r="L94" s="58" t="n">
        <f aca="false">J94+K94</f>
        <v>28</v>
      </c>
      <c r="M94" s="60" t="n">
        <f aca="false">IFERROR(INDEX(99_Listas!$C$2:$C$5,MATCH(G94,99_Listas!$B$2:$B$5,0)),0)</f>
        <v>0.11</v>
      </c>
      <c r="N94" s="58" t="n">
        <f aca="false">ROUND(J94*M94,2)</f>
        <v>2.92</v>
      </c>
      <c r="O94" s="58" t="n">
        <f aca="false">ROUND(J94-N94,2)</f>
        <v>23.58</v>
      </c>
      <c r="P94" s="55" t="s">
        <v>1422</v>
      </c>
      <c r="Q94" s="54" t="n">
        <v>20</v>
      </c>
      <c r="R94" s="55" t="s">
        <v>165</v>
      </c>
      <c r="S94" s="56" t="s">
        <v>1677</v>
      </c>
      <c r="T94" s="56" t="s">
        <v>260</v>
      </c>
      <c r="U94" s="56" t="s">
        <v>1678</v>
      </c>
    </row>
    <row r="95" customFormat="false" ht="15" hidden="false" customHeight="true" outlineLevel="0" collapsed="false">
      <c r="A95" s="61" t="n">
        <v>94</v>
      </c>
      <c r="B95" s="62" t="s">
        <v>1530</v>
      </c>
      <c r="C95" s="63" t="s">
        <v>1679</v>
      </c>
      <c r="D95" s="63" t="s">
        <v>1680</v>
      </c>
      <c r="E95" s="57" t="s">
        <v>1211</v>
      </c>
      <c r="F95" s="62" t="s">
        <v>324</v>
      </c>
      <c r="G95" s="62" t="s">
        <v>165</v>
      </c>
      <c r="H95" s="64" t="n">
        <v>18</v>
      </c>
      <c r="I95" s="64" t="n">
        <v>35</v>
      </c>
      <c r="J95" s="64" t="n">
        <f aca="false">ROUND(AVERAGE(H95:I95),1)</f>
        <v>26.5</v>
      </c>
      <c r="K95" s="59" t="n">
        <v>1.5</v>
      </c>
      <c r="L95" s="64" t="n">
        <f aca="false">J95+K95</f>
        <v>28</v>
      </c>
      <c r="M95" s="65" t="n">
        <f aca="false">IFERROR(INDEX(99_Listas!$C$2:$C$5,MATCH(G95,99_Listas!$B$2:$B$5,0)),0)</f>
        <v>0.11</v>
      </c>
      <c r="N95" s="64" t="n">
        <f aca="false">ROUND(J95*M95,2)</f>
        <v>2.92</v>
      </c>
      <c r="O95" s="64" t="n">
        <f aca="false">ROUND(J95-N95,2)</f>
        <v>23.58</v>
      </c>
      <c r="P95" s="62" t="s">
        <v>1422</v>
      </c>
      <c r="Q95" s="61" t="n">
        <v>20</v>
      </c>
      <c r="R95" s="62" t="s">
        <v>165</v>
      </c>
      <c r="S95" s="63" t="s">
        <v>1681</v>
      </c>
      <c r="T95" s="63" t="s">
        <v>260</v>
      </c>
      <c r="U95" s="63"/>
    </row>
    <row r="96" customFormat="false" ht="15" hidden="false" customHeight="true" outlineLevel="0" collapsed="false">
      <c r="A96" s="54" t="n">
        <v>95</v>
      </c>
      <c r="B96" s="55" t="s">
        <v>1530</v>
      </c>
      <c r="C96" s="56" t="s">
        <v>1682</v>
      </c>
      <c r="D96" s="56" t="s">
        <v>1683</v>
      </c>
      <c r="E96" s="57" t="s">
        <v>1493</v>
      </c>
      <c r="F96" s="55" t="s">
        <v>1494</v>
      </c>
      <c r="G96" s="55" t="s">
        <v>165</v>
      </c>
      <c r="H96" s="58" t="n">
        <v>18</v>
      </c>
      <c r="I96" s="58" t="n">
        <v>35</v>
      </c>
      <c r="J96" s="58" t="n">
        <f aca="false">ROUND(AVERAGE(H96:I96),1)</f>
        <v>26.5</v>
      </c>
      <c r="K96" s="59" t="n">
        <v>1.5</v>
      </c>
      <c r="L96" s="58" t="n">
        <f aca="false">J96+K96</f>
        <v>28</v>
      </c>
      <c r="M96" s="60" t="n">
        <f aca="false">IFERROR(INDEX(99_Listas!$C$2:$C$5,MATCH(G96,99_Listas!$B$2:$B$5,0)),0)</f>
        <v>0.11</v>
      </c>
      <c r="N96" s="58" t="n">
        <f aca="false">ROUND(J96*M96,2)</f>
        <v>2.92</v>
      </c>
      <c r="O96" s="58" t="n">
        <f aca="false">ROUND(J96-N96,2)</f>
        <v>23.58</v>
      </c>
      <c r="P96" s="55" t="s">
        <v>227</v>
      </c>
      <c r="Q96" s="54" t="n">
        <v>20</v>
      </c>
      <c r="R96" s="55" t="s">
        <v>276</v>
      </c>
      <c r="S96" s="56" t="s">
        <v>389</v>
      </c>
      <c r="T96" s="56" t="s">
        <v>200</v>
      </c>
      <c r="U96" s="56"/>
    </row>
    <row r="97" customFormat="false" ht="15" hidden="false" customHeight="true" outlineLevel="0" collapsed="false">
      <c r="A97" s="61" t="n">
        <v>96</v>
      </c>
      <c r="B97" s="62" t="s">
        <v>1530</v>
      </c>
      <c r="C97" s="63" t="s">
        <v>1684</v>
      </c>
      <c r="D97" s="63" t="s">
        <v>1685</v>
      </c>
      <c r="E97" s="57" t="s">
        <v>1533</v>
      </c>
      <c r="F97" s="62" t="s">
        <v>1686</v>
      </c>
      <c r="G97" s="62" t="s">
        <v>169</v>
      </c>
      <c r="H97" s="64" t="n">
        <v>35</v>
      </c>
      <c r="I97" s="64" t="n">
        <v>80</v>
      </c>
      <c r="J97" s="64" t="n">
        <f aca="false">ROUND(AVERAGE(H97:I97),1)</f>
        <v>57.5</v>
      </c>
      <c r="K97" s="59" t="n">
        <v>1.5</v>
      </c>
      <c r="L97" s="64" t="n">
        <f aca="false">J97+K97</f>
        <v>59</v>
      </c>
      <c r="M97" s="65" t="n">
        <f aca="false">IFERROR(INDEX(99_Listas!$C$2:$C$5,MATCH(G97,99_Listas!$B$2:$B$5,0)),0)</f>
        <v>0.13</v>
      </c>
      <c r="N97" s="64" t="n">
        <f aca="false">ROUND(J97*M97,2)</f>
        <v>7.48</v>
      </c>
      <c r="O97" s="64" t="n">
        <f aca="false">ROUND(J97-N97,2)</f>
        <v>50.02</v>
      </c>
      <c r="P97" s="62" t="s">
        <v>1103</v>
      </c>
      <c r="Q97" s="61" t="n">
        <v>10</v>
      </c>
      <c r="R97" s="62" t="s">
        <v>165</v>
      </c>
      <c r="S97" s="63" t="s">
        <v>228</v>
      </c>
      <c r="T97" s="63" t="s">
        <v>1687</v>
      </c>
      <c r="U97" s="63" t="s">
        <v>1688</v>
      </c>
    </row>
    <row r="99" customFormat="false" ht="15" hidden="false" customHeight="true" outlineLevel="0" collapsed="false">
      <c r="B99" s="8" t="s">
        <v>1689</v>
      </c>
    </row>
    <row r="100" customFormat="false" ht="15" hidden="false" customHeight="true" outlineLevel="0" collapsed="false">
      <c r="B100" s="8" t="s">
        <v>561</v>
      </c>
    </row>
  </sheetData>
  <autoFilter ref="A1:U97"/>
  <dataValidations count="2">
    <dataValidation allowBlank="true" errorStyle="stop" operator="between" showDropDown="false" showErrorMessage="false" showInputMessage="false" sqref="G2:G97" type="list">
      <formula1>99_Listas!$B$2:$B$5</formula1>
      <formula2>0</formula2>
    </dataValidation>
    <dataValidation allowBlank="true" errorStyle="stop" operator="between" showDropDown="false" showErrorMessage="false" showInputMessage="false" sqref="R2:R97" type="list">
      <formula1>"Alto,Medio,Bajo"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6" min="15" style="1" width="14"/>
    <col collapsed="false" customWidth="true" hidden="false" outlineLevel="0" max="17" min="17" style="1" width="9"/>
    <col collapsed="false" customWidth="true" hidden="false" outlineLevel="0" max="18" min="18" style="1" width="13"/>
    <col collapsed="false" customWidth="true" hidden="false" outlineLevel="0" max="19" min="19" style="1" width="22"/>
    <col collapsed="false" customWidth="true" hidden="false" outlineLevel="0" max="20" min="20" style="1" width="24"/>
    <col collapsed="false" customWidth="true" hidden="false" outlineLevel="0" max="21" min="21" style="1" width="46"/>
  </cols>
  <sheetData>
    <row r="1" customFormat="false" ht="33.75" hidden="false" customHeight="true" outlineLevel="0" collapsed="false">
      <c r="A1" s="13" t="s">
        <v>206</v>
      </c>
      <c r="B1" s="13" t="s">
        <v>70</v>
      </c>
      <c r="C1" s="13" t="s">
        <v>207</v>
      </c>
      <c r="D1" s="13" t="s">
        <v>208</v>
      </c>
      <c r="E1" s="13" t="s">
        <v>209</v>
      </c>
      <c r="F1" s="13" t="s">
        <v>210</v>
      </c>
      <c r="G1" s="13" t="s">
        <v>72</v>
      </c>
      <c r="H1" s="13" t="s">
        <v>211</v>
      </c>
      <c r="I1" s="13" t="s">
        <v>212</v>
      </c>
      <c r="J1" s="13" t="s">
        <v>73</v>
      </c>
      <c r="K1" s="13" t="s">
        <v>213</v>
      </c>
      <c r="L1" s="13" t="s">
        <v>74</v>
      </c>
      <c r="M1" s="13" t="s">
        <v>214</v>
      </c>
      <c r="N1" s="13" t="s">
        <v>215</v>
      </c>
      <c r="O1" s="13" t="s">
        <v>216</v>
      </c>
      <c r="P1" s="13" t="s">
        <v>217</v>
      </c>
      <c r="Q1" s="13" t="s">
        <v>218</v>
      </c>
      <c r="R1" s="13" t="s">
        <v>219</v>
      </c>
      <c r="S1" s="13" t="s">
        <v>220</v>
      </c>
      <c r="T1" s="13" t="s">
        <v>155</v>
      </c>
      <c r="U1" s="13" t="s">
        <v>221</v>
      </c>
    </row>
    <row r="2" customFormat="false" ht="15" hidden="false" customHeight="true" outlineLevel="0" collapsed="false">
      <c r="A2" s="54" t="n">
        <v>1</v>
      </c>
      <c r="B2" s="55" t="s">
        <v>1690</v>
      </c>
      <c r="C2" s="56" t="s">
        <v>1691</v>
      </c>
      <c r="D2" s="56" t="s">
        <v>1692</v>
      </c>
      <c r="E2" s="57" t="s">
        <v>1693</v>
      </c>
      <c r="F2" s="55" t="s">
        <v>422</v>
      </c>
      <c r="G2" s="55" t="s">
        <v>157</v>
      </c>
      <c r="H2" s="58" t="n">
        <v>4</v>
      </c>
      <c r="I2" s="58" t="n">
        <v>8</v>
      </c>
      <c r="J2" s="58" t="n">
        <f aca="false">ROUND(AVERAGE(H2:I2),1)</f>
        <v>6</v>
      </c>
      <c r="K2" s="59" t="n">
        <v>0.5</v>
      </c>
      <c r="L2" s="58" t="n">
        <f aca="false">J2+K2</f>
        <v>6.5</v>
      </c>
      <c r="M2" s="60" t="n">
        <f aca="false">IFERROR(INDEX(99_Listas!$C$2:$C$5,MATCH(G2,99_Listas!$B$2:$B$5,0)),0)</f>
        <v>0.07</v>
      </c>
      <c r="N2" s="58" t="n">
        <f aca="false">ROUND(J2*M2,2)</f>
        <v>0.42</v>
      </c>
      <c r="O2" s="58" t="n">
        <f aca="false">ROUND(J2-N2,2)</f>
        <v>5.58</v>
      </c>
      <c r="P2" s="55" t="s">
        <v>519</v>
      </c>
      <c r="Q2" s="54" t="n">
        <v>5</v>
      </c>
      <c r="R2" s="55" t="s">
        <v>276</v>
      </c>
      <c r="S2" s="56" t="s">
        <v>228</v>
      </c>
      <c r="T2" s="56" t="s">
        <v>1694</v>
      </c>
      <c r="U2" s="56" t="s">
        <v>1695</v>
      </c>
    </row>
    <row r="3" customFormat="false" ht="15" hidden="false" customHeight="true" outlineLevel="0" collapsed="false">
      <c r="A3" s="61" t="n">
        <v>2</v>
      </c>
      <c r="B3" s="62" t="s">
        <v>1690</v>
      </c>
      <c r="C3" s="63" t="s">
        <v>1696</v>
      </c>
      <c r="D3" s="63" t="s">
        <v>1692</v>
      </c>
      <c r="E3" s="57" t="s">
        <v>1697</v>
      </c>
      <c r="F3" s="62" t="s">
        <v>422</v>
      </c>
      <c r="G3" s="62" t="s">
        <v>157</v>
      </c>
      <c r="H3" s="64" t="n">
        <v>4</v>
      </c>
      <c r="I3" s="64" t="n">
        <v>8</v>
      </c>
      <c r="J3" s="64" t="n">
        <f aca="false">ROUND(AVERAGE(H3:I3),1)</f>
        <v>6</v>
      </c>
      <c r="K3" s="59" t="n">
        <v>0.5</v>
      </c>
      <c r="L3" s="64" t="n">
        <f aca="false">J3+K3</f>
        <v>6.5</v>
      </c>
      <c r="M3" s="65" t="n">
        <f aca="false">IFERROR(INDEX(99_Listas!$C$2:$C$5,MATCH(G3,99_Listas!$B$2:$B$5,0)),0)</f>
        <v>0.07</v>
      </c>
      <c r="N3" s="64" t="n">
        <f aca="false">ROUND(J3*M3,2)</f>
        <v>0.42</v>
      </c>
      <c r="O3" s="64" t="n">
        <f aca="false">ROUND(J3-N3,2)</f>
        <v>5.58</v>
      </c>
      <c r="P3" s="62" t="s">
        <v>519</v>
      </c>
      <c r="Q3" s="61" t="n">
        <v>5</v>
      </c>
      <c r="R3" s="62" t="s">
        <v>276</v>
      </c>
      <c r="S3" s="63" t="s">
        <v>228</v>
      </c>
      <c r="T3" s="63" t="s">
        <v>184</v>
      </c>
      <c r="U3" s="63"/>
    </row>
    <row r="4" customFormat="false" ht="15" hidden="false" customHeight="true" outlineLevel="0" collapsed="false">
      <c r="A4" s="54" t="n">
        <v>3</v>
      </c>
      <c r="B4" s="55" t="s">
        <v>1690</v>
      </c>
      <c r="C4" s="56" t="s">
        <v>1698</v>
      </c>
      <c r="D4" s="56" t="s">
        <v>1699</v>
      </c>
      <c r="E4" s="57" t="s">
        <v>1700</v>
      </c>
      <c r="F4" s="55" t="s">
        <v>422</v>
      </c>
      <c r="G4" s="55" t="s">
        <v>157</v>
      </c>
      <c r="H4" s="58" t="n">
        <v>4</v>
      </c>
      <c r="I4" s="58" t="n">
        <v>9</v>
      </c>
      <c r="J4" s="58" t="n">
        <f aca="false">ROUND(AVERAGE(H4:I4),1)</f>
        <v>6.5</v>
      </c>
      <c r="K4" s="59" t="n">
        <v>0.5</v>
      </c>
      <c r="L4" s="58" t="n">
        <f aca="false">J4+K4</f>
        <v>7</v>
      </c>
      <c r="M4" s="60" t="n">
        <f aca="false">IFERROR(INDEX(99_Listas!$C$2:$C$5,MATCH(G4,99_Listas!$B$2:$B$5,0)),0)</f>
        <v>0.07</v>
      </c>
      <c r="N4" s="58" t="n">
        <f aca="false">ROUND(J4*M4,2)</f>
        <v>0.46</v>
      </c>
      <c r="O4" s="58" t="n">
        <f aca="false">ROUND(J4-N4,2)</f>
        <v>6.04</v>
      </c>
      <c r="P4" s="55" t="s">
        <v>519</v>
      </c>
      <c r="Q4" s="54" t="n">
        <v>5</v>
      </c>
      <c r="R4" s="55" t="s">
        <v>276</v>
      </c>
      <c r="S4" s="56" t="s">
        <v>228</v>
      </c>
      <c r="T4" s="56" t="s">
        <v>184</v>
      </c>
      <c r="U4" s="56"/>
    </row>
    <row r="5" customFormat="false" ht="15" hidden="false" customHeight="true" outlineLevel="0" collapsed="false">
      <c r="A5" s="61" t="n">
        <v>4</v>
      </c>
      <c r="B5" s="62" t="s">
        <v>1690</v>
      </c>
      <c r="C5" s="63" t="s">
        <v>1701</v>
      </c>
      <c r="D5" s="63" t="s">
        <v>1702</v>
      </c>
      <c r="E5" s="57" t="s">
        <v>1703</v>
      </c>
      <c r="F5" s="62" t="s">
        <v>422</v>
      </c>
      <c r="G5" s="62" t="s">
        <v>157</v>
      </c>
      <c r="H5" s="64" t="n">
        <v>5</v>
      </c>
      <c r="I5" s="64" t="n">
        <v>9</v>
      </c>
      <c r="J5" s="64" t="n">
        <f aca="false">ROUND(AVERAGE(H5:I5),1)</f>
        <v>7</v>
      </c>
      <c r="K5" s="59" t="n">
        <v>0.5</v>
      </c>
      <c r="L5" s="64" t="n">
        <f aca="false">J5+K5</f>
        <v>7.5</v>
      </c>
      <c r="M5" s="65" t="n">
        <f aca="false">IFERROR(INDEX(99_Listas!$C$2:$C$5,MATCH(G5,99_Listas!$B$2:$B$5,0)),0)</f>
        <v>0.07</v>
      </c>
      <c r="N5" s="64" t="n">
        <f aca="false">ROUND(J5*M5,2)</f>
        <v>0.49</v>
      </c>
      <c r="O5" s="64" t="n">
        <f aca="false">ROUND(J5-N5,2)</f>
        <v>6.51</v>
      </c>
      <c r="P5" s="62" t="s">
        <v>519</v>
      </c>
      <c r="Q5" s="61" t="n">
        <v>5</v>
      </c>
      <c r="R5" s="62" t="s">
        <v>276</v>
      </c>
      <c r="S5" s="63" t="s">
        <v>228</v>
      </c>
      <c r="T5" s="63" t="s">
        <v>184</v>
      </c>
      <c r="U5" s="63"/>
    </row>
    <row r="6" customFormat="false" ht="15" hidden="false" customHeight="true" outlineLevel="0" collapsed="false">
      <c r="A6" s="54" t="n">
        <v>5</v>
      </c>
      <c r="B6" s="55" t="s">
        <v>1690</v>
      </c>
      <c r="C6" s="56" t="s">
        <v>1704</v>
      </c>
      <c r="D6" s="56" t="s">
        <v>1705</v>
      </c>
      <c r="E6" s="57" t="s">
        <v>1706</v>
      </c>
      <c r="F6" s="55" t="s">
        <v>1707</v>
      </c>
      <c r="G6" s="55" t="s">
        <v>157</v>
      </c>
      <c r="H6" s="58" t="n">
        <v>6</v>
      </c>
      <c r="I6" s="58" t="n">
        <v>12</v>
      </c>
      <c r="J6" s="58" t="n">
        <f aca="false">ROUND(AVERAGE(H6:I6),1)</f>
        <v>9</v>
      </c>
      <c r="K6" s="59" t="n">
        <v>0.5</v>
      </c>
      <c r="L6" s="58" t="n">
        <f aca="false">J6+K6</f>
        <v>9.5</v>
      </c>
      <c r="M6" s="60" t="n">
        <f aca="false">IFERROR(INDEX(99_Listas!$C$2:$C$5,MATCH(G6,99_Listas!$B$2:$B$5,0)),0)</f>
        <v>0.07</v>
      </c>
      <c r="N6" s="58" t="n">
        <f aca="false">ROUND(J6*M6,2)</f>
        <v>0.63</v>
      </c>
      <c r="O6" s="58" t="n">
        <f aca="false">ROUND(J6-N6,2)</f>
        <v>8.37</v>
      </c>
      <c r="P6" s="55" t="s">
        <v>519</v>
      </c>
      <c r="Q6" s="54" t="n">
        <v>7</v>
      </c>
      <c r="R6" s="55" t="s">
        <v>276</v>
      </c>
      <c r="S6" s="56" t="s">
        <v>228</v>
      </c>
      <c r="T6" s="56" t="s">
        <v>184</v>
      </c>
      <c r="U6" s="56" t="s">
        <v>1708</v>
      </c>
    </row>
    <row r="7" customFormat="false" ht="15" hidden="false" customHeight="true" outlineLevel="0" collapsed="false">
      <c r="A7" s="61" t="n">
        <v>6</v>
      </c>
      <c r="B7" s="62" t="s">
        <v>1690</v>
      </c>
      <c r="C7" s="63" t="s">
        <v>1709</v>
      </c>
      <c r="D7" s="63" t="s">
        <v>1710</v>
      </c>
      <c r="E7" s="57" t="s">
        <v>1706</v>
      </c>
      <c r="F7" s="62" t="s">
        <v>1707</v>
      </c>
      <c r="G7" s="62" t="s">
        <v>161</v>
      </c>
      <c r="H7" s="64" t="n">
        <v>8</v>
      </c>
      <c r="I7" s="64" t="n">
        <v>15</v>
      </c>
      <c r="J7" s="64" t="n">
        <f aca="false">ROUND(AVERAGE(H7:I7),1)</f>
        <v>11.5</v>
      </c>
      <c r="K7" s="59" t="n">
        <v>0.5</v>
      </c>
      <c r="L7" s="64" t="n">
        <f aca="false">J7+K7</f>
        <v>12</v>
      </c>
      <c r="M7" s="65" t="n">
        <f aca="false">IFERROR(INDEX(99_Listas!$C$2:$C$5,MATCH(G7,99_Listas!$B$2:$B$5,0)),0)</f>
        <v>0.09</v>
      </c>
      <c r="N7" s="64" t="n">
        <f aca="false">ROUND(J7*M7,2)</f>
        <v>1.04</v>
      </c>
      <c r="O7" s="64" t="n">
        <f aca="false">ROUND(J7-N7,2)</f>
        <v>10.46</v>
      </c>
      <c r="P7" s="62" t="s">
        <v>519</v>
      </c>
      <c r="Q7" s="61" t="n">
        <v>8</v>
      </c>
      <c r="R7" s="62" t="s">
        <v>276</v>
      </c>
      <c r="S7" s="63" t="s">
        <v>228</v>
      </c>
      <c r="T7" s="63" t="s">
        <v>184</v>
      </c>
      <c r="U7" s="63" t="s">
        <v>1711</v>
      </c>
    </row>
    <row r="8" customFormat="false" ht="15" hidden="false" customHeight="true" outlineLevel="0" collapsed="false">
      <c r="A8" s="54" t="n">
        <v>7</v>
      </c>
      <c r="B8" s="55" t="s">
        <v>1690</v>
      </c>
      <c r="C8" s="56" t="s">
        <v>1712</v>
      </c>
      <c r="D8" s="56" t="s">
        <v>1692</v>
      </c>
      <c r="E8" s="57" t="s">
        <v>1713</v>
      </c>
      <c r="F8" s="55" t="s">
        <v>422</v>
      </c>
      <c r="G8" s="55" t="s">
        <v>157</v>
      </c>
      <c r="H8" s="58" t="n">
        <v>5</v>
      </c>
      <c r="I8" s="58" t="n">
        <v>10</v>
      </c>
      <c r="J8" s="58" t="n">
        <f aca="false">ROUND(AVERAGE(H8:I8),1)</f>
        <v>7.5</v>
      </c>
      <c r="K8" s="59" t="n">
        <v>0.5</v>
      </c>
      <c r="L8" s="58" t="n">
        <f aca="false">J8+K8</f>
        <v>8</v>
      </c>
      <c r="M8" s="60" t="n">
        <f aca="false">IFERROR(INDEX(99_Listas!$C$2:$C$5,MATCH(G8,99_Listas!$B$2:$B$5,0)),0)</f>
        <v>0.07</v>
      </c>
      <c r="N8" s="58" t="n">
        <f aca="false">ROUND(J8*M8,2)</f>
        <v>0.53</v>
      </c>
      <c r="O8" s="58" t="n">
        <f aca="false">ROUND(J8-N8,2)</f>
        <v>6.97</v>
      </c>
      <c r="P8" s="55" t="s">
        <v>519</v>
      </c>
      <c r="Q8" s="54" t="n">
        <v>5</v>
      </c>
      <c r="R8" s="55" t="s">
        <v>276</v>
      </c>
      <c r="S8" s="56" t="s">
        <v>1714</v>
      </c>
      <c r="T8" s="56" t="s">
        <v>184</v>
      </c>
      <c r="U8" s="56"/>
    </row>
    <row r="9" customFormat="false" ht="15" hidden="false" customHeight="true" outlineLevel="0" collapsed="false">
      <c r="A9" s="61" t="n">
        <v>8</v>
      </c>
      <c r="B9" s="62" t="s">
        <v>1690</v>
      </c>
      <c r="C9" s="63" t="s">
        <v>1715</v>
      </c>
      <c r="D9" s="63" t="s">
        <v>1692</v>
      </c>
      <c r="E9" s="57" t="s">
        <v>1716</v>
      </c>
      <c r="F9" s="62" t="s">
        <v>422</v>
      </c>
      <c r="G9" s="62" t="s">
        <v>157</v>
      </c>
      <c r="H9" s="64" t="n">
        <v>5</v>
      </c>
      <c r="I9" s="64" t="n">
        <v>10</v>
      </c>
      <c r="J9" s="64" t="n">
        <f aca="false">ROUND(AVERAGE(H9:I9),1)</f>
        <v>7.5</v>
      </c>
      <c r="K9" s="59" t="n">
        <v>0.5</v>
      </c>
      <c r="L9" s="64" t="n">
        <f aca="false">J9+K9</f>
        <v>8</v>
      </c>
      <c r="M9" s="65" t="n">
        <f aca="false">IFERROR(INDEX(99_Listas!$C$2:$C$5,MATCH(G9,99_Listas!$B$2:$B$5,0)),0)</f>
        <v>0.07</v>
      </c>
      <c r="N9" s="64" t="n">
        <f aca="false">ROUND(J9*M9,2)</f>
        <v>0.53</v>
      </c>
      <c r="O9" s="64" t="n">
        <f aca="false">ROUND(J9-N9,2)</f>
        <v>6.97</v>
      </c>
      <c r="P9" s="62" t="s">
        <v>519</v>
      </c>
      <c r="Q9" s="61" t="n">
        <v>5</v>
      </c>
      <c r="R9" s="62" t="s">
        <v>276</v>
      </c>
      <c r="S9" s="63" t="s">
        <v>228</v>
      </c>
      <c r="T9" s="63" t="s">
        <v>184</v>
      </c>
      <c r="U9" s="63"/>
    </row>
    <row r="10" customFormat="false" ht="15" hidden="false" customHeight="true" outlineLevel="0" collapsed="false">
      <c r="A10" s="54" t="n">
        <v>9</v>
      </c>
      <c r="B10" s="55" t="s">
        <v>1690</v>
      </c>
      <c r="C10" s="56" t="s">
        <v>1717</v>
      </c>
      <c r="D10" s="56" t="s">
        <v>1718</v>
      </c>
      <c r="E10" s="57" t="s">
        <v>1719</v>
      </c>
      <c r="F10" s="55" t="s">
        <v>422</v>
      </c>
      <c r="G10" s="55" t="s">
        <v>161</v>
      </c>
      <c r="H10" s="58" t="n">
        <v>6</v>
      </c>
      <c r="I10" s="58" t="n">
        <v>12</v>
      </c>
      <c r="J10" s="58" t="n">
        <f aca="false">ROUND(AVERAGE(H10:I10),1)</f>
        <v>9</v>
      </c>
      <c r="K10" s="59" t="n">
        <v>0.5</v>
      </c>
      <c r="L10" s="58" t="n">
        <f aca="false">J10+K10</f>
        <v>9.5</v>
      </c>
      <c r="M10" s="60" t="n">
        <f aca="false">IFERROR(INDEX(99_Listas!$C$2:$C$5,MATCH(G10,99_Listas!$B$2:$B$5,0)),0)</f>
        <v>0.09</v>
      </c>
      <c r="N10" s="58" t="n">
        <f aca="false">ROUND(J10*M10,2)</f>
        <v>0.81</v>
      </c>
      <c r="O10" s="58" t="n">
        <f aca="false">ROUND(J10-N10,2)</f>
        <v>8.19</v>
      </c>
      <c r="P10" s="55" t="s">
        <v>519</v>
      </c>
      <c r="Q10" s="54" t="n">
        <v>6</v>
      </c>
      <c r="R10" s="55" t="s">
        <v>276</v>
      </c>
      <c r="S10" s="56" t="s">
        <v>228</v>
      </c>
      <c r="T10" s="56" t="s">
        <v>1720</v>
      </c>
      <c r="U10" s="56"/>
    </row>
    <row r="11" customFormat="false" ht="15" hidden="false" customHeight="true" outlineLevel="0" collapsed="false">
      <c r="A11" s="61" t="n">
        <v>10</v>
      </c>
      <c r="B11" s="62" t="s">
        <v>1690</v>
      </c>
      <c r="C11" s="63" t="s">
        <v>1721</v>
      </c>
      <c r="D11" s="63" t="s">
        <v>1692</v>
      </c>
      <c r="E11" s="57" t="s">
        <v>1722</v>
      </c>
      <c r="F11" s="62" t="s">
        <v>422</v>
      </c>
      <c r="G11" s="62" t="s">
        <v>157</v>
      </c>
      <c r="H11" s="64" t="n">
        <v>4</v>
      </c>
      <c r="I11" s="64" t="n">
        <v>8</v>
      </c>
      <c r="J11" s="64" t="n">
        <f aca="false">ROUND(AVERAGE(H11:I11),1)</f>
        <v>6</v>
      </c>
      <c r="K11" s="59" t="n">
        <v>0.5</v>
      </c>
      <c r="L11" s="64" t="n">
        <f aca="false">J11+K11</f>
        <v>6.5</v>
      </c>
      <c r="M11" s="65" t="n">
        <f aca="false">IFERROR(INDEX(99_Listas!$C$2:$C$5,MATCH(G11,99_Listas!$B$2:$B$5,0)),0)</f>
        <v>0.07</v>
      </c>
      <c r="N11" s="64" t="n">
        <f aca="false">ROUND(J11*M11,2)</f>
        <v>0.42</v>
      </c>
      <c r="O11" s="64" t="n">
        <f aca="false">ROUND(J11-N11,2)</f>
        <v>5.58</v>
      </c>
      <c r="P11" s="62" t="s">
        <v>519</v>
      </c>
      <c r="Q11" s="61" t="n">
        <v>5</v>
      </c>
      <c r="R11" s="62" t="s">
        <v>276</v>
      </c>
      <c r="S11" s="63" t="s">
        <v>228</v>
      </c>
      <c r="T11" s="63" t="s">
        <v>184</v>
      </c>
      <c r="U11" s="63"/>
    </row>
    <row r="12" customFormat="false" ht="15" hidden="false" customHeight="true" outlineLevel="0" collapsed="false">
      <c r="A12" s="54" t="n">
        <v>11</v>
      </c>
      <c r="B12" s="55" t="s">
        <v>1723</v>
      </c>
      <c r="C12" s="56" t="s">
        <v>1724</v>
      </c>
      <c r="D12" s="56" t="s">
        <v>1725</v>
      </c>
      <c r="E12" s="57" t="s">
        <v>1726</v>
      </c>
      <c r="F12" s="55" t="s">
        <v>422</v>
      </c>
      <c r="G12" s="55" t="s">
        <v>161</v>
      </c>
      <c r="H12" s="58" t="n">
        <v>6</v>
      </c>
      <c r="I12" s="58" t="n">
        <v>12</v>
      </c>
      <c r="J12" s="58" t="n">
        <f aca="false">ROUND(AVERAGE(H12:I12),1)</f>
        <v>9</v>
      </c>
      <c r="K12" s="59" t="n">
        <v>0.5</v>
      </c>
      <c r="L12" s="58" t="n">
        <f aca="false">J12+K12</f>
        <v>9.5</v>
      </c>
      <c r="M12" s="60" t="n">
        <f aca="false">IFERROR(INDEX(99_Listas!$C$2:$C$5,MATCH(G12,99_Listas!$B$2:$B$5,0)),0)</f>
        <v>0.09</v>
      </c>
      <c r="N12" s="58" t="n">
        <f aca="false">ROUND(J12*M12,2)</f>
        <v>0.81</v>
      </c>
      <c r="O12" s="58" t="n">
        <f aca="false">ROUND(J12-N12,2)</f>
        <v>8.19</v>
      </c>
      <c r="P12" s="55" t="s">
        <v>519</v>
      </c>
      <c r="Q12" s="54" t="n">
        <v>6</v>
      </c>
      <c r="R12" s="55" t="s">
        <v>276</v>
      </c>
      <c r="S12" s="56" t="s">
        <v>228</v>
      </c>
      <c r="T12" s="56" t="s">
        <v>184</v>
      </c>
      <c r="U12" s="56" t="s">
        <v>1727</v>
      </c>
    </row>
    <row r="13" customFormat="false" ht="15" hidden="false" customHeight="true" outlineLevel="0" collapsed="false">
      <c r="A13" s="61" t="n">
        <v>12</v>
      </c>
      <c r="B13" s="62" t="s">
        <v>1723</v>
      </c>
      <c r="C13" s="63" t="s">
        <v>1728</v>
      </c>
      <c r="D13" s="63" t="s">
        <v>1729</v>
      </c>
      <c r="E13" s="57" t="s">
        <v>1730</v>
      </c>
      <c r="F13" s="62" t="s">
        <v>422</v>
      </c>
      <c r="G13" s="62" t="s">
        <v>161</v>
      </c>
      <c r="H13" s="64" t="n">
        <v>6</v>
      </c>
      <c r="I13" s="64" t="n">
        <v>12</v>
      </c>
      <c r="J13" s="64" t="n">
        <f aca="false">ROUND(AVERAGE(H13:I13),1)</f>
        <v>9</v>
      </c>
      <c r="K13" s="59" t="n">
        <v>0.5</v>
      </c>
      <c r="L13" s="64" t="n">
        <f aca="false">J13+K13</f>
        <v>9.5</v>
      </c>
      <c r="M13" s="65" t="n">
        <f aca="false">IFERROR(INDEX(99_Listas!$C$2:$C$5,MATCH(G13,99_Listas!$B$2:$B$5,0)),0)</f>
        <v>0.09</v>
      </c>
      <c r="N13" s="64" t="n">
        <f aca="false">ROUND(J13*M13,2)</f>
        <v>0.81</v>
      </c>
      <c r="O13" s="64" t="n">
        <f aca="false">ROUND(J13-N13,2)</f>
        <v>8.19</v>
      </c>
      <c r="P13" s="62" t="s">
        <v>519</v>
      </c>
      <c r="Q13" s="61" t="n">
        <v>6</v>
      </c>
      <c r="R13" s="62" t="s">
        <v>276</v>
      </c>
      <c r="S13" s="63" t="s">
        <v>228</v>
      </c>
      <c r="T13" s="63" t="s">
        <v>184</v>
      </c>
      <c r="U13" s="63" t="s">
        <v>1731</v>
      </c>
    </row>
    <row r="14" customFormat="false" ht="15" hidden="false" customHeight="true" outlineLevel="0" collapsed="false">
      <c r="A14" s="54" t="n">
        <v>13</v>
      </c>
      <c r="B14" s="55" t="s">
        <v>1723</v>
      </c>
      <c r="C14" s="56" t="s">
        <v>1732</v>
      </c>
      <c r="D14" s="56" t="s">
        <v>1733</v>
      </c>
      <c r="E14" s="57" t="s">
        <v>1734</v>
      </c>
      <c r="F14" s="55" t="s">
        <v>422</v>
      </c>
      <c r="G14" s="55" t="s">
        <v>161</v>
      </c>
      <c r="H14" s="58" t="n">
        <v>6</v>
      </c>
      <c r="I14" s="58" t="n">
        <v>12</v>
      </c>
      <c r="J14" s="58" t="n">
        <f aca="false">ROUND(AVERAGE(H14:I14),1)</f>
        <v>9</v>
      </c>
      <c r="K14" s="59" t="n">
        <v>0.5</v>
      </c>
      <c r="L14" s="58" t="n">
        <f aca="false">J14+K14</f>
        <v>9.5</v>
      </c>
      <c r="M14" s="60" t="n">
        <f aca="false">IFERROR(INDEX(99_Listas!$C$2:$C$5,MATCH(G14,99_Listas!$B$2:$B$5,0)),0)</f>
        <v>0.09</v>
      </c>
      <c r="N14" s="58" t="n">
        <f aca="false">ROUND(J14*M14,2)</f>
        <v>0.81</v>
      </c>
      <c r="O14" s="58" t="n">
        <f aca="false">ROUND(J14-N14,2)</f>
        <v>8.19</v>
      </c>
      <c r="P14" s="55" t="s">
        <v>519</v>
      </c>
      <c r="Q14" s="54" t="n">
        <v>6</v>
      </c>
      <c r="R14" s="55" t="s">
        <v>276</v>
      </c>
      <c r="S14" s="56" t="s">
        <v>228</v>
      </c>
      <c r="T14" s="56" t="s">
        <v>184</v>
      </c>
      <c r="U14" s="56"/>
    </row>
    <row r="15" customFormat="false" ht="15" hidden="false" customHeight="true" outlineLevel="0" collapsed="false">
      <c r="A15" s="61" t="n">
        <v>14</v>
      </c>
      <c r="B15" s="62" t="s">
        <v>1723</v>
      </c>
      <c r="C15" s="63" t="s">
        <v>1735</v>
      </c>
      <c r="D15" s="63" t="s">
        <v>1736</v>
      </c>
      <c r="E15" s="57" t="s">
        <v>1737</v>
      </c>
      <c r="F15" s="62" t="s">
        <v>422</v>
      </c>
      <c r="G15" s="62" t="s">
        <v>161</v>
      </c>
      <c r="H15" s="64" t="n">
        <v>6</v>
      </c>
      <c r="I15" s="64" t="n">
        <v>12</v>
      </c>
      <c r="J15" s="64" t="n">
        <f aca="false">ROUND(AVERAGE(H15:I15),1)</f>
        <v>9</v>
      </c>
      <c r="K15" s="59" t="n">
        <v>0.5</v>
      </c>
      <c r="L15" s="64" t="n">
        <f aca="false">J15+K15</f>
        <v>9.5</v>
      </c>
      <c r="M15" s="65" t="n">
        <f aca="false">IFERROR(INDEX(99_Listas!$C$2:$C$5,MATCH(G15,99_Listas!$B$2:$B$5,0)),0)</f>
        <v>0.09</v>
      </c>
      <c r="N15" s="64" t="n">
        <f aca="false">ROUND(J15*M15,2)</f>
        <v>0.81</v>
      </c>
      <c r="O15" s="64" t="n">
        <f aca="false">ROUND(J15-N15,2)</f>
        <v>8.19</v>
      </c>
      <c r="P15" s="62" t="s">
        <v>519</v>
      </c>
      <c r="Q15" s="61" t="n">
        <v>6</v>
      </c>
      <c r="R15" s="62" t="s">
        <v>276</v>
      </c>
      <c r="S15" s="63" t="s">
        <v>228</v>
      </c>
      <c r="T15" s="63" t="s">
        <v>184</v>
      </c>
      <c r="U15" s="63"/>
    </row>
    <row r="16" customFormat="false" ht="15" hidden="false" customHeight="true" outlineLevel="0" collapsed="false">
      <c r="A16" s="54" t="n">
        <v>15</v>
      </c>
      <c r="B16" s="55" t="s">
        <v>1723</v>
      </c>
      <c r="C16" s="56" t="s">
        <v>1738</v>
      </c>
      <c r="D16" s="56" t="s">
        <v>1739</v>
      </c>
      <c r="E16" s="57" t="s">
        <v>1740</v>
      </c>
      <c r="F16" s="55" t="s">
        <v>288</v>
      </c>
      <c r="G16" s="55" t="s">
        <v>157</v>
      </c>
      <c r="H16" s="58" t="n">
        <v>4</v>
      </c>
      <c r="I16" s="58" t="n">
        <v>8</v>
      </c>
      <c r="J16" s="58" t="n">
        <f aca="false">ROUND(AVERAGE(H16:I16),1)</f>
        <v>6</v>
      </c>
      <c r="K16" s="59" t="n">
        <v>0.5</v>
      </c>
      <c r="L16" s="58" t="n">
        <f aca="false">J16+K16</f>
        <v>6.5</v>
      </c>
      <c r="M16" s="60" t="n">
        <f aca="false">IFERROR(INDEX(99_Listas!$C$2:$C$5,MATCH(G16,99_Listas!$B$2:$B$5,0)),0)</f>
        <v>0.07</v>
      </c>
      <c r="N16" s="58" t="n">
        <f aca="false">ROUND(J16*M16,2)</f>
        <v>0.42</v>
      </c>
      <c r="O16" s="58" t="n">
        <f aca="false">ROUND(J16-N16,2)</f>
        <v>5.58</v>
      </c>
      <c r="P16" s="55" t="s">
        <v>275</v>
      </c>
      <c r="Q16" s="54" t="n">
        <v>5</v>
      </c>
      <c r="R16" s="55" t="s">
        <v>276</v>
      </c>
      <c r="S16" s="56" t="s">
        <v>228</v>
      </c>
      <c r="T16" s="56" t="s">
        <v>184</v>
      </c>
      <c r="U16" s="56"/>
    </row>
    <row r="17" customFormat="false" ht="15" hidden="false" customHeight="true" outlineLevel="0" collapsed="false">
      <c r="A17" s="61" t="n">
        <v>16</v>
      </c>
      <c r="B17" s="62" t="s">
        <v>1723</v>
      </c>
      <c r="C17" s="63" t="s">
        <v>1741</v>
      </c>
      <c r="D17" s="63" t="s">
        <v>1742</v>
      </c>
      <c r="E17" s="57" t="s">
        <v>1740</v>
      </c>
      <c r="F17" s="62" t="s">
        <v>288</v>
      </c>
      <c r="G17" s="62" t="s">
        <v>157</v>
      </c>
      <c r="H17" s="64" t="n">
        <v>4</v>
      </c>
      <c r="I17" s="64" t="n">
        <v>8</v>
      </c>
      <c r="J17" s="64" t="n">
        <f aca="false">ROUND(AVERAGE(H17:I17),1)</f>
        <v>6</v>
      </c>
      <c r="K17" s="59" t="n">
        <v>0.5</v>
      </c>
      <c r="L17" s="64" t="n">
        <f aca="false">J17+K17</f>
        <v>6.5</v>
      </c>
      <c r="M17" s="65" t="n">
        <f aca="false">IFERROR(INDEX(99_Listas!$C$2:$C$5,MATCH(G17,99_Listas!$B$2:$B$5,0)),0)</f>
        <v>0.07</v>
      </c>
      <c r="N17" s="64" t="n">
        <f aca="false">ROUND(J17*M17,2)</f>
        <v>0.42</v>
      </c>
      <c r="O17" s="64" t="n">
        <f aca="false">ROUND(J17-N17,2)</f>
        <v>5.58</v>
      </c>
      <c r="P17" s="62" t="s">
        <v>275</v>
      </c>
      <c r="Q17" s="61" t="n">
        <v>5</v>
      </c>
      <c r="R17" s="62" t="s">
        <v>276</v>
      </c>
      <c r="S17" s="63" t="s">
        <v>228</v>
      </c>
      <c r="T17" s="63" t="s">
        <v>184</v>
      </c>
      <c r="U17" s="63"/>
    </row>
    <row r="18" customFormat="false" ht="15" hidden="false" customHeight="true" outlineLevel="0" collapsed="false">
      <c r="A18" s="54" t="n">
        <v>17</v>
      </c>
      <c r="B18" s="55" t="s">
        <v>1723</v>
      </c>
      <c r="C18" s="56" t="s">
        <v>1743</v>
      </c>
      <c r="D18" s="56" t="s">
        <v>1744</v>
      </c>
      <c r="E18" s="57" t="s">
        <v>1745</v>
      </c>
      <c r="F18" s="55" t="s">
        <v>288</v>
      </c>
      <c r="G18" s="55" t="s">
        <v>157</v>
      </c>
      <c r="H18" s="58" t="n">
        <v>3</v>
      </c>
      <c r="I18" s="58" t="n">
        <v>7</v>
      </c>
      <c r="J18" s="58" t="n">
        <f aca="false">ROUND(AVERAGE(H18:I18),1)</f>
        <v>5</v>
      </c>
      <c r="K18" s="59" t="n">
        <v>0.5</v>
      </c>
      <c r="L18" s="58" t="n">
        <f aca="false">J18+K18</f>
        <v>5.5</v>
      </c>
      <c r="M18" s="60" t="n">
        <f aca="false">IFERROR(INDEX(99_Listas!$C$2:$C$5,MATCH(G18,99_Listas!$B$2:$B$5,0)),0)</f>
        <v>0.07</v>
      </c>
      <c r="N18" s="58" t="n">
        <f aca="false">ROUND(J18*M18,2)</f>
        <v>0.35</v>
      </c>
      <c r="O18" s="58" t="n">
        <f aca="false">ROUND(J18-N18,2)</f>
        <v>4.65</v>
      </c>
      <c r="P18" s="55" t="s">
        <v>227</v>
      </c>
      <c r="Q18" s="54" t="n">
        <v>4</v>
      </c>
      <c r="R18" s="55" t="s">
        <v>165</v>
      </c>
      <c r="S18" s="56" t="s">
        <v>248</v>
      </c>
      <c r="T18" s="56" t="s">
        <v>1746</v>
      </c>
      <c r="U18" s="56"/>
    </row>
    <row r="19" customFormat="false" ht="15" hidden="false" customHeight="true" outlineLevel="0" collapsed="false">
      <c r="A19" s="61" t="n">
        <v>18</v>
      </c>
      <c r="B19" s="62" t="s">
        <v>1747</v>
      </c>
      <c r="C19" s="63" t="s">
        <v>1748</v>
      </c>
      <c r="D19" s="63" t="s">
        <v>1749</v>
      </c>
      <c r="E19" s="57" t="s">
        <v>1750</v>
      </c>
      <c r="F19" s="62" t="s">
        <v>422</v>
      </c>
      <c r="G19" s="62" t="s">
        <v>157</v>
      </c>
      <c r="H19" s="64" t="n">
        <v>3</v>
      </c>
      <c r="I19" s="64" t="n">
        <v>6</v>
      </c>
      <c r="J19" s="64" t="n">
        <f aca="false">ROUND(AVERAGE(H19:I19),1)</f>
        <v>4.5</v>
      </c>
      <c r="K19" s="59" t="n">
        <v>0.5</v>
      </c>
      <c r="L19" s="64" t="n">
        <f aca="false">J19+K19</f>
        <v>5</v>
      </c>
      <c r="M19" s="65" t="n">
        <f aca="false">IFERROR(INDEX(99_Listas!$C$2:$C$5,MATCH(G19,99_Listas!$B$2:$B$5,0)),0)</f>
        <v>0.07</v>
      </c>
      <c r="N19" s="64" t="n">
        <f aca="false">ROUND(J19*M19,2)</f>
        <v>0.32</v>
      </c>
      <c r="O19" s="64" t="n">
        <f aca="false">ROUND(J19-N19,2)</f>
        <v>4.18</v>
      </c>
      <c r="P19" s="62" t="s">
        <v>711</v>
      </c>
      <c r="Q19" s="61" t="n">
        <v>2</v>
      </c>
      <c r="R19" s="62" t="s">
        <v>276</v>
      </c>
      <c r="S19" s="63" t="s">
        <v>228</v>
      </c>
      <c r="T19" s="63" t="s">
        <v>570</v>
      </c>
      <c r="U19" s="63"/>
    </row>
    <row r="20" customFormat="false" ht="15" hidden="false" customHeight="true" outlineLevel="0" collapsed="false">
      <c r="A20" s="54" t="n">
        <v>19</v>
      </c>
      <c r="B20" s="55" t="s">
        <v>1747</v>
      </c>
      <c r="C20" s="56" t="s">
        <v>1751</v>
      </c>
      <c r="D20" s="56" t="s">
        <v>1752</v>
      </c>
      <c r="E20" s="57" t="s">
        <v>1750</v>
      </c>
      <c r="F20" s="55" t="s">
        <v>1753</v>
      </c>
      <c r="G20" s="55" t="s">
        <v>157</v>
      </c>
      <c r="H20" s="58" t="n">
        <v>6</v>
      </c>
      <c r="I20" s="58" t="n">
        <v>12</v>
      </c>
      <c r="J20" s="58" t="n">
        <f aca="false">ROUND(AVERAGE(H20:I20),1)</f>
        <v>9</v>
      </c>
      <c r="K20" s="59" t="n">
        <v>0.5</v>
      </c>
      <c r="L20" s="58" t="n">
        <f aca="false">J20+K20</f>
        <v>9.5</v>
      </c>
      <c r="M20" s="60" t="n">
        <f aca="false">IFERROR(INDEX(99_Listas!$C$2:$C$5,MATCH(G20,99_Listas!$B$2:$B$5,0)),0)</f>
        <v>0.07</v>
      </c>
      <c r="N20" s="58" t="n">
        <f aca="false">ROUND(J20*M20,2)</f>
        <v>0.63</v>
      </c>
      <c r="O20" s="58" t="n">
        <f aca="false">ROUND(J20-N20,2)</f>
        <v>8.37</v>
      </c>
      <c r="P20" s="55" t="s">
        <v>711</v>
      </c>
      <c r="Q20" s="54" t="n">
        <v>3</v>
      </c>
      <c r="R20" s="55" t="s">
        <v>276</v>
      </c>
      <c r="S20" s="56" t="s">
        <v>228</v>
      </c>
      <c r="T20" s="56" t="s">
        <v>570</v>
      </c>
      <c r="U20" s="56" t="s">
        <v>1754</v>
      </c>
    </row>
    <row r="21" customFormat="false" ht="15" hidden="false" customHeight="true" outlineLevel="0" collapsed="false">
      <c r="A21" s="61" t="n">
        <v>20</v>
      </c>
      <c r="B21" s="62" t="s">
        <v>1747</v>
      </c>
      <c r="C21" s="63" t="s">
        <v>1755</v>
      </c>
      <c r="D21" s="63" t="s">
        <v>1756</v>
      </c>
      <c r="E21" s="57" t="s">
        <v>936</v>
      </c>
      <c r="F21" s="62" t="s">
        <v>422</v>
      </c>
      <c r="G21" s="62" t="s">
        <v>157</v>
      </c>
      <c r="H21" s="64" t="n">
        <v>2</v>
      </c>
      <c r="I21" s="64" t="n">
        <v>5</v>
      </c>
      <c r="J21" s="64" t="n">
        <f aca="false">ROUND(AVERAGE(H21:I21),1)</f>
        <v>3.5</v>
      </c>
      <c r="K21" s="59" t="n">
        <v>0.5</v>
      </c>
      <c r="L21" s="64" t="n">
        <f aca="false">J21+K21</f>
        <v>4</v>
      </c>
      <c r="M21" s="65" t="n">
        <f aca="false">IFERROR(INDEX(99_Listas!$C$2:$C$5,MATCH(G21,99_Listas!$B$2:$B$5,0)),0)</f>
        <v>0.07</v>
      </c>
      <c r="N21" s="64" t="n">
        <f aca="false">ROUND(J21*M21,2)</f>
        <v>0.25</v>
      </c>
      <c r="O21" s="64" t="n">
        <f aca="false">ROUND(J21-N21,2)</f>
        <v>3.25</v>
      </c>
      <c r="P21" s="62" t="s">
        <v>711</v>
      </c>
      <c r="Q21" s="61" t="n">
        <v>2</v>
      </c>
      <c r="R21" s="62" t="s">
        <v>276</v>
      </c>
      <c r="S21" s="63" t="s">
        <v>228</v>
      </c>
      <c r="T21" s="63" t="s">
        <v>159</v>
      </c>
      <c r="U21" s="63" t="s">
        <v>1757</v>
      </c>
    </row>
    <row r="22" customFormat="false" ht="15" hidden="false" customHeight="true" outlineLevel="0" collapsed="false">
      <c r="A22" s="54" t="n">
        <v>21</v>
      </c>
      <c r="B22" s="55" t="s">
        <v>1747</v>
      </c>
      <c r="C22" s="56" t="s">
        <v>1758</v>
      </c>
      <c r="D22" s="56" t="s">
        <v>1759</v>
      </c>
      <c r="E22" s="57" t="s">
        <v>1760</v>
      </c>
      <c r="F22" s="55" t="s">
        <v>422</v>
      </c>
      <c r="G22" s="55" t="s">
        <v>157</v>
      </c>
      <c r="H22" s="58" t="n">
        <v>4</v>
      </c>
      <c r="I22" s="58" t="n">
        <v>8</v>
      </c>
      <c r="J22" s="58" t="n">
        <f aca="false">ROUND(AVERAGE(H22:I22),1)</f>
        <v>6</v>
      </c>
      <c r="K22" s="59" t="n">
        <v>0.5</v>
      </c>
      <c r="L22" s="58" t="n">
        <f aca="false">J22+K22</f>
        <v>6.5</v>
      </c>
      <c r="M22" s="60" t="n">
        <f aca="false">IFERROR(INDEX(99_Listas!$C$2:$C$5,MATCH(G22,99_Listas!$B$2:$B$5,0)),0)</f>
        <v>0.07</v>
      </c>
      <c r="N22" s="58" t="n">
        <f aca="false">ROUND(J22*M22,2)</f>
        <v>0.42</v>
      </c>
      <c r="O22" s="58" t="n">
        <f aca="false">ROUND(J22-N22,2)</f>
        <v>5.58</v>
      </c>
      <c r="P22" s="55" t="s">
        <v>1761</v>
      </c>
      <c r="Q22" s="54" t="n">
        <v>4</v>
      </c>
      <c r="R22" s="55" t="s">
        <v>276</v>
      </c>
      <c r="S22" s="56" t="s">
        <v>228</v>
      </c>
      <c r="T22" s="56" t="s">
        <v>203</v>
      </c>
      <c r="U22" s="56"/>
    </row>
    <row r="23" customFormat="false" ht="15" hidden="false" customHeight="true" outlineLevel="0" collapsed="false">
      <c r="A23" s="61" t="n">
        <v>22</v>
      </c>
      <c r="B23" s="62" t="s">
        <v>1747</v>
      </c>
      <c r="C23" s="63" t="s">
        <v>1762</v>
      </c>
      <c r="D23" s="63" t="s">
        <v>1763</v>
      </c>
      <c r="E23" s="57" t="s">
        <v>1760</v>
      </c>
      <c r="F23" s="62" t="s">
        <v>422</v>
      </c>
      <c r="G23" s="62" t="s">
        <v>161</v>
      </c>
      <c r="H23" s="64" t="n">
        <v>6</v>
      </c>
      <c r="I23" s="64" t="n">
        <v>12</v>
      </c>
      <c r="J23" s="64" t="n">
        <f aca="false">ROUND(AVERAGE(H23:I23),1)</f>
        <v>9</v>
      </c>
      <c r="K23" s="59" t="n">
        <v>0.5</v>
      </c>
      <c r="L23" s="64" t="n">
        <f aca="false">J23+K23</f>
        <v>9.5</v>
      </c>
      <c r="M23" s="65" t="n">
        <f aca="false">IFERROR(INDEX(99_Listas!$C$2:$C$5,MATCH(G23,99_Listas!$B$2:$B$5,0)),0)</f>
        <v>0.09</v>
      </c>
      <c r="N23" s="64" t="n">
        <f aca="false">ROUND(J23*M23,2)</f>
        <v>0.81</v>
      </c>
      <c r="O23" s="64" t="n">
        <f aca="false">ROUND(J23-N23,2)</f>
        <v>8.19</v>
      </c>
      <c r="P23" s="62" t="s">
        <v>1761</v>
      </c>
      <c r="Q23" s="61" t="n">
        <v>5</v>
      </c>
      <c r="R23" s="62" t="s">
        <v>165</v>
      </c>
      <c r="S23" s="63" t="s">
        <v>228</v>
      </c>
      <c r="T23" s="63" t="s">
        <v>182</v>
      </c>
      <c r="U23" s="63" t="s">
        <v>1764</v>
      </c>
    </row>
    <row r="24" customFormat="false" ht="15" hidden="false" customHeight="true" outlineLevel="0" collapsed="false">
      <c r="A24" s="54" t="n">
        <v>23</v>
      </c>
      <c r="B24" s="55" t="s">
        <v>1747</v>
      </c>
      <c r="C24" s="56" t="s">
        <v>1765</v>
      </c>
      <c r="D24" s="56" t="s">
        <v>1766</v>
      </c>
      <c r="E24" s="57" t="s">
        <v>1098</v>
      </c>
      <c r="F24" s="55" t="s">
        <v>1766</v>
      </c>
      <c r="G24" s="55" t="s">
        <v>157</v>
      </c>
      <c r="H24" s="58" t="n">
        <v>3</v>
      </c>
      <c r="I24" s="58" t="n">
        <v>5</v>
      </c>
      <c r="J24" s="58" t="n">
        <f aca="false">ROUND(AVERAGE(H24:I24),1)</f>
        <v>4</v>
      </c>
      <c r="K24" s="59" t="n">
        <v>0.5</v>
      </c>
      <c r="L24" s="58" t="n">
        <f aca="false">J24+K24</f>
        <v>4.5</v>
      </c>
      <c r="M24" s="60" t="n">
        <f aca="false">IFERROR(INDEX(99_Listas!$C$2:$C$5,MATCH(G24,99_Listas!$B$2:$B$5,0)),0)</f>
        <v>0.07</v>
      </c>
      <c r="N24" s="58" t="n">
        <f aca="false">ROUND(J24*M24,2)</f>
        <v>0.28</v>
      </c>
      <c r="O24" s="58" t="n">
        <f aca="false">ROUND(J24-N24,2)</f>
        <v>3.72</v>
      </c>
      <c r="P24" s="55" t="s">
        <v>928</v>
      </c>
      <c r="Q24" s="54" t="n">
        <v>1</v>
      </c>
      <c r="R24" s="55" t="s">
        <v>276</v>
      </c>
      <c r="S24" s="56" t="s">
        <v>228</v>
      </c>
      <c r="T24" s="56" t="s">
        <v>800</v>
      </c>
      <c r="U24" s="56" t="s">
        <v>1767</v>
      </c>
    </row>
    <row r="25" customFormat="false" ht="15" hidden="false" customHeight="true" outlineLevel="0" collapsed="false">
      <c r="A25" s="61" t="n">
        <v>24</v>
      </c>
      <c r="B25" s="62" t="s">
        <v>1747</v>
      </c>
      <c r="C25" s="63" t="s">
        <v>1768</v>
      </c>
      <c r="D25" s="63" t="s">
        <v>1769</v>
      </c>
      <c r="E25" s="57" t="s">
        <v>1098</v>
      </c>
      <c r="F25" s="62" t="s">
        <v>1766</v>
      </c>
      <c r="G25" s="62" t="s">
        <v>157</v>
      </c>
      <c r="H25" s="64" t="n">
        <v>7</v>
      </c>
      <c r="I25" s="64" t="n">
        <v>10</v>
      </c>
      <c r="J25" s="64" t="n">
        <f aca="false">ROUND(AVERAGE(H25:I25),1)</f>
        <v>8.5</v>
      </c>
      <c r="K25" s="59" t="n">
        <v>0.5</v>
      </c>
      <c r="L25" s="64" t="n">
        <f aca="false">J25+K25</f>
        <v>9</v>
      </c>
      <c r="M25" s="65" t="n">
        <f aca="false">IFERROR(INDEX(99_Listas!$C$2:$C$5,MATCH(G25,99_Listas!$B$2:$B$5,0)),0)</f>
        <v>0.07</v>
      </c>
      <c r="N25" s="64" t="n">
        <f aca="false">ROUND(J25*M25,2)</f>
        <v>0.6</v>
      </c>
      <c r="O25" s="64" t="n">
        <f aca="false">ROUND(J25-N25,2)</f>
        <v>7.9</v>
      </c>
      <c r="P25" s="62" t="s">
        <v>928</v>
      </c>
      <c r="Q25" s="61" t="n">
        <v>1</v>
      </c>
      <c r="R25" s="62" t="s">
        <v>276</v>
      </c>
      <c r="S25" s="63" t="s">
        <v>228</v>
      </c>
      <c r="T25" s="63" t="s">
        <v>800</v>
      </c>
      <c r="U25" s="63" t="s">
        <v>1770</v>
      </c>
    </row>
    <row r="26" customFormat="false" ht="15" hidden="false" customHeight="true" outlineLevel="0" collapsed="false">
      <c r="A26" s="54" t="n">
        <v>25</v>
      </c>
      <c r="B26" s="55" t="s">
        <v>1747</v>
      </c>
      <c r="C26" s="56" t="s">
        <v>1771</v>
      </c>
      <c r="D26" s="56" t="s">
        <v>1766</v>
      </c>
      <c r="E26" s="57" t="s">
        <v>1098</v>
      </c>
      <c r="F26" s="55" t="s">
        <v>1766</v>
      </c>
      <c r="G26" s="55" t="s">
        <v>157</v>
      </c>
      <c r="H26" s="58" t="n">
        <v>2</v>
      </c>
      <c r="I26" s="58" t="n">
        <v>4</v>
      </c>
      <c r="J26" s="58" t="n">
        <f aca="false">ROUND(AVERAGE(H26:I26),1)</f>
        <v>3</v>
      </c>
      <c r="K26" s="59" t="n">
        <v>0.5</v>
      </c>
      <c r="L26" s="58" t="n">
        <f aca="false">J26+K26</f>
        <v>3.5</v>
      </c>
      <c r="M26" s="60" t="n">
        <f aca="false">IFERROR(INDEX(99_Listas!$C$2:$C$5,MATCH(G26,99_Listas!$B$2:$B$5,0)),0)</f>
        <v>0.07</v>
      </c>
      <c r="N26" s="58" t="n">
        <f aca="false">ROUND(J26*M26,2)</f>
        <v>0.21</v>
      </c>
      <c r="O26" s="58" t="n">
        <f aca="false">ROUND(J26-N26,2)</f>
        <v>2.79</v>
      </c>
      <c r="P26" s="55" t="s">
        <v>928</v>
      </c>
      <c r="Q26" s="54" t="n">
        <v>1</v>
      </c>
      <c r="R26" s="55" t="s">
        <v>276</v>
      </c>
      <c r="S26" s="56" t="s">
        <v>228</v>
      </c>
      <c r="T26" s="56" t="s">
        <v>800</v>
      </c>
      <c r="U26" s="56"/>
    </row>
    <row r="27" customFormat="false" ht="15" hidden="false" customHeight="true" outlineLevel="0" collapsed="false">
      <c r="A27" s="61" t="n">
        <v>26</v>
      </c>
      <c r="B27" s="62" t="s">
        <v>1747</v>
      </c>
      <c r="C27" s="63" t="s">
        <v>1772</v>
      </c>
      <c r="D27" s="63" t="s">
        <v>1773</v>
      </c>
      <c r="E27" s="57" t="s">
        <v>1774</v>
      </c>
      <c r="F27" s="62" t="s">
        <v>1766</v>
      </c>
      <c r="G27" s="62" t="s">
        <v>161</v>
      </c>
      <c r="H27" s="64" t="n">
        <v>7</v>
      </c>
      <c r="I27" s="64" t="n">
        <v>15</v>
      </c>
      <c r="J27" s="64" t="n">
        <f aca="false">ROUND(AVERAGE(H27:I27),1)</f>
        <v>11</v>
      </c>
      <c r="K27" s="59" t="n">
        <v>0.5</v>
      </c>
      <c r="L27" s="64" t="n">
        <f aca="false">J27+K27</f>
        <v>11.5</v>
      </c>
      <c r="M27" s="65" t="n">
        <f aca="false">IFERROR(INDEX(99_Listas!$C$2:$C$5,MATCH(G27,99_Listas!$B$2:$B$5,0)),0)</f>
        <v>0.09</v>
      </c>
      <c r="N27" s="64" t="n">
        <f aca="false">ROUND(J27*M27,2)</f>
        <v>0.99</v>
      </c>
      <c r="O27" s="64" t="n">
        <f aca="false">ROUND(J27-N27,2)</f>
        <v>10.01</v>
      </c>
      <c r="P27" s="62" t="s">
        <v>1103</v>
      </c>
      <c r="Q27" s="61" t="n">
        <v>1</v>
      </c>
      <c r="R27" s="62" t="s">
        <v>276</v>
      </c>
      <c r="S27" s="63" t="s">
        <v>228</v>
      </c>
      <c r="T27" s="63" t="s">
        <v>1775</v>
      </c>
      <c r="U27" s="63" t="s">
        <v>1776</v>
      </c>
    </row>
    <row r="28" customFormat="false" ht="15" hidden="false" customHeight="true" outlineLevel="0" collapsed="false">
      <c r="A28" s="54" t="n">
        <v>27</v>
      </c>
      <c r="B28" s="55" t="s">
        <v>1747</v>
      </c>
      <c r="C28" s="56" t="s">
        <v>1777</v>
      </c>
      <c r="D28" s="56" t="s">
        <v>1778</v>
      </c>
      <c r="E28" s="57" t="s">
        <v>1774</v>
      </c>
      <c r="F28" s="55" t="s">
        <v>1779</v>
      </c>
      <c r="G28" s="55" t="s">
        <v>161</v>
      </c>
      <c r="H28" s="58" t="n">
        <v>10</v>
      </c>
      <c r="I28" s="58" t="n">
        <v>20</v>
      </c>
      <c r="J28" s="58" t="n">
        <f aca="false">ROUND(AVERAGE(H28:I28),1)</f>
        <v>15</v>
      </c>
      <c r="K28" s="59" t="n">
        <v>0.5</v>
      </c>
      <c r="L28" s="58" t="n">
        <f aca="false">J28+K28</f>
        <v>15.5</v>
      </c>
      <c r="M28" s="60" t="n">
        <f aca="false">IFERROR(INDEX(99_Listas!$C$2:$C$5,MATCH(G28,99_Listas!$B$2:$B$5,0)),0)</f>
        <v>0.09</v>
      </c>
      <c r="N28" s="58" t="n">
        <f aca="false">ROUND(J28*M28,2)</f>
        <v>1.35</v>
      </c>
      <c r="O28" s="58" t="n">
        <f aca="false">ROUND(J28-N28,2)</f>
        <v>13.65</v>
      </c>
      <c r="P28" s="55" t="s">
        <v>1103</v>
      </c>
      <c r="Q28" s="54" t="n">
        <v>1</v>
      </c>
      <c r="R28" s="55" t="s">
        <v>276</v>
      </c>
      <c r="S28" s="56" t="s">
        <v>380</v>
      </c>
      <c r="T28" s="56" t="s">
        <v>1236</v>
      </c>
      <c r="U28" s="56" t="s">
        <v>1780</v>
      </c>
    </row>
    <row r="29" customFormat="false" ht="15" hidden="false" customHeight="true" outlineLevel="0" collapsed="false">
      <c r="A29" s="61" t="n">
        <v>28</v>
      </c>
      <c r="B29" s="62" t="s">
        <v>1781</v>
      </c>
      <c r="C29" s="63" t="s">
        <v>1782</v>
      </c>
      <c r="D29" s="63" t="s">
        <v>1783</v>
      </c>
      <c r="E29" s="57" t="s">
        <v>1784</v>
      </c>
      <c r="F29" s="62" t="s">
        <v>482</v>
      </c>
      <c r="G29" s="62" t="s">
        <v>157</v>
      </c>
      <c r="H29" s="64" t="n">
        <v>1</v>
      </c>
      <c r="I29" s="64" t="n">
        <v>3</v>
      </c>
      <c r="J29" s="64" t="n">
        <f aca="false">ROUND(AVERAGE(H29:I29),1)</f>
        <v>2</v>
      </c>
      <c r="K29" s="59" t="n">
        <v>0.5</v>
      </c>
      <c r="L29" s="64" t="n">
        <f aca="false">J29+K29</f>
        <v>2.5</v>
      </c>
      <c r="M29" s="65" t="n">
        <f aca="false">IFERROR(INDEX(99_Listas!$C$2:$C$5,MATCH(G29,99_Listas!$B$2:$B$5,0)),0)</f>
        <v>0.07</v>
      </c>
      <c r="N29" s="64" t="n">
        <f aca="false">ROUND(J29*M29,2)</f>
        <v>0.14</v>
      </c>
      <c r="O29" s="64" t="n">
        <f aca="false">ROUND(J29-N29,2)</f>
        <v>1.86</v>
      </c>
      <c r="P29" s="62" t="s">
        <v>928</v>
      </c>
      <c r="Q29" s="61" t="n">
        <v>2</v>
      </c>
      <c r="R29" s="62" t="s">
        <v>276</v>
      </c>
      <c r="S29" s="63" t="s">
        <v>228</v>
      </c>
      <c r="T29" s="63" t="s">
        <v>1785</v>
      </c>
      <c r="U29" s="63"/>
    </row>
    <row r="30" customFormat="false" ht="15" hidden="false" customHeight="true" outlineLevel="0" collapsed="false">
      <c r="A30" s="54" t="n">
        <v>29</v>
      </c>
      <c r="B30" s="55" t="s">
        <v>1781</v>
      </c>
      <c r="C30" s="56" t="s">
        <v>1786</v>
      </c>
      <c r="D30" s="56" t="s">
        <v>1787</v>
      </c>
      <c r="E30" s="57" t="s">
        <v>312</v>
      </c>
      <c r="F30" s="55" t="s">
        <v>482</v>
      </c>
      <c r="G30" s="55" t="s">
        <v>157</v>
      </c>
      <c r="H30" s="58" t="n">
        <v>2</v>
      </c>
      <c r="I30" s="58" t="n">
        <v>5</v>
      </c>
      <c r="J30" s="58" t="n">
        <f aca="false">ROUND(AVERAGE(H30:I30),1)</f>
        <v>3.5</v>
      </c>
      <c r="K30" s="59" t="n">
        <v>0.5</v>
      </c>
      <c r="L30" s="58" t="n">
        <f aca="false">J30+K30</f>
        <v>4</v>
      </c>
      <c r="M30" s="60" t="n">
        <f aca="false">IFERROR(INDEX(99_Listas!$C$2:$C$5,MATCH(G30,99_Listas!$B$2:$B$5,0)),0)</f>
        <v>0.07</v>
      </c>
      <c r="N30" s="58" t="n">
        <f aca="false">ROUND(J30*M30,2)</f>
        <v>0.25</v>
      </c>
      <c r="O30" s="58" t="n">
        <f aca="false">ROUND(J30-N30,2)</f>
        <v>3.25</v>
      </c>
      <c r="P30" s="55" t="s">
        <v>928</v>
      </c>
      <c r="Q30" s="54" t="n">
        <v>2</v>
      </c>
      <c r="R30" s="55" t="s">
        <v>276</v>
      </c>
      <c r="S30" s="56" t="s">
        <v>228</v>
      </c>
      <c r="T30" s="56" t="s">
        <v>1788</v>
      </c>
      <c r="U30" s="56" t="s">
        <v>1789</v>
      </c>
    </row>
    <row r="31" customFormat="false" ht="15" hidden="false" customHeight="true" outlineLevel="0" collapsed="false">
      <c r="A31" s="61" t="n">
        <v>30</v>
      </c>
      <c r="B31" s="62" t="s">
        <v>1781</v>
      </c>
      <c r="C31" s="63" t="s">
        <v>1790</v>
      </c>
      <c r="D31" s="63" t="s">
        <v>1791</v>
      </c>
      <c r="E31" s="57" t="s">
        <v>1792</v>
      </c>
      <c r="F31" s="62" t="s">
        <v>482</v>
      </c>
      <c r="G31" s="62" t="s">
        <v>157</v>
      </c>
      <c r="H31" s="64" t="n">
        <v>2</v>
      </c>
      <c r="I31" s="64" t="n">
        <v>6</v>
      </c>
      <c r="J31" s="64" t="n">
        <f aca="false">ROUND(AVERAGE(H31:I31),1)</f>
        <v>4</v>
      </c>
      <c r="K31" s="59" t="n">
        <v>0.5</v>
      </c>
      <c r="L31" s="64" t="n">
        <f aca="false">J31+K31</f>
        <v>4.5</v>
      </c>
      <c r="M31" s="65" t="n">
        <f aca="false">IFERROR(INDEX(99_Listas!$C$2:$C$5,MATCH(G31,99_Listas!$B$2:$B$5,0)),0)</f>
        <v>0.07</v>
      </c>
      <c r="N31" s="64" t="n">
        <f aca="false">ROUND(J31*M31,2)</f>
        <v>0.28</v>
      </c>
      <c r="O31" s="64" t="n">
        <f aca="false">ROUND(J31-N31,2)</f>
        <v>3.72</v>
      </c>
      <c r="P31" s="62" t="s">
        <v>928</v>
      </c>
      <c r="Q31" s="61" t="n">
        <v>3</v>
      </c>
      <c r="R31" s="62" t="s">
        <v>276</v>
      </c>
      <c r="S31" s="63" t="s">
        <v>228</v>
      </c>
      <c r="T31" s="63" t="s">
        <v>1236</v>
      </c>
      <c r="U31" s="63"/>
    </row>
    <row r="32" customFormat="false" ht="15" hidden="false" customHeight="true" outlineLevel="0" collapsed="false">
      <c r="A32" s="54" t="n">
        <v>31</v>
      </c>
      <c r="B32" s="55" t="s">
        <v>1781</v>
      </c>
      <c r="C32" s="56" t="s">
        <v>1793</v>
      </c>
      <c r="D32" s="56" t="s">
        <v>1794</v>
      </c>
      <c r="E32" s="57" t="s">
        <v>1231</v>
      </c>
      <c r="F32" s="55" t="s">
        <v>482</v>
      </c>
      <c r="G32" s="55" t="s">
        <v>157</v>
      </c>
      <c r="H32" s="58" t="n">
        <v>6</v>
      </c>
      <c r="I32" s="58" t="n">
        <v>12</v>
      </c>
      <c r="J32" s="58" t="n">
        <f aca="false">ROUND(AVERAGE(H32:I32),1)</f>
        <v>9</v>
      </c>
      <c r="K32" s="59" t="n">
        <v>0.5</v>
      </c>
      <c r="L32" s="58" t="n">
        <f aca="false">J32+K32</f>
        <v>9.5</v>
      </c>
      <c r="M32" s="60" t="n">
        <f aca="false">IFERROR(INDEX(99_Listas!$C$2:$C$5,MATCH(G32,99_Listas!$B$2:$B$5,0)),0)</f>
        <v>0.07</v>
      </c>
      <c r="N32" s="58" t="n">
        <f aca="false">ROUND(J32*M32,2)</f>
        <v>0.63</v>
      </c>
      <c r="O32" s="58" t="n">
        <f aca="false">ROUND(J32-N32,2)</f>
        <v>8.37</v>
      </c>
      <c r="P32" s="55" t="s">
        <v>1795</v>
      </c>
      <c r="Q32" s="54" t="n">
        <v>8</v>
      </c>
      <c r="R32" s="55" t="s">
        <v>276</v>
      </c>
      <c r="S32" s="56" t="s">
        <v>228</v>
      </c>
      <c r="T32" s="56" t="s">
        <v>1393</v>
      </c>
      <c r="U32" s="56"/>
    </row>
    <row r="33" customFormat="false" ht="15" hidden="false" customHeight="true" outlineLevel="0" collapsed="false">
      <c r="A33" s="61" t="n">
        <v>32</v>
      </c>
      <c r="B33" s="62" t="s">
        <v>1781</v>
      </c>
      <c r="C33" s="63" t="s">
        <v>1796</v>
      </c>
      <c r="D33" s="63" t="s">
        <v>1797</v>
      </c>
      <c r="E33" s="57" t="s">
        <v>1798</v>
      </c>
      <c r="F33" s="62" t="s">
        <v>482</v>
      </c>
      <c r="G33" s="62" t="s">
        <v>161</v>
      </c>
      <c r="H33" s="64" t="n">
        <v>10</v>
      </c>
      <c r="I33" s="64" t="n">
        <v>20</v>
      </c>
      <c r="J33" s="64" t="n">
        <f aca="false">ROUND(AVERAGE(H33:I33),1)</f>
        <v>15</v>
      </c>
      <c r="K33" s="59" t="n">
        <v>0.5</v>
      </c>
      <c r="L33" s="64" t="n">
        <f aca="false">J33+K33</f>
        <v>15.5</v>
      </c>
      <c r="M33" s="65" t="n">
        <f aca="false">IFERROR(INDEX(99_Listas!$C$2:$C$5,MATCH(G33,99_Listas!$B$2:$B$5,0)),0)</f>
        <v>0.09</v>
      </c>
      <c r="N33" s="64" t="n">
        <f aca="false">ROUND(J33*M33,2)</f>
        <v>1.35</v>
      </c>
      <c r="O33" s="64" t="n">
        <f aca="false">ROUND(J33-N33,2)</f>
        <v>13.65</v>
      </c>
      <c r="P33" s="62" t="s">
        <v>1795</v>
      </c>
      <c r="Q33" s="61" t="n">
        <v>8</v>
      </c>
      <c r="R33" s="62" t="s">
        <v>165</v>
      </c>
      <c r="S33" s="63" t="s">
        <v>228</v>
      </c>
      <c r="T33" s="63" t="s">
        <v>1236</v>
      </c>
      <c r="U33" s="63"/>
    </row>
    <row r="34" customFormat="false" ht="15" hidden="false" customHeight="true" outlineLevel="0" collapsed="false">
      <c r="A34" s="54" t="n">
        <v>33</v>
      </c>
      <c r="B34" s="55" t="s">
        <v>1781</v>
      </c>
      <c r="C34" s="56" t="s">
        <v>1799</v>
      </c>
      <c r="D34" s="56" t="s">
        <v>1800</v>
      </c>
      <c r="E34" s="57" t="s">
        <v>1176</v>
      </c>
      <c r="F34" s="55" t="s">
        <v>927</v>
      </c>
      <c r="G34" s="55" t="s">
        <v>157</v>
      </c>
      <c r="H34" s="58" t="n">
        <v>5</v>
      </c>
      <c r="I34" s="58" t="n">
        <v>10</v>
      </c>
      <c r="J34" s="58" t="n">
        <f aca="false">ROUND(AVERAGE(H34:I34),1)</f>
        <v>7.5</v>
      </c>
      <c r="K34" s="59" t="n">
        <v>0.5</v>
      </c>
      <c r="L34" s="58" t="n">
        <f aca="false">J34+K34</f>
        <v>8</v>
      </c>
      <c r="M34" s="60" t="n">
        <f aca="false">IFERROR(INDEX(99_Listas!$C$2:$C$5,MATCH(G34,99_Listas!$B$2:$B$5,0)),0)</f>
        <v>0.07</v>
      </c>
      <c r="N34" s="58" t="n">
        <f aca="false">ROUND(J34*M34,2)</f>
        <v>0.53</v>
      </c>
      <c r="O34" s="58" t="n">
        <f aca="false">ROUND(J34-N34,2)</f>
        <v>6.97</v>
      </c>
      <c r="P34" s="55" t="s">
        <v>1103</v>
      </c>
      <c r="Q34" s="54" t="n">
        <v>8</v>
      </c>
      <c r="R34" s="55" t="s">
        <v>165</v>
      </c>
      <c r="S34" s="56" t="s">
        <v>228</v>
      </c>
      <c r="T34" s="56" t="s">
        <v>196</v>
      </c>
      <c r="U34" s="56"/>
    </row>
    <row r="35" customFormat="false" ht="15" hidden="false" customHeight="true" outlineLevel="0" collapsed="false">
      <c r="A35" s="61" t="n">
        <v>34</v>
      </c>
      <c r="B35" s="62" t="s">
        <v>1781</v>
      </c>
      <c r="C35" s="63" t="s">
        <v>1801</v>
      </c>
      <c r="D35" s="63" t="s">
        <v>1802</v>
      </c>
      <c r="E35" s="57" t="s">
        <v>1071</v>
      </c>
      <c r="F35" s="62" t="s">
        <v>482</v>
      </c>
      <c r="G35" s="62" t="s">
        <v>157</v>
      </c>
      <c r="H35" s="64" t="n">
        <v>6</v>
      </c>
      <c r="I35" s="64" t="n">
        <v>12</v>
      </c>
      <c r="J35" s="64" t="n">
        <f aca="false">ROUND(AVERAGE(H35:I35),1)</f>
        <v>9</v>
      </c>
      <c r="K35" s="59" t="n">
        <v>0.5</v>
      </c>
      <c r="L35" s="64" t="n">
        <f aca="false">J35+K35</f>
        <v>9.5</v>
      </c>
      <c r="M35" s="65" t="n">
        <f aca="false">IFERROR(INDEX(99_Listas!$C$2:$C$5,MATCH(G35,99_Listas!$B$2:$B$5,0)),0)</f>
        <v>0.07</v>
      </c>
      <c r="N35" s="64" t="n">
        <f aca="false">ROUND(J35*M35,2)</f>
        <v>0.63</v>
      </c>
      <c r="O35" s="64" t="n">
        <f aca="false">ROUND(J35-N35,2)</f>
        <v>8.37</v>
      </c>
      <c r="P35" s="62" t="s">
        <v>1406</v>
      </c>
      <c r="Q35" s="61" t="n">
        <v>6</v>
      </c>
      <c r="R35" s="62" t="s">
        <v>276</v>
      </c>
      <c r="S35" s="63" t="s">
        <v>228</v>
      </c>
      <c r="T35" s="63" t="s">
        <v>203</v>
      </c>
      <c r="U35" s="63"/>
    </row>
    <row r="36" customFormat="false" ht="15" hidden="false" customHeight="true" outlineLevel="0" collapsed="false">
      <c r="A36" s="54" t="n">
        <v>35</v>
      </c>
      <c r="B36" s="55" t="s">
        <v>1781</v>
      </c>
      <c r="C36" s="56" t="s">
        <v>1803</v>
      </c>
      <c r="D36" s="56" t="s">
        <v>1804</v>
      </c>
      <c r="E36" s="57" t="s">
        <v>1805</v>
      </c>
      <c r="F36" s="55" t="s">
        <v>482</v>
      </c>
      <c r="G36" s="55" t="s">
        <v>161</v>
      </c>
      <c r="H36" s="58" t="n">
        <v>8</v>
      </c>
      <c r="I36" s="58" t="n">
        <v>16</v>
      </c>
      <c r="J36" s="58" t="n">
        <f aca="false">ROUND(AVERAGE(H36:I36),1)</f>
        <v>12</v>
      </c>
      <c r="K36" s="59" t="n">
        <v>0.5</v>
      </c>
      <c r="L36" s="58" t="n">
        <f aca="false">J36+K36</f>
        <v>12.5</v>
      </c>
      <c r="M36" s="60" t="n">
        <f aca="false">IFERROR(INDEX(99_Listas!$C$2:$C$5,MATCH(G36,99_Listas!$B$2:$B$5,0)),0)</f>
        <v>0.09</v>
      </c>
      <c r="N36" s="58" t="n">
        <f aca="false">ROUND(J36*M36,2)</f>
        <v>1.08</v>
      </c>
      <c r="O36" s="58" t="n">
        <f aca="false">ROUND(J36-N36,2)</f>
        <v>10.92</v>
      </c>
      <c r="P36" s="55" t="s">
        <v>1406</v>
      </c>
      <c r="Q36" s="54" t="n">
        <v>8</v>
      </c>
      <c r="R36" s="55" t="s">
        <v>276</v>
      </c>
      <c r="S36" s="56" t="s">
        <v>228</v>
      </c>
      <c r="T36" s="56" t="s">
        <v>203</v>
      </c>
      <c r="U36" s="56"/>
    </row>
    <row r="37" customFormat="false" ht="23.25" hidden="false" customHeight="true" outlineLevel="0" collapsed="false">
      <c r="A37" s="61" t="n">
        <v>36</v>
      </c>
      <c r="B37" s="62" t="s">
        <v>1781</v>
      </c>
      <c r="C37" s="63" t="s">
        <v>1806</v>
      </c>
      <c r="D37" s="63" t="s">
        <v>1220</v>
      </c>
      <c r="E37" s="57" t="s">
        <v>1042</v>
      </c>
      <c r="F37" s="62" t="s">
        <v>482</v>
      </c>
      <c r="G37" s="62" t="s">
        <v>161</v>
      </c>
      <c r="H37" s="64" t="n">
        <v>10</v>
      </c>
      <c r="I37" s="64" t="n">
        <v>18</v>
      </c>
      <c r="J37" s="64" t="n">
        <f aca="false">ROUND(AVERAGE(H37:I37),1)</f>
        <v>14</v>
      </c>
      <c r="K37" s="59" t="n">
        <v>0.5</v>
      </c>
      <c r="L37" s="64" t="n">
        <f aca="false">J37+K37</f>
        <v>14.5</v>
      </c>
      <c r="M37" s="65" t="n">
        <f aca="false">IFERROR(INDEX(99_Listas!$C$2:$C$5,MATCH(G37,99_Listas!$B$2:$B$5,0)),0)</f>
        <v>0.09</v>
      </c>
      <c r="N37" s="64" t="n">
        <f aca="false">ROUND(J37*M37,2)</f>
        <v>1.26</v>
      </c>
      <c r="O37" s="64" t="n">
        <f aca="false">ROUND(J37-N37,2)</f>
        <v>12.74</v>
      </c>
      <c r="P37" s="62" t="s">
        <v>711</v>
      </c>
      <c r="Q37" s="61" t="n">
        <v>10</v>
      </c>
      <c r="R37" s="62" t="s">
        <v>258</v>
      </c>
      <c r="S37" s="63" t="s">
        <v>228</v>
      </c>
      <c r="T37" s="63" t="s">
        <v>177</v>
      </c>
      <c r="U37" s="63" t="s">
        <v>1807</v>
      </c>
    </row>
    <row r="38" customFormat="false" ht="15" hidden="false" customHeight="true" outlineLevel="0" collapsed="false">
      <c r="A38" s="54" t="n">
        <v>37</v>
      </c>
      <c r="B38" s="55" t="s">
        <v>1781</v>
      </c>
      <c r="C38" s="56" t="s">
        <v>1808</v>
      </c>
      <c r="D38" s="56" t="s">
        <v>1809</v>
      </c>
      <c r="E38" s="57" t="s">
        <v>1810</v>
      </c>
      <c r="F38" s="55" t="s">
        <v>482</v>
      </c>
      <c r="G38" s="55" t="s">
        <v>157</v>
      </c>
      <c r="H38" s="58" t="n">
        <v>4</v>
      </c>
      <c r="I38" s="58" t="n">
        <v>9</v>
      </c>
      <c r="J38" s="58" t="n">
        <f aca="false">ROUND(AVERAGE(H38:I38),1)</f>
        <v>6.5</v>
      </c>
      <c r="K38" s="59" t="n">
        <v>0.5</v>
      </c>
      <c r="L38" s="58" t="n">
        <f aca="false">J38+K38</f>
        <v>7</v>
      </c>
      <c r="M38" s="60" t="n">
        <f aca="false">IFERROR(INDEX(99_Listas!$C$2:$C$5,MATCH(G38,99_Listas!$B$2:$B$5,0)),0)</f>
        <v>0.07</v>
      </c>
      <c r="N38" s="58" t="n">
        <f aca="false">ROUND(J38*M38,2)</f>
        <v>0.46</v>
      </c>
      <c r="O38" s="58" t="n">
        <f aca="false">ROUND(J38-N38,2)</f>
        <v>6.04</v>
      </c>
      <c r="P38" s="55" t="s">
        <v>928</v>
      </c>
      <c r="Q38" s="54" t="n">
        <v>5</v>
      </c>
      <c r="R38" s="55" t="s">
        <v>276</v>
      </c>
      <c r="S38" s="56" t="s">
        <v>228</v>
      </c>
      <c r="T38" s="56" t="s">
        <v>1746</v>
      </c>
      <c r="U38" s="56" t="s">
        <v>1811</v>
      </c>
    </row>
    <row r="39" customFormat="false" ht="15" hidden="false" customHeight="true" outlineLevel="0" collapsed="false">
      <c r="A39" s="61" t="n">
        <v>38</v>
      </c>
      <c r="B39" s="62" t="s">
        <v>1812</v>
      </c>
      <c r="C39" s="63" t="s">
        <v>1813</v>
      </c>
      <c r="D39" s="63" t="s">
        <v>482</v>
      </c>
      <c r="E39" s="57" t="s">
        <v>1814</v>
      </c>
      <c r="F39" s="62" t="s">
        <v>418</v>
      </c>
      <c r="G39" s="62" t="s">
        <v>157</v>
      </c>
      <c r="H39" s="64" t="n">
        <v>3</v>
      </c>
      <c r="I39" s="64" t="n">
        <v>7</v>
      </c>
      <c r="J39" s="64" t="n">
        <f aca="false">ROUND(AVERAGE(H39:I39),1)</f>
        <v>5</v>
      </c>
      <c r="K39" s="59" t="n">
        <v>0.5</v>
      </c>
      <c r="L39" s="64" t="n">
        <f aca="false">J39+K39</f>
        <v>5.5</v>
      </c>
      <c r="M39" s="65" t="n">
        <f aca="false">IFERROR(INDEX(99_Listas!$C$2:$C$5,MATCH(G39,99_Listas!$B$2:$B$5,0)),0)</f>
        <v>0.07</v>
      </c>
      <c r="N39" s="64" t="n">
        <f aca="false">ROUND(J39*M39,2)</f>
        <v>0.35</v>
      </c>
      <c r="O39" s="64" t="n">
        <f aca="false">ROUND(J39-N39,2)</f>
        <v>4.65</v>
      </c>
      <c r="P39" s="62" t="s">
        <v>928</v>
      </c>
      <c r="Q39" s="61" t="n">
        <v>3</v>
      </c>
      <c r="R39" s="62" t="s">
        <v>276</v>
      </c>
      <c r="S39" s="63" t="s">
        <v>228</v>
      </c>
      <c r="T39" s="63" t="s">
        <v>1815</v>
      </c>
      <c r="U39" s="63"/>
    </row>
    <row r="40" customFormat="false" ht="15" hidden="false" customHeight="true" outlineLevel="0" collapsed="false">
      <c r="A40" s="54" t="n">
        <v>39</v>
      </c>
      <c r="B40" s="55" t="s">
        <v>1812</v>
      </c>
      <c r="C40" s="56" t="s">
        <v>1816</v>
      </c>
      <c r="D40" s="56" t="s">
        <v>482</v>
      </c>
      <c r="E40" s="57" t="s">
        <v>1817</v>
      </c>
      <c r="F40" s="55" t="s">
        <v>418</v>
      </c>
      <c r="G40" s="55" t="s">
        <v>157</v>
      </c>
      <c r="H40" s="58" t="n">
        <v>3</v>
      </c>
      <c r="I40" s="58" t="n">
        <v>7</v>
      </c>
      <c r="J40" s="58" t="n">
        <f aca="false">ROUND(AVERAGE(H40:I40),1)</f>
        <v>5</v>
      </c>
      <c r="K40" s="59" t="n">
        <v>0.5</v>
      </c>
      <c r="L40" s="58" t="n">
        <f aca="false">J40+K40</f>
        <v>5.5</v>
      </c>
      <c r="M40" s="60" t="n">
        <f aca="false">IFERROR(INDEX(99_Listas!$C$2:$C$5,MATCH(G40,99_Listas!$B$2:$B$5,0)),0)</f>
        <v>0.07</v>
      </c>
      <c r="N40" s="58" t="n">
        <f aca="false">ROUND(J40*M40,2)</f>
        <v>0.35</v>
      </c>
      <c r="O40" s="58" t="n">
        <f aca="false">ROUND(J40-N40,2)</f>
        <v>4.65</v>
      </c>
      <c r="P40" s="55" t="s">
        <v>928</v>
      </c>
      <c r="Q40" s="54" t="n">
        <v>3</v>
      </c>
      <c r="R40" s="55" t="s">
        <v>276</v>
      </c>
      <c r="S40" s="56" t="s">
        <v>228</v>
      </c>
      <c r="T40" s="56" t="s">
        <v>1815</v>
      </c>
      <c r="U40" s="56"/>
    </row>
    <row r="41" customFormat="false" ht="15" hidden="false" customHeight="true" outlineLevel="0" collapsed="false">
      <c r="A41" s="61" t="n">
        <v>40</v>
      </c>
      <c r="B41" s="62" t="s">
        <v>1812</v>
      </c>
      <c r="C41" s="63" t="s">
        <v>1818</v>
      </c>
      <c r="D41" s="63" t="s">
        <v>1819</v>
      </c>
      <c r="E41" s="57" t="s">
        <v>753</v>
      </c>
      <c r="F41" s="62" t="s">
        <v>418</v>
      </c>
      <c r="G41" s="62" t="s">
        <v>157</v>
      </c>
      <c r="H41" s="64" t="n">
        <v>4</v>
      </c>
      <c r="I41" s="64" t="n">
        <v>8</v>
      </c>
      <c r="J41" s="64" t="n">
        <f aca="false">ROUND(AVERAGE(H41:I41),1)</f>
        <v>6</v>
      </c>
      <c r="K41" s="59" t="n">
        <v>0.5</v>
      </c>
      <c r="L41" s="64" t="n">
        <f aca="false">J41+K41</f>
        <v>6.5</v>
      </c>
      <c r="M41" s="65" t="n">
        <f aca="false">IFERROR(INDEX(99_Listas!$C$2:$C$5,MATCH(G41,99_Listas!$B$2:$B$5,0)),0)</f>
        <v>0.07</v>
      </c>
      <c r="N41" s="64" t="n">
        <f aca="false">ROUND(J41*M41,2)</f>
        <v>0.42</v>
      </c>
      <c r="O41" s="64" t="n">
        <f aca="false">ROUND(J41-N41,2)</f>
        <v>5.58</v>
      </c>
      <c r="P41" s="62" t="s">
        <v>928</v>
      </c>
      <c r="Q41" s="61" t="n">
        <v>3</v>
      </c>
      <c r="R41" s="62" t="s">
        <v>276</v>
      </c>
      <c r="S41" s="63" t="s">
        <v>228</v>
      </c>
      <c r="T41" s="63" t="s">
        <v>289</v>
      </c>
      <c r="U41" s="63"/>
    </row>
    <row r="42" customFormat="false" ht="15" hidden="false" customHeight="true" outlineLevel="0" collapsed="false">
      <c r="A42" s="54" t="n">
        <v>41</v>
      </c>
      <c r="B42" s="55" t="s">
        <v>1812</v>
      </c>
      <c r="C42" s="56" t="s">
        <v>1820</v>
      </c>
      <c r="D42" s="56" t="s">
        <v>482</v>
      </c>
      <c r="E42" s="57" t="s">
        <v>1821</v>
      </c>
      <c r="F42" s="55" t="s">
        <v>418</v>
      </c>
      <c r="G42" s="55" t="s">
        <v>157</v>
      </c>
      <c r="H42" s="58" t="n">
        <v>2</v>
      </c>
      <c r="I42" s="58" t="n">
        <v>5</v>
      </c>
      <c r="J42" s="58" t="n">
        <f aca="false">ROUND(AVERAGE(H42:I42),1)</f>
        <v>3.5</v>
      </c>
      <c r="K42" s="59" t="n">
        <v>0.5</v>
      </c>
      <c r="L42" s="58" t="n">
        <f aca="false">J42+K42</f>
        <v>4</v>
      </c>
      <c r="M42" s="60" t="n">
        <f aca="false">IFERROR(INDEX(99_Listas!$C$2:$C$5,MATCH(G42,99_Listas!$B$2:$B$5,0)),0)</f>
        <v>0.07</v>
      </c>
      <c r="N42" s="58" t="n">
        <f aca="false">ROUND(J42*M42,2)</f>
        <v>0.25</v>
      </c>
      <c r="O42" s="58" t="n">
        <f aca="false">ROUND(J42-N42,2)</f>
        <v>3.25</v>
      </c>
      <c r="P42" s="55" t="s">
        <v>928</v>
      </c>
      <c r="Q42" s="54" t="n">
        <v>2</v>
      </c>
      <c r="R42" s="55" t="s">
        <v>276</v>
      </c>
      <c r="S42" s="56" t="s">
        <v>228</v>
      </c>
      <c r="T42" s="56" t="s">
        <v>339</v>
      </c>
      <c r="U42" s="56"/>
    </row>
    <row r="43" customFormat="false" ht="15" hidden="false" customHeight="true" outlineLevel="0" collapsed="false">
      <c r="A43" s="61" t="n">
        <v>42</v>
      </c>
      <c r="B43" s="62" t="s">
        <v>1812</v>
      </c>
      <c r="C43" s="63" t="s">
        <v>1822</v>
      </c>
      <c r="D43" s="63" t="s">
        <v>482</v>
      </c>
      <c r="E43" s="57" t="s">
        <v>1823</v>
      </c>
      <c r="F43" s="62" t="s">
        <v>482</v>
      </c>
      <c r="G43" s="62" t="s">
        <v>157</v>
      </c>
      <c r="H43" s="64" t="n">
        <v>3</v>
      </c>
      <c r="I43" s="64" t="n">
        <v>8</v>
      </c>
      <c r="J43" s="64" t="n">
        <f aca="false">ROUND(AVERAGE(H43:I43),1)</f>
        <v>5.5</v>
      </c>
      <c r="K43" s="59" t="n">
        <v>0.5</v>
      </c>
      <c r="L43" s="64" t="n">
        <f aca="false">J43+K43</f>
        <v>6</v>
      </c>
      <c r="M43" s="65" t="n">
        <f aca="false">IFERROR(INDEX(99_Listas!$C$2:$C$5,MATCH(G43,99_Listas!$B$2:$B$5,0)),0)</f>
        <v>0.07</v>
      </c>
      <c r="N43" s="64" t="n">
        <f aca="false">ROUND(J43*M43,2)</f>
        <v>0.39</v>
      </c>
      <c r="O43" s="64" t="n">
        <f aca="false">ROUND(J43-N43,2)</f>
        <v>5.11</v>
      </c>
      <c r="P43" s="62" t="s">
        <v>928</v>
      </c>
      <c r="Q43" s="61" t="n">
        <v>3</v>
      </c>
      <c r="R43" s="62" t="s">
        <v>276</v>
      </c>
      <c r="S43" s="63" t="s">
        <v>228</v>
      </c>
      <c r="T43" s="63" t="s">
        <v>1824</v>
      </c>
      <c r="U43" s="63"/>
    </row>
    <row r="44" customFormat="false" ht="23.25" hidden="false" customHeight="true" outlineLevel="0" collapsed="false">
      <c r="A44" s="54" t="n">
        <v>43</v>
      </c>
      <c r="B44" s="55" t="s">
        <v>1812</v>
      </c>
      <c r="C44" s="56" t="s">
        <v>1825</v>
      </c>
      <c r="D44" s="56" t="s">
        <v>1826</v>
      </c>
      <c r="E44" s="57" t="s">
        <v>1505</v>
      </c>
      <c r="F44" s="55" t="s">
        <v>482</v>
      </c>
      <c r="G44" s="55" t="s">
        <v>157</v>
      </c>
      <c r="H44" s="58" t="n">
        <v>5</v>
      </c>
      <c r="I44" s="58" t="n">
        <v>12</v>
      </c>
      <c r="J44" s="58" t="n">
        <f aca="false">ROUND(AVERAGE(H44:I44),1)</f>
        <v>8.5</v>
      </c>
      <c r="K44" s="59" t="n">
        <v>0.5</v>
      </c>
      <c r="L44" s="58" t="n">
        <f aca="false">J44+K44</f>
        <v>9</v>
      </c>
      <c r="M44" s="60" t="n">
        <f aca="false">IFERROR(INDEX(99_Listas!$C$2:$C$5,MATCH(G44,99_Listas!$B$2:$B$5,0)),0)</f>
        <v>0.07</v>
      </c>
      <c r="N44" s="58" t="n">
        <f aca="false">ROUND(J44*M44,2)</f>
        <v>0.6</v>
      </c>
      <c r="O44" s="58" t="n">
        <f aca="false">ROUND(J44-N44,2)</f>
        <v>7.9</v>
      </c>
      <c r="P44" s="55" t="s">
        <v>928</v>
      </c>
      <c r="Q44" s="54" t="n">
        <v>2</v>
      </c>
      <c r="R44" s="55" t="s">
        <v>276</v>
      </c>
      <c r="S44" s="56" t="s">
        <v>228</v>
      </c>
      <c r="T44" s="56" t="s">
        <v>528</v>
      </c>
      <c r="U44" s="56"/>
    </row>
    <row r="45" customFormat="false" ht="15" hidden="false" customHeight="true" outlineLevel="0" collapsed="false">
      <c r="A45" s="61" t="n">
        <v>44</v>
      </c>
      <c r="B45" s="62" t="s">
        <v>1812</v>
      </c>
      <c r="C45" s="63" t="s">
        <v>1827</v>
      </c>
      <c r="D45" s="63" t="s">
        <v>1828</v>
      </c>
      <c r="E45" s="57" t="s">
        <v>1829</v>
      </c>
      <c r="F45" s="62" t="s">
        <v>418</v>
      </c>
      <c r="G45" s="62" t="s">
        <v>157</v>
      </c>
      <c r="H45" s="64" t="n">
        <v>3</v>
      </c>
      <c r="I45" s="64" t="n">
        <v>8</v>
      </c>
      <c r="J45" s="64" t="n">
        <f aca="false">ROUND(AVERAGE(H45:I45),1)</f>
        <v>5.5</v>
      </c>
      <c r="K45" s="59" t="n">
        <v>0.5</v>
      </c>
      <c r="L45" s="64" t="n">
        <f aca="false">J45+K45</f>
        <v>6</v>
      </c>
      <c r="M45" s="65" t="n">
        <f aca="false">IFERROR(INDEX(99_Listas!$C$2:$C$5,MATCH(G45,99_Listas!$B$2:$B$5,0)),0)</f>
        <v>0.07</v>
      </c>
      <c r="N45" s="64" t="n">
        <f aca="false">ROUND(J45*M45,2)</f>
        <v>0.39</v>
      </c>
      <c r="O45" s="64" t="n">
        <f aca="false">ROUND(J45-N45,2)</f>
        <v>5.11</v>
      </c>
      <c r="P45" s="62" t="s">
        <v>1406</v>
      </c>
      <c r="Q45" s="61" t="n">
        <v>2</v>
      </c>
      <c r="R45" s="62" t="s">
        <v>258</v>
      </c>
      <c r="S45" s="63" t="s">
        <v>1830</v>
      </c>
      <c r="T45" s="63" t="s">
        <v>202</v>
      </c>
      <c r="U45" s="63" t="s">
        <v>1831</v>
      </c>
    </row>
    <row r="46" customFormat="false" ht="15" hidden="false" customHeight="true" outlineLevel="0" collapsed="false">
      <c r="A46" s="54" t="n">
        <v>45</v>
      </c>
      <c r="B46" s="55" t="s">
        <v>1812</v>
      </c>
      <c r="C46" s="56" t="s">
        <v>1832</v>
      </c>
      <c r="D46" s="56" t="s">
        <v>1833</v>
      </c>
      <c r="E46" s="57" t="s">
        <v>1834</v>
      </c>
      <c r="F46" s="55" t="s">
        <v>482</v>
      </c>
      <c r="G46" s="55" t="s">
        <v>157</v>
      </c>
      <c r="H46" s="58" t="n">
        <v>3</v>
      </c>
      <c r="I46" s="58" t="n">
        <v>7</v>
      </c>
      <c r="J46" s="58" t="n">
        <f aca="false">ROUND(AVERAGE(H46:I46),1)</f>
        <v>5</v>
      </c>
      <c r="K46" s="59" t="n">
        <v>0.5</v>
      </c>
      <c r="L46" s="58" t="n">
        <f aca="false">J46+K46</f>
        <v>5.5</v>
      </c>
      <c r="M46" s="60" t="n">
        <f aca="false">IFERROR(INDEX(99_Listas!$C$2:$C$5,MATCH(G46,99_Listas!$B$2:$B$5,0)),0)</f>
        <v>0.07</v>
      </c>
      <c r="N46" s="58" t="n">
        <f aca="false">ROUND(J46*M46,2)</f>
        <v>0.35</v>
      </c>
      <c r="O46" s="58" t="n">
        <f aca="false">ROUND(J46-N46,2)</f>
        <v>4.65</v>
      </c>
      <c r="P46" s="55" t="s">
        <v>360</v>
      </c>
      <c r="Q46" s="54" t="n">
        <v>5</v>
      </c>
      <c r="R46" s="55" t="s">
        <v>165</v>
      </c>
      <c r="S46" s="56" t="s">
        <v>228</v>
      </c>
      <c r="T46" s="56" t="s">
        <v>289</v>
      </c>
      <c r="U46" s="56"/>
    </row>
    <row r="47" customFormat="false" ht="15" hidden="false" customHeight="true" outlineLevel="0" collapsed="false">
      <c r="A47" s="61" t="n">
        <v>46</v>
      </c>
      <c r="B47" s="62" t="s">
        <v>1812</v>
      </c>
      <c r="C47" s="63" t="s">
        <v>1835</v>
      </c>
      <c r="D47" s="63" t="s">
        <v>1836</v>
      </c>
      <c r="E47" s="57" t="s">
        <v>1837</v>
      </c>
      <c r="F47" s="62" t="s">
        <v>482</v>
      </c>
      <c r="G47" s="62" t="s">
        <v>157</v>
      </c>
      <c r="H47" s="64" t="n">
        <v>3</v>
      </c>
      <c r="I47" s="64" t="n">
        <v>8</v>
      </c>
      <c r="J47" s="64" t="n">
        <f aca="false">ROUND(AVERAGE(H47:I47),1)</f>
        <v>5.5</v>
      </c>
      <c r="K47" s="59" t="n">
        <v>0.5</v>
      </c>
      <c r="L47" s="64" t="n">
        <f aca="false">J47+K47</f>
        <v>6</v>
      </c>
      <c r="M47" s="65" t="n">
        <f aca="false">IFERROR(INDEX(99_Listas!$C$2:$C$5,MATCH(G47,99_Listas!$B$2:$B$5,0)),0)</f>
        <v>0.07</v>
      </c>
      <c r="N47" s="64" t="n">
        <f aca="false">ROUND(J47*M47,2)</f>
        <v>0.39</v>
      </c>
      <c r="O47" s="64" t="n">
        <f aca="false">ROUND(J47-N47,2)</f>
        <v>5.11</v>
      </c>
      <c r="P47" s="62" t="s">
        <v>928</v>
      </c>
      <c r="Q47" s="61" t="n">
        <v>2</v>
      </c>
      <c r="R47" s="62" t="s">
        <v>276</v>
      </c>
      <c r="S47" s="63" t="s">
        <v>228</v>
      </c>
      <c r="T47" s="63" t="s">
        <v>528</v>
      </c>
      <c r="U47" s="63"/>
    </row>
    <row r="48" customFormat="false" ht="15" hidden="false" customHeight="true" outlineLevel="0" collapsed="false">
      <c r="A48" s="54" t="n">
        <v>47</v>
      </c>
      <c r="B48" s="55" t="s">
        <v>1690</v>
      </c>
      <c r="C48" s="56" t="s">
        <v>1838</v>
      </c>
      <c r="D48" s="56" t="s">
        <v>1692</v>
      </c>
      <c r="E48" s="57" t="s">
        <v>1839</v>
      </c>
      <c r="F48" s="55" t="s">
        <v>422</v>
      </c>
      <c r="G48" s="55" t="s">
        <v>157</v>
      </c>
      <c r="H48" s="58" t="n">
        <v>5</v>
      </c>
      <c r="I48" s="58" t="n">
        <v>10</v>
      </c>
      <c r="J48" s="58" t="n">
        <f aca="false">ROUND(AVERAGE(H48:I48),1)</f>
        <v>7.5</v>
      </c>
      <c r="K48" s="59" t="n">
        <v>0.5</v>
      </c>
      <c r="L48" s="58" t="n">
        <f aca="false">J48+K48</f>
        <v>8</v>
      </c>
      <c r="M48" s="60" t="n">
        <f aca="false">IFERROR(INDEX(99_Listas!$C$2:$C$5,MATCH(G48,99_Listas!$B$2:$B$5,0)),0)</f>
        <v>0.07</v>
      </c>
      <c r="N48" s="58" t="n">
        <f aca="false">ROUND(J48*M48,2)</f>
        <v>0.53</v>
      </c>
      <c r="O48" s="58" t="n">
        <f aca="false">ROUND(J48-N48,2)</f>
        <v>6.97</v>
      </c>
      <c r="P48" s="55" t="s">
        <v>519</v>
      </c>
      <c r="Q48" s="54" t="n">
        <v>5</v>
      </c>
      <c r="R48" s="55" t="s">
        <v>276</v>
      </c>
      <c r="S48" s="56" t="s">
        <v>1714</v>
      </c>
      <c r="T48" s="56" t="s">
        <v>184</v>
      </c>
      <c r="U48" s="56"/>
    </row>
    <row r="49" customFormat="false" ht="15" hidden="false" customHeight="true" outlineLevel="0" collapsed="false">
      <c r="A49" s="61" t="n">
        <v>48</v>
      </c>
      <c r="B49" s="62" t="s">
        <v>1690</v>
      </c>
      <c r="C49" s="63" t="s">
        <v>1840</v>
      </c>
      <c r="D49" s="63" t="s">
        <v>1692</v>
      </c>
      <c r="E49" s="57" t="s">
        <v>1839</v>
      </c>
      <c r="F49" s="62" t="s">
        <v>422</v>
      </c>
      <c r="G49" s="62" t="s">
        <v>157</v>
      </c>
      <c r="H49" s="64" t="n">
        <v>4</v>
      </c>
      <c r="I49" s="64" t="n">
        <v>9</v>
      </c>
      <c r="J49" s="64" t="n">
        <f aca="false">ROUND(AVERAGE(H49:I49),1)</f>
        <v>6.5</v>
      </c>
      <c r="K49" s="59" t="n">
        <v>0.5</v>
      </c>
      <c r="L49" s="64" t="n">
        <f aca="false">J49+K49</f>
        <v>7</v>
      </c>
      <c r="M49" s="65" t="n">
        <f aca="false">IFERROR(INDEX(99_Listas!$C$2:$C$5,MATCH(G49,99_Listas!$B$2:$B$5,0)),0)</f>
        <v>0.07</v>
      </c>
      <c r="N49" s="64" t="n">
        <f aca="false">ROUND(J49*M49,2)</f>
        <v>0.46</v>
      </c>
      <c r="O49" s="64" t="n">
        <f aca="false">ROUND(J49-N49,2)</f>
        <v>6.04</v>
      </c>
      <c r="P49" s="62" t="s">
        <v>519</v>
      </c>
      <c r="Q49" s="61" t="n">
        <v>5</v>
      </c>
      <c r="R49" s="62" t="s">
        <v>276</v>
      </c>
      <c r="S49" s="63" t="s">
        <v>1830</v>
      </c>
      <c r="T49" s="63" t="s">
        <v>184</v>
      </c>
      <c r="U49" s="63"/>
    </row>
    <row r="50" customFormat="false" ht="15" hidden="false" customHeight="true" outlineLevel="0" collapsed="false">
      <c r="A50" s="54" t="n">
        <v>49</v>
      </c>
      <c r="B50" s="55" t="s">
        <v>1690</v>
      </c>
      <c r="C50" s="56" t="s">
        <v>1841</v>
      </c>
      <c r="D50" s="56" t="s">
        <v>1692</v>
      </c>
      <c r="E50" s="57" t="s">
        <v>1839</v>
      </c>
      <c r="F50" s="55" t="s">
        <v>422</v>
      </c>
      <c r="G50" s="55" t="s">
        <v>157</v>
      </c>
      <c r="H50" s="58" t="n">
        <v>4</v>
      </c>
      <c r="I50" s="58" t="n">
        <v>9</v>
      </c>
      <c r="J50" s="58" t="n">
        <f aca="false">ROUND(AVERAGE(H50:I50),1)</f>
        <v>6.5</v>
      </c>
      <c r="K50" s="59" t="n">
        <v>0.5</v>
      </c>
      <c r="L50" s="58" t="n">
        <f aca="false">J50+K50</f>
        <v>7</v>
      </c>
      <c r="M50" s="60" t="n">
        <f aca="false">IFERROR(INDEX(99_Listas!$C$2:$C$5,MATCH(G50,99_Listas!$B$2:$B$5,0)),0)</f>
        <v>0.07</v>
      </c>
      <c r="N50" s="58" t="n">
        <f aca="false">ROUND(J50*M50,2)</f>
        <v>0.46</v>
      </c>
      <c r="O50" s="58" t="n">
        <f aca="false">ROUND(J50-N50,2)</f>
        <v>6.04</v>
      </c>
      <c r="P50" s="55" t="s">
        <v>519</v>
      </c>
      <c r="Q50" s="54" t="n">
        <v>5</v>
      </c>
      <c r="R50" s="55" t="s">
        <v>276</v>
      </c>
      <c r="S50" s="56" t="s">
        <v>1714</v>
      </c>
      <c r="T50" s="56" t="s">
        <v>184</v>
      </c>
      <c r="U50" s="56"/>
    </row>
    <row r="51" customFormat="false" ht="15" hidden="false" customHeight="true" outlineLevel="0" collapsed="false">
      <c r="A51" s="61" t="n">
        <v>50</v>
      </c>
      <c r="B51" s="62" t="s">
        <v>1690</v>
      </c>
      <c r="C51" s="63" t="s">
        <v>1842</v>
      </c>
      <c r="D51" s="63" t="s">
        <v>1843</v>
      </c>
      <c r="E51" s="57" t="s">
        <v>1839</v>
      </c>
      <c r="F51" s="62" t="s">
        <v>422</v>
      </c>
      <c r="G51" s="62" t="s">
        <v>157</v>
      </c>
      <c r="H51" s="64" t="n">
        <v>5</v>
      </c>
      <c r="I51" s="64" t="n">
        <v>10</v>
      </c>
      <c r="J51" s="64" t="n">
        <f aca="false">ROUND(AVERAGE(H51:I51),1)</f>
        <v>7.5</v>
      </c>
      <c r="K51" s="59" t="n">
        <v>0.5</v>
      </c>
      <c r="L51" s="64" t="n">
        <f aca="false">J51+K51</f>
        <v>8</v>
      </c>
      <c r="M51" s="65" t="n">
        <f aca="false">IFERROR(INDEX(99_Listas!$C$2:$C$5,MATCH(G51,99_Listas!$B$2:$B$5,0)),0)</f>
        <v>0.07</v>
      </c>
      <c r="N51" s="64" t="n">
        <f aca="false">ROUND(J51*M51,2)</f>
        <v>0.53</v>
      </c>
      <c r="O51" s="64" t="n">
        <f aca="false">ROUND(J51-N51,2)</f>
        <v>6.97</v>
      </c>
      <c r="P51" s="62" t="s">
        <v>519</v>
      </c>
      <c r="Q51" s="61" t="n">
        <v>5</v>
      </c>
      <c r="R51" s="62" t="s">
        <v>276</v>
      </c>
      <c r="S51" s="63" t="s">
        <v>1714</v>
      </c>
      <c r="T51" s="63" t="s">
        <v>184</v>
      </c>
      <c r="U51" s="63" t="s">
        <v>1844</v>
      </c>
    </row>
    <row r="52" customFormat="false" ht="15" hidden="false" customHeight="true" outlineLevel="0" collapsed="false">
      <c r="A52" s="54" t="n">
        <v>51</v>
      </c>
      <c r="B52" s="55" t="s">
        <v>1690</v>
      </c>
      <c r="C52" s="56" t="s">
        <v>1845</v>
      </c>
      <c r="D52" s="56" t="s">
        <v>1843</v>
      </c>
      <c r="E52" s="57" t="s">
        <v>1839</v>
      </c>
      <c r="F52" s="55" t="s">
        <v>422</v>
      </c>
      <c r="G52" s="55" t="s">
        <v>161</v>
      </c>
      <c r="H52" s="58" t="n">
        <v>6</v>
      </c>
      <c r="I52" s="58" t="n">
        <v>12</v>
      </c>
      <c r="J52" s="58" t="n">
        <f aca="false">ROUND(AVERAGE(H52:I52),1)</f>
        <v>9</v>
      </c>
      <c r="K52" s="59" t="n">
        <v>0.5</v>
      </c>
      <c r="L52" s="58" t="n">
        <f aca="false">J52+K52</f>
        <v>9.5</v>
      </c>
      <c r="M52" s="60" t="n">
        <f aca="false">IFERROR(INDEX(99_Listas!$C$2:$C$5,MATCH(G52,99_Listas!$B$2:$B$5,0)),0)</f>
        <v>0.09</v>
      </c>
      <c r="N52" s="58" t="n">
        <f aca="false">ROUND(J52*M52,2)</f>
        <v>0.81</v>
      </c>
      <c r="O52" s="58" t="n">
        <f aca="false">ROUND(J52-N52,2)</f>
        <v>8.19</v>
      </c>
      <c r="P52" s="55" t="s">
        <v>519</v>
      </c>
      <c r="Q52" s="54" t="n">
        <v>5</v>
      </c>
      <c r="R52" s="55" t="s">
        <v>276</v>
      </c>
      <c r="S52" s="56" t="s">
        <v>1714</v>
      </c>
      <c r="T52" s="56" t="s">
        <v>184</v>
      </c>
      <c r="U52" s="56"/>
    </row>
    <row r="53" customFormat="false" ht="15" hidden="false" customHeight="true" outlineLevel="0" collapsed="false">
      <c r="A53" s="61" t="n">
        <v>52</v>
      </c>
      <c r="B53" s="62" t="s">
        <v>1723</v>
      </c>
      <c r="C53" s="63" t="s">
        <v>1846</v>
      </c>
      <c r="D53" s="63" t="s">
        <v>1847</v>
      </c>
      <c r="E53" s="57" t="s">
        <v>1848</v>
      </c>
      <c r="F53" s="62" t="s">
        <v>422</v>
      </c>
      <c r="G53" s="62" t="s">
        <v>157</v>
      </c>
      <c r="H53" s="64" t="n">
        <v>5</v>
      </c>
      <c r="I53" s="64" t="n">
        <v>11</v>
      </c>
      <c r="J53" s="64" t="n">
        <f aca="false">ROUND(AVERAGE(H53:I53),1)</f>
        <v>8</v>
      </c>
      <c r="K53" s="59" t="n">
        <v>0.5</v>
      </c>
      <c r="L53" s="64" t="n">
        <f aca="false">J53+K53</f>
        <v>8.5</v>
      </c>
      <c r="M53" s="65" t="n">
        <f aca="false">IFERROR(INDEX(99_Listas!$C$2:$C$5,MATCH(G53,99_Listas!$B$2:$B$5,0)),0)</f>
        <v>0.07</v>
      </c>
      <c r="N53" s="64" t="n">
        <f aca="false">ROUND(J53*M53,2)</f>
        <v>0.56</v>
      </c>
      <c r="O53" s="64" t="n">
        <f aca="false">ROUND(J53-N53,2)</f>
        <v>7.44</v>
      </c>
      <c r="P53" s="62" t="s">
        <v>519</v>
      </c>
      <c r="Q53" s="61" t="n">
        <v>5</v>
      </c>
      <c r="R53" s="62" t="s">
        <v>276</v>
      </c>
      <c r="S53" s="63" t="s">
        <v>228</v>
      </c>
      <c r="T53" s="63" t="s">
        <v>184</v>
      </c>
      <c r="U53" s="63"/>
    </row>
    <row r="54" customFormat="false" ht="15" hidden="false" customHeight="true" outlineLevel="0" collapsed="false">
      <c r="A54" s="54" t="n">
        <v>53</v>
      </c>
      <c r="B54" s="55" t="s">
        <v>1723</v>
      </c>
      <c r="C54" s="56" t="s">
        <v>1849</v>
      </c>
      <c r="D54" s="56" t="s">
        <v>1850</v>
      </c>
      <c r="E54" s="57" t="s">
        <v>1851</v>
      </c>
      <c r="F54" s="55" t="s">
        <v>422</v>
      </c>
      <c r="G54" s="55" t="s">
        <v>165</v>
      </c>
      <c r="H54" s="58" t="n">
        <v>10</v>
      </c>
      <c r="I54" s="58" t="n">
        <v>22</v>
      </c>
      <c r="J54" s="58" t="n">
        <f aca="false">ROUND(AVERAGE(H54:I54),1)</f>
        <v>16</v>
      </c>
      <c r="K54" s="59" t="n">
        <v>0.5</v>
      </c>
      <c r="L54" s="58" t="n">
        <f aca="false">J54+K54</f>
        <v>16.5</v>
      </c>
      <c r="M54" s="60" t="n">
        <f aca="false">IFERROR(INDEX(99_Listas!$C$2:$C$5,MATCH(G54,99_Listas!$B$2:$B$5,0)),0)</f>
        <v>0.11</v>
      </c>
      <c r="N54" s="58" t="n">
        <f aca="false">ROUND(J54*M54,2)</f>
        <v>1.76</v>
      </c>
      <c r="O54" s="58" t="n">
        <f aca="false">ROUND(J54-N54,2)</f>
        <v>14.24</v>
      </c>
      <c r="P54" s="55" t="s">
        <v>1852</v>
      </c>
      <c r="Q54" s="54" t="n">
        <v>6</v>
      </c>
      <c r="R54" s="55" t="s">
        <v>276</v>
      </c>
      <c r="S54" s="56" t="s">
        <v>228</v>
      </c>
      <c r="T54" s="56" t="s">
        <v>1853</v>
      </c>
      <c r="U54" s="56" t="s">
        <v>403</v>
      </c>
    </row>
    <row r="55" customFormat="false" ht="15" hidden="false" customHeight="true" outlineLevel="0" collapsed="false">
      <c r="A55" s="61" t="n">
        <v>54</v>
      </c>
      <c r="B55" s="62" t="s">
        <v>1723</v>
      </c>
      <c r="C55" s="63" t="s">
        <v>1854</v>
      </c>
      <c r="D55" s="63" t="s">
        <v>1855</v>
      </c>
      <c r="E55" s="57" t="s">
        <v>1740</v>
      </c>
      <c r="F55" s="62" t="s">
        <v>288</v>
      </c>
      <c r="G55" s="62" t="s">
        <v>161</v>
      </c>
      <c r="H55" s="64" t="n">
        <v>5</v>
      </c>
      <c r="I55" s="64" t="n">
        <v>12</v>
      </c>
      <c r="J55" s="64" t="n">
        <f aca="false">ROUND(AVERAGE(H55:I55),1)</f>
        <v>8.5</v>
      </c>
      <c r="K55" s="59" t="n">
        <v>0.5</v>
      </c>
      <c r="L55" s="64" t="n">
        <f aca="false">J55+K55</f>
        <v>9</v>
      </c>
      <c r="M55" s="65" t="n">
        <f aca="false">IFERROR(INDEX(99_Listas!$C$2:$C$5,MATCH(G55,99_Listas!$B$2:$B$5,0)),0)</f>
        <v>0.09</v>
      </c>
      <c r="N55" s="64" t="n">
        <f aca="false">ROUND(J55*M55,2)</f>
        <v>0.77</v>
      </c>
      <c r="O55" s="64" t="n">
        <f aca="false">ROUND(J55-N55,2)</f>
        <v>7.73</v>
      </c>
      <c r="P55" s="62" t="s">
        <v>275</v>
      </c>
      <c r="Q55" s="61" t="n">
        <v>5</v>
      </c>
      <c r="R55" s="62" t="s">
        <v>276</v>
      </c>
      <c r="S55" s="63" t="s">
        <v>228</v>
      </c>
      <c r="T55" s="63" t="s">
        <v>184</v>
      </c>
      <c r="U55" s="63"/>
    </row>
    <row r="56" customFormat="false" ht="15" hidden="false" customHeight="true" outlineLevel="0" collapsed="false">
      <c r="A56" s="54" t="n">
        <v>55</v>
      </c>
      <c r="B56" s="55" t="s">
        <v>1747</v>
      </c>
      <c r="C56" s="56" t="s">
        <v>1856</v>
      </c>
      <c r="D56" s="56" t="s">
        <v>1857</v>
      </c>
      <c r="E56" s="57" t="s">
        <v>1858</v>
      </c>
      <c r="F56" s="55" t="s">
        <v>422</v>
      </c>
      <c r="G56" s="55" t="s">
        <v>157</v>
      </c>
      <c r="H56" s="58" t="n">
        <v>3</v>
      </c>
      <c r="I56" s="58" t="n">
        <v>8</v>
      </c>
      <c r="J56" s="58" t="n">
        <f aca="false">ROUND(AVERAGE(H56:I56),1)</f>
        <v>5.5</v>
      </c>
      <c r="K56" s="59" t="n">
        <v>0.5</v>
      </c>
      <c r="L56" s="58" t="n">
        <f aca="false">J56+K56</f>
        <v>6</v>
      </c>
      <c r="M56" s="60" t="n">
        <f aca="false">IFERROR(INDEX(99_Listas!$C$2:$C$5,MATCH(G56,99_Listas!$B$2:$B$5,0)),0)</f>
        <v>0.07</v>
      </c>
      <c r="N56" s="58" t="n">
        <f aca="false">ROUND(J56*M56,2)</f>
        <v>0.39</v>
      </c>
      <c r="O56" s="58" t="n">
        <f aca="false">ROUND(J56-N56,2)</f>
        <v>5.11</v>
      </c>
      <c r="P56" s="55" t="s">
        <v>1761</v>
      </c>
      <c r="Q56" s="54" t="n">
        <v>2</v>
      </c>
      <c r="R56" s="55" t="s">
        <v>276</v>
      </c>
      <c r="S56" s="56" t="s">
        <v>228</v>
      </c>
      <c r="T56" s="56" t="s">
        <v>1859</v>
      </c>
      <c r="U56" s="56" t="s">
        <v>1860</v>
      </c>
    </row>
    <row r="57" customFormat="false" ht="15" hidden="false" customHeight="true" outlineLevel="0" collapsed="false">
      <c r="A57" s="61" t="n">
        <v>56</v>
      </c>
      <c r="B57" s="62" t="s">
        <v>1747</v>
      </c>
      <c r="C57" s="63" t="s">
        <v>1861</v>
      </c>
      <c r="D57" s="63" t="s">
        <v>1862</v>
      </c>
      <c r="E57" s="57" t="s">
        <v>936</v>
      </c>
      <c r="F57" s="62" t="s">
        <v>422</v>
      </c>
      <c r="G57" s="62" t="s">
        <v>157</v>
      </c>
      <c r="H57" s="64" t="n">
        <v>2</v>
      </c>
      <c r="I57" s="64" t="n">
        <v>5</v>
      </c>
      <c r="J57" s="64" t="n">
        <f aca="false">ROUND(AVERAGE(H57:I57),1)</f>
        <v>3.5</v>
      </c>
      <c r="K57" s="59" t="n">
        <v>0.5</v>
      </c>
      <c r="L57" s="64" t="n">
        <f aca="false">J57+K57</f>
        <v>4</v>
      </c>
      <c r="M57" s="65" t="n">
        <f aca="false">IFERROR(INDEX(99_Listas!$C$2:$C$5,MATCH(G57,99_Listas!$B$2:$B$5,0)),0)</f>
        <v>0.07</v>
      </c>
      <c r="N57" s="64" t="n">
        <f aca="false">ROUND(J57*M57,2)</f>
        <v>0.25</v>
      </c>
      <c r="O57" s="64" t="n">
        <f aca="false">ROUND(J57-N57,2)</f>
        <v>3.25</v>
      </c>
      <c r="P57" s="62" t="s">
        <v>711</v>
      </c>
      <c r="Q57" s="61" t="n">
        <v>2</v>
      </c>
      <c r="R57" s="62" t="s">
        <v>276</v>
      </c>
      <c r="S57" s="63" t="s">
        <v>228</v>
      </c>
      <c r="T57" s="63" t="s">
        <v>339</v>
      </c>
      <c r="U57" s="63"/>
    </row>
    <row r="58" customFormat="false" ht="15" hidden="false" customHeight="true" outlineLevel="0" collapsed="false">
      <c r="A58" s="54" t="n">
        <v>57</v>
      </c>
      <c r="B58" s="55" t="s">
        <v>1747</v>
      </c>
      <c r="C58" s="56" t="s">
        <v>1863</v>
      </c>
      <c r="D58" s="56" t="s">
        <v>1864</v>
      </c>
      <c r="E58" s="57" t="s">
        <v>1865</v>
      </c>
      <c r="F58" s="55" t="s">
        <v>422</v>
      </c>
      <c r="G58" s="55" t="s">
        <v>161</v>
      </c>
      <c r="H58" s="58" t="n">
        <v>7</v>
      </c>
      <c r="I58" s="58" t="n">
        <v>14</v>
      </c>
      <c r="J58" s="58" t="n">
        <f aca="false">ROUND(AVERAGE(H58:I58),1)</f>
        <v>10.5</v>
      </c>
      <c r="K58" s="59" t="n">
        <v>0.5</v>
      </c>
      <c r="L58" s="58" t="n">
        <f aca="false">J58+K58</f>
        <v>11</v>
      </c>
      <c r="M58" s="60" t="n">
        <f aca="false">IFERROR(INDEX(99_Listas!$C$2:$C$5,MATCH(G58,99_Listas!$B$2:$B$5,0)),0)</f>
        <v>0.09</v>
      </c>
      <c r="N58" s="58" t="n">
        <f aca="false">ROUND(J58*M58,2)</f>
        <v>0.95</v>
      </c>
      <c r="O58" s="58" t="n">
        <f aca="false">ROUND(J58-N58,2)</f>
        <v>9.55</v>
      </c>
      <c r="P58" s="55" t="s">
        <v>1761</v>
      </c>
      <c r="Q58" s="54" t="n">
        <v>5</v>
      </c>
      <c r="R58" s="55" t="s">
        <v>258</v>
      </c>
      <c r="S58" s="56" t="s">
        <v>1830</v>
      </c>
      <c r="T58" s="56" t="s">
        <v>182</v>
      </c>
      <c r="U58" s="56" t="s">
        <v>1866</v>
      </c>
    </row>
    <row r="59" customFormat="false" ht="15" hidden="false" customHeight="true" outlineLevel="0" collapsed="false">
      <c r="A59" s="61" t="n">
        <v>58</v>
      </c>
      <c r="B59" s="62" t="s">
        <v>1781</v>
      </c>
      <c r="C59" s="63" t="s">
        <v>1867</v>
      </c>
      <c r="D59" s="63" t="s">
        <v>1868</v>
      </c>
      <c r="E59" s="57" t="s">
        <v>919</v>
      </c>
      <c r="F59" s="62" t="s">
        <v>482</v>
      </c>
      <c r="G59" s="62" t="s">
        <v>157</v>
      </c>
      <c r="H59" s="64" t="n">
        <v>5</v>
      </c>
      <c r="I59" s="64" t="n">
        <v>12</v>
      </c>
      <c r="J59" s="64" t="n">
        <f aca="false">ROUND(AVERAGE(H59:I59),1)</f>
        <v>8.5</v>
      </c>
      <c r="K59" s="59" t="n">
        <v>0.5</v>
      </c>
      <c r="L59" s="64" t="n">
        <f aca="false">J59+K59</f>
        <v>9</v>
      </c>
      <c r="M59" s="65" t="n">
        <f aca="false">IFERROR(INDEX(99_Listas!$C$2:$C$5,MATCH(G59,99_Listas!$B$2:$B$5,0)),0)</f>
        <v>0.07</v>
      </c>
      <c r="N59" s="64" t="n">
        <f aca="false">ROUND(J59*M59,2)</f>
        <v>0.6</v>
      </c>
      <c r="O59" s="64" t="n">
        <f aca="false">ROUND(J59-N59,2)</f>
        <v>7.9</v>
      </c>
      <c r="P59" s="62" t="s">
        <v>1795</v>
      </c>
      <c r="Q59" s="61" t="n">
        <v>8</v>
      </c>
      <c r="R59" s="62" t="s">
        <v>165</v>
      </c>
      <c r="S59" s="63" t="s">
        <v>228</v>
      </c>
      <c r="T59" s="63" t="s">
        <v>1869</v>
      </c>
      <c r="U59" s="63"/>
    </row>
    <row r="60" customFormat="false" ht="15" hidden="false" customHeight="true" outlineLevel="0" collapsed="false">
      <c r="A60" s="54" t="n">
        <v>59</v>
      </c>
      <c r="B60" s="55" t="s">
        <v>1781</v>
      </c>
      <c r="C60" s="56" t="s">
        <v>1870</v>
      </c>
      <c r="D60" s="56" t="s">
        <v>1871</v>
      </c>
      <c r="E60" s="57" t="s">
        <v>922</v>
      </c>
      <c r="F60" s="55" t="s">
        <v>482</v>
      </c>
      <c r="G60" s="55" t="s">
        <v>157</v>
      </c>
      <c r="H60" s="58" t="n">
        <v>6</v>
      </c>
      <c r="I60" s="58" t="n">
        <v>14</v>
      </c>
      <c r="J60" s="58" t="n">
        <f aca="false">ROUND(AVERAGE(H60:I60),1)</f>
        <v>10</v>
      </c>
      <c r="K60" s="59" t="n">
        <v>0.5</v>
      </c>
      <c r="L60" s="58" t="n">
        <f aca="false">J60+K60</f>
        <v>10.5</v>
      </c>
      <c r="M60" s="60" t="n">
        <f aca="false">IFERROR(INDEX(99_Listas!$C$2:$C$5,MATCH(G60,99_Listas!$B$2:$B$5,0)),0)</f>
        <v>0.07</v>
      </c>
      <c r="N60" s="58" t="n">
        <f aca="false">ROUND(J60*M60,2)</f>
        <v>0.7</v>
      </c>
      <c r="O60" s="58" t="n">
        <f aca="false">ROUND(J60-N60,2)</f>
        <v>9.3</v>
      </c>
      <c r="P60" s="55" t="s">
        <v>1795</v>
      </c>
      <c r="Q60" s="54" t="n">
        <v>10</v>
      </c>
      <c r="R60" s="55" t="s">
        <v>165</v>
      </c>
      <c r="S60" s="56" t="s">
        <v>228</v>
      </c>
      <c r="T60" s="56" t="s">
        <v>1236</v>
      </c>
      <c r="U60" s="56"/>
    </row>
    <row r="61" customFormat="false" ht="15" hidden="false" customHeight="true" outlineLevel="0" collapsed="false">
      <c r="A61" s="61" t="n">
        <v>60</v>
      </c>
      <c r="B61" s="62" t="s">
        <v>1781</v>
      </c>
      <c r="C61" s="63" t="s">
        <v>1872</v>
      </c>
      <c r="D61" s="63" t="s">
        <v>1873</v>
      </c>
      <c r="E61" s="57" t="s">
        <v>1874</v>
      </c>
      <c r="F61" s="62" t="s">
        <v>927</v>
      </c>
      <c r="G61" s="62" t="s">
        <v>157</v>
      </c>
      <c r="H61" s="64" t="n">
        <v>3</v>
      </c>
      <c r="I61" s="64" t="n">
        <v>7</v>
      </c>
      <c r="J61" s="64" t="n">
        <f aca="false">ROUND(AVERAGE(H61:I61),1)</f>
        <v>5</v>
      </c>
      <c r="K61" s="59" t="n">
        <v>0.5</v>
      </c>
      <c r="L61" s="64" t="n">
        <f aca="false">J61+K61</f>
        <v>5.5</v>
      </c>
      <c r="M61" s="65" t="n">
        <f aca="false">IFERROR(INDEX(99_Listas!$C$2:$C$5,MATCH(G61,99_Listas!$B$2:$B$5,0)),0)</f>
        <v>0.07</v>
      </c>
      <c r="N61" s="64" t="n">
        <f aca="false">ROUND(J61*M61,2)</f>
        <v>0.35</v>
      </c>
      <c r="O61" s="64" t="n">
        <f aca="false">ROUND(J61-N61,2)</f>
        <v>4.65</v>
      </c>
      <c r="P61" s="62" t="s">
        <v>928</v>
      </c>
      <c r="Q61" s="61" t="n">
        <v>5</v>
      </c>
      <c r="R61" s="62" t="s">
        <v>276</v>
      </c>
      <c r="S61" s="63" t="s">
        <v>228</v>
      </c>
      <c r="T61" s="63" t="s">
        <v>1143</v>
      </c>
      <c r="U61" s="63"/>
    </row>
    <row r="62" customFormat="false" ht="15" hidden="false" customHeight="true" outlineLevel="0" collapsed="false">
      <c r="A62" s="54" t="n">
        <v>61</v>
      </c>
      <c r="B62" s="55" t="s">
        <v>1781</v>
      </c>
      <c r="C62" s="56" t="s">
        <v>1875</v>
      </c>
      <c r="D62" s="56" t="s">
        <v>1876</v>
      </c>
      <c r="E62" s="57" t="s">
        <v>1810</v>
      </c>
      <c r="F62" s="55" t="s">
        <v>482</v>
      </c>
      <c r="G62" s="55" t="s">
        <v>157</v>
      </c>
      <c r="H62" s="58" t="n">
        <v>3</v>
      </c>
      <c r="I62" s="58" t="n">
        <v>8</v>
      </c>
      <c r="J62" s="58" t="n">
        <f aca="false">ROUND(AVERAGE(H62:I62),1)</f>
        <v>5.5</v>
      </c>
      <c r="K62" s="59" t="n">
        <v>0.5</v>
      </c>
      <c r="L62" s="58" t="n">
        <f aca="false">J62+K62</f>
        <v>6</v>
      </c>
      <c r="M62" s="60" t="n">
        <f aca="false">IFERROR(INDEX(99_Listas!$C$2:$C$5,MATCH(G62,99_Listas!$B$2:$B$5,0)),0)</f>
        <v>0.07</v>
      </c>
      <c r="N62" s="58" t="n">
        <f aca="false">ROUND(J62*M62,2)</f>
        <v>0.39</v>
      </c>
      <c r="O62" s="58" t="n">
        <f aca="false">ROUND(J62-N62,2)</f>
        <v>5.11</v>
      </c>
      <c r="P62" s="55" t="s">
        <v>928</v>
      </c>
      <c r="Q62" s="54" t="n">
        <v>3</v>
      </c>
      <c r="R62" s="55" t="s">
        <v>276</v>
      </c>
      <c r="S62" s="56" t="s">
        <v>228</v>
      </c>
      <c r="T62" s="56" t="s">
        <v>289</v>
      </c>
      <c r="U62" s="56" t="s">
        <v>1877</v>
      </c>
    </row>
    <row r="63" customFormat="false" ht="23.25" hidden="false" customHeight="true" outlineLevel="0" collapsed="false">
      <c r="A63" s="61" t="n">
        <v>62</v>
      </c>
      <c r="B63" s="62" t="s">
        <v>1812</v>
      </c>
      <c r="C63" s="63" t="s">
        <v>1878</v>
      </c>
      <c r="D63" s="63" t="s">
        <v>482</v>
      </c>
      <c r="E63" s="57" t="s">
        <v>1505</v>
      </c>
      <c r="F63" s="62" t="s">
        <v>482</v>
      </c>
      <c r="G63" s="62" t="s">
        <v>157</v>
      </c>
      <c r="H63" s="64" t="n">
        <v>6</v>
      </c>
      <c r="I63" s="64" t="n">
        <v>14</v>
      </c>
      <c r="J63" s="64" t="n">
        <f aca="false">ROUND(AVERAGE(H63:I63),1)</f>
        <v>10</v>
      </c>
      <c r="K63" s="59" t="n">
        <v>0.5</v>
      </c>
      <c r="L63" s="64" t="n">
        <f aca="false">J63+K63</f>
        <v>10.5</v>
      </c>
      <c r="M63" s="65" t="n">
        <f aca="false">IFERROR(INDEX(99_Listas!$C$2:$C$5,MATCH(G63,99_Listas!$B$2:$B$5,0)),0)</f>
        <v>0.07</v>
      </c>
      <c r="N63" s="64" t="n">
        <f aca="false">ROUND(J63*M63,2)</f>
        <v>0.7</v>
      </c>
      <c r="O63" s="64" t="n">
        <f aca="false">ROUND(J63-N63,2)</f>
        <v>9.3</v>
      </c>
      <c r="P63" s="62" t="s">
        <v>928</v>
      </c>
      <c r="Q63" s="61" t="n">
        <v>2</v>
      </c>
      <c r="R63" s="62" t="s">
        <v>276</v>
      </c>
      <c r="S63" s="63" t="s">
        <v>228</v>
      </c>
      <c r="T63" s="63" t="s">
        <v>528</v>
      </c>
      <c r="U63" s="63"/>
    </row>
    <row r="64" customFormat="false" ht="23.25" hidden="false" customHeight="true" outlineLevel="0" collapsed="false">
      <c r="A64" s="54" t="n">
        <v>63</v>
      </c>
      <c r="B64" s="55" t="s">
        <v>1812</v>
      </c>
      <c r="C64" s="56" t="s">
        <v>1879</v>
      </c>
      <c r="D64" s="56" t="s">
        <v>482</v>
      </c>
      <c r="E64" s="57" t="s">
        <v>1505</v>
      </c>
      <c r="F64" s="55" t="s">
        <v>482</v>
      </c>
      <c r="G64" s="55" t="s">
        <v>161</v>
      </c>
      <c r="H64" s="58" t="n">
        <v>7</v>
      </c>
      <c r="I64" s="58" t="n">
        <v>15</v>
      </c>
      <c r="J64" s="58" t="n">
        <f aca="false">ROUND(AVERAGE(H64:I64),1)</f>
        <v>11</v>
      </c>
      <c r="K64" s="59" t="n">
        <v>0.5</v>
      </c>
      <c r="L64" s="58" t="n">
        <f aca="false">J64+K64</f>
        <v>11.5</v>
      </c>
      <c r="M64" s="60" t="n">
        <f aca="false">IFERROR(INDEX(99_Listas!$C$2:$C$5,MATCH(G64,99_Listas!$B$2:$B$5,0)),0)</f>
        <v>0.09</v>
      </c>
      <c r="N64" s="58" t="n">
        <f aca="false">ROUND(J64*M64,2)</f>
        <v>0.99</v>
      </c>
      <c r="O64" s="58" t="n">
        <f aca="false">ROUND(J64-N64,2)</f>
        <v>10.01</v>
      </c>
      <c r="P64" s="55" t="s">
        <v>928</v>
      </c>
      <c r="Q64" s="54" t="n">
        <v>2</v>
      </c>
      <c r="R64" s="55" t="s">
        <v>276</v>
      </c>
      <c r="S64" s="56" t="s">
        <v>228</v>
      </c>
      <c r="T64" s="56" t="s">
        <v>528</v>
      </c>
      <c r="U64" s="56"/>
    </row>
    <row r="65" customFormat="false" ht="23.25" hidden="false" customHeight="true" outlineLevel="0" collapsed="false">
      <c r="A65" s="61" t="n">
        <v>64</v>
      </c>
      <c r="B65" s="62" t="s">
        <v>1812</v>
      </c>
      <c r="C65" s="63" t="s">
        <v>1880</v>
      </c>
      <c r="D65" s="63" t="s">
        <v>1881</v>
      </c>
      <c r="E65" s="57" t="s">
        <v>1505</v>
      </c>
      <c r="F65" s="62" t="s">
        <v>1882</v>
      </c>
      <c r="G65" s="62" t="s">
        <v>161</v>
      </c>
      <c r="H65" s="64" t="n">
        <v>7</v>
      </c>
      <c r="I65" s="64" t="n">
        <v>15</v>
      </c>
      <c r="J65" s="64" t="n">
        <f aca="false">ROUND(AVERAGE(H65:I65),1)</f>
        <v>11</v>
      </c>
      <c r="K65" s="59" t="n">
        <v>0.5</v>
      </c>
      <c r="L65" s="64" t="n">
        <f aca="false">J65+K65</f>
        <v>11.5</v>
      </c>
      <c r="M65" s="65" t="n">
        <f aca="false">IFERROR(INDEX(99_Listas!$C$2:$C$5,MATCH(G65,99_Listas!$B$2:$B$5,0)),0)</f>
        <v>0.09</v>
      </c>
      <c r="N65" s="64" t="n">
        <f aca="false">ROUND(J65*M65,2)</f>
        <v>0.99</v>
      </c>
      <c r="O65" s="64" t="n">
        <f aca="false">ROUND(J65-N65,2)</f>
        <v>10.01</v>
      </c>
      <c r="P65" s="62" t="s">
        <v>928</v>
      </c>
      <c r="Q65" s="61" t="n">
        <v>3</v>
      </c>
      <c r="R65" s="62" t="s">
        <v>276</v>
      </c>
      <c r="S65" s="63" t="s">
        <v>228</v>
      </c>
      <c r="T65" s="63" t="s">
        <v>528</v>
      </c>
      <c r="U65" s="63"/>
    </row>
    <row r="66" customFormat="false" ht="23.25" hidden="false" customHeight="true" outlineLevel="0" collapsed="false">
      <c r="A66" s="54" t="n">
        <v>65</v>
      </c>
      <c r="B66" s="55" t="s">
        <v>1812</v>
      </c>
      <c r="C66" s="56" t="s">
        <v>1883</v>
      </c>
      <c r="D66" s="56" t="s">
        <v>482</v>
      </c>
      <c r="E66" s="57" t="s">
        <v>1505</v>
      </c>
      <c r="F66" s="55" t="s">
        <v>482</v>
      </c>
      <c r="G66" s="55" t="s">
        <v>161</v>
      </c>
      <c r="H66" s="58" t="n">
        <v>7</v>
      </c>
      <c r="I66" s="58" t="n">
        <v>15</v>
      </c>
      <c r="J66" s="58" t="n">
        <f aca="false">ROUND(AVERAGE(H66:I66),1)</f>
        <v>11</v>
      </c>
      <c r="K66" s="59" t="n">
        <v>0.5</v>
      </c>
      <c r="L66" s="58" t="n">
        <f aca="false">J66+K66</f>
        <v>11.5</v>
      </c>
      <c r="M66" s="60" t="n">
        <f aca="false">IFERROR(INDEX(99_Listas!$C$2:$C$5,MATCH(G66,99_Listas!$B$2:$B$5,0)),0)</f>
        <v>0.09</v>
      </c>
      <c r="N66" s="58" t="n">
        <f aca="false">ROUND(J66*M66,2)</f>
        <v>0.99</v>
      </c>
      <c r="O66" s="58" t="n">
        <f aca="false">ROUND(J66-N66,2)</f>
        <v>10.01</v>
      </c>
      <c r="P66" s="55" t="s">
        <v>928</v>
      </c>
      <c r="Q66" s="54" t="n">
        <v>2</v>
      </c>
      <c r="R66" s="55" t="s">
        <v>276</v>
      </c>
      <c r="S66" s="56" t="s">
        <v>228</v>
      </c>
      <c r="T66" s="56" t="s">
        <v>528</v>
      </c>
      <c r="U66" s="56"/>
    </row>
    <row r="67" customFormat="false" ht="15" hidden="false" customHeight="true" outlineLevel="0" collapsed="false">
      <c r="A67" s="61" t="n">
        <v>66</v>
      </c>
      <c r="B67" s="62" t="s">
        <v>1812</v>
      </c>
      <c r="C67" s="63" t="s">
        <v>1884</v>
      </c>
      <c r="D67" s="63" t="s">
        <v>1885</v>
      </c>
      <c r="E67" s="57" t="s">
        <v>1829</v>
      </c>
      <c r="F67" s="62" t="s">
        <v>482</v>
      </c>
      <c r="G67" s="62" t="s">
        <v>157</v>
      </c>
      <c r="H67" s="64" t="n">
        <v>4</v>
      </c>
      <c r="I67" s="64" t="n">
        <v>10</v>
      </c>
      <c r="J67" s="64" t="n">
        <f aca="false">ROUND(AVERAGE(H67:I67),1)</f>
        <v>7</v>
      </c>
      <c r="K67" s="59" t="n">
        <v>0.5</v>
      </c>
      <c r="L67" s="64" t="n">
        <f aca="false">J67+K67</f>
        <v>7.5</v>
      </c>
      <c r="M67" s="65" t="n">
        <f aca="false">IFERROR(INDEX(99_Listas!$C$2:$C$5,MATCH(G67,99_Listas!$B$2:$B$5,0)),0)</f>
        <v>0.07</v>
      </c>
      <c r="N67" s="64" t="n">
        <f aca="false">ROUND(J67*M67,2)</f>
        <v>0.49</v>
      </c>
      <c r="O67" s="64" t="n">
        <f aca="false">ROUND(J67-N67,2)</f>
        <v>6.51</v>
      </c>
      <c r="P67" s="62" t="s">
        <v>1886</v>
      </c>
      <c r="Q67" s="61" t="n">
        <v>3</v>
      </c>
      <c r="R67" s="62" t="s">
        <v>258</v>
      </c>
      <c r="S67" s="63" t="s">
        <v>1830</v>
      </c>
      <c r="T67" s="63" t="s">
        <v>202</v>
      </c>
      <c r="U67" s="63" t="s">
        <v>1831</v>
      </c>
    </row>
    <row r="68" customFormat="false" ht="15" hidden="false" customHeight="true" outlineLevel="0" collapsed="false">
      <c r="A68" s="54" t="n">
        <v>67</v>
      </c>
      <c r="B68" s="55" t="s">
        <v>1690</v>
      </c>
      <c r="C68" s="56" t="s">
        <v>1887</v>
      </c>
      <c r="D68" s="56" t="s">
        <v>1888</v>
      </c>
      <c r="E68" s="57" t="s">
        <v>1697</v>
      </c>
      <c r="F68" s="55" t="s">
        <v>422</v>
      </c>
      <c r="G68" s="55" t="s">
        <v>157</v>
      </c>
      <c r="H68" s="58" t="n">
        <v>5</v>
      </c>
      <c r="I68" s="58" t="n">
        <v>10</v>
      </c>
      <c r="J68" s="58" t="n">
        <f aca="false">ROUND(AVERAGE(H68:I68),1)</f>
        <v>7.5</v>
      </c>
      <c r="K68" s="59" t="n">
        <v>0.5</v>
      </c>
      <c r="L68" s="58" t="n">
        <f aca="false">J68+K68</f>
        <v>8</v>
      </c>
      <c r="M68" s="60" t="n">
        <f aca="false">IFERROR(INDEX(99_Listas!$C$2:$C$5,MATCH(G68,99_Listas!$B$2:$B$5,0)),0)</f>
        <v>0.07</v>
      </c>
      <c r="N68" s="58" t="n">
        <f aca="false">ROUND(J68*M68,2)</f>
        <v>0.53</v>
      </c>
      <c r="O68" s="58" t="n">
        <f aca="false">ROUND(J68-N68,2)</f>
        <v>6.97</v>
      </c>
      <c r="P68" s="55" t="s">
        <v>519</v>
      </c>
      <c r="Q68" s="54" t="n">
        <v>5</v>
      </c>
      <c r="R68" s="55" t="s">
        <v>276</v>
      </c>
      <c r="S68" s="56" t="s">
        <v>228</v>
      </c>
      <c r="T68" s="56" t="s">
        <v>184</v>
      </c>
      <c r="U68" s="56"/>
    </row>
    <row r="69" customFormat="false" ht="15" hidden="false" customHeight="true" outlineLevel="0" collapsed="false">
      <c r="A69" s="61" t="n">
        <v>68</v>
      </c>
      <c r="B69" s="62" t="s">
        <v>1690</v>
      </c>
      <c r="C69" s="63" t="s">
        <v>1889</v>
      </c>
      <c r="D69" s="63" t="s">
        <v>1692</v>
      </c>
      <c r="E69" s="57" t="s">
        <v>1839</v>
      </c>
      <c r="F69" s="62" t="s">
        <v>422</v>
      </c>
      <c r="G69" s="62" t="s">
        <v>157</v>
      </c>
      <c r="H69" s="64" t="n">
        <v>4</v>
      </c>
      <c r="I69" s="64" t="n">
        <v>9</v>
      </c>
      <c r="J69" s="64" t="n">
        <f aca="false">ROUND(AVERAGE(H69:I69),1)</f>
        <v>6.5</v>
      </c>
      <c r="K69" s="59" t="n">
        <v>0.5</v>
      </c>
      <c r="L69" s="64" t="n">
        <f aca="false">J69+K69</f>
        <v>7</v>
      </c>
      <c r="M69" s="65" t="n">
        <f aca="false">IFERROR(INDEX(99_Listas!$C$2:$C$5,MATCH(G69,99_Listas!$B$2:$B$5,0)),0)</f>
        <v>0.07</v>
      </c>
      <c r="N69" s="64" t="n">
        <f aca="false">ROUND(J69*M69,2)</f>
        <v>0.46</v>
      </c>
      <c r="O69" s="64" t="n">
        <f aca="false">ROUND(J69-N69,2)</f>
        <v>6.04</v>
      </c>
      <c r="P69" s="62" t="s">
        <v>519</v>
      </c>
      <c r="Q69" s="61" t="n">
        <v>5</v>
      </c>
      <c r="R69" s="62" t="s">
        <v>276</v>
      </c>
      <c r="S69" s="63" t="s">
        <v>228</v>
      </c>
      <c r="T69" s="63" t="s">
        <v>184</v>
      </c>
      <c r="U69" s="63"/>
    </row>
    <row r="70" customFormat="false" ht="15" hidden="false" customHeight="true" outlineLevel="0" collapsed="false">
      <c r="A70" s="54" t="n">
        <v>69</v>
      </c>
      <c r="B70" s="55" t="s">
        <v>1690</v>
      </c>
      <c r="C70" s="56" t="s">
        <v>1890</v>
      </c>
      <c r="D70" s="56" t="s">
        <v>1692</v>
      </c>
      <c r="E70" s="57" t="s">
        <v>1839</v>
      </c>
      <c r="F70" s="55" t="s">
        <v>422</v>
      </c>
      <c r="G70" s="55" t="s">
        <v>157</v>
      </c>
      <c r="H70" s="58" t="n">
        <v>5</v>
      </c>
      <c r="I70" s="58" t="n">
        <v>10</v>
      </c>
      <c r="J70" s="58" t="n">
        <f aca="false">ROUND(AVERAGE(H70:I70),1)</f>
        <v>7.5</v>
      </c>
      <c r="K70" s="59" t="n">
        <v>0.5</v>
      </c>
      <c r="L70" s="58" t="n">
        <f aca="false">J70+K70</f>
        <v>8</v>
      </c>
      <c r="M70" s="60" t="n">
        <f aca="false">IFERROR(INDEX(99_Listas!$C$2:$C$5,MATCH(G70,99_Listas!$B$2:$B$5,0)),0)</f>
        <v>0.07</v>
      </c>
      <c r="N70" s="58" t="n">
        <f aca="false">ROUND(J70*M70,2)</f>
        <v>0.53</v>
      </c>
      <c r="O70" s="58" t="n">
        <f aca="false">ROUND(J70-N70,2)</f>
        <v>6.97</v>
      </c>
      <c r="P70" s="55" t="s">
        <v>519</v>
      </c>
      <c r="Q70" s="54" t="n">
        <v>5</v>
      </c>
      <c r="R70" s="55" t="s">
        <v>276</v>
      </c>
      <c r="S70" s="56" t="s">
        <v>1714</v>
      </c>
      <c r="T70" s="56" t="s">
        <v>184</v>
      </c>
      <c r="U70" s="56"/>
    </row>
    <row r="71" customFormat="false" ht="15" hidden="false" customHeight="true" outlineLevel="0" collapsed="false">
      <c r="A71" s="61" t="n">
        <v>70</v>
      </c>
      <c r="B71" s="62" t="s">
        <v>1690</v>
      </c>
      <c r="C71" s="63" t="s">
        <v>1891</v>
      </c>
      <c r="D71" s="63" t="s">
        <v>1892</v>
      </c>
      <c r="E71" s="57" t="s">
        <v>1839</v>
      </c>
      <c r="F71" s="62" t="s">
        <v>422</v>
      </c>
      <c r="G71" s="62" t="s">
        <v>157</v>
      </c>
      <c r="H71" s="64" t="n">
        <v>5</v>
      </c>
      <c r="I71" s="64" t="n">
        <v>11</v>
      </c>
      <c r="J71" s="64" t="n">
        <f aca="false">ROUND(AVERAGE(H71:I71),1)</f>
        <v>8</v>
      </c>
      <c r="K71" s="59" t="n">
        <v>0.5</v>
      </c>
      <c r="L71" s="64" t="n">
        <f aca="false">J71+K71</f>
        <v>8.5</v>
      </c>
      <c r="M71" s="65" t="n">
        <f aca="false">IFERROR(INDEX(99_Listas!$C$2:$C$5,MATCH(G71,99_Listas!$B$2:$B$5,0)),0)</f>
        <v>0.07</v>
      </c>
      <c r="N71" s="64" t="n">
        <f aca="false">ROUND(J71*M71,2)</f>
        <v>0.56</v>
      </c>
      <c r="O71" s="64" t="n">
        <f aca="false">ROUND(J71-N71,2)</f>
        <v>7.44</v>
      </c>
      <c r="P71" s="62" t="s">
        <v>519</v>
      </c>
      <c r="Q71" s="61" t="n">
        <v>5</v>
      </c>
      <c r="R71" s="62" t="s">
        <v>276</v>
      </c>
      <c r="S71" s="63" t="s">
        <v>1714</v>
      </c>
      <c r="T71" s="63" t="s">
        <v>184</v>
      </c>
      <c r="U71" s="63"/>
    </row>
    <row r="72" customFormat="false" ht="15" hidden="false" customHeight="true" outlineLevel="0" collapsed="false">
      <c r="A72" s="54" t="n">
        <v>71</v>
      </c>
      <c r="B72" s="55" t="s">
        <v>1690</v>
      </c>
      <c r="C72" s="56" t="s">
        <v>1893</v>
      </c>
      <c r="D72" s="56" t="s">
        <v>1894</v>
      </c>
      <c r="E72" s="57" t="s">
        <v>1839</v>
      </c>
      <c r="F72" s="55" t="s">
        <v>422</v>
      </c>
      <c r="G72" s="55" t="s">
        <v>161</v>
      </c>
      <c r="H72" s="58" t="n">
        <v>6</v>
      </c>
      <c r="I72" s="58" t="n">
        <v>13</v>
      </c>
      <c r="J72" s="58" t="n">
        <f aca="false">ROUND(AVERAGE(H72:I72),1)</f>
        <v>9.5</v>
      </c>
      <c r="K72" s="59" t="n">
        <v>0.5</v>
      </c>
      <c r="L72" s="58" t="n">
        <f aca="false">J72+K72</f>
        <v>10</v>
      </c>
      <c r="M72" s="60" t="n">
        <f aca="false">IFERROR(INDEX(99_Listas!$C$2:$C$5,MATCH(G72,99_Listas!$B$2:$B$5,0)),0)</f>
        <v>0.09</v>
      </c>
      <c r="N72" s="58" t="n">
        <f aca="false">ROUND(J72*M72,2)</f>
        <v>0.86</v>
      </c>
      <c r="O72" s="58" t="n">
        <f aca="false">ROUND(J72-N72,2)</f>
        <v>8.64</v>
      </c>
      <c r="P72" s="55" t="s">
        <v>519</v>
      </c>
      <c r="Q72" s="54" t="n">
        <v>5</v>
      </c>
      <c r="R72" s="55" t="s">
        <v>276</v>
      </c>
      <c r="S72" s="56" t="s">
        <v>1714</v>
      </c>
      <c r="T72" s="56" t="s">
        <v>184</v>
      </c>
      <c r="U72" s="56"/>
    </row>
    <row r="73" customFormat="false" ht="15" hidden="false" customHeight="true" outlineLevel="0" collapsed="false">
      <c r="A73" s="61" t="n">
        <v>72</v>
      </c>
      <c r="B73" s="62" t="s">
        <v>1690</v>
      </c>
      <c r="C73" s="63" t="s">
        <v>1895</v>
      </c>
      <c r="D73" s="63" t="s">
        <v>1896</v>
      </c>
      <c r="E73" s="57" t="s">
        <v>1839</v>
      </c>
      <c r="F73" s="62" t="s">
        <v>422</v>
      </c>
      <c r="G73" s="62" t="s">
        <v>161</v>
      </c>
      <c r="H73" s="64" t="n">
        <v>6</v>
      </c>
      <c r="I73" s="64" t="n">
        <v>13</v>
      </c>
      <c r="J73" s="64" t="n">
        <f aca="false">ROUND(AVERAGE(H73:I73),1)</f>
        <v>9.5</v>
      </c>
      <c r="K73" s="59" t="n">
        <v>0.5</v>
      </c>
      <c r="L73" s="64" t="n">
        <f aca="false">J73+K73</f>
        <v>10</v>
      </c>
      <c r="M73" s="65" t="n">
        <f aca="false">IFERROR(INDEX(99_Listas!$C$2:$C$5,MATCH(G73,99_Listas!$B$2:$B$5,0)),0)</f>
        <v>0.09</v>
      </c>
      <c r="N73" s="64" t="n">
        <f aca="false">ROUND(J73*M73,2)</f>
        <v>0.86</v>
      </c>
      <c r="O73" s="64" t="n">
        <f aca="false">ROUND(J73-N73,2)</f>
        <v>8.64</v>
      </c>
      <c r="P73" s="62" t="s">
        <v>519</v>
      </c>
      <c r="Q73" s="61" t="n">
        <v>5</v>
      </c>
      <c r="R73" s="62" t="s">
        <v>276</v>
      </c>
      <c r="S73" s="63" t="s">
        <v>1714</v>
      </c>
      <c r="T73" s="63" t="s">
        <v>184</v>
      </c>
      <c r="U73" s="63"/>
    </row>
    <row r="74" customFormat="false" ht="15" hidden="false" customHeight="true" outlineLevel="0" collapsed="false">
      <c r="A74" s="54" t="n">
        <v>73</v>
      </c>
      <c r="B74" s="55" t="s">
        <v>1690</v>
      </c>
      <c r="C74" s="56" t="s">
        <v>1897</v>
      </c>
      <c r="D74" s="56" t="s">
        <v>1898</v>
      </c>
      <c r="E74" s="57" t="s">
        <v>1839</v>
      </c>
      <c r="F74" s="55" t="s">
        <v>422</v>
      </c>
      <c r="G74" s="55" t="s">
        <v>161</v>
      </c>
      <c r="H74" s="58" t="n">
        <v>6</v>
      </c>
      <c r="I74" s="58" t="n">
        <v>13</v>
      </c>
      <c r="J74" s="58" t="n">
        <f aca="false">ROUND(AVERAGE(H74:I74),1)</f>
        <v>9.5</v>
      </c>
      <c r="K74" s="59" t="n">
        <v>0.5</v>
      </c>
      <c r="L74" s="58" t="n">
        <f aca="false">J74+K74</f>
        <v>10</v>
      </c>
      <c r="M74" s="60" t="n">
        <f aca="false">IFERROR(INDEX(99_Listas!$C$2:$C$5,MATCH(G74,99_Listas!$B$2:$B$5,0)),0)</f>
        <v>0.09</v>
      </c>
      <c r="N74" s="58" t="n">
        <f aca="false">ROUND(J74*M74,2)</f>
        <v>0.86</v>
      </c>
      <c r="O74" s="58" t="n">
        <f aca="false">ROUND(J74-N74,2)</f>
        <v>8.64</v>
      </c>
      <c r="P74" s="55" t="s">
        <v>519</v>
      </c>
      <c r="Q74" s="54" t="n">
        <v>5</v>
      </c>
      <c r="R74" s="55" t="s">
        <v>276</v>
      </c>
      <c r="S74" s="56" t="s">
        <v>228</v>
      </c>
      <c r="T74" s="56" t="s">
        <v>184</v>
      </c>
      <c r="U74" s="56"/>
    </row>
    <row r="75" customFormat="false" ht="15" hidden="false" customHeight="true" outlineLevel="0" collapsed="false">
      <c r="A75" s="61" t="n">
        <v>74</v>
      </c>
      <c r="B75" s="62" t="s">
        <v>1690</v>
      </c>
      <c r="C75" s="63" t="s">
        <v>1899</v>
      </c>
      <c r="D75" s="63" t="s">
        <v>1692</v>
      </c>
      <c r="E75" s="57" t="s">
        <v>1839</v>
      </c>
      <c r="F75" s="62" t="s">
        <v>422</v>
      </c>
      <c r="G75" s="62" t="s">
        <v>161</v>
      </c>
      <c r="H75" s="64" t="n">
        <v>6</v>
      </c>
      <c r="I75" s="64" t="n">
        <v>13</v>
      </c>
      <c r="J75" s="64" t="n">
        <f aca="false">ROUND(AVERAGE(H75:I75),1)</f>
        <v>9.5</v>
      </c>
      <c r="K75" s="59" t="n">
        <v>0.5</v>
      </c>
      <c r="L75" s="64" t="n">
        <f aca="false">J75+K75</f>
        <v>10</v>
      </c>
      <c r="M75" s="65" t="n">
        <f aca="false">IFERROR(INDEX(99_Listas!$C$2:$C$5,MATCH(G75,99_Listas!$B$2:$B$5,0)),0)</f>
        <v>0.09</v>
      </c>
      <c r="N75" s="64" t="n">
        <f aca="false">ROUND(J75*M75,2)</f>
        <v>0.86</v>
      </c>
      <c r="O75" s="64" t="n">
        <f aca="false">ROUND(J75-N75,2)</f>
        <v>8.64</v>
      </c>
      <c r="P75" s="62" t="s">
        <v>519</v>
      </c>
      <c r="Q75" s="61" t="n">
        <v>5</v>
      </c>
      <c r="R75" s="62" t="s">
        <v>276</v>
      </c>
      <c r="S75" s="63" t="s">
        <v>1714</v>
      </c>
      <c r="T75" s="63" t="s">
        <v>184</v>
      </c>
      <c r="U75" s="63"/>
    </row>
    <row r="76" customFormat="false" ht="15" hidden="false" customHeight="true" outlineLevel="0" collapsed="false">
      <c r="A76" s="54" t="n">
        <v>75</v>
      </c>
      <c r="B76" s="55" t="s">
        <v>1690</v>
      </c>
      <c r="C76" s="56" t="s">
        <v>1900</v>
      </c>
      <c r="D76" s="56" t="s">
        <v>1901</v>
      </c>
      <c r="E76" s="57" t="s">
        <v>1839</v>
      </c>
      <c r="F76" s="55" t="s">
        <v>1753</v>
      </c>
      <c r="G76" s="55" t="s">
        <v>157</v>
      </c>
      <c r="H76" s="58" t="n">
        <v>8</v>
      </c>
      <c r="I76" s="58" t="n">
        <v>16</v>
      </c>
      <c r="J76" s="58" t="n">
        <f aca="false">ROUND(AVERAGE(H76:I76),1)</f>
        <v>12</v>
      </c>
      <c r="K76" s="59" t="n">
        <v>0.5</v>
      </c>
      <c r="L76" s="58" t="n">
        <f aca="false">J76+K76</f>
        <v>12.5</v>
      </c>
      <c r="M76" s="60" t="n">
        <f aca="false">IFERROR(INDEX(99_Listas!$C$2:$C$5,MATCH(G76,99_Listas!$B$2:$B$5,0)),0)</f>
        <v>0.07</v>
      </c>
      <c r="N76" s="58" t="n">
        <f aca="false">ROUND(J76*M76,2)</f>
        <v>0.84</v>
      </c>
      <c r="O76" s="58" t="n">
        <f aca="false">ROUND(J76-N76,2)</f>
        <v>11.16</v>
      </c>
      <c r="P76" s="55" t="s">
        <v>1902</v>
      </c>
      <c r="Q76" s="54" t="n">
        <v>7</v>
      </c>
      <c r="R76" s="55" t="s">
        <v>276</v>
      </c>
      <c r="S76" s="56" t="s">
        <v>228</v>
      </c>
      <c r="T76" s="56" t="s">
        <v>184</v>
      </c>
      <c r="U76" s="56" t="s">
        <v>1903</v>
      </c>
    </row>
    <row r="77" customFormat="false" ht="23.25" hidden="false" customHeight="true" outlineLevel="0" collapsed="false">
      <c r="A77" s="61" t="n">
        <v>76</v>
      </c>
      <c r="B77" s="62" t="s">
        <v>1723</v>
      </c>
      <c r="C77" s="63" t="s">
        <v>1904</v>
      </c>
      <c r="D77" s="63" t="s">
        <v>1905</v>
      </c>
      <c r="E77" s="57" t="s">
        <v>1906</v>
      </c>
      <c r="F77" s="62" t="s">
        <v>288</v>
      </c>
      <c r="G77" s="62" t="s">
        <v>161</v>
      </c>
      <c r="H77" s="64" t="n">
        <v>8</v>
      </c>
      <c r="I77" s="64" t="n">
        <v>18</v>
      </c>
      <c r="J77" s="64" t="n">
        <f aca="false">ROUND(AVERAGE(H77:I77),1)</f>
        <v>13</v>
      </c>
      <c r="K77" s="59" t="n">
        <v>0.5</v>
      </c>
      <c r="L77" s="64" t="n">
        <f aca="false">J77+K77</f>
        <v>13.5</v>
      </c>
      <c r="M77" s="65" t="n">
        <f aca="false">IFERROR(INDEX(99_Listas!$C$2:$C$5,MATCH(G77,99_Listas!$B$2:$B$5,0)),0)</f>
        <v>0.09</v>
      </c>
      <c r="N77" s="64" t="n">
        <f aca="false">ROUND(J77*M77,2)</f>
        <v>1.17</v>
      </c>
      <c r="O77" s="64" t="n">
        <f aca="false">ROUND(J77-N77,2)</f>
        <v>11.83</v>
      </c>
      <c r="P77" s="62" t="s">
        <v>275</v>
      </c>
      <c r="Q77" s="61" t="n">
        <v>8</v>
      </c>
      <c r="R77" s="62" t="s">
        <v>165</v>
      </c>
      <c r="S77" s="63" t="s">
        <v>228</v>
      </c>
      <c r="T77" s="63" t="s">
        <v>1694</v>
      </c>
      <c r="U77" s="63" t="s">
        <v>1907</v>
      </c>
    </row>
    <row r="78" customFormat="false" ht="15" hidden="false" customHeight="true" outlineLevel="0" collapsed="false">
      <c r="A78" s="54" t="n">
        <v>77</v>
      </c>
      <c r="B78" s="55" t="s">
        <v>1723</v>
      </c>
      <c r="C78" s="56" t="s">
        <v>1908</v>
      </c>
      <c r="D78" s="56" t="s">
        <v>1909</v>
      </c>
      <c r="E78" s="57" t="s">
        <v>1734</v>
      </c>
      <c r="F78" s="55" t="s">
        <v>422</v>
      </c>
      <c r="G78" s="55" t="s">
        <v>161</v>
      </c>
      <c r="H78" s="58" t="n">
        <v>5</v>
      </c>
      <c r="I78" s="58" t="n">
        <v>12</v>
      </c>
      <c r="J78" s="58" t="n">
        <f aca="false">ROUND(AVERAGE(H78:I78),1)</f>
        <v>8.5</v>
      </c>
      <c r="K78" s="59" t="n">
        <v>0.5</v>
      </c>
      <c r="L78" s="58" t="n">
        <f aca="false">J78+K78</f>
        <v>9</v>
      </c>
      <c r="M78" s="60" t="n">
        <f aca="false">IFERROR(INDEX(99_Listas!$C$2:$C$5,MATCH(G78,99_Listas!$B$2:$B$5,0)),0)</f>
        <v>0.09</v>
      </c>
      <c r="N78" s="58" t="n">
        <f aca="false">ROUND(J78*M78,2)</f>
        <v>0.77</v>
      </c>
      <c r="O78" s="58" t="n">
        <f aca="false">ROUND(J78-N78,2)</f>
        <v>7.73</v>
      </c>
      <c r="P78" s="55" t="s">
        <v>519</v>
      </c>
      <c r="Q78" s="54" t="n">
        <v>5</v>
      </c>
      <c r="R78" s="55" t="s">
        <v>276</v>
      </c>
      <c r="S78" s="56" t="s">
        <v>228</v>
      </c>
      <c r="T78" s="56" t="s">
        <v>184</v>
      </c>
      <c r="U78" s="56"/>
    </row>
    <row r="79" customFormat="false" ht="15" hidden="false" customHeight="true" outlineLevel="0" collapsed="false">
      <c r="A79" s="61" t="n">
        <v>78</v>
      </c>
      <c r="B79" s="62" t="s">
        <v>1723</v>
      </c>
      <c r="C79" s="63" t="s">
        <v>1910</v>
      </c>
      <c r="D79" s="63" t="s">
        <v>1911</v>
      </c>
      <c r="E79" s="57" t="s">
        <v>287</v>
      </c>
      <c r="F79" s="62" t="s">
        <v>422</v>
      </c>
      <c r="G79" s="62" t="s">
        <v>157</v>
      </c>
      <c r="H79" s="64" t="n">
        <v>4</v>
      </c>
      <c r="I79" s="64" t="n">
        <v>10</v>
      </c>
      <c r="J79" s="64" t="n">
        <f aca="false">ROUND(AVERAGE(H79:I79),1)</f>
        <v>7</v>
      </c>
      <c r="K79" s="59" t="n">
        <v>0.5</v>
      </c>
      <c r="L79" s="64" t="n">
        <f aca="false">J79+K79</f>
        <v>7.5</v>
      </c>
      <c r="M79" s="65" t="n">
        <f aca="false">IFERROR(INDEX(99_Listas!$C$2:$C$5,MATCH(G79,99_Listas!$B$2:$B$5,0)),0)</f>
        <v>0.07</v>
      </c>
      <c r="N79" s="64" t="n">
        <f aca="false">ROUND(J79*M79,2)</f>
        <v>0.49</v>
      </c>
      <c r="O79" s="64" t="n">
        <f aca="false">ROUND(J79-N79,2)</f>
        <v>6.51</v>
      </c>
      <c r="P79" s="62" t="s">
        <v>519</v>
      </c>
      <c r="Q79" s="61" t="n">
        <v>5</v>
      </c>
      <c r="R79" s="62" t="s">
        <v>276</v>
      </c>
      <c r="S79" s="63" t="s">
        <v>228</v>
      </c>
      <c r="T79" s="63" t="s">
        <v>184</v>
      </c>
      <c r="U79" s="63"/>
    </row>
    <row r="80" customFormat="false" ht="15" hidden="false" customHeight="true" outlineLevel="0" collapsed="false">
      <c r="A80" s="54" t="n">
        <v>79</v>
      </c>
      <c r="B80" s="55" t="s">
        <v>1723</v>
      </c>
      <c r="C80" s="56" t="s">
        <v>1912</v>
      </c>
      <c r="D80" s="56" t="s">
        <v>1913</v>
      </c>
      <c r="E80" s="57" t="s">
        <v>1914</v>
      </c>
      <c r="F80" s="55" t="s">
        <v>422</v>
      </c>
      <c r="G80" s="55" t="s">
        <v>161</v>
      </c>
      <c r="H80" s="58" t="n">
        <v>7</v>
      </c>
      <c r="I80" s="58" t="n">
        <v>15</v>
      </c>
      <c r="J80" s="58" t="n">
        <f aca="false">ROUND(AVERAGE(H80:I80),1)</f>
        <v>11</v>
      </c>
      <c r="K80" s="59" t="n">
        <v>0.5</v>
      </c>
      <c r="L80" s="58" t="n">
        <f aca="false">J80+K80</f>
        <v>11.5</v>
      </c>
      <c r="M80" s="60" t="n">
        <f aca="false">IFERROR(INDEX(99_Listas!$C$2:$C$5,MATCH(G80,99_Listas!$B$2:$B$5,0)),0)</f>
        <v>0.09</v>
      </c>
      <c r="N80" s="58" t="n">
        <f aca="false">ROUND(J80*M80,2)</f>
        <v>0.99</v>
      </c>
      <c r="O80" s="58" t="n">
        <f aca="false">ROUND(J80-N80,2)</f>
        <v>10.01</v>
      </c>
      <c r="P80" s="55" t="s">
        <v>519</v>
      </c>
      <c r="Q80" s="54" t="n">
        <v>5</v>
      </c>
      <c r="R80" s="55" t="s">
        <v>276</v>
      </c>
      <c r="S80" s="56" t="s">
        <v>228</v>
      </c>
      <c r="T80" s="56" t="s">
        <v>184</v>
      </c>
      <c r="U80" s="56"/>
    </row>
    <row r="81" customFormat="false" ht="15" hidden="false" customHeight="true" outlineLevel="0" collapsed="false">
      <c r="A81" s="61" t="n">
        <v>80</v>
      </c>
      <c r="B81" s="62" t="s">
        <v>1723</v>
      </c>
      <c r="C81" s="63" t="s">
        <v>1915</v>
      </c>
      <c r="D81" s="63" t="s">
        <v>1739</v>
      </c>
      <c r="E81" s="57" t="s">
        <v>1740</v>
      </c>
      <c r="F81" s="62" t="s">
        <v>288</v>
      </c>
      <c r="G81" s="62" t="s">
        <v>157</v>
      </c>
      <c r="H81" s="64" t="n">
        <v>4</v>
      </c>
      <c r="I81" s="64" t="n">
        <v>9</v>
      </c>
      <c r="J81" s="64" t="n">
        <f aca="false">ROUND(AVERAGE(H81:I81),1)</f>
        <v>6.5</v>
      </c>
      <c r="K81" s="59" t="n">
        <v>0.5</v>
      </c>
      <c r="L81" s="64" t="n">
        <f aca="false">J81+K81</f>
        <v>7</v>
      </c>
      <c r="M81" s="65" t="n">
        <f aca="false">IFERROR(INDEX(99_Listas!$C$2:$C$5,MATCH(G81,99_Listas!$B$2:$B$5,0)),0)</f>
        <v>0.07</v>
      </c>
      <c r="N81" s="64" t="n">
        <f aca="false">ROUND(J81*M81,2)</f>
        <v>0.46</v>
      </c>
      <c r="O81" s="64" t="n">
        <f aca="false">ROUND(J81-N81,2)</f>
        <v>6.04</v>
      </c>
      <c r="P81" s="62" t="s">
        <v>275</v>
      </c>
      <c r="Q81" s="61" t="n">
        <v>4</v>
      </c>
      <c r="R81" s="62" t="s">
        <v>276</v>
      </c>
      <c r="S81" s="63" t="s">
        <v>228</v>
      </c>
      <c r="T81" s="63" t="s">
        <v>184</v>
      </c>
      <c r="U81" s="63"/>
    </row>
    <row r="82" customFormat="false" ht="15" hidden="false" customHeight="true" outlineLevel="0" collapsed="false">
      <c r="A82" s="54" t="n">
        <v>81</v>
      </c>
      <c r="B82" s="55" t="s">
        <v>1723</v>
      </c>
      <c r="C82" s="56" t="s">
        <v>1916</v>
      </c>
      <c r="D82" s="56" t="s">
        <v>1917</v>
      </c>
      <c r="E82" s="57" t="s">
        <v>1740</v>
      </c>
      <c r="F82" s="55" t="s">
        <v>422</v>
      </c>
      <c r="G82" s="55" t="s">
        <v>161</v>
      </c>
      <c r="H82" s="58" t="n">
        <v>7</v>
      </c>
      <c r="I82" s="58" t="n">
        <v>15</v>
      </c>
      <c r="J82" s="58" t="n">
        <f aca="false">ROUND(AVERAGE(H82:I82),1)</f>
        <v>11</v>
      </c>
      <c r="K82" s="59" t="n">
        <v>0.5</v>
      </c>
      <c r="L82" s="58" t="n">
        <f aca="false">J82+K82</f>
        <v>11.5</v>
      </c>
      <c r="M82" s="60" t="n">
        <f aca="false">IFERROR(INDEX(99_Listas!$C$2:$C$5,MATCH(G82,99_Listas!$B$2:$B$5,0)),0)</f>
        <v>0.09</v>
      </c>
      <c r="N82" s="58" t="n">
        <f aca="false">ROUND(J82*M82,2)</f>
        <v>0.99</v>
      </c>
      <c r="O82" s="58" t="n">
        <f aca="false">ROUND(J82-N82,2)</f>
        <v>10.01</v>
      </c>
      <c r="P82" s="55" t="s">
        <v>519</v>
      </c>
      <c r="Q82" s="54" t="n">
        <v>6</v>
      </c>
      <c r="R82" s="55" t="s">
        <v>276</v>
      </c>
      <c r="S82" s="56" t="s">
        <v>228</v>
      </c>
      <c r="T82" s="56" t="s">
        <v>1720</v>
      </c>
      <c r="U82" s="56"/>
    </row>
    <row r="83" customFormat="false" ht="15" hidden="false" customHeight="true" outlineLevel="0" collapsed="false">
      <c r="A83" s="61" t="n">
        <v>82</v>
      </c>
      <c r="B83" s="62" t="s">
        <v>1747</v>
      </c>
      <c r="C83" s="63" t="s">
        <v>1918</v>
      </c>
      <c r="D83" s="63" t="s">
        <v>1919</v>
      </c>
      <c r="E83" s="57" t="s">
        <v>1750</v>
      </c>
      <c r="F83" s="62" t="s">
        <v>1753</v>
      </c>
      <c r="G83" s="62" t="s">
        <v>157</v>
      </c>
      <c r="H83" s="64" t="n">
        <v>6</v>
      </c>
      <c r="I83" s="64" t="n">
        <v>12</v>
      </c>
      <c r="J83" s="64" t="n">
        <f aca="false">ROUND(AVERAGE(H83:I83),1)</f>
        <v>9</v>
      </c>
      <c r="K83" s="59" t="n">
        <v>0.5</v>
      </c>
      <c r="L83" s="64" t="n">
        <f aca="false">J83+K83</f>
        <v>9.5</v>
      </c>
      <c r="M83" s="65" t="n">
        <f aca="false">IFERROR(INDEX(99_Listas!$C$2:$C$5,MATCH(G83,99_Listas!$B$2:$B$5,0)),0)</f>
        <v>0.07</v>
      </c>
      <c r="N83" s="64" t="n">
        <f aca="false">ROUND(J83*M83,2)</f>
        <v>0.63</v>
      </c>
      <c r="O83" s="64" t="n">
        <f aca="false">ROUND(J83-N83,2)</f>
        <v>8.37</v>
      </c>
      <c r="P83" s="62" t="s">
        <v>1761</v>
      </c>
      <c r="Q83" s="61" t="n">
        <v>3</v>
      </c>
      <c r="R83" s="62" t="s">
        <v>276</v>
      </c>
      <c r="S83" s="63" t="s">
        <v>228</v>
      </c>
      <c r="T83" s="63" t="s">
        <v>570</v>
      </c>
      <c r="U83" s="63"/>
    </row>
    <row r="84" customFormat="false" ht="15" hidden="false" customHeight="true" outlineLevel="0" collapsed="false">
      <c r="A84" s="54" t="n">
        <v>83</v>
      </c>
      <c r="B84" s="55" t="s">
        <v>1747</v>
      </c>
      <c r="C84" s="56" t="s">
        <v>1920</v>
      </c>
      <c r="D84" s="56" t="s">
        <v>1921</v>
      </c>
      <c r="E84" s="57" t="s">
        <v>1760</v>
      </c>
      <c r="F84" s="55" t="s">
        <v>422</v>
      </c>
      <c r="G84" s="55" t="s">
        <v>157</v>
      </c>
      <c r="H84" s="58" t="n">
        <v>5</v>
      </c>
      <c r="I84" s="58" t="n">
        <v>11</v>
      </c>
      <c r="J84" s="58" t="n">
        <f aca="false">ROUND(AVERAGE(H84:I84),1)</f>
        <v>8</v>
      </c>
      <c r="K84" s="59" t="n">
        <v>0.5</v>
      </c>
      <c r="L84" s="58" t="n">
        <f aca="false">J84+K84</f>
        <v>8.5</v>
      </c>
      <c r="M84" s="60" t="n">
        <f aca="false">IFERROR(INDEX(99_Listas!$C$2:$C$5,MATCH(G84,99_Listas!$B$2:$B$5,0)),0)</f>
        <v>0.07</v>
      </c>
      <c r="N84" s="58" t="n">
        <f aca="false">ROUND(J84*M84,2)</f>
        <v>0.56</v>
      </c>
      <c r="O84" s="58" t="n">
        <f aca="false">ROUND(J84-N84,2)</f>
        <v>7.44</v>
      </c>
      <c r="P84" s="55" t="s">
        <v>1761</v>
      </c>
      <c r="Q84" s="54" t="n">
        <v>5</v>
      </c>
      <c r="R84" s="55" t="s">
        <v>276</v>
      </c>
      <c r="S84" s="56" t="s">
        <v>228</v>
      </c>
      <c r="T84" s="56" t="s">
        <v>203</v>
      </c>
      <c r="U84" s="56"/>
    </row>
    <row r="85" customFormat="false" ht="15" hidden="false" customHeight="true" outlineLevel="0" collapsed="false">
      <c r="A85" s="61" t="n">
        <v>84</v>
      </c>
      <c r="B85" s="62" t="s">
        <v>1747</v>
      </c>
      <c r="C85" s="63" t="s">
        <v>1922</v>
      </c>
      <c r="D85" s="63" t="s">
        <v>1923</v>
      </c>
      <c r="E85" s="57" t="s">
        <v>1924</v>
      </c>
      <c r="F85" s="62" t="s">
        <v>422</v>
      </c>
      <c r="G85" s="62" t="s">
        <v>157</v>
      </c>
      <c r="H85" s="64" t="n">
        <v>4</v>
      </c>
      <c r="I85" s="64" t="n">
        <v>10</v>
      </c>
      <c r="J85" s="64" t="n">
        <f aca="false">ROUND(AVERAGE(H85:I85),1)</f>
        <v>7</v>
      </c>
      <c r="K85" s="59" t="n">
        <v>0.5</v>
      </c>
      <c r="L85" s="64" t="n">
        <f aca="false">J85+K85</f>
        <v>7.5</v>
      </c>
      <c r="M85" s="65" t="n">
        <f aca="false">IFERROR(INDEX(99_Listas!$C$2:$C$5,MATCH(G85,99_Listas!$B$2:$B$5,0)),0)</f>
        <v>0.07</v>
      </c>
      <c r="N85" s="64" t="n">
        <f aca="false">ROUND(J85*M85,2)</f>
        <v>0.49</v>
      </c>
      <c r="O85" s="64" t="n">
        <f aca="false">ROUND(J85-N85,2)</f>
        <v>6.51</v>
      </c>
      <c r="P85" s="62" t="s">
        <v>1761</v>
      </c>
      <c r="Q85" s="61" t="n">
        <v>3</v>
      </c>
      <c r="R85" s="62" t="s">
        <v>276</v>
      </c>
      <c r="S85" s="63" t="s">
        <v>228</v>
      </c>
      <c r="T85" s="63" t="s">
        <v>182</v>
      </c>
      <c r="U85" s="63"/>
    </row>
    <row r="86" customFormat="false" ht="15" hidden="false" customHeight="true" outlineLevel="0" collapsed="false">
      <c r="A86" s="54" t="n">
        <v>85</v>
      </c>
      <c r="B86" s="55" t="s">
        <v>1747</v>
      </c>
      <c r="C86" s="56" t="s">
        <v>1925</v>
      </c>
      <c r="D86" s="56" t="s">
        <v>1926</v>
      </c>
      <c r="E86" s="57" t="s">
        <v>265</v>
      </c>
      <c r="F86" s="55" t="s">
        <v>422</v>
      </c>
      <c r="G86" s="55" t="s">
        <v>157</v>
      </c>
      <c r="H86" s="58" t="n">
        <v>3</v>
      </c>
      <c r="I86" s="58" t="n">
        <v>8</v>
      </c>
      <c r="J86" s="58" t="n">
        <f aca="false">ROUND(AVERAGE(H86:I86),1)</f>
        <v>5.5</v>
      </c>
      <c r="K86" s="59" t="n">
        <v>0.5</v>
      </c>
      <c r="L86" s="58" t="n">
        <f aca="false">J86+K86</f>
        <v>6</v>
      </c>
      <c r="M86" s="60" t="n">
        <f aca="false">IFERROR(INDEX(99_Listas!$C$2:$C$5,MATCH(G86,99_Listas!$B$2:$B$5,0)),0)</f>
        <v>0.07</v>
      </c>
      <c r="N86" s="58" t="n">
        <f aca="false">ROUND(J86*M86,2)</f>
        <v>0.39</v>
      </c>
      <c r="O86" s="58" t="n">
        <f aca="false">ROUND(J86-N86,2)</f>
        <v>5.11</v>
      </c>
      <c r="P86" s="55" t="s">
        <v>1761</v>
      </c>
      <c r="Q86" s="54" t="n">
        <v>3</v>
      </c>
      <c r="R86" s="55" t="s">
        <v>276</v>
      </c>
      <c r="S86" s="56" t="s">
        <v>228</v>
      </c>
      <c r="T86" s="56" t="s">
        <v>758</v>
      </c>
      <c r="U86" s="56"/>
    </row>
    <row r="87" customFormat="false" ht="15" hidden="false" customHeight="true" outlineLevel="0" collapsed="false">
      <c r="A87" s="61" t="n">
        <v>86</v>
      </c>
      <c r="B87" s="62" t="s">
        <v>1747</v>
      </c>
      <c r="C87" s="63" t="s">
        <v>1927</v>
      </c>
      <c r="D87" s="63" t="s">
        <v>1928</v>
      </c>
      <c r="E87" s="57" t="s">
        <v>1098</v>
      </c>
      <c r="F87" s="62" t="s">
        <v>1766</v>
      </c>
      <c r="G87" s="62" t="s">
        <v>157</v>
      </c>
      <c r="H87" s="64" t="n">
        <v>2.5</v>
      </c>
      <c r="I87" s="64" t="n">
        <v>5</v>
      </c>
      <c r="J87" s="64" t="n">
        <f aca="false">ROUND(AVERAGE(H87:I87),1)</f>
        <v>3.8</v>
      </c>
      <c r="K87" s="59" t="n">
        <v>0.5</v>
      </c>
      <c r="L87" s="64" t="n">
        <f aca="false">J87+K87</f>
        <v>4.3</v>
      </c>
      <c r="M87" s="65" t="n">
        <f aca="false">IFERROR(INDEX(99_Listas!$C$2:$C$5,MATCH(G87,99_Listas!$B$2:$B$5,0)),0)</f>
        <v>0.07</v>
      </c>
      <c r="N87" s="64" t="n">
        <f aca="false">ROUND(J87*M87,2)</f>
        <v>0.27</v>
      </c>
      <c r="O87" s="64" t="n">
        <f aca="false">ROUND(J87-N87,2)</f>
        <v>3.53</v>
      </c>
      <c r="P87" s="62" t="s">
        <v>928</v>
      </c>
      <c r="Q87" s="61" t="n">
        <v>1</v>
      </c>
      <c r="R87" s="62" t="s">
        <v>276</v>
      </c>
      <c r="S87" s="63" t="s">
        <v>228</v>
      </c>
      <c r="T87" s="63" t="s">
        <v>1929</v>
      </c>
      <c r="U87" s="63"/>
    </row>
    <row r="88" customFormat="false" ht="15" hidden="false" customHeight="true" outlineLevel="0" collapsed="false">
      <c r="A88" s="54" t="n">
        <v>87</v>
      </c>
      <c r="B88" s="55" t="s">
        <v>1781</v>
      </c>
      <c r="C88" s="56" t="s">
        <v>1930</v>
      </c>
      <c r="D88" s="56" t="s">
        <v>1220</v>
      </c>
      <c r="E88" s="57" t="s">
        <v>1117</v>
      </c>
      <c r="F88" s="55" t="s">
        <v>482</v>
      </c>
      <c r="G88" s="55" t="s">
        <v>157</v>
      </c>
      <c r="H88" s="58" t="n">
        <v>5</v>
      </c>
      <c r="I88" s="58" t="n">
        <v>10</v>
      </c>
      <c r="J88" s="58" t="n">
        <f aca="false">ROUND(AVERAGE(H88:I88),1)</f>
        <v>7.5</v>
      </c>
      <c r="K88" s="59" t="n">
        <v>0.5</v>
      </c>
      <c r="L88" s="58" t="n">
        <f aca="false">J88+K88</f>
        <v>8</v>
      </c>
      <c r="M88" s="60" t="n">
        <f aca="false">IFERROR(INDEX(99_Listas!$C$2:$C$5,MATCH(G88,99_Listas!$B$2:$B$5,0)),0)</f>
        <v>0.07</v>
      </c>
      <c r="N88" s="58" t="n">
        <f aca="false">ROUND(J88*M88,2)</f>
        <v>0.53</v>
      </c>
      <c r="O88" s="58" t="n">
        <f aca="false">ROUND(J88-N88,2)</f>
        <v>6.97</v>
      </c>
      <c r="P88" s="55" t="s">
        <v>1795</v>
      </c>
      <c r="Q88" s="54" t="n">
        <v>7</v>
      </c>
      <c r="R88" s="55" t="s">
        <v>165</v>
      </c>
      <c r="S88" s="56" t="s">
        <v>228</v>
      </c>
      <c r="T88" s="56" t="s">
        <v>1236</v>
      </c>
      <c r="U88" s="56"/>
    </row>
    <row r="89" customFormat="false" ht="15" hidden="false" customHeight="true" outlineLevel="0" collapsed="false">
      <c r="A89" s="61" t="n">
        <v>88</v>
      </c>
      <c r="B89" s="62" t="s">
        <v>1781</v>
      </c>
      <c r="C89" s="63" t="s">
        <v>1931</v>
      </c>
      <c r="D89" s="63" t="s">
        <v>1932</v>
      </c>
      <c r="E89" s="57" t="s">
        <v>1124</v>
      </c>
      <c r="F89" s="62" t="s">
        <v>482</v>
      </c>
      <c r="G89" s="62" t="s">
        <v>161</v>
      </c>
      <c r="H89" s="64" t="n">
        <v>9</v>
      </c>
      <c r="I89" s="64" t="n">
        <v>18</v>
      </c>
      <c r="J89" s="64" t="n">
        <f aca="false">ROUND(AVERAGE(H89:I89),1)</f>
        <v>13.5</v>
      </c>
      <c r="K89" s="59" t="n">
        <v>0.5</v>
      </c>
      <c r="L89" s="64" t="n">
        <f aca="false">J89+K89</f>
        <v>14</v>
      </c>
      <c r="M89" s="65" t="n">
        <f aca="false">IFERROR(INDEX(99_Listas!$C$2:$C$5,MATCH(G89,99_Listas!$B$2:$B$5,0)),0)</f>
        <v>0.09</v>
      </c>
      <c r="N89" s="64" t="n">
        <f aca="false">ROUND(J89*M89,2)</f>
        <v>1.22</v>
      </c>
      <c r="O89" s="64" t="n">
        <f aca="false">ROUND(J89-N89,2)</f>
        <v>12.28</v>
      </c>
      <c r="P89" s="62" t="s">
        <v>1795</v>
      </c>
      <c r="Q89" s="61" t="n">
        <v>12</v>
      </c>
      <c r="R89" s="62" t="s">
        <v>165</v>
      </c>
      <c r="S89" s="63" t="s">
        <v>228</v>
      </c>
      <c r="T89" s="63" t="s">
        <v>1236</v>
      </c>
      <c r="U89" s="63"/>
    </row>
    <row r="90" customFormat="false" ht="15" hidden="false" customHeight="true" outlineLevel="0" collapsed="false">
      <c r="A90" s="54" t="n">
        <v>89</v>
      </c>
      <c r="B90" s="55" t="s">
        <v>1781</v>
      </c>
      <c r="C90" s="56" t="s">
        <v>1933</v>
      </c>
      <c r="D90" s="56" t="s">
        <v>1934</v>
      </c>
      <c r="E90" s="57" t="s">
        <v>1235</v>
      </c>
      <c r="F90" s="55" t="s">
        <v>902</v>
      </c>
      <c r="G90" s="55" t="s">
        <v>165</v>
      </c>
      <c r="H90" s="58" t="n">
        <v>18</v>
      </c>
      <c r="I90" s="58" t="n">
        <v>35</v>
      </c>
      <c r="J90" s="58" t="n">
        <f aca="false">ROUND(AVERAGE(H90:I90),1)</f>
        <v>26.5</v>
      </c>
      <c r="K90" s="59" t="n">
        <v>0.5</v>
      </c>
      <c r="L90" s="58" t="n">
        <f aca="false">J90+K90</f>
        <v>27</v>
      </c>
      <c r="M90" s="60" t="n">
        <f aca="false">IFERROR(INDEX(99_Listas!$C$2:$C$5,MATCH(G90,99_Listas!$B$2:$B$5,0)),0)</f>
        <v>0.11</v>
      </c>
      <c r="N90" s="58" t="n">
        <f aca="false">ROUND(J90*M90,2)</f>
        <v>2.92</v>
      </c>
      <c r="O90" s="58" t="n">
        <f aca="false">ROUND(J90-N90,2)</f>
        <v>23.58</v>
      </c>
      <c r="P90" s="55" t="s">
        <v>1795</v>
      </c>
      <c r="Q90" s="54" t="n">
        <v>18</v>
      </c>
      <c r="R90" s="55" t="s">
        <v>165</v>
      </c>
      <c r="S90" s="56" t="s">
        <v>380</v>
      </c>
      <c r="T90" s="56" t="s">
        <v>1236</v>
      </c>
      <c r="U90" s="56"/>
    </row>
    <row r="91" customFormat="false" ht="15" hidden="false" customHeight="true" outlineLevel="0" collapsed="false">
      <c r="A91" s="61" t="n">
        <v>90</v>
      </c>
      <c r="B91" s="62" t="s">
        <v>1781</v>
      </c>
      <c r="C91" s="63" t="s">
        <v>1935</v>
      </c>
      <c r="D91" s="63" t="s">
        <v>1463</v>
      </c>
      <c r="E91" s="57" t="s">
        <v>1810</v>
      </c>
      <c r="F91" s="62" t="s">
        <v>482</v>
      </c>
      <c r="G91" s="62" t="s">
        <v>157</v>
      </c>
      <c r="H91" s="64" t="n">
        <v>5</v>
      </c>
      <c r="I91" s="64" t="n">
        <v>12</v>
      </c>
      <c r="J91" s="64" t="n">
        <f aca="false">ROUND(AVERAGE(H91:I91),1)</f>
        <v>8.5</v>
      </c>
      <c r="K91" s="59" t="n">
        <v>0.5</v>
      </c>
      <c r="L91" s="64" t="n">
        <f aca="false">J91+K91</f>
        <v>9</v>
      </c>
      <c r="M91" s="65" t="n">
        <f aca="false">IFERROR(INDEX(99_Listas!$C$2:$C$5,MATCH(G91,99_Listas!$B$2:$B$5,0)),0)</f>
        <v>0.07</v>
      </c>
      <c r="N91" s="64" t="n">
        <f aca="false">ROUND(J91*M91,2)</f>
        <v>0.6</v>
      </c>
      <c r="O91" s="64" t="n">
        <f aca="false">ROUND(J91-N91,2)</f>
        <v>7.9</v>
      </c>
      <c r="P91" s="62" t="s">
        <v>928</v>
      </c>
      <c r="Q91" s="61" t="n">
        <v>5</v>
      </c>
      <c r="R91" s="62" t="s">
        <v>276</v>
      </c>
      <c r="S91" s="63" t="s">
        <v>228</v>
      </c>
      <c r="T91" s="63" t="s">
        <v>1746</v>
      </c>
      <c r="U91" s="63"/>
    </row>
    <row r="92" customFormat="false" ht="15" hidden="false" customHeight="true" outlineLevel="0" collapsed="false">
      <c r="A92" s="54" t="n">
        <v>91</v>
      </c>
      <c r="B92" s="55" t="s">
        <v>1781</v>
      </c>
      <c r="C92" s="56" t="s">
        <v>1936</v>
      </c>
      <c r="D92" s="56" t="s">
        <v>1937</v>
      </c>
      <c r="E92" s="57" t="s">
        <v>1938</v>
      </c>
      <c r="F92" s="55" t="s">
        <v>482</v>
      </c>
      <c r="G92" s="55" t="s">
        <v>157</v>
      </c>
      <c r="H92" s="58" t="n">
        <v>7</v>
      </c>
      <c r="I92" s="58" t="n">
        <v>14</v>
      </c>
      <c r="J92" s="58" t="n">
        <f aca="false">ROUND(AVERAGE(H92:I92),1)</f>
        <v>10.5</v>
      </c>
      <c r="K92" s="59" t="n">
        <v>0.5</v>
      </c>
      <c r="L92" s="58" t="n">
        <f aca="false">J92+K92</f>
        <v>11</v>
      </c>
      <c r="M92" s="60" t="n">
        <f aca="false">IFERROR(INDEX(99_Listas!$C$2:$C$5,MATCH(G92,99_Listas!$B$2:$B$5,0)),0)</f>
        <v>0.07</v>
      </c>
      <c r="N92" s="58" t="n">
        <f aca="false">ROUND(J92*M92,2)</f>
        <v>0.74</v>
      </c>
      <c r="O92" s="58" t="n">
        <f aca="false">ROUND(J92-N92,2)</f>
        <v>9.76</v>
      </c>
      <c r="P92" s="55" t="s">
        <v>1406</v>
      </c>
      <c r="Q92" s="54" t="n">
        <v>6</v>
      </c>
      <c r="R92" s="55" t="s">
        <v>276</v>
      </c>
      <c r="S92" s="56" t="s">
        <v>228</v>
      </c>
      <c r="T92" s="56" t="s">
        <v>203</v>
      </c>
      <c r="U92" s="56"/>
    </row>
    <row r="93" customFormat="false" ht="23.25" hidden="false" customHeight="true" outlineLevel="0" collapsed="false">
      <c r="A93" s="61" t="n">
        <v>92</v>
      </c>
      <c r="B93" s="62" t="s">
        <v>1781</v>
      </c>
      <c r="C93" s="63" t="s">
        <v>1939</v>
      </c>
      <c r="D93" s="63" t="s">
        <v>1940</v>
      </c>
      <c r="E93" s="57" t="s">
        <v>906</v>
      </c>
      <c r="F93" s="62" t="s">
        <v>927</v>
      </c>
      <c r="G93" s="62" t="s">
        <v>157</v>
      </c>
      <c r="H93" s="64" t="n">
        <v>3</v>
      </c>
      <c r="I93" s="64" t="n">
        <v>8</v>
      </c>
      <c r="J93" s="64" t="n">
        <f aca="false">ROUND(AVERAGE(H93:I93),1)</f>
        <v>5.5</v>
      </c>
      <c r="K93" s="59" t="n">
        <v>0.5</v>
      </c>
      <c r="L93" s="64" t="n">
        <f aca="false">J93+K93</f>
        <v>6</v>
      </c>
      <c r="M93" s="65" t="n">
        <f aca="false">IFERROR(INDEX(99_Listas!$C$2:$C$5,MATCH(G93,99_Listas!$B$2:$B$5,0)),0)</f>
        <v>0.07</v>
      </c>
      <c r="N93" s="64" t="n">
        <f aca="false">ROUND(J93*M93,2)</f>
        <v>0.39</v>
      </c>
      <c r="O93" s="64" t="n">
        <f aca="false">ROUND(J93-N93,2)</f>
        <v>5.11</v>
      </c>
      <c r="P93" s="62" t="s">
        <v>928</v>
      </c>
      <c r="Q93" s="61" t="n">
        <v>3</v>
      </c>
      <c r="R93" s="62" t="s">
        <v>276</v>
      </c>
      <c r="S93" s="63" t="s">
        <v>228</v>
      </c>
      <c r="T93" s="63" t="s">
        <v>289</v>
      </c>
      <c r="U93" s="63"/>
    </row>
    <row r="94" customFormat="false" ht="15" hidden="false" customHeight="true" outlineLevel="0" collapsed="false">
      <c r="A94" s="54" t="n">
        <v>93</v>
      </c>
      <c r="B94" s="55" t="s">
        <v>1781</v>
      </c>
      <c r="C94" s="56" t="s">
        <v>1941</v>
      </c>
      <c r="D94" s="56" t="s">
        <v>1942</v>
      </c>
      <c r="E94" s="57" t="s">
        <v>1176</v>
      </c>
      <c r="F94" s="55" t="s">
        <v>482</v>
      </c>
      <c r="G94" s="55" t="s">
        <v>157</v>
      </c>
      <c r="H94" s="58" t="n">
        <v>8</v>
      </c>
      <c r="I94" s="58" t="n">
        <v>15</v>
      </c>
      <c r="J94" s="58" t="n">
        <f aca="false">ROUND(AVERAGE(H94:I94),1)</f>
        <v>11.5</v>
      </c>
      <c r="K94" s="59" t="n">
        <v>0.5</v>
      </c>
      <c r="L94" s="58" t="n">
        <f aca="false">J94+K94</f>
        <v>12</v>
      </c>
      <c r="M94" s="60" t="n">
        <f aca="false">IFERROR(INDEX(99_Listas!$C$2:$C$5,MATCH(G94,99_Listas!$B$2:$B$5,0)),0)</f>
        <v>0.07</v>
      </c>
      <c r="N94" s="58" t="n">
        <f aca="false">ROUND(J94*M94,2)</f>
        <v>0.81</v>
      </c>
      <c r="O94" s="58" t="n">
        <f aca="false">ROUND(J94-N94,2)</f>
        <v>10.69</v>
      </c>
      <c r="P94" s="55" t="s">
        <v>1103</v>
      </c>
      <c r="Q94" s="54" t="n">
        <v>10</v>
      </c>
      <c r="R94" s="55" t="s">
        <v>165</v>
      </c>
      <c r="S94" s="56" t="s">
        <v>228</v>
      </c>
      <c r="T94" s="56" t="s">
        <v>196</v>
      </c>
      <c r="U94" s="56"/>
    </row>
    <row r="95" customFormat="false" ht="15" hidden="false" customHeight="true" outlineLevel="0" collapsed="false">
      <c r="A95" s="61" t="n">
        <v>94</v>
      </c>
      <c r="B95" s="62" t="s">
        <v>1781</v>
      </c>
      <c r="C95" s="63" t="s">
        <v>1943</v>
      </c>
      <c r="D95" s="63" t="s">
        <v>1944</v>
      </c>
      <c r="E95" s="57" t="s">
        <v>1945</v>
      </c>
      <c r="F95" s="62" t="s">
        <v>482</v>
      </c>
      <c r="G95" s="62" t="s">
        <v>161</v>
      </c>
      <c r="H95" s="64" t="n">
        <v>9</v>
      </c>
      <c r="I95" s="64" t="n">
        <v>18</v>
      </c>
      <c r="J95" s="64" t="n">
        <f aca="false">ROUND(AVERAGE(H95:I95),1)</f>
        <v>13.5</v>
      </c>
      <c r="K95" s="59" t="n">
        <v>0.5</v>
      </c>
      <c r="L95" s="64" t="n">
        <f aca="false">J95+K95</f>
        <v>14</v>
      </c>
      <c r="M95" s="65" t="n">
        <f aca="false">IFERROR(INDEX(99_Listas!$C$2:$C$5,MATCH(G95,99_Listas!$B$2:$B$5,0)),0)</f>
        <v>0.09</v>
      </c>
      <c r="N95" s="64" t="n">
        <f aca="false">ROUND(J95*M95,2)</f>
        <v>1.22</v>
      </c>
      <c r="O95" s="64" t="n">
        <f aca="false">ROUND(J95-N95,2)</f>
        <v>12.28</v>
      </c>
      <c r="P95" s="62" t="s">
        <v>1795</v>
      </c>
      <c r="Q95" s="61" t="n">
        <v>10</v>
      </c>
      <c r="R95" s="62" t="s">
        <v>165</v>
      </c>
      <c r="S95" s="63" t="s">
        <v>228</v>
      </c>
      <c r="T95" s="63" t="s">
        <v>1232</v>
      </c>
      <c r="U95" s="63"/>
    </row>
    <row r="96" customFormat="false" ht="15" hidden="false" customHeight="true" outlineLevel="0" collapsed="false">
      <c r="A96" s="54" t="n">
        <v>95</v>
      </c>
      <c r="B96" s="55" t="s">
        <v>1781</v>
      </c>
      <c r="C96" s="56" t="s">
        <v>1946</v>
      </c>
      <c r="D96" s="56" t="s">
        <v>1947</v>
      </c>
      <c r="E96" s="57" t="s">
        <v>1948</v>
      </c>
      <c r="F96" s="55" t="s">
        <v>534</v>
      </c>
      <c r="G96" s="55" t="s">
        <v>157</v>
      </c>
      <c r="H96" s="58" t="n">
        <v>2</v>
      </c>
      <c r="I96" s="58" t="n">
        <v>5</v>
      </c>
      <c r="J96" s="58" t="n">
        <f aca="false">ROUND(AVERAGE(H96:I96),1)</f>
        <v>3.5</v>
      </c>
      <c r="K96" s="59" t="n">
        <v>0.5</v>
      </c>
      <c r="L96" s="58" t="n">
        <f aca="false">J96+K96</f>
        <v>4</v>
      </c>
      <c r="M96" s="60" t="n">
        <f aca="false">IFERROR(INDEX(99_Listas!$C$2:$C$5,MATCH(G96,99_Listas!$B$2:$B$5,0)),0)</f>
        <v>0.07</v>
      </c>
      <c r="N96" s="58" t="n">
        <f aca="false">ROUND(J96*M96,2)</f>
        <v>0.25</v>
      </c>
      <c r="O96" s="58" t="n">
        <f aca="false">ROUND(J96-N96,2)</f>
        <v>3.25</v>
      </c>
      <c r="P96" s="55" t="s">
        <v>928</v>
      </c>
      <c r="Q96" s="54" t="n">
        <v>1</v>
      </c>
      <c r="R96" s="55" t="s">
        <v>276</v>
      </c>
      <c r="S96" s="56" t="s">
        <v>228</v>
      </c>
      <c r="T96" s="56" t="s">
        <v>1949</v>
      </c>
      <c r="U96" s="56"/>
    </row>
    <row r="97" customFormat="false" ht="15" hidden="false" customHeight="true" outlineLevel="0" collapsed="false">
      <c r="A97" s="61" t="n">
        <v>96</v>
      </c>
      <c r="B97" s="62" t="s">
        <v>1812</v>
      </c>
      <c r="C97" s="63" t="s">
        <v>1950</v>
      </c>
      <c r="D97" s="63" t="s">
        <v>1951</v>
      </c>
      <c r="E97" s="57" t="s">
        <v>1823</v>
      </c>
      <c r="F97" s="62" t="s">
        <v>482</v>
      </c>
      <c r="G97" s="62" t="s">
        <v>157</v>
      </c>
      <c r="H97" s="64" t="n">
        <v>4</v>
      </c>
      <c r="I97" s="64" t="n">
        <v>10</v>
      </c>
      <c r="J97" s="64" t="n">
        <f aca="false">ROUND(AVERAGE(H97:I97),1)</f>
        <v>7</v>
      </c>
      <c r="K97" s="59" t="n">
        <v>0.5</v>
      </c>
      <c r="L97" s="64" t="n">
        <f aca="false">J97+K97</f>
        <v>7.5</v>
      </c>
      <c r="M97" s="65" t="n">
        <f aca="false">IFERROR(INDEX(99_Listas!$C$2:$C$5,MATCH(G97,99_Listas!$B$2:$B$5,0)),0)</f>
        <v>0.07</v>
      </c>
      <c r="N97" s="64" t="n">
        <f aca="false">ROUND(J97*M97,2)</f>
        <v>0.49</v>
      </c>
      <c r="O97" s="64" t="n">
        <f aca="false">ROUND(J97-N97,2)</f>
        <v>6.51</v>
      </c>
      <c r="P97" s="62" t="s">
        <v>928</v>
      </c>
      <c r="Q97" s="61" t="n">
        <v>3</v>
      </c>
      <c r="R97" s="62" t="s">
        <v>276</v>
      </c>
      <c r="S97" s="63" t="s">
        <v>228</v>
      </c>
      <c r="T97" s="63" t="s">
        <v>1952</v>
      </c>
      <c r="U97" s="63"/>
    </row>
    <row r="98" customFormat="false" ht="15" hidden="false" customHeight="true" outlineLevel="0" collapsed="false">
      <c r="A98" s="54" t="n">
        <v>97</v>
      </c>
      <c r="B98" s="55" t="s">
        <v>1812</v>
      </c>
      <c r="C98" s="56" t="s">
        <v>1953</v>
      </c>
      <c r="D98" s="56" t="s">
        <v>1954</v>
      </c>
      <c r="E98" s="57" t="s">
        <v>1955</v>
      </c>
      <c r="F98" s="55" t="s">
        <v>482</v>
      </c>
      <c r="G98" s="55" t="s">
        <v>157</v>
      </c>
      <c r="H98" s="58" t="n">
        <v>6</v>
      </c>
      <c r="I98" s="58" t="n">
        <v>13</v>
      </c>
      <c r="J98" s="58" t="n">
        <f aca="false">ROUND(AVERAGE(H98:I98),1)</f>
        <v>9.5</v>
      </c>
      <c r="K98" s="59" t="n">
        <v>0.5</v>
      </c>
      <c r="L98" s="58" t="n">
        <f aca="false">J98+K98</f>
        <v>10</v>
      </c>
      <c r="M98" s="60" t="n">
        <f aca="false">IFERROR(INDEX(99_Listas!$C$2:$C$5,MATCH(G98,99_Listas!$B$2:$B$5,0)),0)</f>
        <v>0.07</v>
      </c>
      <c r="N98" s="58" t="n">
        <f aca="false">ROUND(J98*M98,2)</f>
        <v>0.67</v>
      </c>
      <c r="O98" s="58" t="n">
        <f aca="false">ROUND(J98-N98,2)</f>
        <v>8.83</v>
      </c>
      <c r="P98" s="55" t="s">
        <v>1128</v>
      </c>
      <c r="Q98" s="54" t="n">
        <v>10</v>
      </c>
      <c r="R98" s="55" t="s">
        <v>165</v>
      </c>
      <c r="S98" s="56" t="s">
        <v>228</v>
      </c>
      <c r="T98" s="56" t="s">
        <v>1143</v>
      </c>
      <c r="U98" s="56"/>
    </row>
    <row r="99" customFormat="false" ht="23.25" hidden="false" customHeight="true" outlineLevel="0" collapsed="false">
      <c r="A99" s="61" t="n">
        <v>98</v>
      </c>
      <c r="B99" s="62" t="s">
        <v>1812</v>
      </c>
      <c r="C99" s="63" t="s">
        <v>1956</v>
      </c>
      <c r="D99" s="63" t="s">
        <v>482</v>
      </c>
      <c r="E99" s="57" t="s">
        <v>1505</v>
      </c>
      <c r="F99" s="62" t="s">
        <v>482</v>
      </c>
      <c r="G99" s="62" t="s">
        <v>161</v>
      </c>
      <c r="H99" s="64" t="n">
        <v>6</v>
      </c>
      <c r="I99" s="64" t="n">
        <v>14</v>
      </c>
      <c r="J99" s="64" t="n">
        <f aca="false">ROUND(AVERAGE(H99:I99),1)</f>
        <v>10</v>
      </c>
      <c r="K99" s="59" t="n">
        <v>0.5</v>
      </c>
      <c r="L99" s="64" t="n">
        <f aca="false">J99+K99</f>
        <v>10.5</v>
      </c>
      <c r="M99" s="65" t="n">
        <f aca="false">IFERROR(INDEX(99_Listas!$C$2:$C$5,MATCH(G99,99_Listas!$B$2:$B$5,0)),0)</f>
        <v>0.09</v>
      </c>
      <c r="N99" s="64" t="n">
        <f aca="false">ROUND(J99*M99,2)</f>
        <v>0.9</v>
      </c>
      <c r="O99" s="64" t="n">
        <f aca="false">ROUND(J99-N99,2)</f>
        <v>9.1</v>
      </c>
      <c r="P99" s="62" t="s">
        <v>928</v>
      </c>
      <c r="Q99" s="61" t="n">
        <v>2</v>
      </c>
      <c r="R99" s="62" t="s">
        <v>258</v>
      </c>
      <c r="S99" s="63" t="s">
        <v>1830</v>
      </c>
      <c r="T99" s="63" t="s">
        <v>528</v>
      </c>
      <c r="U99" s="63" t="s">
        <v>1831</v>
      </c>
    </row>
    <row r="100" customFormat="false" ht="23.25" hidden="false" customHeight="true" outlineLevel="0" collapsed="false">
      <c r="A100" s="54" t="n">
        <v>99</v>
      </c>
      <c r="B100" s="55" t="s">
        <v>1812</v>
      </c>
      <c r="C100" s="56" t="s">
        <v>1957</v>
      </c>
      <c r="D100" s="56" t="s">
        <v>482</v>
      </c>
      <c r="E100" s="57" t="s">
        <v>1505</v>
      </c>
      <c r="F100" s="55" t="s">
        <v>482</v>
      </c>
      <c r="G100" s="55" t="s">
        <v>161</v>
      </c>
      <c r="H100" s="58" t="n">
        <v>8</v>
      </c>
      <c r="I100" s="58" t="n">
        <v>18</v>
      </c>
      <c r="J100" s="58" t="n">
        <f aca="false">ROUND(AVERAGE(H100:I100),1)</f>
        <v>13</v>
      </c>
      <c r="K100" s="59" t="n">
        <v>0.5</v>
      </c>
      <c r="L100" s="58" t="n">
        <f aca="false">J100+K100</f>
        <v>13.5</v>
      </c>
      <c r="M100" s="60" t="n">
        <f aca="false">IFERROR(INDEX(99_Listas!$C$2:$C$5,MATCH(G100,99_Listas!$B$2:$B$5,0)),0)</f>
        <v>0.09</v>
      </c>
      <c r="N100" s="58" t="n">
        <f aca="false">ROUND(J100*M100,2)</f>
        <v>1.17</v>
      </c>
      <c r="O100" s="58" t="n">
        <f aca="false">ROUND(J100-N100,2)</f>
        <v>11.83</v>
      </c>
      <c r="P100" s="55" t="s">
        <v>928</v>
      </c>
      <c r="Q100" s="54" t="n">
        <v>2</v>
      </c>
      <c r="R100" s="55" t="s">
        <v>276</v>
      </c>
      <c r="S100" s="56" t="s">
        <v>228</v>
      </c>
      <c r="T100" s="56" t="s">
        <v>528</v>
      </c>
      <c r="U100" s="56"/>
    </row>
    <row r="101" customFormat="false" ht="23.25" hidden="false" customHeight="true" outlineLevel="0" collapsed="false">
      <c r="A101" s="61" t="n">
        <v>100</v>
      </c>
      <c r="B101" s="62" t="s">
        <v>1812</v>
      </c>
      <c r="C101" s="63" t="s">
        <v>1958</v>
      </c>
      <c r="D101" s="63" t="s">
        <v>1959</v>
      </c>
      <c r="E101" s="57" t="s">
        <v>1505</v>
      </c>
      <c r="F101" s="62" t="s">
        <v>482</v>
      </c>
      <c r="G101" s="62" t="s">
        <v>161</v>
      </c>
      <c r="H101" s="64" t="n">
        <v>8</v>
      </c>
      <c r="I101" s="64" t="n">
        <v>18</v>
      </c>
      <c r="J101" s="64" t="n">
        <f aca="false">ROUND(AVERAGE(H101:I101),1)</f>
        <v>13</v>
      </c>
      <c r="K101" s="59" t="n">
        <v>0.5</v>
      </c>
      <c r="L101" s="64" t="n">
        <f aca="false">J101+K101</f>
        <v>13.5</v>
      </c>
      <c r="M101" s="65" t="n">
        <f aca="false">IFERROR(INDEX(99_Listas!$C$2:$C$5,MATCH(G101,99_Listas!$B$2:$B$5,0)),0)</f>
        <v>0.09</v>
      </c>
      <c r="N101" s="64" t="n">
        <f aca="false">ROUND(J101*M101,2)</f>
        <v>1.17</v>
      </c>
      <c r="O101" s="64" t="n">
        <f aca="false">ROUND(J101-N101,2)</f>
        <v>11.83</v>
      </c>
      <c r="P101" s="62" t="s">
        <v>928</v>
      </c>
      <c r="Q101" s="61" t="n">
        <v>5</v>
      </c>
      <c r="R101" s="62" t="s">
        <v>258</v>
      </c>
      <c r="S101" s="63" t="s">
        <v>228</v>
      </c>
      <c r="T101" s="63" t="s">
        <v>182</v>
      </c>
      <c r="U101" s="63" t="s">
        <v>1960</v>
      </c>
    </row>
    <row r="102" customFormat="false" ht="23.25" hidden="false" customHeight="true" outlineLevel="0" collapsed="false">
      <c r="A102" s="54" t="n">
        <v>101</v>
      </c>
      <c r="B102" s="55" t="s">
        <v>1812</v>
      </c>
      <c r="C102" s="56" t="s">
        <v>1961</v>
      </c>
      <c r="D102" s="56" t="s">
        <v>1881</v>
      </c>
      <c r="E102" s="57" t="s">
        <v>1505</v>
      </c>
      <c r="F102" s="55" t="s">
        <v>1882</v>
      </c>
      <c r="G102" s="55" t="s">
        <v>161</v>
      </c>
      <c r="H102" s="58" t="n">
        <v>6</v>
      </c>
      <c r="I102" s="58" t="n">
        <v>14</v>
      </c>
      <c r="J102" s="58" t="n">
        <f aca="false">ROUND(AVERAGE(H102:I102),1)</f>
        <v>10</v>
      </c>
      <c r="K102" s="59" t="n">
        <v>0.5</v>
      </c>
      <c r="L102" s="58" t="n">
        <f aca="false">J102+K102</f>
        <v>10.5</v>
      </c>
      <c r="M102" s="60" t="n">
        <f aca="false">IFERROR(INDEX(99_Listas!$C$2:$C$5,MATCH(G102,99_Listas!$B$2:$B$5,0)),0)</f>
        <v>0.09</v>
      </c>
      <c r="N102" s="58" t="n">
        <f aca="false">ROUND(J102*M102,2)</f>
        <v>0.9</v>
      </c>
      <c r="O102" s="58" t="n">
        <f aca="false">ROUND(J102-N102,2)</f>
        <v>9.1</v>
      </c>
      <c r="P102" s="55" t="s">
        <v>928</v>
      </c>
      <c r="Q102" s="54" t="n">
        <v>3</v>
      </c>
      <c r="R102" s="55" t="s">
        <v>276</v>
      </c>
      <c r="S102" s="56" t="s">
        <v>228</v>
      </c>
      <c r="T102" s="56" t="s">
        <v>528</v>
      </c>
      <c r="U102" s="56"/>
    </row>
    <row r="103" customFormat="false" ht="15" hidden="false" customHeight="true" outlineLevel="0" collapsed="false">
      <c r="A103" s="61" t="n">
        <v>102</v>
      </c>
      <c r="B103" s="62" t="s">
        <v>1812</v>
      </c>
      <c r="C103" s="63" t="s">
        <v>1962</v>
      </c>
      <c r="D103" s="63" t="s">
        <v>1963</v>
      </c>
      <c r="E103" s="57" t="s">
        <v>1964</v>
      </c>
      <c r="F103" s="62" t="s">
        <v>927</v>
      </c>
      <c r="G103" s="62" t="s">
        <v>157</v>
      </c>
      <c r="H103" s="64" t="n">
        <v>3</v>
      </c>
      <c r="I103" s="64" t="n">
        <v>8</v>
      </c>
      <c r="J103" s="64" t="n">
        <f aca="false">ROUND(AVERAGE(H103:I103),1)</f>
        <v>5.5</v>
      </c>
      <c r="K103" s="59" t="n">
        <v>0.5</v>
      </c>
      <c r="L103" s="64" t="n">
        <f aca="false">J103+K103</f>
        <v>6</v>
      </c>
      <c r="M103" s="65" t="n">
        <f aca="false">IFERROR(INDEX(99_Listas!$C$2:$C$5,MATCH(G103,99_Listas!$B$2:$B$5,0)),0)</f>
        <v>0.07</v>
      </c>
      <c r="N103" s="64" t="n">
        <f aca="false">ROUND(J103*M103,2)</f>
        <v>0.39</v>
      </c>
      <c r="O103" s="64" t="n">
        <f aca="false">ROUND(J103-N103,2)</f>
        <v>5.11</v>
      </c>
      <c r="P103" s="62" t="s">
        <v>1128</v>
      </c>
      <c r="Q103" s="61" t="n">
        <v>3</v>
      </c>
      <c r="R103" s="62" t="s">
        <v>276</v>
      </c>
      <c r="S103" s="63" t="s">
        <v>1542</v>
      </c>
      <c r="T103" s="63" t="s">
        <v>1143</v>
      </c>
      <c r="U103" s="63"/>
    </row>
    <row r="104" customFormat="false" ht="15" hidden="false" customHeight="true" outlineLevel="0" collapsed="false">
      <c r="A104" s="54" t="n">
        <v>103</v>
      </c>
      <c r="B104" s="55" t="s">
        <v>1812</v>
      </c>
      <c r="C104" s="56" t="s">
        <v>1965</v>
      </c>
      <c r="D104" s="56" t="s">
        <v>1966</v>
      </c>
      <c r="E104" s="57" t="s">
        <v>1967</v>
      </c>
      <c r="F104" s="55" t="s">
        <v>418</v>
      </c>
      <c r="G104" s="55" t="s">
        <v>157</v>
      </c>
      <c r="H104" s="58" t="n">
        <v>3</v>
      </c>
      <c r="I104" s="58" t="n">
        <v>8</v>
      </c>
      <c r="J104" s="58" t="n">
        <f aca="false">ROUND(AVERAGE(H104:I104),1)</f>
        <v>5.5</v>
      </c>
      <c r="K104" s="59" t="n">
        <v>0.5</v>
      </c>
      <c r="L104" s="58" t="n">
        <f aca="false">J104+K104</f>
        <v>6</v>
      </c>
      <c r="M104" s="60" t="n">
        <f aca="false">IFERROR(INDEX(99_Listas!$C$2:$C$5,MATCH(G104,99_Listas!$B$2:$B$5,0)),0)</f>
        <v>0.07</v>
      </c>
      <c r="N104" s="58" t="n">
        <f aca="false">ROUND(J104*M104,2)</f>
        <v>0.39</v>
      </c>
      <c r="O104" s="58" t="n">
        <f aca="false">ROUND(J104-N104,2)</f>
        <v>5.11</v>
      </c>
      <c r="P104" s="55" t="s">
        <v>928</v>
      </c>
      <c r="Q104" s="54" t="n">
        <v>3</v>
      </c>
      <c r="R104" s="55" t="s">
        <v>276</v>
      </c>
      <c r="S104" s="56" t="s">
        <v>228</v>
      </c>
      <c r="T104" s="56" t="s">
        <v>289</v>
      </c>
      <c r="U104" s="56"/>
    </row>
    <row r="105" customFormat="false" ht="15" hidden="false" customHeight="true" outlineLevel="0" collapsed="false">
      <c r="A105" s="61" t="n">
        <v>104</v>
      </c>
      <c r="B105" s="62" t="s">
        <v>1812</v>
      </c>
      <c r="C105" s="63" t="s">
        <v>1968</v>
      </c>
      <c r="D105" s="63" t="s">
        <v>1969</v>
      </c>
      <c r="E105" s="57" t="s">
        <v>1970</v>
      </c>
      <c r="F105" s="62" t="s">
        <v>482</v>
      </c>
      <c r="G105" s="62" t="s">
        <v>157</v>
      </c>
      <c r="H105" s="64" t="n">
        <v>4</v>
      </c>
      <c r="I105" s="64" t="n">
        <v>10</v>
      </c>
      <c r="J105" s="64" t="n">
        <f aca="false">ROUND(AVERAGE(H105:I105),1)</f>
        <v>7</v>
      </c>
      <c r="K105" s="59" t="n">
        <v>0.5</v>
      </c>
      <c r="L105" s="64" t="n">
        <f aca="false">J105+K105</f>
        <v>7.5</v>
      </c>
      <c r="M105" s="65" t="n">
        <f aca="false">IFERROR(INDEX(99_Listas!$C$2:$C$5,MATCH(G105,99_Listas!$B$2:$B$5,0)),0)</f>
        <v>0.07</v>
      </c>
      <c r="N105" s="64" t="n">
        <f aca="false">ROUND(J105*M105,2)</f>
        <v>0.49</v>
      </c>
      <c r="O105" s="64" t="n">
        <f aca="false">ROUND(J105-N105,2)</f>
        <v>6.51</v>
      </c>
      <c r="P105" s="62" t="s">
        <v>928</v>
      </c>
      <c r="Q105" s="61" t="n">
        <v>2</v>
      </c>
      <c r="R105" s="62" t="s">
        <v>276</v>
      </c>
      <c r="S105" s="63" t="s">
        <v>1714</v>
      </c>
      <c r="T105" s="63" t="s">
        <v>289</v>
      </c>
      <c r="U105" s="63"/>
    </row>
    <row r="106" customFormat="false" ht="15" hidden="false" customHeight="true" outlineLevel="0" collapsed="false">
      <c r="A106" s="54" t="n">
        <v>105</v>
      </c>
      <c r="B106" s="55" t="s">
        <v>1812</v>
      </c>
      <c r="C106" s="56" t="s">
        <v>1971</v>
      </c>
      <c r="D106" s="56" t="s">
        <v>482</v>
      </c>
      <c r="E106" s="57" t="s">
        <v>1146</v>
      </c>
      <c r="F106" s="55" t="s">
        <v>482</v>
      </c>
      <c r="G106" s="55" t="s">
        <v>157</v>
      </c>
      <c r="H106" s="58" t="n">
        <v>5</v>
      </c>
      <c r="I106" s="58" t="n">
        <v>12</v>
      </c>
      <c r="J106" s="58" t="n">
        <f aca="false">ROUND(AVERAGE(H106:I106),1)</f>
        <v>8.5</v>
      </c>
      <c r="K106" s="59" t="n">
        <v>0.5</v>
      </c>
      <c r="L106" s="58" t="n">
        <f aca="false">J106+K106</f>
        <v>9</v>
      </c>
      <c r="M106" s="60" t="n">
        <f aca="false">IFERROR(INDEX(99_Listas!$C$2:$C$5,MATCH(G106,99_Listas!$B$2:$B$5,0)),0)</f>
        <v>0.07</v>
      </c>
      <c r="N106" s="58" t="n">
        <f aca="false">ROUND(J106*M106,2)</f>
        <v>0.6</v>
      </c>
      <c r="O106" s="58" t="n">
        <f aca="false">ROUND(J106-N106,2)</f>
        <v>7.9</v>
      </c>
      <c r="P106" s="55" t="s">
        <v>928</v>
      </c>
      <c r="Q106" s="54" t="n">
        <v>2</v>
      </c>
      <c r="R106" s="55" t="s">
        <v>276</v>
      </c>
      <c r="S106" s="56" t="s">
        <v>1972</v>
      </c>
      <c r="T106" s="56" t="s">
        <v>528</v>
      </c>
      <c r="U106" s="56" t="s">
        <v>1973</v>
      </c>
    </row>
    <row r="107" customFormat="false" ht="15" hidden="false" customHeight="true" outlineLevel="0" collapsed="false">
      <c r="A107" s="61" t="n">
        <v>106</v>
      </c>
      <c r="B107" s="62" t="s">
        <v>1812</v>
      </c>
      <c r="C107" s="63" t="s">
        <v>1974</v>
      </c>
      <c r="D107" s="63" t="s">
        <v>1975</v>
      </c>
      <c r="E107" s="57" t="s">
        <v>1976</v>
      </c>
      <c r="F107" s="62" t="s">
        <v>482</v>
      </c>
      <c r="G107" s="62" t="s">
        <v>161</v>
      </c>
      <c r="H107" s="64" t="n">
        <v>6</v>
      </c>
      <c r="I107" s="64" t="n">
        <v>14</v>
      </c>
      <c r="J107" s="64" t="n">
        <f aca="false">ROUND(AVERAGE(H107:I107),1)</f>
        <v>10</v>
      </c>
      <c r="K107" s="59" t="n">
        <v>0.5</v>
      </c>
      <c r="L107" s="64" t="n">
        <f aca="false">J107+K107</f>
        <v>10.5</v>
      </c>
      <c r="M107" s="65" t="n">
        <f aca="false">IFERROR(INDEX(99_Listas!$C$2:$C$5,MATCH(G107,99_Listas!$B$2:$B$5,0)),0)</f>
        <v>0.09</v>
      </c>
      <c r="N107" s="64" t="n">
        <f aca="false">ROUND(J107*M107,2)</f>
        <v>0.9</v>
      </c>
      <c r="O107" s="64" t="n">
        <f aca="false">ROUND(J107-N107,2)</f>
        <v>9.1</v>
      </c>
      <c r="P107" s="62" t="s">
        <v>928</v>
      </c>
      <c r="Q107" s="61" t="n">
        <v>2</v>
      </c>
      <c r="R107" s="62" t="s">
        <v>276</v>
      </c>
      <c r="S107" s="63" t="s">
        <v>228</v>
      </c>
      <c r="T107" s="63" t="s">
        <v>1977</v>
      </c>
      <c r="U107" s="63" t="s">
        <v>487</v>
      </c>
    </row>
    <row r="109" customFormat="false" ht="15" hidden="false" customHeight="true" outlineLevel="0" collapsed="false">
      <c r="B109" s="8" t="s">
        <v>1978</v>
      </c>
    </row>
    <row r="110" customFormat="false" ht="15" hidden="false" customHeight="true" outlineLevel="0" collapsed="false">
      <c r="B110" s="8" t="s">
        <v>561</v>
      </c>
    </row>
  </sheetData>
  <autoFilter ref="A1:U107"/>
  <dataValidations count="2">
    <dataValidation allowBlank="true" errorStyle="stop" operator="between" showDropDown="false" showErrorMessage="false" showInputMessage="false" sqref="G2:G107" type="list">
      <formula1>99_Listas!$B$2:$B$5</formula1>
      <formula2>0</formula2>
    </dataValidation>
    <dataValidation allowBlank="true" errorStyle="stop" operator="between" showDropDown="false" showErrorMessage="false" showInputMessage="false" sqref="R2:R107" type="list">
      <formula1>"Alto,Medio,Bajo"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6" min="15" style="1" width="14"/>
    <col collapsed="false" customWidth="true" hidden="false" outlineLevel="0" max="17" min="17" style="1" width="9"/>
    <col collapsed="false" customWidth="true" hidden="false" outlineLevel="0" max="18" min="18" style="1" width="13"/>
    <col collapsed="false" customWidth="true" hidden="false" outlineLevel="0" max="19" min="19" style="1" width="22"/>
    <col collapsed="false" customWidth="true" hidden="false" outlineLevel="0" max="20" min="20" style="1" width="24"/>
    <col collapsed="false" customWidth="true" hidden="false" outlineLevel="0" max="21" min="21" style="1" width="46"/>
  </cols>
  <sheetData>
    <row r="1" customFormat="false" ht="33.75" hidden="false" customHeight="true" outlineLevel="0" collapsed="false">
      <c r="A1" s="13" t="s">
        <v>206</v>
      </c>
      <c r="B1" s="13" t="s">
        <v>70</v>
      </c>
      <c r="C1" s="13" t="s">
        <v>207</v>
      </c>
      <c r="D1" s="13" t="s">
        <v>208</v>
      </c>
      <c r="E1" s="13" t="s">
        <v>209</v>
      </c>
      <c r="F1" s="13" t="s">
        <v>210</v>
      </c>
      <c r="G1" s="13" t="s">
        <v>72</v>
      </c>
      <c r="H1" s="13" t="s">
        <v>211</v>
      </c>
      <c r="I1" s="13" t="s">
        <v>212</v>
      </c>
      <c r="J1" s="13" t="s">
        <v>73</v>
      </c>
      <c r="K1" s="13" t="s">
        <v>213</v>
      </c>
      <c r="L1" s="13" t="s">
        <v>74</v>
      </c>
      <c r="M1" s="13" t="s">
        <v>214</v>
      </c>
      <c r="N1" s="13" t="s">
        <v>215</v>
      </c>
      <c r="O1" s="13" t="s">
        <v>216</v>
      </c>
      <c r="P1" s="13" t="s">
        <v>217</v>
      </c>
      <c r="Q1" s="13" t="s">
        <v>218</v>
      </c>
      <c r="R1" s="13" t="s">
        <v>219</v>
      </c>
      <c r="S1" s="13" t="s">
        <v>220</v>
      </c>
      <c r="T1" s="13" t="s">
        <v>155</v>
      </c>
      <c r="U1" s="13" t="s">
        <v>221</v>
      </c>
    </row>
    <row r="2" customFormat="false" ht="23.25" hidden="false" customHeight="true" outlineLevel="0" collapsed="false">
      <c r="A2" s="54" t="n">
        <v>1</v>
      </c>
      <c r="B2" s="55" t="s">
        <v>1979</v>
      </c>
      <c r="C2" s="56" t="s">
        <v>1980</v>
      </c>
      <c r="D2" s="56" t="s">
        <v>1981</v>
      </c>
      <c r="E2" s="57" t="s">
        <v>1982</v>
      </c>
      <c r="F2" s="55" t="s">
        <v>1983</v>
      </c>
      <c r="G2" s="55" t="s">
        <v>157</v>
      </c>
      <c r="H2" s="58" t="n">
        <v>3</v>
      </c>
      <c r="I2" s="58" t="n">
        <v>7</v>
      </c>
      <c r="J2" s="58" t="n">
        <f aca="false">ROUND(AVERAGE(H2:I2),1)</f>
        <v>5</v>
      </c>
      <c r="K2" s="59" t="n">
        <v>0.5</v>
      </c>
      <c r="L2" s="58" t="n">
        <f aca="false">J2+K2</f>
        <v>5.5</v>
      </c>
      <c r="M2" s="60" t="n">
        <f aca="false">IFERROR(INDEX(99_Listas!$C$2:$C$5,MATCH(G2,99_Listas!$B$2:$B$5,0)),0)</f>
        <v>0.07</v>
      </c>
      <c r="N2" s="58" t="n">
        <f aca="false">ROUND(J2*M2,2)</f>
        <v>0.35</v>
      </c>
      <c r="O2" s="58" t="n">
        <f aca="false">ROUND(J2-N2,2)</f>
        <v>4.65</v>
      </c>
      <c r="P2" s="55" t="s">
        <v>227</v>
      </c>
      <c r="Q2" s="54" t="n">
        <v>2</v>
      </c>
      <c r="R2" s="55" t="s">
        <v>165</v>
      </c>
      <c r="S2" s="56" t="s">
        <v>248</v>
      </c>
      <c r="T2" s="56" t="s">
        <v>1984</v>
      </c>
      <c r="U2" s="56" t="s">
        <v>1985</v>
      </c>
    </row>
    <row r="3" customFormat="false" ht="15" hidden="false" customHeight="true" outlineLevel="0" collapsed="false">
      <c r="A3" s="61" t="n">
        <v>2</v>
      </c>
      <c r="B3" s="62" t="s">
        <v>1979</v>
      </c>
      <c r="C3" s="63" t="s">
        <v>1986</v>
      </c>
      <c r="D3" s="63" t="s">
        <v>1987</v>
      </c>
      <c r="E3" s="57" t="s">
        <v>1982</v>
      </c>
      <c r="F3" s="62" t="s">
        <v>288</v>
      </c>
      <c r="G3" s="62" t="s">
        <v>157</v>
      </c>
      <c r="H3" s="64" t="n">
        <v>2</v>
      </c>
      <c r="I3" s="64" t="n">
        <v>4</v>
      </c>
      <c r="J3" s="64" t="n">
        <f aca="false">ROUND(AVERAGE(H3:I3),1)</f>
        <v>3</v>
      </c>
      <c r="K3" s="59" t="n">
        <v>0.5</v>
      </c>
      <c r="L3" s="64" t="n">
        <f aca="false">J3+K3</f>
        <v>3.5</v>
      </c>
      <c r="M3" s="65" t="n">
        <f aca="false">IFERROR(INDEX(99_Listas!$C$2:$C$5,MATCH(G3,99_Listas!$B$2:$B$5,0)),0)</f>
        <v>0.07</v>
      </c>
      <c r="N3" s="64" t="n">
        <f aca="false">ROUND(J3*M3,2)</f>
        <v>0.21</v>
      </c>
      <c r="O3" s="64" t="n">
        <f aca="false">ROUND(J3-N3,2)</f>
        <v>2.79</v>
      </c>
      <c r="P3" s="62" t="s">
        <v>227</v>
      </c>
      <c r="Q3" s="61" t="n">
        <v>1</v>
      </c>
      <c r="R3" s="62" t="s">
        <v>165</v>
      </c>
      <c r="S3" s="63" t="s">
        <v>248</v>
      </c>
      <c r="T3" s="63" t="s">
        <v>1984</v>
      </c>
      <c r="U3" s="63"/>
    </row>
    <row r="4" customFormat="false" ht="15" hidden="false" customHeight="true" outlineLevel="0" collapsed="false">
      <c r="A4" s="54" t="n">
        <v>3</v>
      </c>
      <c r="B4" s="55" t="s">
        <v>1979</v>
      </c>
      <c r="C4" s="56" t="s">
        <v>1988</v>
      </c>
      <c r="D4" s="56" t="s">
        <v>1989</v>
      </c>
      <c r="E4" s="57" t="s">
        <v>1990</v>
      </c>
      <c r="F4" s="55" t="s">
        <v>288</v>
      </c>
      <c r="G4" s="55" t="s">
        <v>157</v>
      </c>
      <c r="H4" s="58" t="n">
        <v>2</v>
      </c>
      <c r="I4" s="58" t="n">
        <v>5</v>
      </c>
      <c r="J4" s="58" t="n">
        <f aca="false">ROUND(AVERAGE(H4:I4),1)</f>
        <v>3.5</v>
      </c>
      <c r="K4" s="59" t="n">
        <v>0.5</v>
      </c>
      <c r="L4" s="58" t="n">
        <f aca="false">J4+K4</f>
        <v>4</v>
      </c>
      <c r="M4" s="60" t="n">
        <f aca="false">IFERROR(INDEX(99_Listas!$C$2:$C$5,MATCH(G4,99_Listas!$B$2:$B$5,0)),0)</f>
        <v>0.07</v>
      </c>
      <c r="N4" s="58" t="n">
        <f aca="false">ROUND(J4*M4,2)</f>
        <v>0.25</v>
      </c>
      <c r="O4" s="58" t="n">
        <f aca="false">ROUND(J4-N4,2)</f>
        <v>3.25</v>
      </c>
      <c r="P4" s="55" t="s">
        <v>227</v>
      </c>
      <c r="Q4" s="54" t="n">
        <v>1</v>
      </c>
      <c r="R4" s="55" t="s">
        <v>165</v>
      </c>
      <c r="S4" s="56" t="s">
        <v>228</v>
      </c>
      <c r="T4" s="56" t="s">
        <v>1984</v>
      </c>
      <c r="U4" s="56"/>
    </row>
    <row r="5" customFormat="false" ht="15" hidden="false" customHeight="true" outlineLevel="0" collapsed="false">
      <c r="A5" s="61" t="n">
        <v>4</v>
      </c>
      <c r="B5" s="62" t="s">
        <v>1979</v>
      </c>
      <c r="C5" s="63" t="s">
        <v>1991</v>
      </c>
      <c r="D5" s="63" t="s">
        <v>1992</v>
      </c>
      <c r="E5" s="57" t="s">
        <v>1993</v>
      </c>
      <c r="F5" s="62" t="s">
        <v>288</v>
      </c>
      <c r="G5" s="62" t="s">
        <v>157</v>
      </c>
      <c r="H5" s="64" t="n">
        <v>2</v>
      </c>
      <c r="I5" s="64" t="n">
        <v>5</v>
      </c>
      <c r="J5" s="64" t="n">
        <f aca="false">ROUND(AVERAGE(H5:I5),1)</f>
        <v>3.5</v>
      </c>
      <c r="K5" s="59" t="n">
        <v>0.5</v>
      </c>
      <c r="L5" s="64" t="n">
        <f aca="false">J5+K5</f>
        <v>4</v>
      </c>
      <c r="M5" s="65" t="n">
        <f aca="false">IFERROR(INDEX(99_Listas!$C$2:$C$5,MATCH(G5,99_Listas!$B$2:$B$5,0)),0)</f>
        <v>0.07</v>
      </c>
      <c r="N5" s="64" t="n">
        <f aca="false">ROUND(J5*M5,2)</f>
        <v>0.25</v>
      </c>
      <c r="O5" s="64" t="n">
        <f aca="false">ROUND(J5-N5,2)</f>
        <v>3.25</v>
      </c>
      <c r="P5" s="62" t="s">
        <v>227</v>
      </c>
      <c r="Q5" s="61" t="n">
        <v>1</v>
      </c>
      <c r="R5" s="62" t="s">
        <v>165</v>
      </c>
      <c r="S5" s="63" t="s">
        <v>248</v>
      </c>
      <c r="T5" s="63" t="s">
        <v>1994</v>
      </c>
      <c r="U5" s="63"/>
    </row>
    <row r="6" customFormat="false" ht="15" hidden="false" customHeight="true" outlineLevel="0" collapsed="false">
      <c r="A6" s="54" t="n">
        <v>5</v>
      </c>
      <c r="B6" s="55" t="s">
        <v>1979</v>
      </c>
      <c r="C6" s="56" t="s">
        <v>1995</v>
      </c>
      <c r="D6" s="56" t="s">
        <v>1996</v>
      </c>
      <c r="E6" s="57" t="s">
        <v>1997</v>
      </c>
      <c r="F6" s="55" t="s">
        <v>288</v>
      </c>
      <c r="G6" s="55" t="s">
        <v>157</v>
      </c>
      <c r="H6" s="58" t="n">
        <v>2</v>
      </c>
      <c r="I6" s="58" t="n">
        <v>4</v>
      </c>
      <c r="J6" s="58" t="n">
        <f aca="false">ROUND(AVERAGE(H6:I6),1)</f>
        <v>3</v>
      </c>
      <c r="K6" s="59" t="n">
        <v>0.5</v>
      </c>
      <c r="L6" s="58" t="n">
        <f aca="false">J6+K6</f>
        <v>3.5</v>
      </c>
      <c r="M6" s="60" t="n">
        <f aca="false">IFERROR(INDEX(99_Listas!$C$2:$C$5,MATCH(G6,99_Listas!$B$2:$B$5,0)),0)</f>
        <v>0.07</v>
      </c>
      <c r="N6" s="58" t="n">
        <f aca="false">ROUND(J6*M6,2)</f>
        <v>0.21</v>
      </c>
      <c r="O6" s="58" t="n">
        <f aca="false">ROUND(J6-N6,2)</f>
        <v>2.79</v>
      </c>
      <c r="P6" s="55" t="s">
        <v>227</v>
      </c>
      <c r="Q6" s="54" t="n">
        <v>1</v>
      </c>
      <c r="R6" s="55" t="s">
        <v>165</v>
      </c>
      <c r="S6" s="56" t="s">
        <v>248</v>
      </c>
      <c r="T6" s="56" t="s">
        <v>1994</v>
      </c>
      <c r="U6" s="56" t="s">
        <v>1998</v>
      </c>
    </row>
    <row r="7" customFormat="false" ht="15" hidden="false" customHeight="true" outlineLevel="0" collapsed="false">
      <c r="A7" s="61" t="n">
        <v>6</v>
      </c>
      <c r="B7" s="62" t="s">
        <v>1979</v>
      </c>
      <c r="C7" s="63" t="s">
        <v>1999</v>
      </c>
      <c r="D7" s="63" t="s">
        <v>2000</v>
      </c>
      <c r="E7" s="57" t="s">
        <v>1997</v>
      </c>
      <c r="F7" s="62" t="s">
        <v>422</v>
      </c>
      <c r="G7" s="62" t="s">
        <v>157</v>
      </c>
      <c r="H7" s="64" t="n">
        <v>3</v>
      </c>
      <c r="I7" s="64" t="n">
        <v>6</v>
      </c>
      <c r="J7" s="64" t="n">
        <f aca="false">ROUND(AVERAGE(H7:I7),1)</f>
        <v>4.5</v>
      </c>
      <c r="K7" s="59" t="n">
        <v>0.5</v>
      </c>
      <c r="L7" s="64" t="n">
        <f aca="false">J7+K7</f>
        <v>5</v>
      </c>
      <c r="M7" s="65" t="n">
        <f aca="false">IFERROR(INDEX(99_Listas!$C$2:$C$5,MATCH(G7,99_Listas!$B$2:$B$5,0)),0)</f>
        <v>0.07</v>
      </c>
      <c r="N7" s="64" t="n">
        <f aca="false">ROUND(J7*M7,2)</f>
        <v>0.32</v>
      </c>
      <c r="O7" s="64" t="n">
        <f aca="false">ROUND(J7-N7,2)</f>
        <v>4.18</v>
      </c>
      <c r="P7" s="62" t="s">
        <v>227</v>
      </c>
      <c r="Q7" s="61" t="n">
        <v>2</v>
      </c>
      <c r="R7" s="62" t="s">
        <v>165</v>
      </c>
      <c r="S7" s="63" t="s">
        <v>248</v>
      </c>
      <c r="T7" s="63" t="s">
        <v>1994</v>
      </c>
      <c r="U7" s="63"/>
    </row>
    <row r="8" customFormat="false" ht="15" hidden="false" customHeight="true" outlineLevel="0" collapsed="false">
      <c r="A8" s="54" t="n">
        <v>7</v>
      </c>
      <c r="B8" s="55" t="s">
        <v>1979</v>
      </c>
      <c r="C8" s="56" t="s">
        <v>1743</v>
      </c>
      <c r="D8" s="56" t="s">
        <v>2001</v>
      </c>
      <c r="E8" s="57" t="s">
        <v>1745</v>
      </c>
      <c r="F8" s="55" t="s">
        <v>288</v>
      </c>
      <c r="G8" s="55" t="s">
        <v>157</v>
      </c>
      <c r="H8" s="58" t="n">
        <v>3</v>
      </c>
      <c r="I8" s="58" t="n">
        <v>7</v>
      </c>
      <c r="J8" s="58" t="n">
        <f aca="false">ROUND(AVERAGE(H8:I8),1)</f>
        <v>5</v>
      </c>
      <c r="K8" s="59" t="n">
        <v>0.5</v>
      </c>
      <c r="L8" s="58" t="n">
        <f aca="false">J8+K8</f>
        <v>5.5</v>
      </c>
      <c r="M8" s="60" t="n">
        <f aca="false">IFERROR(INDEX(99_Listas!$C$2:$C$5,MATCH(G8,99_Listas!$B$2:$B$5,0)),0)</f>
        <v>0.07</v>
      </c>
      <c r="N8" s="58" t="n">
        <f aca="false">ROUND(J8*M8,2)</f>
        <v>0.35</v>
      </c>
      <c r="O8" s="58" t="n">
        <f aca="false">ROUND(J8-N8,2)</f>
        <v>4.65</v>
      </c>
      <c r="P8" s="55" t="s">
        <v>227</v>
      </c>
      <c r="Q8" s="54" t="n">
        <v>2</v>
      </c>
      <c r="R8" s="55" t="s">
        <v>165</v>
      </c>
      <c r="S8" s="56" t="s">
        <v>248</v>
      </c>
      <c r="T8" s="56" t="s">
        <v>1994</v>
      </c>
      <c r="U8" s="56"/>
    </row>
    <row r="9" customFormat="false" ht="15" hidden="false" customHeight="true" outlineLevel="0" collapsed="false">
      <c r="A9" s="61" t="n">
        <v>8</v>
      </c>
      <c r="B9" s="62" t="s">
        <v>1979</v>
      </c>
      <c r="C9" s="63" t="s">
        <v>2002</v>
      </c>
      <c r="D9" s="63" t="s">
        <v>2003</v>
      </c>
      <c r="E9" s="57" t="s">
        <v>2004</v>
      </c>
      <c r="F9" s="62" t="s">
        <v>288</v>
      </c>
      <c r="G9" s="62" t="s">
        <v>157</v>
      </c>
      <c r="H9" s="64" t="n">
        <v>3</v>
      </c>
      <c r="I9" s="64" t="n">
        <v>8</v>
      </c>
      <c r="J9" s="64" t="n">
        <f aca="false">ROUND(AVERAGE(H9:I9),1)</f>
        <v>5.5</v>
      </c>
      <c r="K9" s="59" t="n">
        <v>0.5</v>
      </c>
      <c r="L9" s="64" t="n">
        <f aca="false">J9+K9</f>
        <v>6</v>
      </c>
      <c r="M9" s="65" t="n">
        <f aca="false">IFERROR(INDEX(99_Listas!$C$2:$C$5,MATCH(G9,99_Listas!$B$2:$B$5,0)),0)</f>
        <v>0.07</v>
      </c>
      <c r="N9" s="64" t="n">
        <f aca="false">ROUND(J9*M9,2)</f>
        <v>0.39</v>
      </c>
      <c r="O9" s="64" t="n">
        <f aca="false">ROUND(J9-N9,2)</f>
        <v>5.11</v>
      </c>
      <c r="P9" s="62" t="s">
        <v>227</v>
      </c>
      <c r="Q9" s="61" t="n">
        <v>2</v>
      </c>
      <c r="R9" s="62" t="s">
        <v>165</v>
      </c>
      <c r="S9" s="63" t="s">
        <v>248</v>
      </c>
      <c r="T9" s="63" t="s">
        <v>1994</v>
      </c>
      <c r="U9" s="63"/>
    </row>
    <row r="10" customFormat="false" ht="15" hidden="false" customHeight="true" outlineLevel="0" collapsed="false">
      <c r="A10" s="54" t="n">
        <v>9</v>
      </c>
      <c r="B10" s="55" t="s">
        <v>1979</v>
      </c>
      <c r="C10" s="56" t="s">
        <v>2005</v>
      </c>
      <c r="D10" s="56" t="s">
        <v>2006</v>
      </c>
      <c r="E10" s="57" t="s">
        <v>287</v>
      </c>
      <c r="F10" s="55" t="s">
        <v>422</v>
      </c>
      <c r="G10" s="55" t="s">
        <v>157</v>
      </c>
      <c r="H10" s="58" t="n">
        <v>3</v>
      </c>
      <c r="I10" s="58" t="n">
        <v>6</v>
      </c>
      <c r="J10" s="58" t="n">
        <f aca="false">ROUND(AVERAGE(H10:I10),1)</f>
        <v>4.5</v>
      </c>
      <c r="K10" s="59" t="n">
        <v>0.5</v>
      </c>
      <c r="L10" s="58" t="n">
        <f aca="false">J10+K10</f>
        <v>5</v>
      </c>
      <c r="M10" s="60" t="n">
        <f aca="false">IFERROR(INDEX(99_Listas!$C$2:$C$5,MATCH(G10,99_Listas!$B$2:$B$5,0)),0)</f>
        <v>0.07</v>
      </c>
      <c r="N10" s="58" t="n">
        <f aca="false">ROUND(J10*M10,2)</f>
        <v>0.32</v>
      </c>
      <c r="O10" s="58" t="n">
        <f aca="false">ROUND(J10-N10,2)</f>
        <v>4.18</v>
      </c>
      <c r="P10" s="55" t="s">
        <v>227</v>
      </c>
      <c r="Q10" s="54" t="n">
        <v>2</v>
      </c>
      <c r="R10" s="55" t="s">
        <v>276</v>
      </c>
      <c r="S10" s="56" t="s">
        <v>228</v>
      </c>
      <c r="T10" s="56" t="s">
        <v>1984</v>
      </c>
      <c r="U10" s="56"/>
    </row>
    <row r="11" customFormat="false" ht="15" hidden="false" customHeight="true" outlineLevel="0" collapsed="false">
      <c r="A11" s="61" t="n">
        <v>10</v>
      </c>
      <c r="B11" s="62" t="s">
        <v>1979</v>
      </c>
      <c r="C11" s="63" t="s">
        <v>2007</v>
      </c>
      <c r="D11" s="63" t="s">
        <v>2008</v>
      </c>
      <c r="E11" s="57" t="s">
        <v>781</v>
      </c>
      <c r="F11" s="62" t="s">
        <v>288</v>
      </c>
      <c r="G11" s="62" t="s">
        <v>157</v>
      </c>
      <c r="H11" s="64" t="n">
        <v>2</v>
      </c>
      <c r="I11" s="64" t="n">
        <v>5</v>
      </c>
      <c r="J11" s="64" t="n">
        <f aca="false">ROUND(AVERAGE(H11:I11),1)</f>
        <v>3.5</v>
      </c>
      <c r="K11" s="59" t="n">
        <v>0.5</v>
      </c>
      <c r="L11" s="64" t="n">
        <f aca="false">J11+K11</f>
        <v>4</v>
      </c>
      <c r="M11" s="65" t="n">
        <f aca="false">IFERROR(INDEX(99_Listas!$C$2:$C$5,MATCH(G11,99_Listas!$B$2:$B$5,0)),0)</f>
        <v>0.07</v>
      </c>
      <c r="N11" s="64" t="n">
        <f aca="false">ROUND(J11*M11,2)</f>
        <v>0.25</v>
      </c>
      <c r="O11" s="64" t="n">
        <f aca="false">ROUND(J11-N11,2)</f>
        <v>3.25</v>
      </c>
      <c r="P11" s="62" t="s">
        <v>227</v>
      </c>
      <c r="Q11" s="61" t="n">
        <v>1</v>
      </c>
      <c r="R11" s="62" t="s">
        <v>165</v>
      </c>
      <c r="S11" s="63" t="s">
        <v>248</v>
      </c>
      <c r="T11" s="63" t="s">
        <v>1994</v>
      </c>
      <c r="U11" s="63"/>
    </row>
    <row r="12" customFormat="false" ht="15" hidden="false" customHeight="true" outlineLevel="0" collapsed="false">
      <c r="A12" s="54" t="n">
        <v>11</v>
      </c>
      <c r="B12" s="55" t="s">
        <v>1979</v>
      </c>
      <c r="C12" s="56" t="s">
        <v>2009</v>
      </c>
      <c r="D12" s="56" t="s">
        <v>2010</v>
      </c>
      <c r="E12" s="57" t="s">
        <v>274</v>
      </c>
      <c r="F12" s="55" t="s">
        <v>2011</v>
      </c>
      <c r="G12" s="55" t="s">
        <v>157</v>
      </c>
      <c r="H12" s="58" t="n">
        <v>1.5</v>
      </c>
      <c r="I12" s="58" t="n">
        <v>4</v>
      </c>
      <c r="J12" s="58" t="n">
        <f aca="false">ROUND(AVERAGE(H12:I12),1)</f>
        <v>2.8</v>
      </c>
      <c r="K12" s="59" t="n">
        <v>0.5</v>
      </c>
      <c r="L12" s="58" t="n">
        <f aca="false">J12+K12</f>
        <v>3.3</v>
      </c>
      <c r="M12" s="60" t="n">
        <f aca="false">IFERROR(INDEX(99_Listas!$C$2:$C$5,MATCH(G12,99_Listas!$B$2:$B$5,0)),0)</f>
        <v>0.07</v>
      </c>
      <c r="N12" s="58" t="n">
        <f aca="false">ROUND(J12*M12,2)</f>
        <v>0.2</v>
      </c>
      <c r="O12" s="58" t="n">
        <f aca="false">ROUND(J12-N12,2)</f>
        <v>2.6</v>
      </c>
      <c r="P12" s="55" t="s">
        <v>360</v>
      </c>
      <c r="Q12" s="54" t="n">
        <v>1</v>
      </c>
      <c r="R12" s="55" t="s">
        <v>165</v>
      </c>
      <c r="S12" s="56" t="s">
        <v>228</v>
      </c>
      <c r="T12" s="56" t="s">
        <v>1994</v>
      </c>
      <c r="U12" s="56"/>
    </row>
    <row r="13" customFormat="false" ht="15" hidden="false" customHeight="true" outlineLevel="0" collapsed="false">
      <c r="A13" s="61" t="n">
        <v>12</v>
      </c>
      <c r="B13" s="62" t="s">
        <v>1979</v>
      </c>
      <c r="C13" s="63" t="s">
        <v>2012</v>
      </c>
      <c r="D13" s="63" t="s">
        <v>2013</v>
      </c>
      <c r="E13" s="57" t="s">
        <v>449</v>
      </c>
      <c r="F13" s="62" t="s">
        <v>288</v>
      </c>
      <c r="G13" s="62" t="s">
        <v>157</v>
      </c>
      <c r="H13" s="64" t="n">
        <v>2</v>
      </c>
      <c r="I13" s="64" t="n">
        <v>5</v>
      </c>
      <c r="J13" s="64" t="n">
        <f aca="false">ROUND(AVERAGE(H13:I13),1)</f>
        <v>3.5</v>
      </c>
      <c r="K13" s="59" t="n">
        <v>0.5</v>
      </c>
      <c r="L13" s="64" t="n">
        <f aca="false">J13+K13</f>
        <v>4</v>
      </c>
      <c r="M13" s="65" t="n">
        <f aca="false">IFERROR(INDEX(99_Listas!$C$2:$C$5,MATCH(G13,99_Listas!$B$2:$B$5,0)),0)</f>
        <v>0.07</v>
      </c>
      <c r="N13" s="64" t="n">
        <f aca="false">ROUND(J13*M13,2)</f>
        <v>0.25</v>
      </c>
      <c r="O13" s="64" t="n">
        <f aca="false">ROUND(J13-N13,2)</f>
        <v>3.25</v>
      </c>
      <c r="P13" s="62" t="s">
        <v>360</v>
      </c>
      <c r="Q13" s="61" t="n">
        <v>2</v>
      </c>
      <c r="R13" s="62" t="s">
        <v>165</v>
      </c>
      <c r="S13" s="63" t="s">
        <v>228</v>
      </c>
      <c r="T13" s="63" t="s">
        <v>1994</v>
      </c>
      <c r="U13" s="63"/>
    </row>
    <row r="14" customFormat="false" ht="15" hidden="false" customHeight="true" outlineLevel="0" collapsed="false">
      <c r="A14" s="54" t="n">
        <v>13</v>
      </c>
      <c r="B14" s="55" t="s">
        <v>1979</v>
      </c>
      <c r="C14" s="56" t="s">
        <v>2014</v>
      </c>
      <c r="D14" s="56" t="s">
        <v>2015</v>
      </c>
      <c r="E14" s="57" t="s">
        <v>284</v>
      </c>
      <c r="F14" s="55" t="s">
        <v>288</v>
      </c>
      <c r="G14" s="55" t="s">
        <v>157</v>
      </c>
      <c r="H14" s="58" t="n">
        <v>2</v>
      </c>
      <c r="I14" s="58" t="n">
        <v>6</v>
      </c>
      <c r="J14" s="58" t="n">
        <f aca="false">ROUND(AVERAGE(H14:I14),1)</f>
        <v>4</v>
      </c>
      <c r="K14" s="59" t="n">
        <v>0.5</v>
      </c>
      <c r="L14" s="58" t="n">
        <f aca="false">J14+K14</f>
        <v>4.5</v>
      </c>
      <c r="M14" s="60" t="n">
        <f aca="false">IFERROR(INDEX(99_Listas!$C$2:$C$5,MATCH(G14,99_Listas!$B$2:$B$5,0)),0)</f>
        <v>0.07</v>
      </c>
      <c r="N14" s="58" t="n">
        <f aca="false">ROUND(J14*M14,2)</f>
        <v>0.28</v>
      </c>
      <c r="O14" s="58" t="n">
        <f aca="false">ROUND(J14-N14,2)</f>
        <v>3.72</v>
      </c>
      <c r="P14" s="55" t="s">
        <v>227</v>
      </c>
      <c r="Q14" s="54" t="n">
        <v>2</v>
      </c>
      <c r="R14" s="55" t="s">
        <v>165</v>
      </c>
      <c r="S14" s="56" t="s">
        <v>248</v>
      </c>
      <c r="T14" s="56" t="s">
        <v>1994</v>
      </c>
      <c r="U14" s="56"/>
    </row>
    <row r="15" customFormat="false" ht="15" hidden="false" customHeight="true" outlineLevel="0" collapsed="false">
      <c r="A15" s="61" t="n">
        <v>14</v>
      </c>
      <c r="B15" s="62" t="s">
        <v>2016</v>
      </c>
      <c r="C15" s="63" t="s">
        <v>2017</v>
      </c>
      <c r="D15" s="63" t="s">
        <v>1705</v>
      </c>
      <c r="E15" s="57" t="s">
        <v>1706</v>
      </c>
      <c r="F15" s="62" t="s">
        <v>422</v>
      </c>
      <c r="G15" s="62" t="s">
        <v>157</v>
      </c>
      <c r="H15" s="64" t="n">
        <v>3</v>
      </c>
      <c r="I15" s="64" t="n">
        <v>7</v>
      </c>
      <c r="J15" s="64" t="n">
        <f aca="false">ROUND(AVERAGE(H15:I15),1)</f>
        <v>5</v>
      </c>
      <c r="K15" s="59" t="n">
        <v>0.5</v>
      </c>
      <c r="L15" s="64" t="n">
        <f aca="false">J15+K15</f>
        <v>5.5</v>
      </c>
      <c r="M15" s="65" t="n">
        <f aca="false">IFERROR(INDEX(99_Listas!$C$2:$C$5,MATCH(G15,99_Listas!$B$2:$B$5,0)),0)</f>
        <v>0.07</v>
      </c>
      <c r="N15" s="64" t="n">
        <f aca="false">ROUND(J15*M15,2)</f>
        <v>0.35</v>
      </c>
      <c r="O15" s="64" t="n">
        <f aca="false">ROUND(J15-N15,2)</f>
        <v>4.65</v>
      </c>
      <c r="P15" s="62" t="s">
        <v>275</v>
      </c>
      <c r="Q15" s="61" t="n">
        <v>3</v>
      </c>
      <c r="R15" s="62" t="s">
        <v>276</v>
      </c>
      <c r="S15" s="63" t="s">
        <v>228</v>
      </c>
      <c r="T15" s="63" t="s">
        <v>1984</v>
      </c>
      <c r="U15" s="63" t="s">
        <v>2018</v>
      </c>
    </row>
    <row r="16" customFormat="false" ht="15" hidden="false" customHeight="true" outlineLevel="0" collapsed="false">
      <c r="A16" s="54" t="n">
        <v>15</v>
      </c>
      <c r="B16" s="55" t="s">
        <v>2016</v>
      </c>
      <c r="C16" s="56" t="s">
        <v>2019</v>
      </c>
      <c r="D16" s="56" t="s">
        <v>1692</v>
      </c>
      <c r="E16" s="57" t="s">
        <v>1693</v>
      </c>
      <c r="F16" s="55" t="s">
        <v>422</v>
      </c>
      <c r="G16" s="55" t="s">
        <v>157</v>
      </c>
      <c r="H16" s="58" t="n">
        <v>3</v>
      </c>
      <c r="I16" s="58" t="n">
        <v>6</v>
      </c>
      <c r="J16" s="58" t="n">
        <f aca="false">ROUND(AVERAGE(H16:I16),1)</f>
        <v>4.5</v>
      </c>
      <c r="K16" s="59" t="n">
        <v>0.5</v>
      </c>
      <c r="L16" s="58" t="n">
        <f aca="false">J16+K16</f>
        <v>5</v>
      </c>
      <c r="M16" s="60" t="n">
        <f aca="false">IFERROR(INDEX(99_Listas!$C$2:$C$5,MATCH(G16,99_Listas!$B$2:$B$5,0)),0)</f>
        <v>0.07</v>
      </c>
      <c r="N16" s="58" t="n">
        <f aca="false">ROUND(J16*M16,2)</f>
        <v>0.32</v>
      </c>
      <c r="O16" s="58" t="n">
        <f aca="false">ROUND(J16-N16,2)</f>
        <v>4.18</v>
      </c>
      <c r="P16" s="55" t="s">
        <v>275</v>
      </c>
      <c r="Q16" s="54" t="n">
        <v>3</v>
      </c>
      <c r="R16" s="55" t="s">
        <v>276</v>
      </c>
      <c r="S16" s="56" t="s">
        <v>228</v>
      </c>
      <c r="T16" s="56" t="s">
        <v>1994</v>
      </c>
      <c r="U16" s="56"/>
    </row>
    <row r="17" customFormat="false" ht="15" hidden="false" customHeight="true" outlineLevel="0" collapsed="false">
      <c r="A17" s="61" t="n">
        <v>16</v>
      </c>
      <c r="B17" s="62" t="s">
        <v>2016</v>
      </c>
      <c r="C17" s="63" t="s">
        <v>1701</v>
      </c>
      <c r="D17" s="63" t="s">
        <v>2020</v>
      </c>
      <c r="E17" s="57" t="s">
        <v>1703</v>
      </c>
      <c r="F17" s="62" t="s">
        <v>422</v>
      </c>
      <c r="G17" s="62" t="s">
        <v>157</v>
      </c>
      <c r="H17" s="64" t="n">
        <v>3</v>
      </c>
      <c r="I17" s="64" t="n">
        <v>7</v>
      </c>
      <c r="J17" s="64" t="n">
        <f aca="false">ROUND(AVERAGE(H17:I17),1)</f>
        <v>5</v>
      </c>
      <c r="K17" s="59" t="n">
        <v>0.5</v>
      </c>
      <c r="L17" s="64" t="n">
        <f aca="false">J17+K17</f>
        <v>5.5</v>
      </c>
      <c r="M17" s="65" t="n">
        <f aca="false">IFERROR(INDEX(99_Listas!$C$2:$C$5,MATCH(G17,99_Listas!$B$2:$B$5,0)),0)</f>
        <v>0.07</v>
      </c>
      <c r="N17" s="64" t="n">
        <f aca="false">ROUND(J17*M17,2)</f>
        <v>0.35</v>
      </c>
      <c r="O17" s="64" t="n">
        <f aca="false">ROUND(J17-N17,2)</f>
        <v>4.65</v>
      </c>
      <c r="P17" s="62" t="s">
        <v>275</v>
      </c>
      <c r="Q17" s="61" t="n">
        <v>3</v>
      </c>
      <c r="R17" s="62" t="s">
        <v>276</v>
      </c>
      <c r="S17" s="63" t="s">
        <v>228</v>
      </c>
      <c r="T17" s="63" t="s">
        <v>1994</v>
      </c>
      <c r="U17" s="63"/>
    </row>
    <row r="18" customFormat="false" ht="15" hidden="false" customHeight="true" outlineLevel="0" collapsed="false">
      <c r="A18" s="54" t="n">
        <v>17</v>
      </c>
      <c r="B18" s="55" t="s">
        <v>2016</v>
      </c>
      <c r="C18" s="56" t="s">
        <v>2021</v>
      </c>
      <c r="D18" s="56" t="s">
        <v>2022</v>
      </c>
      <c r="E18" s="57" t="s">
        <v>1700</v>
      </c>
      <c r="F18" s="55" t="s">
        <v>422</v>
      </c>
      <c r="G18" s="55" t="s">
        <v>157</v>
      </c>
      <c r="H18" s="58" t="n">
        <v>3</v>
      </c>
      <c r="I18" s="58" t="n">
        <v>7</v>
      </c>
      <c r="J18" s="58" t="n">
        <f aca="false">ROUND(AVERAGE(H18:I18),1)</f>
        <v>5</v>
      </c>
      <c r="K18" s="59" t="n">
        <v>0.5</v>
      </c>
      <c r="L18" s="58" t="n">
        <f aca="false">J18+K18</f>
        <v>5.5</v>
      </c>
      <c r="M18" s="60" t="n">
        <f aca="false">IFERROR(INDEX(99_Listas!$C$2:$C$5,MATCH(G18,99_Listas!$B$2:$B$5,0)),0)</f>
        <v>0.07</v>
      </c>
      <c r="N18" s="58" t="n">
        <f aca="false">ROUND(J18*M18,2)</f>
        <v>0.35</v>
      </c>
      <c r="O18" s="58" t="n">
        <f aca="false">ROUND(J18-N18,2)</f>
        <v>4.65</v>
      </c>
      <c r="P18" s="55" t="s">
        <v>275</v>
      </c>
      <c r="Q18" s="54" t="n">
        <v>3</v>
      </c>
      <c r="R18" s="55" t="s">
        <v>276</v>
      </c>
      <c r="S18" s="56" t="s">
        <v>228</v>
      </c>
      <c r="T18" s="56" t="s">
        <v>1994</v>
      </c>
      <c r="U18" s="56" t="s">
        <v>2023</v>
      </c>
    </row>
    <row r="19" customFormat="false" ht="15" hidden="false" customHeight="true" outlineLevel="0" collapsed="false">
      <c r="A19" s="61" t="n">
        <v>18</v>
      </c>
      <c r="B19" s="62" t="s">
        <v>2016</v>
      </c>
      <c r="C19" s="63" t="s">
        <v>2024</v>
      </c>
      <c r="D19" s="63" t="s">
        <v>2025</v>
      </c>
      <c r="E19" s="57" t="s">
        <v>1706</v>
      </c>
      <c r="F19" s="62" t="s">
        <v>1707</v>
      </c>
      <c r="G19" s="62" t="s">
        <v>157</v>
      </c>
      <c r="H19" s="64" t="n">
        <v>5</v>
      </c>
      <c r="I19" s="64" t="n">
        <v>10</v>
      </c>
      <c r="J19" s="64" t="n">
        <f aca="false">ROUND(AVERAGE(H19:I19),1)</f>
        <v>7.5</v>
      </c>
      <c r="K19" s="59" t="n">
        <v>0.5</v>
      </c>
      <c r="L19" s="64" t="n">
        <f aca="false">J19+K19</f>
        <v>8</v>
      </c>
      <c r="M19" s="65" t="n">
        <f aca="false">IFERROR(INDEX(99_Listas!$C$2:$C$5,MATCH(G19,99_Listas!$B$2:$B$5,0)),0)</f>
        <v>0.07</v>
      </c>
      <c r="N19" s="64" t="n">
        <f aca="false">ROUND(J19*M19,2)</f>
        <v>0.53</v>
      </c>
      <c r="O19" s="64" t="n">
        <f aca="false">ROUND(J19-N19,2)</f>
        <v>6.97</v>
      </c>
      <c r="P19" s="62" t="s">
        <v>275</v>
      </c>
      <c r="Q19" s="61" t="n">
        <v>4</v>
      </c>
      <c r="R19" s="62" t="s">
        <v>276</v>
      </c>
      <c r="S19" s="63" t="s">
        <v>228</v>
      </c>
      <c r="T19" s="63" t="s">
        <v>1984</v>
      </c>
      <c r="U19" s="63"/>
    </row>
    <row r="20" customFormat="false" ht="15" hidden="false" customHeight="true" outlineLevel="0" collapsed="false">
      <c r="A20" s="54" t="n">
        <v>19</v>
      </c>
      <c r="B20" s="55" t="s">
        <v>2016</v>
      </c>
      <c r="C20" s="56" t="s">
        <v>2026</v>
      </c>
      <c r="D20" s="56" t="s">
        <v>1739</v>
      </c>
      <c r="E20" s="57" t="s">
        <v>1740</v>
      </c>
      <c r="F20" s="55" t="s">
        <v>288</v>
      </c>
      <c r="G20" s="55" t="s">
        <v>157</v>
      </c>
      <c r="H20" s="58" t="n">
        <v>3</v>
      </c>
      <c r="I20" s="58" t="n">
        <v>6</v>
      </c>
      <c r="J20" s="58" t="n">
        <f aca="false">ROUND(AVERAGE(H20:I20),1)</f>
        <v>4.5</v>
      </c>
      <c r="K20" s="59" t="n">
        <v>0.5</v>
      </c>
      <c r="L20" s="58" t="n">
        <f aca="false">J20+K20</f>
        <v>5</v>
      </c>
      <c r="M20" s="60" t="n">
        <f aca="false">IFERROR(INDEX(99_Listas!$C$2:$C$5,MATCH(G20,99_Listas!$B$2:$B$5,0)),0)</f>
        <v>0.07</v>
      </c>
      <c r="N20" s="58" t="n">
        <f aca="false">ROUND(J20*M20,2)</f>
        <v>0.32</v>
      </c>
      <c r="O20" s="58" t="n">
        <f aca="false">ROUND(J20-N20,2)</f>
        <v>4.18</v>
      </c>
      <c r="P20" s="55" t="s">
        <v>247</v>
      </c>
      <c r="Q20" s="54" t="n">
        <v>3</v>
      </c>
      <c r="R20" s="55" t="s">
        <v>276</v>
      </c>
      <c r="S20" s="56" t="s">
        <v>228</v>
      </c>
      <c r="T20" s="56" t="s">
        <v>1994</v>
      </c>
      <c r="U20" s="56"/>
    </row>
    <row r="21" customFormat="false" ht="15" hidden="false" customHeight="true" outlineLevel="0" collapsed="false">
      <c r="A21" s="61" t="n">
        <v>20</v>
      </c>
      <c r="B21" s="62" t="s">
        <v>2016</v>
      </c>
      <c r="C21" s="63" t="s">
        <v>2027</v>
      </c>
      <c r="D21" s="63" t="s">
        <v>1742</v>
      </c>
      <c r="E21" s="57" t="s">
        <v>2028</v>
      </c>
      <c r="F21" s="62" t="s">
        <v>288</v>
      </c>
      <c r="G21" s="62" t="s">
        <v>157</v>
      </c>
      <c r="H21" s="64" t="n">
        <v>3</v>
      </c>
      <c r="I21" s="64" t="n">
        <v>6</v>
      </c>
      <c r="J21" s="64" t="n">
        <f aca="false">ROUND(AVERAGE(H21:I21),1)</f>
        <v>4.5</v>
      </c>
      <c r="K21" s="59" t="n">
        <v>0.5</v>
      </c>
      <c r="L21" s="64" t="n">
        <f aca="false">J21+K21</f>
        <v>5</v>
      </c>
      <c r="M21" s="65" t="n">
        <f aca="false">IFERROR(INDEX(99_Listas!$C$2:$C$5,MATCH(G21,99_Listas!$B$2:$B$5,0)),0)</f>
        <v>0.07</v>
      </c>
      <c r="N21" s="64" t="n">
        <f aca="false">ROUND(J21*M21,2)</f>
        <v>0.32</v>
      </c>
      <c r="O21" s="64" t="n">
        <f aca="false">ROUND(J21-N21,2)</f>
        <v>4.18</v>
      </c>
      <c r="P21" s="62" t="s">
        <v>247</v>
      </c>
      <c r="Q21" s="61" t="n">
        <v>3</v>
      </c>
      <c r="R21" s="62" t="s">
        <v>276</v>
      </c>
      <c r="S21" s="63" t="s">
        <v>228</v>
      </c>
      <c r="T21" s="63" t="s">
        <v>1994</v>
      </c>
      <c r="U21" s="63"/>
    </row>
    <row r="22" customFormat="false" ht="15" hidden="false" customHeight="true" outlineLevel="0" collapsed="false">
      <c r="A22" s="54" t="n">
        <v>21</v>
      </c>
      <c r="B22" s="55" t="s">
        <v>2016</v>
      </c>
      <c r="C22" s="56" t="s">
        <v>2029</v>
      </c>
      <c r="D22" s="56" t="s">
        <v>1913</v>
      </c>
      <c r="E22" s="57" t="s">
        <v>2028</v>
      </c>
      <c r="F22" s="55" t="s">
        <v>422</v>
      </c>
      <c r="G22" s="55" t="s">
        <v>157</v>
      </c>
      <c r="H22" s="58" t="n">
        <v>4</v>
      </c>
      <c r="I22" s="58" t="n">
        <v>8</v>
      </c>
      <c r="J22" s="58" t="n">
        <f aca="false">ROUND(AVERAGE(H22:I22),1)</f>
        <v>6</v>
      </c>
      <c r="K22" s="59" t="n">
        <v>0.5</v>
      </c>
      <c r="L22" s="58" t="n">
        <f aca="false">J22+K22</f>
        <v>6.5</v>
      </c>
      <c r="M22" s="60" t="n">
        <f aca="false">IFERROR(INDEX(99_Listas!$C$2:$C$5,MATCH(G22,99_Listas!$B$2:$B$5,0)),0)</f>
        <v>0.07</v>
      </c>
      <c r="N22" s="58" t="n">
        <f aca="false">ROUND(J22*M22,2)</f>
        <v>0.42</v>
      </c>
      <c r="O22" s="58" t="n">
        <f aca="false">ROUND(J22-N22,2)</f>
        <v>5.58</v>
      </c>
      <c r="P22" s="55" t="s">
        <v>275</v>
      </c>
      <c r="Q22" s="54" t="n">
        <v>4</v>
      </c>
      <c r="R22" s="55" t="s">
        <v>276</v>
      </c>
      <c r="S22" s="56" t="s">
        <v>228</v>
      </c>
      <c r="T22" s="56" t="s">
        <v>1984</v>
      </c>
      <c r="U22" s="56"/>
    </row>
    <row r="23" customFormat="false" ht="15" hidden="false" customHeight="true" outlineLevel="0" collapsed="false">
      <c r="A23" s="61" t="n">
        <v>22</v>
      </c>
      <c r="B23" s="62" t="s">
        <v>2016</v>
      </c>
      <c r="C23" s="63" t="s">
        <v>2030</v>
      </c>
      <c r="D23" s="63" t="s">
        <v>2031</v>
      </c>
      <c r="E23" s="57" t="s">
        <v>1722</v>
      </c>
      <c r="F23" s="62" t="s">
        <v>422</v>
      </c>
      <c r="G23" s="62" t="s">
        <v>157</v>
      </c>
      <c r="H23" s="64" t="n">
        <v>3</v>
      </c>
      <c r="I23" s="64" t="n">
        <v>7</v>
      </c>
      <c r="J23" s="64" t="n">
        <f aca="false">ROUND(AVERAGE(H23:I23),1)</f>
        <v>5</v>
      </c>
      <c r="K23" s="59" t="n">
        <v>0.5</v>
      </c>
      <c r="L23" s="64" t="n">
        <f aca="false">J23+K23</f>
        <v>5.5</v>
      </c>
      <c r="M23" s="65" t="n">
        <f aca="false">IFERROR(INDEX(99_Listas!$C$2:$C$5,MATCH(G23,99_Listas!$B$2:$B$5,0)),0)</f>
        <v>0.07</v>
      </c>
      <c r="N23" s="64" t="n">
        <f aca="false">ROUND(J23*M23,2)</f>
        <v>0.35</v>
      </c>
      <c r="O23" s="64" t="n">
        <f aca="false">ROUND(J23-N23,2)</f>
        <v>4.65</v>
      </c>
      <c r="P23" s="62" t="s">
        <v>275</v>
      </c>
      <c r="Q23" s="61" t="n">
        <v>3</v>
      </c>
      <c r="R23" s="62" t="s">
        <v>276</v>
      </c>
      <c r="S23" s="63" t="s">
        <v>228</v>
      </c>
      <c r="T23" s="63" t="s">
        <v>1994</v>
      </c>
      <c r="U23" s="63"/>
    </row>
    <row r="24" customFormat="false" ht="23.25" hidden="false" customHeight="true" outlineLevel="0" collapsed="false">
      <c r="A24" s="54" t="n">
        <v>23</v>
      </c>
      <c r="B24" s="55" t="s">
        <v>2032</v>
      </c>
      <c r="C24" s="56" t="s">
        <v>2033</v>
      </c>
      <c r="D24" s="56" t="s">
        <v>2034</v>
      </c>
      <c r="E24" s="57" t="s">
        <v>293</v>
      </c>
      <c r="F24" s="55" t="s">
        <v>294</v>
      </c>
      <c r="G24" s="55" t="s">
        <v>157</v>
      </c>
      <c r="H24" s="58" t="n">
        <v>4</v>
      </c>
      <c r="I24" s="58" t="n">
        <v>9</v>
      </c>
      <c r="J24" s="58" t="n">
        <f aca="false">ROUND(AVERAGE(H24:I24),1)</f>
        <v>6.5</v>
      </c>
      <c r="K24" s="59" t="n">
        <v>0.5</v>
      </c>
      <c r="L24" s="58" t="n">
        <f aca="false">J24+K24</f>
        <v>7</v>
      </c>
      <c r="M24" s="60" t="n">
        <f aca="false">IFERROR(INDEX(99_Listas!$C$2:$C$5,MATCH(G24,99_Listas!$B$2:$B$5,0)),0)</f>
        <v>0.07</v>
      </c>
      <c r="N24" s="58" t="n">
        <f aca="false">ROUND(J24*M24,2)</f>
        <v>0.46</v>
      </c>
      <c r="O24" s="58" t="n">
        <f aca="false">ROUND(J24-N24,2)</f>
        <v>6.04</v>
      </c>
      <c r="P24" s="55" t="s">
        <v>247</v>
      </c>
      <c r="Q24" s="54" t="n">
        <v>2</v>
      </c>
      <c r="R24" s="55" t="s">
        <v>276</v>
      </c>
      <c r="S24" s="56" t="s">
        <v>228</v>
      </c>
      <c r="T24" s="56" t="s">
        <v>1994</v>
      </c>
      <c r="U24" s="56" t="s">
        <v>2035</v>
      </c>
    </row>
    <row r="25" customFormat="false" ht="15" hidden="false" customHeight="true" outlineLevel="0" collapsed="false">
      <c r="A25" s="61" t="n">
        <v>24</v>
      </c>
      <c r="B25" s="62" t="s">
        <v>2032</v>
      </c>
      <c r="C25" s="63" t="s">
        <v>2036</v>
      </c>
      <c r="D25" s="63" t="s">
        <v>2037</v>
      </c>
      <c r="E25" s="57" t="s">
        <v>309</v>
      </c>
      <c r="F25" s="62" t="s">
        <v>294</v>
      </c>
      <c r="G25" s="62" t="s">
        <v>157</v>
      </c>
      <c r="H25" s="64" t="n">
        <v>2</v>
      </c>
      <c r="I25" s="64" t="n">
        <v>5</v>
      </c>
      <c r="J25" s="64" t="n">
        <f aca="false">ROUND(AVERAGE(H25:I25),1)</f>
        <v>3.5</v>
      </c>
      <c r="K25" s="59" t="n">
        <v>0.5</v>
      </c>
      <c r="L25" s="64" t="n">
        <f aca="false">J25+K25</f>
        <v>4</v>
      </c>
      <c r="M25" s="65" t="n">
        <f aca="false">IFERROR(INDEX(99_Listas!$C$2:$C$5,MATCH(G25,99_Listas!$B$2:$B$5,0)),0)</f>
        <v>0.07</v>
      </c>
      <c r="N25" s="64" t="n">
        <f aca="false">ROUND(J25*M25,2)</f>
        <v>0.25</v>
      </c>
      <c r="O25" s="64" t="n">
        <f aca="false">ROUND(J25-N25,2)</f>
        <v>3.25</v>
      </c>
      <c r="P25" s="62" t="s">
        <v>247</v>
      </c>
      <c r="Q25" s="61" t="n">
        <v>3</v>
      </c>
      <c r="R25" s="62" t="s">
        <v>276</v>
      </c>
      <c r="S25" s="63" t="s">
        <v>228</v>
      </c>
      <c r="T25" s="63" t="s">
        <v>1994</v>
      </c>
      <c r="U25" s="63"/>
    </row>
    <row r="26" customFormat="false" ht="15" hidden="false" customHeight="true" outlineLevel="0" collapsed="false">
      <c r="A26" s="54" t="n">
        <v>25</v>
      </c>
      <c r="B26" s="55" t="s">
        <v>2032</v>
      </c>
      <c r="C26" s="56" t="s">
        <v>2038</v>
      </c>
      <c r="D26" s="56" t="s">
        <v>2039</v>
      </c>
      <c r="E26" s="57" t="s">
        <v>2040</v>
      </c>
      <c r="F26" s="55" t="s">
        <v>294</v>
      </c>
      <c r="G26" s="55" t="s">
        <v>157</v>
      </c>
      <c r="H26" s="58" t="n">
        <v>2</v>
      </c>
      <c r="I26" s="58" t="n">
        <v>5</v>
      </c>
      <c r="J26" s="58" t="n">
        <f aca="false">ROUND(AVERAGE(H26:I26),1)</f>
        <v>3.5</v>
      </c>
      <c r="K26" s="59" t="n">
        <v>0.5</v>
      </c>
      <c r="L26" s="58" t="n">
        <f aca="false">J26+K26</f>
        <v>4</v>
      </c>
      <c r="M26" s="60" t="n">
        <f aca="false">IFERROR(INDEX(99_Listas!$C$2:$C$5,MATCH(G26,99_Listas!$B$2:$B$5,0)),0)</f>
        <v>0.07</v>
      </c>
      <c r="N26" s="58" t="n">
        <f aca="false">ROUND(J26*M26,2)</f>
        <v>0.25</v>
      </c>
      <c r="O26" s="58" t="n">
        <f aca="false">ROUND(J26-N26,2)</f>
        <v>3.25</v>
      </c>
      <c r="P26" s="55" t="s">
        <v>247</v>
      </c>
      <c r="Q26" s="54" t="n">
        <v>2</v>
      </c>
      <c r="R26" s="55" t="s">
        <v>276</v>
      </c>
      <c r="S26" s="56" t="s">
        <v>228</v>
      </c>
      <c r="T26" s="56" t="s">
        <v>1994</v>
      </c>
      <c r="U26" s="56"/>
    </row>
    <row r="27" customFormat="false" ht="15" hidden="false" customHeight="true" outlineLevel="0" collapsed="false">
      <c r="A27" s="61" t="n">
        <v>26</v>
      </c>
      <c r="B27" s="62" t="s">
        <v>2032</v>
      </c>
      <c r="C27" s="63" t="s">
        <v>432</v>
      </c>
      <c r="D27" s="63" t="s">
        <v>918</v>
      </c>
      <c r="E27" s="57" t="s">
        <v>434</v>
      </c>
      <c r="F27" s="62" t="s">
        <v>294</v>
      </c>
      <c r="G27" s="62" t="s">
        <v>157</v>
      </c>
      <c r="H27" s="64" t="n">
        <v>3</v>
      </c>
      <c r="I27" s="64" t="n">
        <v>7</v>
      </c>
      <c r="J27" s="64" t="n">
        <f aca="false">ROUND(AVERAGE(H27:I27),1)</f>
        <v>5</v>
      </c>
      <c r="K27" s="59" t="n">
        <v>0.5</v>
      </c>
      <c r="L27" s="64" t="n">
        <f aca="false">J27+K27</f>
        <v>5.5</v>
      </c>
      <c r="M27" s="65" t="n">
        <f aca="false">IFERROR(INDEX(99_Listas!$C$2:$C$5,MATCH(G27,99_Listas!$B$2:$B$5,0)),0)</f>
        <v>0.07</v>
      </c>
      <c r="N27" s="64" t="n">
        <f aca="false">ROUND(J27*M27,2)</f>
        <v>0.35</v>
      </c>
      <c r="O27" s="64" t="n">
        <f aca="false">ROUND(J27-N27,2)</f>
        <v>4.65</v>
      </c>
      <c r="P27" s="62" t="s">
        <v>247</v>
      </c>
      <c r="Q27" s="61" t="n">
        <v>3</v>
      </c>
      <c r="R27" s="62" t="s">
        <v>276</v>
      </c>
      <c r="S27" s="63" t="s">
        <v>228</v>
      </c>
      <c r="T27" s="63" t="s">
        <v>1984</v>
      </c>
      <c r="U27" s="63"/>
    </row>
    <row r="28" customFormat="false" ht="15" hidden="false" customHeight="true" outlineLevel="0" collapsed="false">
      <c r="A28" s="54" t="n">
        <v>27</v>
      </c>
      <c r="B28" s="55" t="s">
        <v>2032</v>
      </c>
      <c r="C28" s="56" t="s">
        <v>2041</v>
      </c>
      <c r="D28" s="56" t="s">
        <v>2042</v>
      </c>
      <c r="E28" s="57" t="s">
        <v>1142</v>
      </c>
      <c r="F28" s="55" t="s">
        <v>294</v>
      </c>
      <c r="G28" s="55" t="s">
        <v>157</v>
      </c>
      <c r="H28" s="58" t="n">
        <v>2</v>
      </c>
      <c r="I28" s="58" t="n">
        <v>5</v>
      </c>
      <c r="J28" s="58" t="n">
        <f aca="false">ROUND(AVERAGE(H28:I28),1)</f>
        <v>3.5</v>
      </c>
      <c r="K28" s="59" t="n">
        <v>0.5</v>
      </c>
      <c r="L28" s="58" t="n">
        <f aca="false">J28+K28</f>
        <v>4</v>
      </c>
      <c r="M28" s="60" t="n">
        <f aca="false">IFERROR(INDEX(99_Listas!$C$2:$C$5,MATCH(G28,99_Listas!$B$2:$B$5,0)),0)</f>
        <v>0.07</v>
      </c>
      <c r="N28" s="58" t="n">
        <f aca="false">ROUND(J28*M28,2)</f>
        <v>0.25</v>
      </c>
      <c r="O28" s="58" t="n">
        <f aca="false">ROUND(J28-N28,2)</f>
        <v>3.25</v>
      </c>
      <c r="P28" s="55" t="s">
        <v>247</v>
      </c>
      <c r="Q28" s="54" t="n">
        <v>3</v>
      </c>
      <c r="R28" s="55" t="s">
        <v>276</v>
      </c>
      <c r="S28" s="56" t="s">
        <v>228</v>
      </c>
      <c r="T28" s="56" t="s">
        <v>1994</v>
      </c>
      <c r="U28" s="56"/>
    </row>
    <row r="29" customFormat="false" ht="15" hidden="false" customHeight="true" outlineLevel="0" collapsed="false">
      <c r="A29" s="61" t="n">
        <v>28</v>
      </c>
      <c r="B29" s="62" t="s">
        <v>2032</v>
      </c>
      <c r="C29" s="63" t="s">
        <v>2043</v>
      </c>
      <c r="D29" s="63" t="s">
        <v>305</v>
      </c>
      <c r="E29" s="57" t="s">
        <v>306</v>
      </c>
      <c r="F29" s="62" t="s">
        <v>294</v>
      </c>
      <c r="G29" s="62" t="s">
        <v>157</v>
      </c>
      <c r="H29" s="64" t="n">
        <v>3</v>
      </c>
      <c r="I29" s="64" t="n">
        <v>7</v>
      </c>
      <c r="J29" s="64" t="n">
        <f aca="false">ROUND(AVERAGE(H29:I29),1)</f>
        <v>5</v>
      </c>
      <c r="K29" s="59" t="n">
        <v>0.5</v>
      </c>
      <c r="L29" s="64" t="n">
        <f aca="false">J29+K29</f>
        <v>5.5</v>
      </c>
      <c r="M29" s="65" t="n">
        <f aca="false">IFERROR(INDEX(99_Listas!$C$2:$C$5,MATCH(G29,99_Listas!$B$2:$B$5,0)),0)</f>
        <v>0.07</v>
      </c>
      <c r="N29" s="64" t="n">
        <f aca="false">ROUND(J29*M29,2)</f>
        <v>0.35</v>
      </c>
      <c r="O29" s="64" t="n">
        <f aca="false">ROUND(J29-N29,2)</f>
        <v>4.65</v>
      </c>
      <c r="P29" s="62" t="s">
        <v>247</v>
      </c>
      <c r="Q29" s="61" t="n">
        <v>2</v>
      </c>
      <c r="R29" s="62" t="s">
        <v>276</v>
      </c>
      <c r="S29" s="63" t="s">
        <v>228</v>
      </c>
      <c r="T29" s="63" t="s">
        <v>1994</v>
      </c>
      <c r="U29" s="63"/>
    </row>
    <row r="30" customFormat="false" ht="15" hidden="false" customHeight="true" outlineLevel="0" collapsed="false">
      <c r="A30" s="54" t="n">
        <v>29</v>
      </c>
      <c r="B30" s="55" t="s">
        <v>2032</v>
      </c>
      <c r="C30" s="56" t="s">
        <v>2044</v>
      </c>
      <c r="D30" s="56" t="s">
        <v>1833</v>
      </c>
      <c r="E30" s="57" t="s">
        <v>1834</v>
      </c>
      <c r="F30" s="55" t="s">
        <v>482</v>
      </c>
      <c r="G30" s="55" t="s">
        <v>157</v>
      </c>
      <c r="H30" s="58" t="n">
        <v>3</v>
      </c>
      <c r="I30" s="58" t="n">
        <v>7</v>
      </c>
      <c r="J30" s="58" t="n">
        <f aca="false">ROUND(AVERAGE(H30:I30),1)</f>
        <v>5</v>
      </c>
      <c r="K30" s="59" t="n">
        <v>0.5</v>
      </c>
      <c r="L30" s="58" t="n">
        <f aca="false">J30+K30</f>
        <v>5.5</v>
      </c>
      <c r="M30" s="60" t="n">
        <f aca="false">IFERROR(INDEX(99_Listas!$C$2:$C$5,MATCH(G30,99_Listas!$B$2:$B$5,0)),0)</f>
        <v>0.07</v>
      </c>
      <c r="N30" s="58" t="n">
        <f aca="false">ROUND(J30*M30,2)</f>
        <v>0.35</v>
      </c>
      <c r="O30" s="58" t="n">
        <f aca="false">ROUND(J30-N30,2)</f>
        <v>4.65</v>
      </c>
      <c r="P30" s="55" t="s">
        <v>360</v>
      </c>
      <c r="Q30" s="54" t="n">
        <v>4</v>
      </c>
      <c r="R30" s="55" t="s">
        <v>165</v>
      </c>
      <c r="S30" s="56" t="s">
        <v>228</v>
      </c>
      <c r="T30" s="56" t="s">
        <v>1994</v>
      </c>
      <c r="U30" s="56"/>
    </row>
    <row r="31" customFormat="false" ht="15" hidden="false" customHeight="true" outlineLevel="0" collapsed="false">
      <c r="A31" s="61" t="n">
        <v>30</v>
      </c>
      <c r="B31" s="62" t="s">
        <v>2032</v>
      </c>
      <c r="C31" s="63" t="s">
        <v>2045</v>
      </c>
      <c r="D31" s="63" t="s">
        <v>2046</v>
      </c>
      <c r="E31" s="57" t="s">
        <v>1955</v>
      </c>
      <c r="F31" s="62" t="s">
        <v>482</v>
      </c>
      <c r="G31" s="62" t="s">
        <v>157</v>
      </c>
      <c r="H31" s="64" t="n">
        <v>3</v>
      </c>
      <c r="I31" s="64" t="n">
        <v>8</v>
      </c>
      <c r="J31" s="64" t="n">
        <f aca="false">ROUND(AVERAGE(H31:I31),1)</f>
        <v>5.5</v>
      </c>
      <c r="K31" s="59" t="n">
        <v>0.5</v>
      </c>
      <c r="L31" s="64" t="n">
        <f aca="false">J31+K31</f>
        <v>6</v>
      </c>
      <c r="M31" s="65" t="n">
        <f aca="false">IFERROR(INDEX(99_Listas!$C$2:$C$5,MATCH(G31,99_Listas!$B$2:$B$5,0)),0)</f>
        <v>0.07</v>
      </c>
      <c r="N31" s="64" t="n">
        <f aca="false">ROUND(J31*M31,2)</f>
        <v>0.39</v>
      </c>
      <c r="O31" s="64" t="n">
        <f aca="false">ROUND(J31-N31,2)</f>
        <v>5.11</v>
      </c>
      <c r="P31" s="62" t="s">
        <v>1128</v>
      </c>
      <c r="Q31" s="61" t="n">
        <v>6</v>
      </c>
      <c r="R31" s="62" t="s">
        <v>165</v>
      </c>
      <c r="S31" s="63" t="s">
        <v>228</v>
      </c>
      <c r="T31" s="63" t="s">
        <v>1994</v>
      </c>
      <c r="U31" s="63" t="s">
        <v>2047</v>
      </c>
    </row>
    <row r="32" customFormat="false" ht="15" hidden="false" customHeight="true" outlineLevel="0" collapsed="false">
      <c r="A32" s="54" t="n">
        <v>31</v>
      </c>
      <c r="B32" s="55" t="s">
        <v>2032</v>
      </c>
      <c r="C32" s="56" t="s">
        <v>2048</v>
      </c>
      <c r="D32" s="56" t="s">
        <v>2049</v>
      </c>
      <c r="E32" s="57" t="s">
        <v>316</v>
      </c>
      <c r="F32" s="55" t="s">
        <v>927</v>
      </c>
      <c r="G32" s="55" t="s">
        <v>157</v>
      </c>
      <c r="H32" s="58" t="n">
        <v>2</v>
      </c>
      <c r="I32" s="58" t="n">
        <v>6</v>
      </c>
      <c r="J32" s="58" t="n">
        <f aca="false">ROUND(AVERAGE(H32:I32),1)</f>
        <v>4</v>
      </c>
      <c r="K32" s="59" t="n">
        <v>0.5</v>
      </c>
      <c r="L32" s="58" t="n">
        <f aca="false">J32+K32</f>
        <v>4.5</v>
      </c>
      <c r="M32" s="60" t="n">
        <f aca="false">IFERROR(INDEX(99_Listas!$C$2:$C$5,MATCH(G32,99_Listas!$B$2:$B$5,0)),0)</f>
        <v>0.07</v>
      </c>
      <c r="N32" s="58" t="n">
        <f aca="false">ROUND(J32*M32,2)</f>
        <v>0.28</v>
      </c>
      <c r="O32" s="58" t="n">
        <f aca="false">ROUND(J32-N32,2)</f>
        <v>3.72</v>
      </c>
      <c r="P32" s="55" t="s">
        <v>275</v>
      </c>
      <c r="Q32" s="54" t="n">
        <v>2</v>
      </c>
      <c r="R32" s="55" t="s">
        <v>276</v>
      </c>
      <c r="S32" s="56" t="s">
        <v>228</v>
      </c>
      <c r="T32" s="56" t="s">
        <v>1994</v>
      </c>
      <c r="U32" s="56"/>
    </row>
    <row r="33" customFormat="false" ht="23.25" hidden="false" customHeight="true" outlineLevel="0" collapsed="false">
      <c r="A33" s="61" t="n">
        <v>32</v>
      </c>
      <c r="B33" s="62" t="s">
        <v>2032</v>
      </c>
      <c r="C33" s="63" t="s">
        <v>2050</v>
      </c>
      <c r="D33" s="63" t="s">
        <v>2051</v>
      </c>
      <c r="E33" s="57" t="s">
        <v>906</v>
      </c>
      <c r="F33" s="62" t="s">
        <v>294</v>
      </c>
      <c r="G33" s="62" t="s">
        <v>157</v>
      </c>
      <c r="H33" s="64" t="n">
        <v>3</v>
      </c>
      <c r="I33" s="64" t="n">
        <v>7</v>
      </c>
      <c r="J33" s="64" t="n">
        <f aca="false">ROUND(AVERAGE(H33:I33),1)</f>
        <v>5</v>
      </c>
      <c r="K33" s="59" t="n">
        <v>0.5</v>
      </c>
      <c r="L33" s="64" t="n">
        <f aca="false">J33+K33</f>
        <v>5.5</v>
      </c>
      <c r="M33" s="65" t="n">
        <f aca="false">IFERROR(INDEX(99_Listas!$C$2:$C$5,MATCH(G33,99_Listas!$B$2:$B$5,0)),0)</f>
        <v>0.07</v>
      </c>
      <c r="N33" s="64" t="n">
        <f aca="false">ROUND(J33*M33,2)</f>
        <v>0.35</v>
      </c>
      <c r="O33" s="64" t="n">
        <f aca="false">ROUND(J33-N33,2)</f>
        <v>4.65</v>
      </c>
      <c r="P33" s="62" t="s">
        <v>247</v>
      </c>
      <c r="Q33" s="61" t="n">
        <v>2</v>
      </c>
      <c r="R33" s="62" t="s">
        <v>276</v>
      </c>
      <c r="S33" s="63" t="s">
        <v>380</v>
      </c>
      <c r="T33" s="63" t="s">
        <v>1984</v>
      </c>
      <c r="U33" s="63"/>
    </row>
    <row r="34" customFormat="false" ht="15" hidden="false" customHeight="true" outlineLevel="0" collapsed="false">
      <c r="A34" s="54" t="n">
        <v>33</v>
      </c>
      <c r="B34" s="55" t="s">
        <v>2032</v>
      </c>
      <c r="C34" s="56" t="s">
        <v>2052</v>
      </c>
      <c r="D34" s="56" t="s">
        <v>2053</v>
      </c>
      <c r="E34" s="57" t="s">
        <v>350</v>
      </c>
      <c r="F34" s="55" t="s">
        <v>294</v>
      </c>
      <c r="G34" s="55" t="s">
        <v>157</v>
      </c>
      <c r="H34" s="58" t="n">
        <v>2</v>
      </c>
      <c r="I34" s="58" t="n">
        <v>6</v>
      </c>
      <c r="J34" s="58" t="n">
        <f aca="false">ROUND(AVERAGE(H34:I34),1)</f>
        <v>4</v>
      </c>
      <c r="K34" s="59" t="n">
        <v>0.5</v>
      </c>
      <c r="L34" s="58" t="n">
        <f aca="false">J34+K34</f>
        <v>4.5</v>
      </c>
      <c r="M34" s="60" t="n">
        <f aca="false">IFERROR(INDEX(99_Listas!$C$2:$C$5,MATCH(G34,99_Listas!$B$2:$B$5,0)),0)</f>
        <v>0.07</v>
      </c>
      <c r="N34" s="58" t="n">
        <f aca="false">ROUND(J34*M34,2)</f>
        <v>0.28</v>
      </c>
      <c r="O34" s="58" t="n">
        <f aca="false">ROUND(J34-N34,2)</f>
        <v>3.72</v>
      </c>
      <c r="P34" s="55" t="s">
        <v>247</v>
      </c>
      <c r="Q34" s="54" t="n">
        <v>2</v>
      </c>
      <c r="R34" s="55" t="s">
        <v>276</v>
      </c>
      <c r="S34" s="56" t="s">
        <v>228</v>
      </c>
      <c r="T34" s="56" t="s">
        <v>1984</v>
      </c>
      <c r="U34" s="56"/>
    </row>
    <row r="35" customFormat="false" ht="15" hidden="false" customHeight="true" outlineLevel="0" collapsed="false">
      <c r="A35" s="61" t="n">
        <v>34</v>
      </c>
      <c r="B35" s="62" t="s">
        <v>2032</v>
      </c>
      <c r="C35" s="63" t="s">
        <v>2054</v>
      </c>
      <c r="D35" s="63" t="s">
        <v>352</v>
      </c>
      <c r="E35" s="57" t="s">
        <v>353</v>
      </c>
      <c r="F35" s="62" t="s">
        <v>482</v>
      </c>
      <c r="G35" s="62" t="s">
        <v>157</v>
      </c>
      <c r="H35" s="64" t="n">
        <v>2</v>
      </c>
      <c r="I35" s="64" t="n">
        <v>5</v>
      </c>
      <c r="J35" s="64" t="n">
        <f aca="false">ROUND(AVERAGE(H35:I35),1)</f>
        <v>3.5</v>
      </c>
      <c r="K35" s="59" t="n">
        <v>0.5</v>
      </c>
      <c r="L35" s="64" t="n">
        <f aca="false">J35+K35</f>
        <v>4</v>
      </c>
      <c r="M35" s="65" t="n">
        <f aca="false">IFERROR(INDEX(99_Listas!$C$2:$C$5,MATCH(G35,99_Listas!$B$2:$B$5,0)),0)</f>
        <v>0.07</v>
      </c>
      <c r="N35" s="64" t="n">
        <f aca="false">ROUND(J35*M35,2)</f>
        <v>0.25</v>
      </c>
      <c r="O35" s="64" t="n">
        <f aca="false">ROUND(J35-N35,2)</f>
        <v>3.25</v>
      </c>
      <c r="P35" s="62" t="s">
        <v>247</v>
      </c>
      <c r="Q35" s="61" t="n">
        <v>2</v>
      </c>
      <c r="R35" s="62" t="s">
        <v>276</v>
      </c>
      <c r="S35" s="63" t="s">
        <v>228</v>
      </c>
      <c r="T35" s="63" t="s">
        <v>1984</v>
      </c>
      <c r="U35" s="63" t="s">
        <v>355</v>
      </c>
    </row>
    <row r="36" customFormat="false" ht="15" hidden="false" customHeight="true" outlineLevel="0" collapsed="false">
      <c r="A36" s="54" t="n">
        <v>35</v>
      </c>
      <c r="B36" s="55" t="s">
        <v>2032</v>
      </c>
      <c r="C36" s="56" t="s">
        <v>2055</v>
      </c>
      <c r="D36" s="56" t="s">
        <v>357</v>
      </c>
      <c r="E36" s="57" t="s">
        <v>358</v>
      </c>
      <c r="F36" s="55" t="s">
        <v>482</v>
      </c>
      <c r="G36" s="55" t="s">
        <v>157</v>
      </c>
      <c r="H36" s="58" t="n">
        <v>1</v>
      </c>
      <c r="I36" s="58" t="n">
        <v>3</v>
      </c>
      <c r="J36" s="58" t="n">
        <f aca="false">ROUND(AVERAGE(H36:I36),1)</f>
        <v>2</v>
      </c>
      <c r="K36" s="59" t="n">
        <v>0.5</v>
      </c>
      <c r="L36" s="58" t="n">
        <f aca="false">J36+K36</f>
        <v>2.5</v>
      </c>
      <c r="M36" s="60" t="n">
        <f aca="false">IFERROR(INDEX(99_Listas!$C$2:$C$5,MATCH(G36,99_Listas!$B$2:$B$5,0)),0)</f>
        <v>0.07</v>
      </c>
      <c r="N36" s="58" t="n">
        <f aca="false">ROUND(J36*M36,2)</f>
        <v>0.14</v>
      </c>
      <c r="O36" s="58" t="n">
        <f aca="false">ROUND(J36-N36,2)</f>
        <v>1.86</v>
      </c>
      <c r="P36" s="55" t="s">
        <v>360</v>
      </c>
      <c r="Q36" s="54" t="n">
        <v>1</v>
      </c>
      <c r="R36" s="55" t="s">
        <v>276</v>
      </c>
      <c r="S36" s="56" t="s">
        <v>228</v>
      </c>
      <c r="T36" s="56" t="s">
        <v>2056</v>
      </c>
      <c r="U36" s="56" t="s">
        <v>2057</v>
      </c>
    </row>
    <row r="37" customFormat="false" ht="15" hidden="false" customHeight="true" outlineLevel="0" collapsed="false">
      <c r="A37" s="61" t="n">
        <v>36</v>
      </c>
      <c r="B37" s="62" t="s">
        <v>2032</v>
      </c>
      <c r="C37" s="63" t="s">
        <v>2058</v>
      </c>
      <c r="D37" s="63" t="s">
        <v>2059</v>
      </c>
      <c r="E37" s="57" t="s">
        <v>1117</v>
      </c>
      <c r="F37" s="62" t="s">
        <v>482</v>
      </c>
      <c r="G37" s="62" t="s">
        <v>157</v>
      </c>
      <c r="H37" s="64" t="n">
        <v>4</v>
      </c>
      <c r="I37" s="64" t="n">
        <v>9</v>
      </c>
      <c r="J37" s="64" t="n">
        <f aca="false">ROUND(AVERAGE(H37:I37),1)</f>
        <v>6.5</v>
      </c>
      <c r="K37" s="59" t="n">
        <v>0.5</v>
      </c>
      <c r="L37" s="64" t="n">
        <f aca="false">J37+K37</f>
        <v>7</v>
      </c>
      <c r="M37" s="65" t="n">
        <f aca="false">IFERROR(INDEX(99_Listas!$C$2:$C$5,MATCH(G37,99_Listas!$B$2:$B$5,0)),0)</f>
        <v>0.07</v>
      </c>
      <c r="N37" s="64" t="n">
        <f aca="false">ROUND(J37*M37,2)</f>
        <v>0.46</v>
      </c>
      <c r="O37" s="64" t="n">
        <f aca="false">ROUND(J37-N37,2)</f>
        <v>6.04</v>
      </c>
      <c r="P37" s="62" t="s">
        <v>247</v>
      </c>
      <c r="Q37" s="61" t="n">
        <v>5</v>
      </c>
      <c r="R37" s="62" t="s">
        <v>165</v>
      </c>
      <c r="S37" s="63" t="s">
        <v>228</v>
      </c>
      <c r="T37" s="63" t="s">
        <v>1994</v>
      </c>
      <c r="U37" s="63"/>
    </row>
    <row r="38" customFormat="false" ht="15" hidden="false" customHeight="true" outlineLevel="0" collapsed="false">
      <c r="A38" s="54" t="n">
        <v>37</v>
      </c>
      <c r="B38" s="55" t="s">
        <v>2060</v>
      </c>
      <c r="C38" s="56" t="s">
        <v>2061</v>
      </c>
      <c r="D38" s="56" t="s">
        <v>2062</v>
      </c>
      <c r="E38" s="57" t="s">
        <v>1982</v>
      </c>
      <c r="F38" s="55" t="s">
        <v>1016</v>
      </c>
      <c r="G38" s="55" t="s">
        <v>157</v>
      </c>
      <c r="H38" s="58" t="n">
        <v>6</v>
      </c>
      <c r="I38" s="58" t="n">
        <v>12</v>
      </c>
      <c r="J38" s="58" t="n">
        <f aca="false">ROUND(AVERAGE(H38:I38),1)</f>
        <v>9</v>
      </c>
      <c r="K38" s="59" t="n">
        <v>0.5</v>
      </c>
      <c r="L38" s="58" t="n">
        <f aca="false">J38+K38</f>
        <v>9.5</v>
      </c>
      <c r="M38" s="60" t="n">
        <f aca="false">IFERROR(INDEX(99_Listas!$C$2:$C$5,MATCH(G38,99_Listas!$B$2:$B$5,0)),0)</f>
        <v>0.07</v>
      </c>
      <c r="N38" s="58" t="n">
        <f aca="false">ROUND(J38*M38,2)</f>
        <v>0.63</v>
      </c>
      <c r="O38" s="58" t="n">
        <f aca="false">ROUND(J38-N38,2)</f>
        <v>8.37</v>
      </c>
      <c r="P38" s="55" t="s">
        <v>227</v>
      </c>
      <c r="Q38" s="54" t="n">
        <v>4</v>
      </c>
      <c r="R38" s="55" t="s">
        <v>165</v>
      </c>
      <c r="S38" s="56" t="s">
        <v>248</v>
      </c>
      <c r="T38" s="56" t="s">
        <v>1994</v>
      </c>
      <c r="U38" s="56" t="s">
        <v>2063</v>
      </c>
    </row>
    <row r="39" customFormat="false" ht="15" hidden="false" customHeight="true" outlineLevel="0" collapsed="false">
      <c r="A39" s="61" t="n">
        <v>38</v>
      </c>
      <c r="B39" s="62" t="s">
        <v>2060</v>
      </c>
      <c r="C39" s="63" t="s">
        <v>2064</v>
      </c>
      <c r="D39" s="63" t="s">
        <v>2065</v>
      </c>
      <c r="E39" s="57" t="s">
        <v>1839</v>
      </c>
      <c r="F39" s="62" t="s">
        <v>1016</v>
      </c>
      <c r="G39" s="62" t="s">
        <v>157</v>
      </c>
      <c r="H39" s="64" t="n">
        <v>6</v>
      </c>
      <c r="I39" s="64" t="n">
        <v>12</v>
      </c>
      <c r="J39" s="64" t="n">
        <f aca="false">ROUND(AVERAGE(H39:I39),1)</f>
        <v>9</v>
      </c>
      <c r="K39" s="59" t="n">
        <v>0.5</v>
      </c>
      <c r="L39" s="64" t="n">
        <f aca="false">J39+K39</f>
        <v>9.5</v>
      </c>
      <c r="M39" s="65" t="n">
        <f aca="false">IFERROR(INDEX(99_Listas!$C$2:$C$5,MATCH(G39,99_Listas!$B$2:$B$5,0)),0)</f>
        <v>0.07</v>
      </c>
      <c r="N39" s="64" t="n">
        <f aca="false">ROUND(J39*M39,2)</f>
        <v>0.63</v>
      </c>
      <c r="O39" s="64" t="n">
        <f aca="false">ROUND(J39-N39,2)</f>
        <v>8.37</v>
      </c>
      <c r="P39" s="62" t="s">
        <v>275</v>
      </c>
      <c r="Q39" s="61" t="n">
        <v>5</v>
      </c>
      <c r="R39" s="62" t="s">
        <v>276</v>
      </c>
      <c r="S39" s="63" t="s">
        <v>228</v>
      </c>
      <c r="T39" s="63" t="s">
        <v>2066</v>
      </c>
      <c r="U39" s="63" t="s">
        <v>2067</v>
      </c>
    </row>
    <row r="40" customFormat="false" ht="15" hidden="false" customHeight="true" outlineLevel="0" collapsed="false">
      <c r="A40" s="54" t="n">
        <v>39</v>
      </c>
      <c r="B40" s="55" t="s">
        <v>2060</v>
      </c>
      <c r="C40" s="56" t="s">
        <v>2068</v>
      </c>
      <c r="D40" s="56" t="s">
        <v>2069</v>
      </c>
      <c r="E40" s="57" t="s">
        <v>1997</v>
      </c>
      <c r="F40" s="55" t="s">
        <v>1016</v>
      </c>
      <c r="G40" s="55" t="s">
        <v>157</v>
      </c>
      <c r="H40" s="58" t="n">
        <v>4</v>
      </c>
      <c r="I40" s="58" t="n">
        <v>9</v>
      </c>
      <c r="J40" s="58" t="n">
        <f aca="false">ROUND(AVERAGE(H40:I40),1)</f>
        <v>6.5</v>
      </c>
      <c r="K40" s="59" t="n">
        <v>0.5</v>
      </c>
      <c r="L40" s="58" t="n">
        <f aca="false">J40+K40</f>
        <v>7</v>
      </c>
      <c r="M40" s="60" t="n">
        <f aca="false">IFERROR(INDEX(99_Listas!$C$2:$C$5,MATCH(G40,99_Listas!$B$2:$B$5,0)),0)</f>
        <v>0.07</v>
      </c>
      <c r="N40" s="58" t="n">
        <f aca="false">ROUND(J40*M40,2)</f>
        <v>0.46</v>
      </c>
      <c r="O40" s="58" t="n">
        <f aca="false">ROUND(J40-N40,2)</f>
        <v>6.04</v>
      </c>
      <c r="P40" s="55" t="s">
        <v>227</v>
      </c>
      <c r="Q40" s="54" t="n">
        <v>3</v>
      </c>
      <c r="R40" s="55" t="s">
        <v>165</v>
      </c>
      <c r="S40" s="56" t="s">
        <v>248</v>
      </c>
      <c r="T40" s="56" t="s">
        <v>1994</v>
      </c>
      <c r="U40" s="56"/>
    </row>
    <row r="41" customFormat="false" ht="15" hidden="false" customHeight="true" outlineLevel="0" collapsed="false">
      <c r="A41" s="61" t="n">
        <v>40</v>
      </c>
      <c r="B41" s="62" t="s">
        <v>2060</v>
      </c>
      <c r="C41" s="63" t="s">
        <v>2070</v>
      </c>
      <c r="D41" s="63" t="s">
        <v>2071</v>
      </c>
      <c r="E41" s="57" t="s">
        <v>1990</v>
      </c>
      <c r="F41" s="62" t="s">
        <v>1016</v>
      </c>
      <c r="G41" s="62" t="s">
        <v>157</v>
      </c>
      <c r="H41" s="64" t="n">
        <v>4</v>
      </c>
      <c r="I41" s="64" t="n">
        <v>9</v>
      </c>
      <c r="J41" s="64" t="n">
        <f aca="false">ROUND(AVERAGE(H41:I41),1)</f>
        <v>6.5</v>
      </c>
      <c r="K41" s="59" t="n">
        <v>0.5</v>
      </c>
      <c r="L41" s="64" t="n">
        <f aca="false">J41+K41</f>
        <v>7</v>
      </c>
      <c r="M41" s="65" t="n">
        <f aca="false">IFERROR(INDEX(99_Listas!$C$2:$C$5,MATCH(G41,99_Listas!$B$2:$B$5,0)),0)</f>
        <v>0.07</v>
      </c>
      <c r="N41" s="64" t="n">
        <f aca="false">ROUND(J41*M41,2)</f>
        <v>0.46</v>
      </c>
      <c r="O41" s="64" t="n">
        <f aca="false">ROUND(J41-N41,2)</f>
        <v>6.04</v>
      </c>
      <c r="P41" s="62" t="s">
        <v>227</v>
      </c>
      <c r="Q41" s="61" t="n">
        <v>3</v>
      </c>
      <c r="R41" s="62" t="s">
        <v>165</v>
      </c>
      <c r="S41" s="63" t="s">
        <v>228</v>
      </c>
      <c r="T41" s="63" t="s">
        <v>1994</v>
      </c>
      <c r="U41" s="63" t="s">
        <v>2072</v>
      </c>
    </row>
    <row r="42" customFormat="false" ht="15" hidden="false" customHeight="true" outlineLevel="0" collapsed="false">
      <c r="A42" s="54" t="n">
        <v>41</v>
      </c>
      <c r="B42" s="55" t="s">
        <v>2060</v>
      </c>
      <c r="C42" s="56" t="s">
        <v>2073</v>
      </c>
      <c r="D42" s="56" t="s">
        <v>2074</v>
      </c>
      <c r="E42" s="57" t="s">
        <v>1839</v>
      </c>
      <c r="F42" s="55" t="s">
        <v>1016</v>
      </c>
      <c r="G42" s="55" t="s">
        <v>157</v>
      </c>
      <c r="H42" s="58" t="n">
        <v>7</v>
      </c>
      <c r="I42" s="58" t="n">
        <v>14</v>
      </c>
      <c r="J42" s="58" t="n">
        <f aca="false">ROUND(AVERAGE(H42:I42),1)</f>
        <v>10.5</v>
      </c>
      <c r="K42" s="59" t="n">
        <v>0.5</v>
      </c>
      <c r="L42" s="58" t="n">
        <f aca="false">J42+K42</f>
        <v>11</v>
      </c>
      <c r="M42" s="60" t="n">
        <f aca="false">IFERROR(INDEX(99_Listas!$C$2:$C$5,MATCH(G42,99_Listas!$B$2:$B$5,0)),0)</f>
        <v>0.07</v>
      </c>
      <c r="N42" s="58" t="n">
        <f aca="false">ROUND(J42*M42,2)</f>
        <v>0.74</v>
      </c>
      <c r="O42" s="58" t="n">
        <f aca="false">ROUND(J42-N42,2)</f>
        <v>9.76</v>
      </c>
      <c r="P42" s="55" t="s">
        <v>275</v>
      </c>
      <c r="Q42" s="54" t="n">
        <v>5</v>
      </c>
      <c r="R42" s="55" t="s">
        <v>276</v>
      </c>
      <c r="S42" s="56" t="s">
        <v>228</v>
      </c>
      <c r="T42" s="56" t="s">
        <v>1994</v>
      </c>
      <c r="U42" s="56"/>
    </row>
    <row r="43" customFormat="false" ht="23.25" hidden="false" customHeight="true" outlineLevel="0" collapsed="false">
      <c r="A43" s="61" t="n">
        <v>42</v>
      </c>
      <c r="B43" s="62" t="s">
        <v>2060</v>
      </c>
      <c r="C43" s="63" t="s">
        <v>2075</v>
      </c>
      <c r="D43" s="63" t="s">
        <v>2076</v>
      </c>
      <c r="E43" s="57" t="s">
        <v>1839</v>
      </c>
      <c r="F43" s="62" t="s">
        <v>1016</v>
      </c>
      <c r="G43" s="62" t="s">
        <v>157</v>
      </c>
      <c r="H43" s="64" t="n">
        <v>6</v>
      </c>
      <c r="I43" s="64" t="n">
        <v>12</v>
      </c>
      <c r="J43" s="64" t="n">
        <f aca="false">ROUND(AVERAGE(H43:I43),1)</f>
        <v>9</v>
      </c>
      <c r="K43" s="59" t="n">
        <v>0.5</v>
      </c>
      <c r="L43" s="64" t="n">
        <f aca="false">J43+K43</f>
        <v>9.5</v>
      </c>
      <c r="M43" s="65" t="n">
        <f aca="false">IFERROR(INDEX(99_Listas!$C$2:$C$5,MATCH(G43,99_Listas!$B$2:$B$5,0)),0)</f>
        <v>0.07</v>
      </c>
      <c r="N43" s="64" t="n">
        <f aca="false">ROUND(J43*M43,2)</f>
        <v>0.63</v>
      </c>
      <c r="O43" s="64" t="n">
        <f aca="false">ROUND(J43-N43,2)</f>
        <v>8.37</v>
      </c>
      <c r="P43" s="62" t="s">
        <v>471</v>
      </c>
      <c r="Q43" s="61" t="n">
        <v>5</v>
      </c>
      <c r="R43" s="62" t="s">
        <v>276</v>
      </c>
      <c r="S43" s="63" t="s">
        <v>228</v>
      </c>
      <c r="T43" s="63" t="s">
        <v>1994</v>
      </c>
      <c r="U43" s="63" t="s">
        <v>2077</v>
      </c>
    </row>
    <row r="44" customFormat="false" ht="15" hidden="false" customHeight="true" outlineLevel="0" collapsed="false">
      <c r="A44" s="54" t="n">
        <v>43</v>
      </c>
      <c r="B44" s="55" t="s">
        <v>2060</v>
      </c>
      <c r="C44" s="56" t="s">
        <v>2078</v>
      </c>
      <c r="D44" s="56" t="s">
        <v>2079</v>
      </c>
      <c r="E44" s="57" t="s">
        <v>338</v>
      </c>
      <c r="F44" s="55" t="s">
        <v>1016</v>
      </c>
      <c r="G44" s="55" t="s">
        <v>157</v>
      </c>
      <c r="H44" s="58" t="n">
        <v>4</v>
      </c>
      <c r="I44" s="58" t="n">
        <v>9</v>
      </c>
      <c r="J44" s="58" t="n">
        <f aca="false">ROUND(AVERAGE(H44:I44),1)</f>
        <v>6.5</v>
      </c>
      <c r="K44" s="59" t="n">
        <v>0.5</v>
      </c>
      <c r="L44" s="58" t="n">
        <f aca="false">J44+K44</f>
        <v>7</v>
      </c>
      <c r="M44" s="60" t="n">
        <f aca="false">IFERROR(INDEX(99_Listas!$C$2:$C$5,MATCH(G44,99_Listas!$B$2:$B$5,0)),0)</f>
        <v>0.07</v>
      </c>
      <c r="N44" s="58" t="n">
        <f aca="false">ROUND(J44*M44,2)</f>
        <v>0.46</v>
      </c>
      <c r="O44" s="58" t="n">
        <f aca="false">ROUND(J44-N44,2)</f>
        <v>6.04</v>
      </c>
      <c r="P44" s="55" t="s">
        <v>2080</v>
      </c>
      <c r="Q44" s="54" t="n">
        <v>4</v>
      </c>
      <c r="R44" s="55" t="s">
        <v>276</v>
      </c>
      <c r="S44" s="56" t="s">
        <v>1573</v>
      </c>
      <c r="T44" s="56" t="s">
        <v>2066</v>
      </c>
      <c r="U44" s="56" t="s">
        <v>2081</v>
      </c>
    </row>
    <row r="45" customFormat="false" ht="15" hidden="false" customHeight="true" outlineLevel="0" collapsed="false">
      <c r="A45" s="61" t="n">
        <v>44</v>
      </c>
      <c r="B45" s="62" t="s">
        <v>2082</v>
      </c>
      <c r="C45" s="63" t="s">
        <v>1808</v>
      </c>
      <c r="D45" s="63" t="s">
        <v>1809</v>
      </c>
      <c r="E45" s="57" t="s">
        <v>1810</v>
      </c>
      <c r="F45" s="62" t="s">
        <v>482</v>
      </c>
      <c r="G45" s="62" t="s">
        <v>157</v>
      </c>
      <c r="H45" s="64" t="n">
        <v>3</v>
      </c>
      <c r="I45" s="64" t="n">
        <v>8</v>
      </c>
      <c r="J45" s="64" t="n">
        <f aca="false">ROUND(AVERAGE(H45:I45),1)</f>
        <v>5.5</v>
      </c>
      <c r="K45" s="59" t="n">
        <v>0.5</v>
      </c>
      <c r="L45" s="64" t="n">
        <f aca="false">J45+K45</f>
        <v>6</v>
      </c>
      <c r="M45" s="65" t="n">
        <f aca="false">IFERROR(INDEX(99_Listas!$C$2:$C$5,MATCH(G45,99_Listas!$B$2:$B$5,0)),0)</f>
        <v>0.07</v>
      </c>
      <c r="N45" s="64" t="n">
        <f aca="false">ROUND(J45*M45,2)</f>
        <v>0.39</v>
      </c>
      <c r="O45" s="64" t="n">
        <f aca="false">ROUND(J45-N45,2)</f>
        <v>5.11</v>
      </c>
      <c r="P45" s="62" t="s">
        <v>928</v>
      </c>
      <c r="Q45" s="61" t="n">
        <v>3</v>
      </c>
      <c r="R45" s="62" t="s">
        <v>276</v>
      </c>
      <c r="S45" s="63" t="s">
        <v>228</v>
      </c>
      <c r="T45" s="63" t="s">
        <v>1994</v>
      </c>
      <c r="U45" s="63" t="s">
        <v>1811</v>
      </c>
    </row>
    <row r="46" customFormat="false" ht="15" hidden="false" customHeight="true" outlineLevel="0" collapsed="false">
      <c r="A46" s="54" t="n">
        <v>45</v>
      </c>
      <c r="B46" s="55" t="s">
        <v>2082</v>
      </c>
      <c r="C46" s="56" t="s">
        <v>1786</v>
      </c>
      <c r="D46" s="56" t="s">
        <v>1787</v>
      </c>
      <c r="E46" s="57" t="s">
        <v>312</v>
      </c>
      <c r="F46" s="55" t="s">
        <v>534</v>
      </c>
      <c r="G46" s="55" t="s">
        <v>157</v>
      </c>
      <c r="H46" s="58" t="n">
        <v>1.5</v>
      </c>
      <c r="I46" s="58" t="n">
        <v>4</v>
      </c>
      <c r="J46" s="58" t="n">
        <f aca="false">ROUND(AVERAGE(H46:I46),1)</f>
        <v>2.8</v>
      </c>
      <c r="K46" s="59" t="n">
        <v>0.5</v>
      </c>
      <c r="L46" s="58" t="n">
        <f aca="false">J46+K46</f>
        <v>3.3</v>
      </c>
      <c r="M46" s="60" t="n">
        <f aca="false">IFERROR(INDEX(99_Listas!$C$2:$C$5,MATCH(G46,99_Listas!$B$2:$B$5,0)),0)</f>
        <v>0.07</v>
      </c>
      <c r="N46" s="58" t="n">
        <f aca="false">ROUND(J46*M46,2)</f>
        <v>0.2</v>
      </c>
      <c r="O46" s="58" t="n">
        <f aca="false">ROUND(J46-N46,2)</f>
        <v>2.6</v>
      </c>
      <c r="P46" s="55" t="s">
        <v>928</v>
      </c>
      <c r="Q46" s="54" t="n">
        <v>1</v>
      </c>
      <c r="R46" s="55" t="s">
        <v>276</v>
      </c>
      <c r="S46" s="56" t="s">
        <v>228</v>
      </c>
      <c r="T46" s="56" t="s">
        <v>1984</v>
      </c>
      <c r="U46" s="56"/>
    </row>
    <row r="47" customFormat="false" ht="15" hidden="false" customHeight="true" outlineLevel="0" collapsed="false">
      <c r="A47" s="61" t="n">
        <v>46</v>
      </c>
      <c r="B47" s="62" t="s">
        <v>2082</v>
      </c>
      <c r="C47" s="63" t="s">
        <v>2083</v>
      </c>
      <c r="D47" s="63" t="s">
        <v>1783</v>
      </c>
      <c r="E47" s="57" t="s">
        <v>1784</v>
      </c>
      <c r="F47" s="62" t="s">
        <v>534</v>
      </c>
      <c r="G47" s="62" t="s">
        <v>157</v>
      </c>
      <c r="H47" s="64" t="n">
        <v>1</v>
      </c>
      <c r="I47" s="64" t="n">
        <v>3</v>
      </c>
      <c r="J47" s="64" t="n">
        <f aca="false">ROUND(AVERAGE(H47:I47),1)</f>
        <v>2</v>
      </c>
      <c r="K47" s="59" t="n">
        <v>0.5</v>
      </c>
      <c r="L47" s="64" t="n">
        <f aca="false">J47+K47</f>
        <v>2.5</v>
      </c>
      <c r="M47" s="65" t="n">
        <f aca="false">IFERROR(INDEX(99_Listas!$C$2:$C$5,MATCH(G47,99_Listas!$B$2:$B$5,0)),0)</f>
        <v>0.07</v>
      </c>
      <c r="N47" s="64" t="n">
        <f aca="false">ROUND(J47*M47,2)</f>
        <v>0.14</v>
      </c>
      <c r="O47" s="64" t="n">
        <f aca="false">ROUND(J47-N47,2)</f>
        <v>1.86</v>
      </c>
      <c r="P47" s="62" t="s">
        <v>928</v>
      </c>
      <c r="Q47" s="61" t="n">
        <v>1</v>
      </c>
      <c r="R47" s="62" t="s">
        <v>276</v>
      </c>
      <c r="S47" s="63" t="s">
        <v>228</v>
      </c>
      <c r="T47" s="63" t="s">
        <v>1994</v>
      </c>
      <c r="U47" s="63"/>
    </row>
    <row r="48" customFormat="false" ht="15" hidden="false" customHeight="true" outlineLevel="0" collapsed="false">
      <c r="A48" s="54" t="n">
        <v>47</v>
      </c>
      <c r="B48" s="55" t="s">
        <v>2082</v>
      </c>
      <c r="C48" s="56" t="s">
        <v>1875</v>
      </c>
      <c r="D48" s="56" t="s">
        <v>2084</v>
      </c>
      <c r="E48" s="57" t="s">
        <v>1810</v>
      </c>
      <c r="F48" s="55" t="s">
        <v>482</v>
      </c>
      <c r="G48" s="55" t="s">
        <v>157</v>
      </c>
      <c r="H48" s="58" t="n">
        <v>2</v>
      </c>
      <c r="I48" s="58" t="n">
        <v>6</v>
      </c>
      <c r="J48" s="58" t="n">
        <f aca="false">ROUND(AVERAGE(H48:I48),1)</f>
        <v>4</v>
      </c>
      <c r="K48" s="59" t="n">
        <v>0.5</v>
      </c>
      <c r="L48" s="58" t="n">
        <f aca="false">J48+K48</f>
        <v>4.5</v>
      </c>
      <c r="M48" s="60" t="n">
        <f aca="false">IFERROR(INDEX(99_Listas!$C$2:$C$5,MATCH(G48,99_Listas!$B$2:$B$5,0)),0)</f>
        <v>0.07</v>
      </c>
      <c r="N48" s="58" t="n">
        <f aca="false">ROUND(J48*M48,2)</f>
        <v>0.28</v>
      </c>
      <c r="O48" s="58" t="n">
        <f aca="false">ROUND(J48-N48,2)</f>
        <v>3.72</v>
      </c>
      <c r="P48" s="55" t="s">
        <v>928</v>
      </c>
      <c r="Q48" s="54" t="n">
        <v>2</v>
      </c>
      <c r="R48" s="55" t="s">
        <v>276</v>
      </c>
      <c r="S48" s="56" t="s">
        <v>228</v>
      </c>
      <c r="T48" s="56" t="s">
        <v>1984</v>
      </c>
      <c r="U48" s="56"/>
    </row>
    <row r="49" customFormat="false" ht="15" hidden="false" customHeight="true" outlineLevel="0" collapsed="false">
      <c r="A49" s="61" t="n">
        <v>48</v>
      </c>
      <c r="B49" s="62" t="s">
        <v>2082</v>
      </c>
      <c r="C49" s="63" t="s">
        <v>2085</v>
      </c>
      <c r="D49" s="63" t="s">
        <v>2086</v>
      </c>
      <c r="E49" s="57" t="s">
        <v>498</v>
      </c>
      <c r="F49" s="62" t="s">
        <v>418</v>
      </c>
      <c r="G49" s="62" t="s">
        <v>157</v>
      </c>
      <c r="H49" s="64" t="n">
        <v>3</v>
      </c>
      <c r="I49" s="64" t="n">
        <v>7</v>
      </c>
      <c r="J49" s="64" t="n">
        <f aca="false">ROUND(AVERAGE(H49:I49),1)</f>
        <v>5</v>
      </c>
      <c r="K49" s="59" t="n">
        <v>0.5</v>
      </c>
      <c r="L49" s="64" t="n">
        <f aca="false">J49+K49</f>
        <v>5.5</v>
      </c>
      <c r="M49" s="65" t="n">
        <f aca="false">IFERROR(INDEX(99_Listas!$C$2:$C$5,MATCH(G49,99_Listas!$B$2:$B$5,0)),0)</f>
        <v>0.07</v>
      </c>
      <c r="N49" s="64" t="n">
        <f aca="false">ROUND(J49*M49,2)</f>
        <v>0.35</v>
      </c>
      <c r="O49" s="64" t="n">
        <f aca="false">ROUND(J49-N49,2)</f>
        <v>4.65</v>
      </c>
      <c r="P49" s="62" t="s">
        <v>1017</v>
      </c>
      <c r="Q49" s="61" t="n">
        <v>3</v>
      </c>
      <c r="R49" s="62" t="s">
        <v>276</v>
      </c>
      <c r="S49" s="63" t="s">
        <v>228</v>
      </c>
      <c r="T49" s="63" t="s">
        <v>1994</v>
      </c>
      <c r="U49" s="63"/>
    </row>
    <row r="50" customFormat="false" ht="15" hidden="false" customHeight="true" outlineLevel="0" collapsed="false">
      <c r="A50" s="54" t="n">
        <v>49</v>
      </c>
      <c r="B50" s="55" t="s">
        <v>2082</v>
      </c>
      <c r="C50" s="56" t="s">
        <v>2087</v>
      </c>
      <c r="D50" s="56" t="s">
        <v>2088</v>
      </c>
      <c r="E50" s="57" t="s">
        <v>1821</v>
      </c>
      <c r="F50" s="55" t="s">
        <v>418</v>
      </c>
      <c r="G50" s="55" t="s">
        <v>157</v>
      </c>
      <c r="H50" s="58" t="n">
        <v>1.5</v>
      </c>
      <c r="I50" s="58" t="n">
        <v>4</v>
      </c>
      <c r="J50" s="58" t="n">
        <f aca="false">ROUND(AVERAGE(H50:I50),1)</f>
        <v>2.8</v>
      </c>
      <c r="K50" s="59" t="n">
        <v>0.5</v>
      </c>
      <c r="L50" s="58" t="n">
        <f aca="false">J50+K50</f>
        <v>3.3</v>
      </c>
      <c r="M50" s="60" t="n">
        <f aca="false">IFERROR(INDEX(99_Listas!$C$2:$C$5,MATCH(G50,99_Listas!$B$2:$B$5,0)),0)</f>
        <v>0.07</v>
      </c>
      <c r="N50" s="58" t="n">
        <f aca="false">ROUND(J50*M50,2)</f>
        <v>0.2</v>
      </c>
      <c r="O50" s="58" t="n">
        <f aca="false">ROUND(J50-N50,2)</f>
        <v>2.6</v>
      </c>
      <c r="P50" s="55" t="s">
        <v>928</v>
      </c>
      <c r="Q50" s="54" t="n">
        <v>1</v>
      </c>
      <c r="R50" s="55" t="s">
        <v>276</v>
      </c>
      <c r="S50" s="56" t="s">
        <v>228</v>
      </c>
      <c r="T50" s="56" t="s">
        <v>1994</v>
      </c>
      <c r="U50" s="56"/>
    </row>
    <row r="51" customFormat="false" ht="15" hidden="false" customHeight="true" outlineLevel="0" collapsed="false">
      <c r="A51" s="61" t="n">
        <v>50</v>
      </c>
      <c r="B51" s="62" t="s">
        <v>2082</v>
      </c>
      <c r="C51" s="63" t="s">
        <v>2089</v>
      </c>
      <c r="D51" s="63" t="s">
        <v>2088</v>
      </c>
      <c r="E51" s="57" t="s">
        <v>1814</v>
      </c>
      <c r="F51" s="62" t="s">
        <v>418</v>
      </c>
      <c r="G51" s="62" t="s">
        <v>157</v>
      </c>
      <c r="H51" s="64" t="n">
        <v>2</v>
      </c>
      <c r="I51" s="64" t="n">
        <v>5</v>
      </c>
      <c r="J51" s="64" t="n">
        <f aca="false">ROUND(AVERAGE(H51:I51),1)</f>
        <v>3.5</v>
      </c>
      <c r="K51" s="59" t="n">
        <v>0.5</v>
      </c>
      <c r="L51" s="64" t="n">
        <f aca="false">J51+K51</f>
        <v>4</v>
      </c>
      <c r="M51" s="65" t="n">
        <f aca="false">IFERROR(INDEX(99_Listas!$C$2:$C$5,MATCH(G51,99_Listas!$B$2:$B$5,0)),0)</f>
        <v>0.07</v>
      </c>
      <c r="N51" s="64" t="n">
        <f aca="false">ROUND(J51*M51,2)</f>
        <v>0.25</v>
      </c>
      <c r="O51" s="64" t="n">
        <f aca="false">ROUND(J51-N51,2)</f>
        <v>3.25</v>
      </c>
      <c r="P51" s="62" t="s">
        <v>928</v>
      </c>
      <c r="Q51" s="61" t="n">
        <v>1</v>
      </c>
      <c r="R51" s="62" t="s">
        <v>276</v>
      </c>
      <c r="S51" s="63" t="s">
        <v>228</v>
      </c>
      <c r="T51" s="63" t="s">
        <v>1984</v>
      </c>
      <c r="U51" s="63"/>
    </row>
    <row r="52" customFormat="false" ht="15" hidden="false" customHeight="true" outlineLevel="0" collapsed="false">
      <c r="A52" s="54" t="n">
        <v>51</v>
      </c>
      <c r="B52" s="55" t="s">
        <v>2082</v>
      </c>
      <c r="C52" s="56" t="s">
        <v>2090</v>
      </c>
      <c r="D52" s="56" t="s">
        <v>2088</v>
      </c>
      <c r="E52" s="57" t="s">
        <v>2091</v>
      </c>
      <c r="F52" s="55" t="s">
        <v>418</v>
      </c>
      <c r="G52" s="55" t="s">
        <v>157</v>
      </c>
      <c r="H52" s="58" t="n">
        <v>2</v>
      </c>
      <c r="I52" s="58" t="n">
        <v>5</v>
      </c>
      <c r="J52" s="58" t="n">
        <f aca="false">ROUND(AVERAGE(H52:I52),1)</f>
        <v>3.5</v>
      </c>
      <c r="K52" s="59" t="n">
        <v>0.5</v>
      </c>
      <c r="L52" s="58" t="n">
        <f aca="false">J52+K52</f>
        <v>4</v>
      </c>
      <c r="M52" s="60" t="n">
        <f aca="false">IFERROR(INDEX(99_Listas!$C$2:$C$5,MATCH(G52,99_Listas!$B$2:$B$5,0)),0)</f>
        <v>0.07</v>
      </c>
      <c r="N52" s="58" t="n">
        <f aca="false">ROUND(J52*M52,2)</f>
        <v>0.25</v>
      </c>
      <c r="O52" s="58" t="n">
        <f aca="false">ROUND(J52-N52,2)</f>
        <v>3.25</v>
      </c>
      <c r="P52" s="55" t="s">
        <v>928</v>
      </c>
      <c r="Q52" s="54" t="n">
        <v>1</v>
      </c>
      <c r="R52" s="55" t="s">
        <v>276</v>
      </c>
      <c r="S52" s="56" t="s">
        <v>228</v>
      </c>
      <c r="T52" s="56" t="s">
        <v>1984</v>
      </c>
      <c r="U52" s="56"/>
    </row>
    <row r="53" customFormat="false" ht="15" hidden="false" customHeight="true" outlineLevel="0" collapsed="false">
      <c r="A53" s="61" t="n">
        <v>52</v>
      </c>
      <c r="B53" s="62" t="s">
        <v>2082</v>
      </c>
      <c r="C53" s="63" t="s">
        <v>2092</v>
      </c>
      <c r="D53" s="63" t="s">
        <v>2093</v>
      </c>
      <c r="E53" s="57" t="s">
        <v>753</v>
      </c>
      <c r="F53" s="62" t="s">
        <v>418</v>
      </c>
      <c r="G53" s="62" t="s">
        <v>157</v>
      </c>
      <c r="H53" s="64" t="n">
        <v>3</v>
      </c>
      <c r="I53" s="64" t="n">
        <v>6</v>
      </c>
      <c r="J53" s="64" t="n">
        <f aca="false">ROUND(AVERAGE(H53:I53),1)</f>
        <v>4.5</v>
      </c>
      <c r="K53" s="59" t="n">
        <v>0.5</v>
      </c>
      <c r="L53" s="64" t="n">
        <f aca="false">J53+K53</f>
        <v>5</v>
      </c>
      <c r="M53" s="65" t="n">
        <f aca="false">IFERROR(INDEX(99_Listas!$C$2:$C$5,MATCH(G53,99_Listas!$B$2:$B$5,0)),0)</f>
        <v>0.07</v>
      </c>
      <c r="N53" s="64" t="n">
        <f aca="false">ROUND(J53*M53,2)</f>
        <v>0.32</v>
      </c>
      <c r="O53" s="64" t="n">
        <f aca="false">ROUND(J53-N53,2)</f>
        <v>4.18</v>
      </c>
      <c r="P53" s="62" t="s">
        <v>928</v>
      </c>
      <c r="Q53" s="61" t="n">
        <v>2</v>
      </c>
      <c r="R53" s="62" t="s">
        <v>276</v>
      </c>
      <c r="S53" s="63" t="s">
        <v>228</v>
      </c>
      <c r="T53" s="63" t="s">
        <v>1984</v>
      </c>
      <c r="U53" s="63" t="s">
        <v>2094</v>
      </c>
    </row>
    <row r="54" customFormat="false" ht="15" hidden="false" customHeight="true" outlineLevel="0" collapsed="false">
      <c r="A54" s="54" t="n">
        <v>53</v>
      </c>
      <c r="B54" s="55" t="s">
        <v>2082</v>
      </c>
      <c r="C54" s="56" t="s">
        <v>2095</v>
      </c>
      <c r="D54" s="56" t="s">
        <v>1828</v>
      </c>
      <c r="E54" s="57" t="s">
        <v>1829</v>
      </c>
      <c r="F54" s="55" t="s">
        <v>2096</v>
      </c>
      <c r="G54" s="55" t="s">
        <v>157</v>
      </c>
      <c r="H54" s="58" t="n">
        <v>1.5</v>
      </c>
      <c r="I54" s="58" t="n">
        <v>5</v>
      </c>
      <c r="J54" s="58" t="n">
        <f aca="false">ROUND(AVERAGE(H54:I54),1)</f>
        <v>3.3</v>
      </c>
      <c r="K54" s="59" t="n">
        <v>0.5</v>
      </c>
      <c r="L54" s="58" t="n">
        <f aca="false">J54+K54</f>
        <v>3.8</v>
      </c>
      <c r="M54" s="60" t="n">
        <f aca="false">IFERROR(INDEX(99_Listas!$C$2:$C$5,MATCH(G54,99_Listas!$B$2:$B$5,0)),0)</f>
        <v>0.07</v>
      </c>
      <c r="N54" s="58" t="n">
        <f aca="false">ROUND(J54*M54,2)</f>
        <v>0.23</v>
      </c>
      <c r="O54" s="58" t="n">
        <f aca="false">ROUND(J54-N54,2)</f>
        <v>3.07</v>
      </c>
      <c r="P54" s="55" t="s">
        <v>1761</v>
      </c>
      <c r="Q54" s="54" t="n">
        <v>1</v>
      </c>
      <c r="R54" s="55" t="s">
        <v>258</v>
      </c>
      <c r="S54" s="56" t="s">
        <v>1830</v>
      </c>
      <c r="T54" s="56" t="s">
        <v>1994</v>
      </c>
      <c r="U54" s="56" t="s">
        <v>2097</v>
      </c>
    </row>
    <row r="55" customFormat="false" ht="15" hidden="false" customHeight="true" outlineLevel="0" collapsed="false">
      <c r="A55" s="61" t="n">
        <v>54</v>
      </c>
      <c r="B55" s="62" t="s">
        <v>1979</v>
      </c>
      <c r="C55" s="63" t="s">
        <v>2098</v>
      </c>
      <c r="D55" s="63" t="s">
        <v>2099</v>
      </c>
      <c r="E55" s="57" t="s">
        <v>1982</v>
      </c>
      <c r="F55" s="62" t="s">
        <v>288</v>
      </c>
      <c r="G55" s="62" t="s">
        <v>157</v>
      </c>
      <c r="H55" s="64" t="n">
        <v>2</v>
      </c>
      <c r="I55" s="64" t="n">
        <v>5</v>
      </c>
      <c r="J55" s="64" t="n">
        <f aca="false">ROUND(AVERAGE(H55:I55),1)</f>
        <v>3.5</v>
      </c>
      <c r="K55" s="59" t="n">
        <v>0.5</v>
      </c>
      <c r="L55" s="64" t="n">
        <f aca="false">J55+K55</f>
        <v>4</v>
      </c>
      <c r="M55" s="65" t="n">
        <f aca="false">IFERROR(INDEX(99_Listas!$C$2:$C$5,MATCH(G55,99_Listas!$B$2:$B$5,0)),0)</f>
        <v>0.07</v>
      </c>
      <c r="N55" s="64" t="n">
        <f aca="false">ROUND(J55*M55,2)</f>
        <v>0.25</v>
      </c>
      <c r="O55" s="64" t="n">
        <f aca="false">ROUND(J55-N55,2)</f>
        <v>3.25</v>
      </c>
      <c r="P55" s="62" t="s">
        <v>227</v>
      </c>
      <c r="Q55" s="61" t="n">
        <v>2</v>
      </c>
      <c r="R55" s="62" t="s">
        <v>165</v>
      </c>
      <c r="S55" s="63" t="s">
        <v>248</v>
      </c>
      <c r="T55" s="63" t="s">
        <v>1994</v>
      </c>
      <c r="U55" s="63"/>
    </row>
    <row r="56" customFormat="false" ht="15" hidden="false" customHeight="true" outlineLevel="0" collapsed="false">
      <c r="A56" s="54" t="n">
        <v>55</v>
      </c>
      <c r="B56" s="55" t="s">
        <v>1979</v>
      </c>
      <c r="C56" s="56" t="s">
        <v>2100</v>
      </c>
      <c r="D56" s="56" t="s">
        <v>2101</v>
      </c>
      <c r="E56" s="57" t="s">
        <v>1982</v>
      </c>
      <c r="F56" s="55" t="s">
        <v>2102</v>
      </c>
      <c r="G56" s="55" t="s">
        <v>157</v>
      </c>
      <c r="H56" s="58" t="n">
        <v>4</v>
      </c>
      <c r="I56" s="58" t="n">
        <v>8</v>
      </c>
      <c r="J56" s="58" t="n">
        <f aca="false">ROUND(AVERAGE(H56:I56),1)</f>
        <v>6</v>
      </c>
      <c r="K56" s="59" t="n">
        <v>0.5</v>
      </c>
      <c r="L56" s="58" t="n">
        <f aca="false">J56+K56</f>
        <v>6.5</v>
      </c>
      <c r="M56" s="60" t="n">
        <f aca="false">IFERROR(INDEX(99_Listas!$C$2:$C$5,MATCH(G56,99_Listas!$B$2:$B$5,0)),0)</f>
        <v>0.07</v>
      </c>
      <c r="N56" s="58" t="n">
        <f aca="false">ROUND(J56*M56,2)</f>
        <v>0.42</v>
      </c>
      <c r="O56" s="58" t="n">
        <f aca="false">ROUND(J56-N56,2)</f>
        <v>5.58</v>
      </c>
      <c r="P56" s="55" t="s">
        <v>227</v>
      </c>
      <c r="Q56" s="54" t="n">
        <v>3</v>
      </c>
      <c r="R56" s="55" t="s">
        <v>165</v>
      </c>
      <c r="S56" s="56" t="s">
        <v>248</v>
      </c>
      <c r="T56" s="56" t="s">
        <v>1994</v>
      </c>
      <c r="U56" s="56"/>
    </row>
    <row r="57" customFormat="false" ht="15" hidden="false" customHeight="true" outlineLevel="0" collapsed="false">
      <c r="A57" s="61" t="n">
        <v>56</v>
      </c>
      <c r="B57" s="62" t="s">
        <v>1979</v>
      </c>
      <c r="C57" s="63" t="s">
        <v>2103</v>
      </c>
      <c r="D57" s="63" t="s">
        <v>2104</v>
      </c>
      <c r="E57" s="57" t="s">
        <v>2105</v>
      </c>
      <c r="F57" s="62" t="s">
        <v>288</v>
      </c>
      <c r="G57" s="62" t="s">
        <v>157</v>
      </c>
      <c r="H57" s="64" t="n">
        <v>3</v>
      </c>
      <c r="I57" s="64" t="n">
        <v>7</v>
      </c>
      <c r="J57" s="64" t="n">
        <f aca="false">ROUND(AVERAGE(H57:I57),1)</f>
        <v>5</v>
      </c>
      <c r="K57" s="59" t="n">
        <v>0.5</v>
      </c>
      <c r="L57" s="64" t="n">
        <f aca="false">J57+K57</f>
        <v>5.5</v>
      </c>
      <c r="M57" s="65" t="n">
        <f aca="false">IFERROR(INDEX(99_Listas!$C$2:$C$5,MATCH(G57,99_Listas!$B$2:$B$5,0)),0)</f>
        <v>0.07</v>
      </c>
      <c r="N57" s="64" t="n">
        <f aca="false">ROUND(J57*M57,2)</f>
        <v>0.35</v>
      </c>
      <c r="O57" s="64" t="n">
        <f aca="false">ROUND(J57-N57,2)</f>
        <v>4.65</v>
      </c>
      <c r="P57" s="62" t="s">
        <v>227</v>
      </c>
      <c r="Q57" s="61" t="n">
        <v>2</v>
      </c>
      <c r="R57" s="62" t="s">
        <v>165</v>
      </c>
      <c r="S57" s="63" t="s">
        <v>248</v>
      </c>
      <c r="T57" s="63" t="s">
        <v>1994</v>
      </c>
      <c r="U57" s="63"/>
    </row>
    <row r="58" customFormat="false" ht="15" hidden="false" customHeight="true" outlineLevel="0" collapsed="false">
      <c r="A58" s="54" t="n">
        <v>57</v>
      </c>
      <c r="B58" s="55" t="s">
        <v>1979</v>
      </c>
      <c r="C58" s="56" t="s">
        <v>2106</v>
      </c>
      <c r="D58" s="56" t="s">
        <v>2107</v>
      </c>
      <c r="E58" s="57" t="s">
        <v>2108</v>
      </c>
      <c r="F58" s="55" t="s">
        <v>288</v>
      </c>
      <c r="G58" s="55" t="s">
        <v>157</v>
      </c>
      <c r="H58" s="58" t="n">
        <v>3</v>
      </c>
      <c r="I58" s="58" t="n">
        <v>7</v>
      </c>
      <c r="J58" s="58" t="n">
        <f aca="false">ROUND(AVERAGE(H58:I58),1)</f>
        <v>5</v>
      </c>
      <c r="K58" s="59" t="n">
        <v>0.5</v>
      </c>
      <c r="L58" s="58" t="n">
        <f aca="false">J58+K58</f>
        <v>5.5</v>
      </c>
      <c r="M58" s="60" t="n">
        <f aca="false">IFERROR(INDEX(99_Listas!$C$2:$C$5,MATCH(G58,99_Listas!$B$2:$B$5,0)),0)</f>
        <v>0.07</v>
      </c>
      <c r="N58" s="58" t="n">
        <f aca="false">ROUND(J58*M58,2)</f>
        <v>0.35</v>
      </c>
      <c r="O58" s="58" t="n">
        <f aca="false">ROUND(J58-N58,2)</f>
        <v>4.65</v>
      </c>
      <c r="P58" s="55" t="s">
        <v>227</v>
      </c>
      <c r="Q58" s="54" t="n">
        <v>2</v>
      </c>
      <c r="R58" s="55" t="s">
        <v>165</v>
      </c>
      <c r="S58" s="56" t="s">
        <v>248</v>
      </c>
      <c r="T58" s="56" t="s">
        <v>1994</v>
      </c>
      <c r="U58" s="56"/>
    </row>
    <row r="59" customFormat="false" ht="15" hidden="false" customHeight="true" outlineLevel="0" collapsed="false">
      <c r="A59" s="61" t="n">
        <v>58</v>
      </c>
      <c r="B59" s="62" t="s">
        <v>1979</v>
      </c>
      <c r="C59" s="63" t="s">
        <v>2109</v>
      </c>
      <c r="D59" s="63" t="s">
        <v>2110</v>
      </c>
      <c r="E59" s="57" t="s">
        <v>2111</v>
      </c>
      <c r="F59" s="62" t="s">
        <v>288</v>
      </c>
      <c r="G59" s="62" t="s">
        <v>157</v>
      </c>
      <c r="H59" s="64" t="n">
        <v>3</v>
      </c>
      <c r="I59" s="64" t="n">
        <v>8</v>
      </c>
      <c r="J59" s="64" t="n">
        <f aca="false">ROUND(AVERAGE(H59:I59),1)</f>
        <v>5.5</v>
      </c>
      <c r="K59" s="59" t="n">
        <v>0.5</v>
      </c>
      <c r="L59" s="64" t="n">
        <f aca="false">J59+K59</f>
        <v>6</v>
      </c>
      <c r="M59" s="65" t="n">
        <f aca="false">IFERROR(INDEX(99_Listas!$C$2:$C$5,MATCH(G59,99_Listas!$B$2:$B$5,0)),0)</f>
        <v>0.07</v>
      </c>
      <c r="N59" s="64" t="n">
        <f aca="false">ROUND(J59*M59,2)</f>
        <v>0.39</v>
      </c>
      <c r="O59" s="64" t="n">
        <f aca="false">ROUND(J59-N59,2)</f>
        <v>5.11</v>
      </c>
      <c r="P59" s="62" t="s">
        <v>227</v>
      </c>
      <c r="Q59" s="61" t="n">
        <v>2</v>
      </c>
      <c r="R59" s="62" t="s">
        <v>165</v>
      </c>
      <c r="S59" s="63" t="s">
        <v>248</v>
      </c>
      <c r="T59" s="63" t="s">
        <v>1994</v>
      </c>
      <c r="U59" s="63"/>
    </row>
    <row r="60" customFormat="false" ht="15" hidden="false" customHeight="true" outlineLevel="0" collapsed="false">
      <c r="A60" s="54" t="n">
        <v>59</v>
      </c>
      <c r="B60" s="55" t="s">
        <v>1979</v>
      </c>
      <c r="C60" s="56" t="s">
        <v>2112</v>
      </c>
      <c r="D60" s="56" t="s">
        <v>2113</v>
      </c>
      <c r="E60" s="57" t="s">
        <v>1997</v>
      </c>
      <c r="F60" s="55" t="s">
        <v>288</v>
      </c>
      <c r="G60" s="55" t="s">
        <v>157</v>
      </c>
      <c r="H60" s="58" t="n">
        <v>3</v>
      </c>
      <c r="I60" s="58" t="n">
        <v>6</v>
      </c>
      <c r="J60" s="58" t="n">
        <f aca="false">ROUND(AVERAGE(H60:I60),1)</f>
        <v>4.5</v>
      </c>
      <c r="K60" s="59" t="n">
        <v>0.5</v>
      </c>
      <c r="L60" s="58" t="n">
        <f aca="false">J60+K60</f>
        <v>5</v>
      </c>
      <c r="M60" s="60" t="n">
        <f aca="false">IFERROR(INDEX(99_Listas!$C$2:$C$5,MATCH(G60,99_Listas!$B$2:$B$5,0)),0)</f>
        <v>0.07</v>
      </c>
      <c r="N60" s="58" t="n">
        <f aca="false">ROUND(J60*M60,2)</f>
        <v>0.32</v>
      </c>
      <c r="O60" s="58" t="n">
        <f aca="false">ROUND(J60-N60,2)</f>
        <v>4.18</v>
      </c>
      <c r="P60" s="55" t="s">
        <v>227</v>
      </c>
      <c r="Q60" s="54" t="n">
        <v>2</v>
      </c>
      <c r="R60" s="55" t="s">
        <v>165</v>
      </c>
      <c r="S60" s="56" t="s">
        <v>228</v>
      </c>
      <c r="T60" s="56" t="s">
        <v>1994</v>
      </c>
      <c r="U60" s="56"/>
    </row>
    <row r="61" customFormat="false" ht="15" hidden="false" customHeight="true" outlineLevel="0" collapsed="false">
      <c r="A61" s="61" t="n">
        <v>60</v>
      </c>
      <c r="B61" s="62" t="s">
        <v>1979</v>
      </c>
      <c r="C61" s="63" t="s">
        <v>2114</v>
      </c>
      <c r="D61" s="63" t="s">
        <v>2115</v>
      </c>
      <c r="E61" s="57" t="s">
        <v>449</v>
      </c>
      <c r="F61" s="62" t="s">
        <v>288</v>
      </c>
      <c r="G61" s="62" t="s">
        <v>157</v>
      </c>
      <c r="H61" s="64" t="n">
        <v>2</v>
      </c>
      <c r="I61" s="64" t="n">
        <v>4</v>
      </c>
      <c r="J61" s="64" t="n">
        <f aca="false">ROUND(AVERAGE(H61:I61),1)</f>
        <v>3</v>
      </c>
      <c r="K61" s="59" t="n">
        <v>0.5</v>
      </c>
      <c r="L61" s="64" t="n">
        <f aca="false">J61+K61</f>
        <v>3.5</v>
      </c>
      <c r="M61" s="65" t="n">
        <f aca="false">IFERROR(INDEX(99_Listas!$C$2:$C$5,MATCH(G61,99_Listas!$B$2:$B$5,0)),0)</f>
        <v>0.07</v>
      </c>
      <c r="N61" s="64" t="n">
        <f aca="false">ROUND(J61*M61,2)</f>
        <v>0.21</v>
      </c>
      <c r="O61" s="64" t="n">
        <f aca="false">ROUND(J61-N61,2)</f>
        <v>2.79</v>
      </c>
      <c r="P61" s="62" t="s">
        <v>360</v>
      </c>
      <c r="Q61" s="61" t="n">
        <v>2</v>
      </c>
      <c r="R61" s="62" t="s">
        <v>165</v>
      </c>
      <c r="S61" s="63" t="s">
        <v>228</v>
      </c>
      <c r="T61" s="63" t="s">
        <v>1994</v>
      </c>
      <c r="U61" s="63"/>
    </row>
    <row r="62" customFormat="false" ht="15" hidden="false" customHeight="true" outlineLevel="0" collapsed="false">
      <c r="A62" s="54" t="n">
        <v>61</v>
      </c>
      <c r="B62" s="55" t="s">
        <v>1979</v>
      </c>
      <c r="C62" s="56" t="s">
        <v>2116</v>
      </c>
      <c r="D62" s="56" t="s">
        <v>2006</v>
      </c>
      <c r="E62" s="57" t="s">
        <v>2117</v>
      </c>
      <c r="F62" s="55" t="s">
        <v>288</v>
      </c>
      <c r="G62" s="55" t="s">
        <v>157</v>
      </c>
      <c r="H62" s="58" t="n">
        <v>2</v>
      </c>
      <c r="I62" s="58" t="n">
        <v>4</v>
      </c>
      <c r="J62" s="58" t="n">
        <f aca="false">ROUND(AVERAGE(H62:I62),1)</f>
        <v>3</v>
      </c>
      <c r="K62" s="59" t="n">
        <v>0.5</v>
      </c>
      <c r="L62" s="58" t="n">
        <f aca="false">J62+K62</f>
        <v>3.5</v>
      </c>
      <c r="M62" s="60" t="n">
        <f aca="false">IFERROR(INDEX(99_Listas!$C$2:$C$5,MATCH(G62,99_Listas!$B$2:$B$5,0)),0)</f>
        <v>0.07</v>
      </c>
      <c r="N62" s="58" t="n">
        <f aca="false">ROUND(J62*M62,2)</f>
        <v>0.21</v>
      </c>
      <c r="O62" s="58" t="n">
        <f aca="false">ROUND(J62-N62,2)</f>
        <v>2.79</v>
      </c>
      <c r="P62" s="55" t="s">
        <v>227</v>
      </c>
      <c r="Q62" s="54" t="n">
        <v>2</v>
      </c>
      <c r="R62" s="55" t="s">
        <v>165</v>
      </c>
      <c r="S62" s="56" t="s">
        <v>248</v>
      </c>
      <c r="T62" s="56" t="s">
        <v>1994</v>
      </c>
      <c r="U62" s="56"/>
    </row>
    <row r="63" customFormat="false" ht="15" hidden="false" customHeight="true" outlineLevel="0" collapsed="false">
      <c r="A63" s="61" t="n">
        <v>62</v>
      </c>
      <c r="B63" s="62" t="s">
        <v>1979</v>
      </c>
      <c r="C63" s="63" t="s">
        <v>2118</v>
      </c>
      <c r="D63" s="63" t="s">
        <v>494</v>
      </c>
      <c r="E63" s="57" t="s">
        <v>274</v>
      </c>
      <c r="F63" s="62" t="s">
        <v>422</v>
      </c>
      <c r="G63" s="62" t="s">
        <v>157</v>
      </c>
      <c r="H63" s="64" t="n">
        <v>2</v>
      </c>
      <c r="I63" s="64" t="n">
        <v>5</v>
      </c>
      <c r="J63" s="64" t="n">
        <f aca="false">ROUND(AVERAGE(H63:I63),1)</f>
        <v>3.5</v>
      </c>
      <c r="K63" s="59" t="n">
        <v>0.5</v>
      </c>
      <c r="L63" s="64" t="n">
        <f aca="false">J63+K63</f>
        <v>4</v>
      </c>
      <c r="M63" s="65" t="n">
        <f aca="false">IFERROR(INDEX(99_Listas!$C$2:$C$5,MATCH(G63,99_Listas!$B$2:$B$5,0)),0)</f>
        <v>0.07</v>
      </c>
      <c r="N63" s="64" t="n">
        <f aca="false">ROUND(J63*M63,2)</f>
        <v>0.25</v>
      </c>
      <c r="O63" s="64" t="n">
        <f aca="false">ROUND(J63-N63,2)</f>
        <v>3.25</v>
      </c>
      <c r="P63" s="62" t="s">
        <v>360</v>
      </c>
      <c r="Q63" s="61" t="n">
        <v>2</v>
      </c>
      <c r="R63" s="62" t="s">
        <v>165</v>
      </c>
      <c r="S63" s="63" t="s">
        <v>228</v>
      </c>
      <c r="T63" s="63" t="s">
        <v>1994</v>
      </c>
      <c r="U63" s="63"/>
    </row>
    <row r="64" customFormat="false" ht="15" hidden="false" customHeight="true" outlineLevel="0" collapsed="false">
      <c r="A64" s="54" t="n">
        <v>63</v>
      </c>
      <c r="B64" s="55" t="s">
        <v>1979</v>
      </c>
      <c r="C64" s="56" t="s">
        <v>2119</v>
      </c>
      <c r="D64" s="56" t="s">
        <v>2069</v>
      </c>
      <c r="E64" s="57" t="s">
        <v>284</v>
      </c>
      <c r="F64" s="55" t="s">
        <v>1016</v>
      </c>
      <c r="G64" s="55" t="s">
        <v>157</v>
      </c>
      <c r="H64" s="58" t="n">
        <v>4</v>
      </c>
      <c r="I64" s="58" t="n">
        <v>8</v>
      </c>
      <c r="J64" s="58" t="n">
        <f aca="false">ROUND(AVERAGE(H64:I64),1)</f>
        <v>6</v>
      </c>
      <c r="K64" s="59" t="n">
        <v>0.5</v>
      </c>
      <c r="L64" s="58" t="n">
        <f aca="false">J64+K64</f>
        <v>6.5</v>
      </c>
      <c r="M64" s="60" t="n">
        <f aca="false">IFERROR(INDEX(99_Listas!$C$2:$C$5,MATCH(G64,99_Listas!$B$2:$B$5,0)),0)</f>
        <v>0.07</v>
      </c>
      <c r="N64" s="58" t="n">
        <f aca="false">ROUND(J64*M64,2)</f>
        <v>0.42</v>
      </c>
      <c r="O64" s="58" t="n">
        <f aca="false">ROUND(J64-N64,2)</f>
        <v>5.58</v>
      </c>
      <c r="P64" s="55" t="s">
        <v>227</v>
      </c>
      <c r="Q64" s="54" t="n">
        <v>3</v>
      </c>
      <c r="R64" s="55" t="s">
        <v>165</v>
      </c>
      <c r="S64" s="56" t="s">
        <v>248</v>
      </c>
      <c r="T64" s="56" t="s">
        <v>1994</v>
      </c>
      <c r="U64" s="56"/>
    </row>
    <row r="65" customFormat="false" ht="15" hidden="false" customHeight="true" outlineLevel="0" collapsed="false">
      <c r="A65" s="61" t="n">
        <v>64</v>
      </c>
      <c r="B65" s="62" t="s">
        <v>2016</v>
      </c>
      <c r="C65" s="63" t="s">
        <v>2120</v>
      </c>
      <c r="D65" s="63" t="s">
        <v>2121</v>
      </c>
      <c r="E65" s="57" t="s">
        <v>1713</v>
      </c>
      <c r="F65" s="62" t="s">
        <v>422</v>
      </c>
      <c r="G65" s="62" t="s">
        <v>157</v>
      </c>
      <c r="H65" s="64" t="n">
        <v>4</v>
      </c>
      <c r="I65" s="64" t="n">
        <v>8</v>
      </c>
      <c r="J65" s="64" t="n">
        <f aca="false">ROUND(AVERAGE(H65:I65),1)</f>
        <v>6</v>
      </c>
      <c r="K65" s="59" t="n">
        <v>0.5</v>
      </c>
      <c r="L65" s="64" t="n">
        <f aca="false">J65+K65</f>
        <v>6.5</v>
      </c>
      <c r="M65" s="65" t="n">
        <f aca="false">IFERROR(INDEX(99_Listas!$C$2:$C$5,MATCH(G65,99_Listas!$B$2:$B$5,0)),0)</f>
        <v>0.07</v>
      </c>
      <c r="N65" s="64" t="n">
        <f aca="false">ROUND(J65*M65,2)</f>
        <v>0.42</v>
      </c>
      <c r="O65" s="64" t="n">
        <f aca="false">ROUND(J65-N65,2)</f>
        <v>5.58</v>
      </c>
      <c r="P65" s="62" t="s">
        <v>275</v>
      </c>
      <c r="Q65" s="61" t="n">
        <v>4</v>
      </c>
      <c r="R65" s="62" t="s">
        <v>276</v>
      </c>
      <c r="S65" s="63" t="s">
        <v>1714</v>
      </c>
      <c r="T65" s="63" t="s">
        <v>1994</v>
      </c>
      <c r="U65" s="63"/>
    </row>
    <row r="66" customFormat="false" ht="15" hidden="false" customHeight="true" outlineLevel="0" collapsed="false">
      <c r="A66" s="54" t="n">
        <v>65</v>
      </c>
      <c r="B66" s="55" t="s">
        <v>2016</v>
      </c>
      <c r="C66" s="56" t="s">
        <v>2122</v>
      </c>
      <c r="D66" s="56" t="s">
        <v>1888</v>
      </c>
      <c r="E66" s="57" t="s">
        <v>1697</v>
      </c>
      <c r="F66" s="55" t="s">
        <v>422</v>
      </c>
      <c r="G66" s="55" t="s">
        <v>157</v>
      </c>
      <c r="H66" s="58" t="n">
        <v>3</v>
      </c>
      <c r="I66" s="58" t="n">
        <v>8</v>
      </c>
      <c r="J66" s="58" t="n">
        <f aca="false">ROUND(AVERAGE(H66:I66),1)</f>
        <v>5.5</v>
      </c>
      <c r="K66" s="59" t="n">
        <v>0.5</v>
      </c>
      <c r="L66" s="58" t="n">
        <f aca="false">J66+K66</f>
        <v>6</v>
      </c>
      <c r="M66" s="60" t="n">
        <f aca="false">IFERROR(INDEX(99_Listas!$C$2:$C$5,MATCH(G66,99_Listas!$B$2:$B$5,0)),0)</f>
        <v>0.07</v>
      </c>
      <c r="N66" s="58" t="n">
        <f aca="false">ROUND(J66*M66,2)</f>
        <v>0.39</v>
      </c>
      <c r="O66" s="58" t="n">
        <f aca="false">ROUND(J66-N66,2)</f>
        <v>5.11</v>
      </c>
      <c r="P66" s="55" t="s">
        <v>275</v>
      </c>
      <c r="Q66" s="54" t="n">
        <v>4</v>
      </c>
      <c r="R66" s="55" t="s">
        <v>276</v>
      </c>
      <c r="S66" s="56" t="s">
        <v>228</v>
      </c>
      <c r="T66" s="56" t="s">
        <v>1994</v>
      </c>
      <c r="U66" s="56"/>
    </row>
    <row r="67" customFormat="false" ht="15" hidden="false" customHeight="true" outlineLevel="0" collapsed="false">
      <c r="A67" s="61" t="n">
        <v>66</v>
      </c>
      <c r="B67" s="62" t="s">
        <v>2016</v>
      </c>
      <c r="C67" s="63" t="s">
        <v>2123</v>
      </c>
      <c r="D67" s="63" t="s">
        <v>1692</v>
      </c>
      <c r="E67" s="57" t="s">
        <v>1716</v>
      </c>
      <c r="F67" s="62" t="s">
        <v>422</v>
      </c>
      <c r="G67" s="62" t="s">
        <v>157</v>
      </c>
      <c r="H67" s="64" t="n">
        <v>3</v>
      </c>
      <c r="I67" s="64" t="n">
        <v>7</v>
      </c>
      <c r="J67" s="64" t="n">
        <f aca="false">ROUND(AVERAGE(H67:I67),1)</f>
        <v>5</v>
      </c>
      <c r="K67" s="59" t="n">
        <v>0.5</v>
      </c>
      <c r="L67" s="64" t="n">
        <f aca="false">J67+K67</f>
        <v>5.5</v>
      </c>
      <c r="M67" s="65" t="n">
        <f aca="false">IFERROR(INDEX(99_Listas!$C$2:$C$5,MATCH(G67,99_Listas!$B$2:$B$5,0)),0)</f>
        <v>0.07</v>
      </c>
      <c r="N67" s="64" t="n">
        <f aca="false">ROUND(J67*M67,2)</f>
        <v>0.35</v>
      </c>
      <c r="O67" s="64" t="n">
        <f aca="false">ROUND(J67-N67,2)</f>
        <v>4.65</v>
      </c>
      <c r="P67" s="62" t="s">
        <v>275</v>
      </c>
      <c r="Q67" s="61" t="n">
        <v>3</v>
      </c>
      <c r="R67" s="62" t="s">
        <v>276</v>
      </c>
      <c r="S67" s="63" t="s">
        <v>228</v>
      </c>
      <c r="T67" s="63" t="s">
        <v>1994</v>
      </c>
      <c r="U67" s="63"/>
    </row>
    <row r="68" customFormat="false" ht="15" hidden="false" customHeight="true" outlineLevel="0" collapsed="false">
      <c r="A68" s="54" t="n">
        <v>67</v>
      </c>
      <c r="B68" s="55" t="s">
        <v>2016</v>
      </c>
      <c r="C68" s="56" t="s">
        <v>2124</v>
      </c>
      <c r="D68" s="56" t="s">
        <v>1855</v>
      </c>
      <c r="E68" s="57" t="s">
        <v>1740</v>
      </c>
      <c r="F68" s="55" t="s">
        <v>288</v>
      </c>
      <c r="G68" s="55" t="s">
        <v>157</v>
      </c>
      <c r="H68" s="58" t="n">
        <v>3</v>
      </c>
      <c r="I68" s="58" t="n">
        <v>7</v>
      </c>
      <c r="J68" s="58" t="n">
        <f aca="false">ROUND(AVERAGE(H68:I68),1)</f>
        <v>5</v>
      </c>
      <c r="K68" s="59" t="n">
        <v>0.5</v>
      </c>
      <c r="L68" s="58" t="n">
        <f aca="false">J68+K68</f>
        <v>5.5</v>
      </c>
      <c r="M68" s="60" t="n">
        <f aca="false">IFERROR(INDEX(99_Listas!$C$2:$C$5,MATCH(G68,99_Listas!$B$2:$B$5,0)),0)</f>
        <v>0.07</v>
      </c>
      <c r="N68" s="58" t="n">
        <f aca="false">ROUND(J68*M68,2)</f>
        <v>0.35</v>
      </c>
      <c r="O68" s="58" t="n">
        <f aca="false">ROUND(J68-N68,2)</f>
        <v>4.65</v>
      </c>
      <c r="P68" s="55" t="s">
        <v>247</v>
      </c>
      <c r="Q68" s="54" t="n">
        <v>4</v>
      </c>
      <c r="R68" s="55" t="s">
        <v>276</v>
      </c>
      <c r="S68" s="56" t="s">
        <v>228</v>
      </c>
      <c r="T68" s="56" t="s">
        <v>1994</v>
      </c>
      <c r="U68" s="56"/>
    </row>
    <row r="69" customFormat="false" ht="15" hidden="false" customHeight="true" outlineLevel="0" collapsed="false">
      <c r="A69" s="61" t="n">
        <v>68</v>
      </c>
      <c r="B69" s="62" t="s">
        <v>2016</v>
      </c>
      <c r="C69" s="63" t="s">
        <v>2125</v>
      </c>
      <c r="D69" s="63" t="s">
        <v>2126</v>
      </c>
      <c r="E69" s="57" t="s">
        <v>1737</v>
      </c>
      <c r="F69" s="62" t="s">
        <v>422</v>
      </c>
      <c r="G69" s="62" t="s">
        <v>157</v>
      </c>
      <c r="H69" s="64" t="n">
        <v>5</v>
      </c>
      <c r="I69" s="64" t="n">
        <v>10</v>
      </c>
      <c r="J69" s="64" t="n">
        <f aca="false">ROUND(AVERAGE(H69:I69),1)</f>
        <v>7.5</v>
      </c>
      <c r="K69" s="59" t="n">
        <v>0.5</v>
      </c>
      <c r="L69" s="64" t="n">
        <f aca="false">J69+K69</f>
        <v>8</v>
      </c>
      <c r="M69" s="65" t="n">
        <f aca="false">IFERROR(INDEX(99_Listas!$C$2:$C$5,MATCH(G69,99_Listas!$B$2:$B$5,0)),0)</f>
        <v>0.07</v>
      </c>
      <c r="N69" s="64" t="n">
        <f aca="false">ROUND(J69*M69,2)</f>
        <v>0.53</v>
      </c>
      <c r="O69" s="64" t="n">
        <f aca="false">ROUND(J69-N69,2)</f>
        <v>6.97</v>
      </c>
      <c r="P69" s="62" t="s">
        <v>275</v>
      </c>
      <c r="Q69" s="61" t="n">
        <v>5</v>
      </c>
      <c r="R69" s="62" t="s">
        <v>276</v>
      </c>
      <c r="S69" s="63" t="s">
        <v>228</v>
      </c>
      <c r="T69" s="63" t="s">
        <v>1994</v>
      </c>
      <c r="U69" s="63"/>
    </row>
    <row r="70" customFormat="false" ht="15" hidden="false" customHeight="true" outlineLevel="0" collapsed="false">
      <c r="A70" s="54" t="n">
        <v>69</v>
      </c>
      <c r="B70" s="55" t="s">
        <v>2016</v>
      </c>
      <c r="C70" s="56" t="s">
        <v>2127</v>
      </c>
      <c r="D70" s="56" t="s">
        <v>2128</v>
      </c>
      <c r="E70" s="57" t="s">
        <v>1722</v>
      </c>
      <c r="F70" s="55" t="s">
        <v>422</v>
      </c>
      <c r="G70" s="55" t="s">
        <v>157</v>
      </c>
      <c r="H70" s="58" t="n">
        <v>3</v>
      </c>
      <c r="I70" s="58" t="n">
        <v>7</v>
      </c>
      <c r="J70" s="58" t="n">
        <f aca="false">ROUND(AVERAGE(H70:I70),1)</f>
        <v>5</v>
      </c>
      <c r="K70" s="59" t="n">
        <v>0.5</v>
      </c>
      <c r="L70" s="58" t="n">
        <f aca="false">J70+K70</f>
        <v>5.5</v>
      </c>
      <c r="M70" s="60" t="n">
        <f aca="false">IFERROR(INDEX(99_Listas!$C$2:$C$5,MATCH(G70,99_Listas!$B$2:$B$5,0)),0)</f>
        <v>0.07</v>
      </c>
      <c r="N70" s="58" t="n">
        <f aca="false">ROUND(J70*M70,2)</f>
        <v>0.35</v>
      </c>
      <c r="O70" s="58" t="n">
        <f aca="false">ROUND(J70-N70,2)</f>
        <v>4.65</v>
      </c>
      <c r="P70" s="55" t="s">
        <v>275</v>
      </c>
      <c r="Q70" s="54" t="n">
        <v>3</v>
      </c>
      <c r="R70" s="55" t="s">
        <v>276</v>
      </c>
      <c r="S70" s="56" t="s">
        <v>228</v>
      </c>
      <c r="T70" s="56" t="s">
        <v>1994</v>
      </c>
      <c r="U70" s="56"/>
    </row>
    <row r="71" customFormat="false" ht="15" hidden="false" customHeight="true" outlineLevel="0" collapsed="false">
      <c r="A71" s="61" t="n">
        <v>70</v>
      </c>
      <c r="B71" s="62" t="s">
        <v>2016</v>
      </c>
      <c r="C71" s="63" t="s">
        <v>2129</v>
      </c>
      <c r="D71" s="63" t="s">
        <v>2130</v>
      </c>
      <c r="E71" s="57" t="s">
        <v>1730</v>
      </c>
      <c r="F71" s="62" t="s">
        <v>422</v>
      </c>
      <c r="G71" s="62" t="s">
        <v>157</v>
      </c>
      <c r="H71" s="64" t="n">
        <v>4</v>
      </c>
      <c r="I71" s="64" t="n">
        <v>9</v>
      </c>
      <c r="J71" s="64" t="n">
        <f aca="false">ROUND(AVERAGE(H71:I71),1)</f>
        <v>6.5</v>
      </c>
      <c r="K71" s="59" t="n">
        <v>0.5</v>
      </c>
      <c r="L71" s="64" t="n">
        <f aca="false">J71+K71</f>
        <v>7</v>
      </c>
      <c r="M71" s="65" t="n">
        <f aca="false">IFERROR(INDEX(99_Listas!$C$2:$C$5,MATCH(G71,99_Listas!$B$2:$B$5,0)),0)</f>
        <v>0.07</v>
      </c>
      <c r="N71" s="64" t="n">
        <f aca="false">ROUND(J71*M71,2)</f>
        <v>0.46</v>
      </c>
      <c r="O71" s="64" t="n">
        <f aca="false">ROUND(J71-N71,2)</f>
        <v>6.04</v>
      </c>
      <c r="P71" s="62" t="s">
        <v>275</v>
      </c>
      <c r="Q71" s="61" t="n">
        <v>4</v>
      </c>
      <c r="R71" s="62" t="s">
        <v>276</v>
      </c>
      <c r="S71" s="63" t="s">
        <v>228</v>
      </c>
      <c r="T71" s="63" t="s">
        <v>1984</v>
      </c>
      <c r="U71" s="63" t="s">
        <v>1731</v>
      </c>
    </row>
    <row r="72" customFormat="false" ht="15" hidden="false" customHeight="true" outlineLevel="0" collapsed="false">
      <c r="A72" s="54" t="n">
        <v>71</v>
      </c>
      <c r="B72" s="55" t="s">
        <v>2016</v>
      </c>
      <c r="C72" s="56" t="s">
        <v>2131</v>
      </c>
      <c r="D72" s="56" t="s">
        <v>2132</v>
      </c>
      <c r="E72" s="57" t="s">
        <v>1839</v>
      </c>
      <c r="F72" s="55" t="s">
        <v>1753</v>
      </c>
      <c r="G72" s="55" t="s">
        <v>157</v>
      </c>
      <c r="H72" s="58" t="n">
        <v>6</v>
      </c>
      <c r="I72" s="58" t="n">
        <v>12</v>
      </c>
      <c r="J72" s="58" t="n">
        <f aca="false">ROUND(AVERAGE(H72:I72),1)</f>
        <v>9</v>
      </c>
      <c r="K72" s="59" t="n">
        <v>0.5</v>
      </c>
      <c r="L72" s="58" t="n">
        <f aca="false">J72+K72</f>
        <v>9.5</v>
      </c>
      <c r="M72" s="60" t="n">
        <f aca="false">IFERROR(INDEX(99_Listas!$C$2:$C$5,MATCH(G72,99_Listas!$B$2:$B$5,0)),0)</f>
        <v>0.07</v>
      </c>
      <c r="N72" s="58" t="n">
        <f aca="false">ROUND(J72*M72,2)</f>
        <v>0.63</v>
      </c>
      <c r="O72" s="58" t="n">
        <f aca="false">ROUND(J72-N72,2)</f>
        <v>8.37</v>
      </c>
      <c r="P72" s="55" t="s">
        <v>275</v>
      </c>
      <c r="Q72" s="54" t="n">
        <v>6</v>
      </c>
      <c r="R72" s="55" t="s">
        <v>276</v>
      </c>
      <c r="S72" s="56" t="s">
        <v>228</v>
      </c>
      <c r="T72" s="56" t="s">
        <v>1994</v>
      </c>
      <c r="U72" s="56" t="s">
        <v>2133</v>
      </c>
    </row>
    <row r="73" customFormat="false" ht="15" hidden="false" customHeight="true" outlineLevel="0" collapsed="false">
      <c r="A73" s="61" t="n">
        <v>72</v>
      </c>
      <c r="B73" s="62" t="s">
        <v>2032</v>
      </c>
      <c r="C73" s="63" t="s">
        <v>2134</v>
      </c>
      <c r="D73" s="63" t="s">
        <v>2135</v>
      </c>
      <c r="E73" s="57" t="s">
        <v>509</v>
      </c>
      <c r="F73" s="62" t="s">
        <v>294</v>
      </c>
      <c r="G73" s="62" t="s">
        <v>157</v>
      </c>
      <c r="H73" s="64" t="n">
        <v>3</v>
      </c>
      <c r="I73" s="64" t="n">
        <v>7</v>
      </c>
      <c r="J73" s="64" t="n">
        <f aca="false">ROUND(AVERAGE(H73:I73),1)</f>
        <v>5</v>
      </c>
      <c r="K73" s="59" t="n">
        <v>0.5</v>
      </c>
      <c r="L73" s="64" t="n">
        <f aca="false">J73+K73</f>
        <v>5.5</v>
      </c>
      <c r="M73" s="65" t="n">
        <f aca="false">IFERROR(INDEX(99_Listas!$C$2:$C$5,MATCH(G73,99_Listas!$B$2:$B$5,0)),0)</f>
        <v>0.07</v>
      </c>
      <c r="N73" s="64" t="n">
        <f aca="false">ROUND(J73*M73,2)</f>
        <v>0.35</v>
      </c>
      <c r="O73" s="64" t="n">
        <f aca="false">ROUND(J73-N73,2)</f>
        <v>4.65</v>
      </c>
      <c r="P73" s="62" t="s">
        <v>275</v>
      </c>
      <c r="Q73" s="61" t="n">
        <v>3</v>
      </c>
      <c r="R73" s="62" t="s">
        <v>276</v>
      </c>
      <c r="S73" s="63" t="s">
        <v>228</v>
      </c>
      <c r="T73" s="63" t="s">
        <v>1994</v>
      </c>
      <c r="U73" s="63"/>
    </row>
    <row r="74" customFormat="false" ht="15" hidden="false" customHeight="true" outlineLevel="0" collapsed="false">
      <c r="A74" s="54" t="n">
        <v>73</v>
      </c>
      <c r="B74" s="55" t="s">
        <v>2032</v>
      </c>
      <c r="C74" s="56" t="s">
        <v>1191</v>
      </c>
      <c r="D74" s="56" t="s">
        <v>2136</v>
      </c>
      <c r="E74" s="57" t="s">
        <v>1142</v>
      </c>
      <c r="F74" s="55" t="s">
        <v>294</v>
      </c>
      <c r="G74" s="55" t="s">
        <v>157</v>
      </c>
      <c r="H74" s="58" t="n">
        <v>3</v>
      </c>
      <c r="I74" s="58" t="n">
        <v>7</v>
      </c>
      <c r="J74" s="58" t="n">
        <f aca="false">ROUND(AVERAGE(H74:I74),1)</f>
        <v>5</v>
      </c>
      <c r="K74" s="59" t="n">
        <v>0.5</v>
      </c>
      <c r="L74" s="58" t="n">
        <f aca="false">J74+K74</f>
        <v>5.5</v>
      </c>
      <c r="M74" s="60" t="n">
        <f aca="false">IFERROR(INDEX(99_Listas!$C$2:$C$5,MATCH(G74,99_Listas!$B$2:$B$5,0)),0)</f>
        <v>0.07</v>
      </c>
      <c r="N74" s="58" t="n">
        <f aca="false">ROUND(J74*M74,2)</f>
        <v>0.35</v>
      </c>
      <c r="O74" s="58" t="n">
        <f aca="false">ROUND(J74-N74,2)</f>
        <v>4.65</v>
      </c>
      <c r="P74" s="55" t="s">
        <v>275</v>
      </c>
      <c r="Q74" s="54" t="n">
        <v>4</v>
      </c>
      <c r="R74" s="55" t="s">
        <v>276</v>
      </c>
      <c r="S74" s="56" t="s">
        <v>228</v>
      </c>
      <c r="T74" s="56" t="s">
        <v>1994</v>
      </c>
      <c r="U74" s="56"/>
    </row>
    <row r="75" customFormat="false" ht="15" hidden="false" customHeight="true" outlineLevel="0" collapsed="false">
      <c r="A75" s="61" t="n">
        <v>74</v>
      </c>
      <c r="B75" s="62" t="s">
        <v>2032</v>
      </c>
      <c r="C75" s="63" t="s">
        <v>2137</v>
      </c>
      <c r="D75" s="63" t="s">
        <v>1141</v>
      </c>
      <c r="E75" s="57" t="s">
        <v>1142</v>
      </c>
      <c r="F75" s="62" t="s">
        <v>294</v>
      </c>
      <c r="G75" s="62" t="s">
        <v>157</v>
      </c>
      <c r="H75" s="64" t="n">
        <v>3</v>
      </c>
      <c r="I75" s="64" t="n">
        <v>7</v>
      </c>
      <c r="J75" s="64" t="n">
        <f aca="false">ROUND(AVERAGE(H75:I75),1)</f>
        <v>5</v>
      </c>
      <c r="K75" s="59" t="n">
        <v>0.5</v>
      </c>
      <c r="L75" s="64" t="n">
        <f aca="false">J75+K75</f>
        <v>5.5</v>
      </c>
      <c r="M75" s="65" t="n">
        <f aca="false">IFERROR(INDEX(99_Listas!$C$2:$C$5,MATCH(G75,99_Listas!$B$2:$B$5,0)),0)</f>
        <v>0.07</v>
      </c>
      <c r="N75" s="64" t="n">
        <f aca="false">ROUND(J75*M75,2)</f>
        <v>0.35</v>
      </c>
      <c r="O75" s="64" t="n">
        <f aca="false">ROUND(J75-N75,2)</f>
        <v>4.65</v>
      </c>
      <c r="P75" s="62" t="s">
        <v>1795</v>
      </c>
      <c r="Q75" s="61" t="n">
        <v>4</v>
      </c>
      <c r="R75" s="62" t="s">
        <v>276</v>
      </c>
      <c r="S75" s="63" t="s">
        <v>228</v>
      </c>
      <c r="T75" s="63" t="s">
        <v>1994</v>
      </c>
      <c r="U75" s="63"/>
    </row>
    <row r="76" customFormat="false" ht="15" hidden="false" customHeight="true" outlineLevel="0" collapsed="false">
      <c r="A76" s="54" t="n">
        <v>75</v>
      </c>
      <c r="B76" s="55" t="s">
        <v>2032</v>
      </c>
      <c r="C76" s="56" t="s">
        <v>2138</v>
      </c>
      <c r="D76" s="56" t="s">
        <v>2139</v>
      </c>
      <c r="E76" s="57" t="s">
        <v>512</v>
      </c>
      <c r="F76" s="55" t="s">
        <v>294</v>
      </c>
      <c r="G76" s="55" t="s">
        <v>157</v>
      </c>
      <c r="H76" s="58" t="n">
        <v>3</v>
      </c>
      <c r="I76" s="58" t="n">
        <v>7</v>
      </c>
      <c r="J76" s="58" t="n">
        <f aca="false">ROUND(AVERAGE(H76:I76),1)</f>
        <v>5</v>
      </c>
      <c r="K76" s="59" t="n">
        <v>0.5</v>
      </c>
      <c r="L76" s="58" t="n">
        <f aca="false">J76+K76</f>
        <v>5.5</v>
      </c>
      <c r="M76" s="60" t="n">
        <f aca="false">IFERROR(INDEX(99_Listas!$C$2:$C$5,MATCH(G76,99_Listas!$B$2:$B$5,0)),0)</f>
        <v>0.07</v>
      </c>
      <c r="N76" s="58" t="n">
        <f aca="false">ROUND(J76*M76,2)</f>
        <v>0.35</v>
      </c>
      <c r="O76" s="58" t="n">
        <f aca="false">ROUND(J76-N76,2)</f>
        <v>4.65</v>
      </c>
      <c r="P76" s="55" t="s">
        <v>275</v>
      </c>
      <c r="Q76" s="54" t="n">
        <v>3</v>
      </c>
      <c r="R76" s="55" t="s">
        <v>276</v>
      </c>
      <c r="S76" s="56" t="s">
        <v>228</v>
      </c>
      <c r="T76" s="56" t="s">
        <v>1994</v>
      </c>
      <c r="U76" s="56"/>
    </row>
    <row r="77" customFormat="false" ht="15" hidden="false" customHeight="true" outlineLevel="0" collapsed="false">
      <c r="A77" s="61" t="n">
        <v>76</v>
      </c>
      <c r="B77" s="62" t="s">
        <v>2032</v>
      </c>
      <c r="C77" s="63" t="s">
        <v>2140</v>
      </c>
      <c r="D77" s="63" t="s">
        <v>2049</v>
      </c>
      <c r="E77" s="57" t="s">
        <v>2141</v>
      </c>
      <c r="F77" s="62" t="s">
        <v>927</v>
      </c>
      <c r="G77" s="62" t="s">
        <v>157</v>
      </c>
      <c r="H77" s="64" t="n">
        <v>2</v>
      </c>
      <c r="I77" s="64" t="n">
        <v>6</v>
      </c>
      <c r="J77" s="64" t="n">
        <f aca="false">ROUND(AVERAGE(H77:I77),1)</f>
        <v>4</v>
      </c>
      <c r="K77" s="59" t="n">
        <v>0.5</v>
      </c>
      <c r="L77" s="64" t="n">
        <f aca="false">J77+K77</f>
        <v>4.5</v>
      </c>
      <c r="M77" s="65" t="n">
        <f aca="false">IFERROR(INDEX(99_Listas!$C$2:$C$5,MATCH(G77,99_Listas!$B$2:$B$5,0)),0)</f>
        <v>0.07</v>
      </c>
      <c r="N77" s="64" t="n">
        <f aca="false">ROUND(J77*M77,2)</f>
        <v>0.28</v>
      </c>
      <c r="O77" s="64" t="n">
        <f aca="false">ROUND(J77-N77,2)</f>
        <v>3.72</v>
      </c>
      <c r="P77" s="62" t="s">
        <v>519</v>
      </c>
      <c r="Q77" s="61" t="n">
        <v>3</v>
      </c>
      <c r="R77" s="62" t="s">
        <v>276</v>
      </c>
      <c r="S77" s="63" t="s">
        <v>228</v>
      </c>
      <c r="T77" s="63" t="s">
        <v>1994</v>
      </c>
      <c r="U77" s="63"/>
    </row>
    <row r="78" customFormat="false" ht="15" hidden="false" customHeight="true" outlineLevel="0" collapsed="false">
      <c r="A78" s="54" t="n">
        <v>77</v>
      </c>
      <c r="B78" s="55" t="s">
        <v>2032</v>
      </c>
      <c r="C78" s="56" t="s">
        <v>539</v>
      </c>
      <c r="D78" s="56" t="s">
        <v>2142</v>
      </c>
      <c r="E78" s="57" t="s">
        <v>540</v>
      </c>
      <c r="F78" s="55" t="s">
        <v>927</v>
      </c>
      <c r="G78" s="55" t="s">
        <v>157</v>
      </c>
      <c r="H78" s="58" t="n">
        <v>2</v>
      </c>
      <c r="I78" s="58" t="n">
        <v>6</v>
      </c>
      <c r="J78" s="58" t="n">
        <f aca="false">ROUND(AVERAGE(H78:I78),1)</f>
        <v>4</v>
      </c>
      <c r="K78" s="59" t="n">
        <v>0.5</v>
      </c>
      <c r="L78" s="58" t="n">
        <f aca="false">J78+K78</f>
        <v>4.5</v>
      </c>
      <c r="M78" s="60" t="n">
        <f aca="false">IFERROR(INDEX(99_Listas!$C$2:$C$5,MATCH(G78,99_Listas!$B$2:$B$5,0)),0)</f>
        <v>0.07</v>
      </c>
      <c r="N78" s="58" t="n">
        <f aca="false">ROUND(J78*M78,2)</f>
        <v>0.28</v>
      </c>
      <c r="O78" s="58" t="n">
        <f aca="false">ROUND(J78-N78,2)</f>
        <v>3.72</v>
      </c>
      <c r="P78" s="55" t="s">
        <v>519</v>
      </c>
      <c r="Q78" s="54" t="n">
        <v>3</v>
      </c>
      <c r="R78" s="55" t="s">
        <v>276</v>
      </c>
      <c r="S78" s="56" t="s">
        <v>228</v>
      </c>
      <c r="T78" s="56" t="s">
        <v>1994</v>
      </c>
      <c r="U78" s="56"/>
    </row>
    <row r="79" customFormat="false" ht="23.25" hidden="false" customHeight="true" outlineLevel="0" collapsed="false">
      <c r="A79" s="61" t="n">
        <v>78</v>
      </c>
      <c r="B79" s="62" t="s">
        <v>2032</v>
      </c>
      <c r="C79" s="63" t="s">
        <v>2143</v>
      </c>
      <c r="D79" s="63" t="s">
        <v>2144</v>
      </c>
      <c r="E79" s="57" t="s">
        <v>906</v>
      </c>
      <c r="F79" s="62" t="s">
        <v>927</v>
      </c>
      <c r="G79" s="62" t="s">
        <v>157</v>
      </c>
      <c r="H79" s="64" t="n">
        <v>3</v>
      </c>
      <c r="I79" s="64" t="n">
        <v>7</v>
      </c>
      <c r="J79" s="64" t="n">
        <f aca="false">ROUND(AVERAGE(H79:I79),1)</f>
        <v>5</v>
      </c>
      <c r="K79" s="59" t="n">
        <v>0.5</v>
      </c>
      <c r="L79" s="64" t="n">
        <f aca="false">J79+K79</f>
        <v>5.5</v>
      </c>
      <c r="M79" s="65" t="n">
        <f aca="false">IFERROR(INDEX(99_Listas!$C$2:$C$5,MATCH(G79,99_Listas!$B$2:$B$5,0)),0)</f>
        <v>0.07</v>
      </c>
      <c r="N79" s="64" t="n">
        <f aca="false">ROUND(J79*M79,2)</f>
        <v>0.35</v>
      </c>
      <c r="O79" s="64" t="n">
        <f aca="false">ROUND(J79-N79,2)</f>
        <v>4.65</v>
      </c>
      <c r="P79" s="62" t="s">
        <v>247</v>
      </c>
      <c r="Q79" s="61" t="n">
        <v>2</v>
      </c>
      <c r="R79" s="62" t="s">
        <v>276</v>
      </c>
      <c r="S79" s="63" t="s">
        <v>380</v>
      </c>
      <c r="T79" s="63" t="s">
        <v>1984</v>
      </c>
      <c r="U79" s="63"/>
    </row>
    <row r="80" customFormat="false" ht="15" hidden="false" customHeight="true" outlineLevel="0" collapsed="false">
      <c r="A80" s="54" t="n">
        <v>79</v>
      </c>
      <c r="B80" s="55" t="s">
        <v>2032</v>
      </c>
      <c r="C80" s="56" t="s">
        <v>2145</v>
      </c>
      <c r="D80" s="56" t="s">
        <v>2146</v>
      </c>
      <c r="E80" s="57" t="s">
        <v>350</v>
      </c>
      <c r="F80" s="55" t="s">
        <v>927</v>
      </c>
      <c r="G80" s="55" t="s">
        <v>157</v>
      </c>
      <c r="H80" s="58" t="n">
        <v>3</v>
      </c>
      <c r="I80" s="58" t="n">
        <v>7</v>
      </c>
      <c r="J80" s="58" t="n">
        <f aca="false">ROUND(AVERAGE(H80:I80),1)</f>
        <v>5</v>
      </c>
      <c r="K80" s="59" t="n">
        <v>0.5</v>
      </c>
      <c r="L80" s="58" t="n">
        <f aca="false">J80+K80</f>
        <v>5.5</v>
      </c>
      <c r="M80" s="60" t="n">
        <f aca="false">IFERROR(INDEX(99_Listas!$C$2:$C$5,MATCH(G80,99_Listas!$B$2:$B$5,0)),0)</f>
        <v>0.07</v>
      </c>
      <c r="N80" s="58" t="n">
        <f aca="false">ROUND(J80*M80,2)</f>
        <v>0.35</v>
      </c>
      <c r="O80" s="58" t="n">
        <f aca="false">ROUND(J80-N80,2)</f>
        <v>4.65</v>
      </c>
      <c r="P80" s="55" t="s">
        <v>247</v>
      </c>
      <c r="Q80" s="54" t="n">
        <v>2</v>
      </c>
      <c r="R80" s="55" t="s">
        <v>276</v>
      </c>
      <c r="S80" s="56" t="s">
        <v>228</v>
      </c>
      <c r="T80" s="56" t="s">
        <v>1984</v>
      </c>
      <c r="U80" s="56"/>
    </row>
    <row r="81" customFormat="false" ht="15" hidden="false" customHeight="true" outlineLevel="0" collapsed="false">
      <c r="A81" s="61" t="n">
        <v>80</v>
      </c>
      <c r="B81" s="62" t="s">
        <v>2032</v>
      </c>
      <c r="C81" s="63" t="s">
        <v>2147</v>
      </c>
      <c r="D81" s="63" t="s">
        <v>2148</v>
      </c>
      <c r="E81" s="57" t="s">
        <v>2149</v>
      </c>
      <c r="F81" s="62" t="s">
        <v>482</v>
      </c>
      <c r="G81" s="62" t="s">
        <v>157</v>
      </c>
      <c r="H81" s="64" t="n">
        <v>3</v>
      </c>
      <c r="I81" s="64" t="n">
        <v>7</v>
      </c>
      <c r="J81" s="64" t="n">
        <f aca="false">ROUND(AVERAGE(H81:I81),1)</f>
        <v>5</v>
      </c>
      <c r="K81" s="59" t="n">
        <v>0.5</v>
      </c>
      <c r="L81" s="64" t="n">
        <f aca="false">J81+K81</f>
        <v>5.5</v>
      </c>
      <c r="M81" s="65" t="n">
        <f aca="false">IFERROR(INDEX(99_Listas!$C$2:$C$5,MATCH(G81,99_Listas!$B$2:$B$5,0)),0)</f>
        <v>0.07</v>
      </c>
      <c r="N81" s="64" t="n">
        <f aca="false">ROUND(J81*M81,2)</f>
        <v>0.35</v>
      </c>
      <c r="O81" s="64" t="n">
        <f aca="false">ROUND(J81-N81,2)</f>
        <v>4.65</v>
      </c>
      <c r="P81" s="62" t="s">
        <v>275</v>
      </c>
      <c r="Q81" s="61" t="n">
        <v>4</v>
      </c>
      <c r="R81" s="62" t="s">
        <v>276</v>
      </c>
      <c r="S81" s="63" t="s">
        <v>228</v>
      </c>
      <c r="T81" s="63" t="s">
        <v>1984</v>
      </c>
      <c r="U81" s="63"/>
    </row>
    <row r="82" customFormat="false" ht="15" hidden="false" customHeight="true" outlineLevel="0" collapsed="false">
      <c r="A82" s="54" t="n">
        <v>81</v>
      </c>
      <c r="B82" s="55" t="s">
        <v>2032</v>
      </c>
      <c r="C82" s="56" t="s">
        <v>2150</v>
      </c>
      <c r="D82" s="56" t="s">
        <v>2151</v>
      </c>
      <c r="E82" s="57" t="s">
        <v>2152</v>
      </c>
      <c r="F82" s="55" t="s">
        <v>927</v>
      </c>
      <c r="G82" s="55" t="s">
        <v>157</v>
      </c>
      <c r="H82" s="58" t="n">
        <v>1.5</v>
      </c>
      <c r="I82" s="58" t="n">
        <v>4</v>
      </c>
      <c r="J82" s="58" t="n">
        <f aca="false">ROUND(AVERAGE(H82:I82),1)</f>
        <v>2.8</v>
      </c>
      <c r="K82" s="59" t="n">
        <v>0.5</v>
      </c>
      <c r="L82" s="58" t="n">
        <f aca="false">J82+K82</f>
        <v>3.3</v>
      </c>
      <c r="M82" s="60" t="n">
        <f aca="false">IFERROR(INDEX(99_Listas!$C$2:$C$5,MATCH(G82,99_Listas!$B$2:$B$5,0)),0)</f>
        <v>0.07</v>
      </c>
      <c r="N82" s="58" t="n">
        <f aca="false">ROUND(J82*M82,2)</f>
        <v>0.2</v>
      </c>
      <c r="O82" s="58" t="n">
        <f aca="false">ROUND(J82-N82,2)</f>
        <v>2.6</v>
      </c>
      <c r="P82" s="55" t="s">
        <v>275</v>
      </c>
      <c r="Q82" s="54" t="n">
        <v>3</v>
      </c>
      <c r="R82" s="55" t="s">
        <v>165</v>
      </c>
      <c r="S82" s="56" t="s">
        <v>228</v>
      </c>
      <c r="T82" s="56" t="s">
        <v>1994</v>
      </c>
      <c r="U82" s="56"/>
    </row>
    <row r="83" customFormat="false" ht="15" hidden="false" customHeight="true" outlineLevel="0" collapsed="false">
      <c r="A83" s="61" t="n">
        <v>82</v>
      </c>
      <c r="B83" s="62" t="s">
        <v>2032</v>
      </c>
      <c r="C83" s="63" t="s">
        <v>2153</v>
      </c>
      <c r="D83" s="63" t="s">
        <v>2154</v>
      </c>
      <c r="E83" s="57" t="s">
        <v>922</v>
      </c>
      <c r="F83" s="62" t="s">
        <v>482</v>
      </c>
      <c r="G83" s="62" t="s">
        <v>157</v>
      </c>
      <c r="H83" s="64" t="n">
        <v>3</v>
      </c>
      <c r="I83" s="64" t="n">
        <v>8</v>
      </c>
      <c r="J83" s="64" t="n">
        <f aca="false">ROUND(AVERAGE(H83:I83),1)</f>
        <v>5.5</v>
      </c>
      <c r="K83" s="59" t="n">
        <v>0.5</v>
      </c>
      <c r="L83" s="64" t="n">
        <f aca="false">J83+K83</f>
        <v>6</v>
      </c>
      <c r="M83" s="65" t="n">
        <f aca="false">IFERROR(INDEX(99_Listas!$C$2:$C$5,MATCH(G83,99_Listas!$B$2:$B$5,0)),0)</f>
        <v>0.07</v>
      </c>
      <c r="N83" s="64" t="n">
        <f aca="false">ROUND(J83*M83,2)</f>
        <v>0.39</v>
      </c>
      <c r="O83" s="64" t="n">
        <f aca="false">ROUND(J83-N83,2)</f>
        <v>5.11</v>
      </c>
      <c r="P83" s="62" t="s">
        <v>1795</v>
      </c>
      <c r="Q83" s="61" t="n">
        <v>6</v>
      </c>
      <c r="R83" s="62" t="s">
        <v>165</v>
      </c>
      <c r="S83" s="63" t="s">
        <v>228</v>
      </c>
      <c r="T83" s="63" t="s">
        <v>1994</v>
      </c>
      <c r="U83" s="63"/>
    </row>
    <row r="84" customFormat="false" ht="15" hidden="false" customHeight="true" outlineLevel="0" collapsed="false">
      <c r="A84" s="54" t="n">
        <v>83</v>
      </c>
      <c r="B84" s="55" t="s">
        <v>2060</v>
      </c>
      <c r="C84" s="56" t="s">
        <v>2155</v>
      </c>
      <c r="D84" s="56" t="s">
        <v>2156</v>
      </c>
      <c r="E84" s="57" t="s">
        <v>1997</v>
      </c>
      <c r="F84" s="55" t="s">
        <v>1016</v>
      </c>
      <c r="G84" s="55" t="s">
        <v>157</v>
      </c>
      <c r="H84" s="58" t="n">
        <v>6</v>
      </c>
      <c r="I84" s="58" t="n">
        <v>12</v>
      </c>
      <c r="J84" s="58" t="n">
        <f aca="false">ROUND(AVERAGE(H84:I84),1)</f>
        <v>9</v>
      </c>
      <c r="K84" s="59" t="n">
        <v>0.5</v>
      </c>
      <c r="L84" s="58" t="n">
        <f aca="false">J84+K84</f>
        <v>9.5</v>
      </c>
      <c r="M84" s="60" t="n">
        <f aca="false">IFERROR(INDEX(99_Listas!$C$2:$C$5,MATCH(G84,99_Listas!$B$2:$B$5,0)),0)</f>
        <v>0.07</v>
      </c>
      <c r="N84" s="58" t="n">
        <f aca="false">ROUND(J84*M84,2)</f>
        <v>0.63</v>
      </c>
      <c r="O84" s="58" t="n">
        <f aca="false">ROUND(J84-N84,2)</f>
        <v>8.37</v>
      </c>
      <c r="P84" s="55" t="s">
        <v>227</v>
      </c>
      <c r="Q84" s="54" t="n">
        <v>4</v>
      </c>
      <c r="R84" s="55" t="s">
        <v>165</v>
      </c>
      <c r="S84" s="56" t="s">
        <v>248</v>
      </c>
      <c r="T84" s="56" t="s">
        <v>1994</v>
      </c>
      <c r="U84" s="56"/>
    </row>
    <row r="85" customFormat="false" ht="15" hidden="false" customHeight="true" outlineLevel="0" collapsed="false">
      <c r="A85" s="61" t="n">
        <v>84</v>
      </c>
      <c r="B85" s="62" t="s">
        <v>2060</v>
      </c>
      <c r="C85" s="63" t="s">
        <v>2157</v>
      </c>
      <c r="D85" s="63" t="s">
        <v>2158</v>
      </c>
      <c r="E85" s="57" t="s">
        <v>1982</v>
      </c>
      <c r="F85" s="62" t="s">
        <v>1016</v>
      </c>
      <c r="G85" s="62" t="s">
        <v>157</v>
      </c>
      <c r="H85" s="64" t="n">
        <v>6</v>
      </c>
      <c r="I85" s="64" t="n">
        <v>12</v>
      </c>
      <c r="J85" s="64" t="n">
        <f aca="false">ROUND(AVERAGE(H85:I85),1)</f>
        <v>9</v>
      </c>
      <c r="K85" s="59" t="n">
        <v>0.5</v>
      </c>
      <c r="L85" s="64" t="n">
        <f aca="false">J85+K85</f>
        <v>9.5</v>
      </c>
      <c r="M85" s="65" t="n">
        <f aca="false">IFERROR(INDEX(99_Listas!$C$2:$C$5,MATCH(G85,99_Listas!$B$2:$B$5,0)),0)</f>
        <v>0.07</v>
      </c>
      <c r="N85" s="64" t="n">
        <f aca="false">ROUND(J85*M85,2)</f>
        <v>0.63</v>
      </c>
      <c r="O85" s="64" t="n">
        <f aca="false">ROUND(J85-N85,2)</f>
        <v>8.37</v>
      </c>
      <c r="P85" s="62" t="s">
        <v>227</v>
      </c>
      <c r="Q85" s="61" t="n">
        <v>4</v>
      </c>
      <c r="R85" s="62" t="s">
        <v>165</v>
      </c>
      <c r="S85" s="63" t="s">
        <v>228</v>
      </c>
      <c r="T85" s="63" t="s">
        <v>1994</v>
      </c>
      <c r="U85" s="63" t="s">
        <v>2159</v>
      </c>
    </row>
    <row r="86" customFormat="false" ht="15" hidden="false" customHeight="true" outlineLevel="0" collapsed="false">
      <c r="A86" s="54" t="n">
        <v>85</v>
      </c>
      <c r="B86" s="55" t="s">
        <v>2060</v>
      </c>
      <c r="C86" s="56" t="s">
        <v>2160</v>
      </c>
      <c r="D86" s="56" t="s">
        <v>2161</v>
      </c>
      <c r="E86" s="57" t="s">
        <v>1839</v>
      </c>
      <c r="F86" s="55" t="s">
        <v>1016</v>
      </c>
      <c r="G86" s="55" t="s">
        <v>157</v>
      </c>
      <c r="H86" s="58" t="n">
        <v>9</v>
      </c>
      <c r="I86" s="58" t="n">
        <v>18</v>
      </c>
      <c r="J86" s="58" t="n">
        <f aca="false">ROUND(AVERAGE(H86:I86),1)</f>
        <v>13.5</v>
      </c>
      <c r="K86" s="59" t="n">
        <v>0.5</v>
      </c>
      <c r="L86" s="58" t="n">
        <f aca="false">J86+K86</f>
        <v>14</v>
      </c>
      <c r="M86" s="60" t="n">
        <f aca="false">IFERROR(INDEX(99_Listas!$C$2:$C$5,MATCH(G86,99_Listas!$B$2:$B$5,0)),0)</f>
        <v>0.07</v>
      </c>
      <c r="N86" s="58" t="n">
        <f aca="false">ROUND(J86*M86,2)</f>
        <v>0.95</v>
      </c>
      <c r="O86" s="58" t="n">
        <f aca="false">ROUND(J86-N86,2)</f>
        <v>12.55</v>
      </c>
      <c r="P86" s="55" t="s">
        <v>275</v>
      </c>
      <c r="Q86" s="54" t="n">
        <v>7</v>
      </c>
      <c r="R86" s="55" t="s">
        <v>276</v>
      </c>
      <c r="S86" s="56" t="s">
        <v>228</v>
      </c>
      <c r="T86" s="56" t="s">
        <v>1994</v>
      </c>
      <c r="U86" s="56" t="s">
        <v>2162</v>
      </c>
    </row>
    <row r="87" customFormat="false" ht="15" hidden="false" customHeight="true" outlineLevel="0" collapsed="false">
      <c r="A87" s="61" t="n">
        <v>86</v>
      </c>
      <c r="B87" s="62" t="s">
        <v>2060</v>
      </c>
      <c r="C87" s="63" t="s">
        <v>2163</v>
      </c>
      <c r="D87" s="63" t="s">
        <v>2069</v>
      </c>
      <c r="E87" s="57" t="s">
        <v>1874</v>
      </c>
      <c r="F87" s="62" t="s">
        <v>1016</v>
      </c>
      <c r="G87" s="62" t="s">
        <v>157</v>
      </c>
      <c r="H87" s="64" t="n">
        <v>4</v>
      </c>
      <c r="I87" s="64" t="n">
        <v>10</v>
      </c>
      <c r="J87" s="64" t="n">
        <f aca="false">ROUND(AVERAGE(H87:I87),1)</f>
        <v>7</v>
      </c>
      <c r="K87" s="59" t="n">
        <v>0.5</v>
      </c>
      <c r="L87" s="64" t="n">
        <f aca="false">J87+K87</f>
        <v>7.5</v>
      </c>
      <c r="M87" s="65" t="n">
        <f aca="false">IFERROR(INDEX(99_Listas!$C$2:$C$5,MATCH(G87,99_Listas!$B$2:$B$5,0)),0)</f>
        <v>0.07</v>
      </c>
      <c r="N87" s="64" t="n">
        <f aca="false">ROUND(J87*M87,2)</f>
        <v>0.49</v>
      </c>
      <c r="O87" s="64" t="n">
        <f aca="false">ROUND(J87-N87,2)</f>
        <v>6.51</v>
      </c>
      <c r="P87" s="62" t="s">
        <v>227</v>
      </c>
      <c r="Q87" s="61" t="n">
        <v>3</v>
      </c>
      <c r="R87" s="62" t="s">
        <v>165</v>
      </c>
      <c r="S87" s="63" t="s">
        <v>248</v>
      </c>
      <c r="T87" s="63" t="s">
        <v>1994</v>
      </c>
      <c r="U87" s="63"/>
    </row>
    <row r="88" customFormat="false" ht="23.25" hidden="false" customHeight="true" outlineLevel="0" collapsed="false">
      <c r="A88" s="54" t="n">
        <v>87</v>
      </c>
      <c r="B88" s="55" t="s">
        <v>2060</v>
      </c>
      <c r="C88" s="56" t="s">
        <v>2164</v>
      </c>
      <c r="D88" s="56" t="s">
        <v>2165</v>
      </c>
      <c r="E88" s="57" t="s">
        <v>449</v>
      </c>
      <c r="F88" s="55" t="s">
        <v>1016</v>
      </c>
      <c r="G88" s="55" t="s">
        <v>157</v>
      </c>
      <c r="H88" s="58" t="n">
        <v>8</v>
      </c>
      <c r="I88" s="58" t="n">
        <v>15</v>
      </c>
      <c r="J88" s="58" t="n">
        <f aca="false">ROUND(AVERAGE(H88:I88),1)</f>
        <v>11.5</v>
      </c>
      <c r="K88" s="59" t="n">
        <v>0.5</v>
      </c>
      <c r="L88" s="58" t="n">
        <f aca="false">J88+K88</f>
        <v>12</v>
      </c>
      <c r="M88" s="60" t="n">
        <f aca="false">IFERROR(INDEX(99_Listas!$C$2:$C$5,MATCH(G88,99_Listas!$B$2:$B$5,0)),0)</f>
        <v>0.07</v>
      </c>
      <c r="N88" s="58" t="n">
        <f aca="false">ROUND(J88*M88,2)</f>
        <v>0.81</v>
      </c>
      <c r="O88" s="58" t="n">
        <f aca="false">ROUND(J88-N88,2)</f>
        <v>10.69</v>
      </c>
      <c r="P88" s="55" t="s">
        <v>227</v>
      </c>
      <c r="Q88" s="54" t="n">
        <v>10</v>
      </c>
      <c r="R88" s="55" t="s">
        <v>165</v>
      </c>
      <c r="S88" s="56" t="s">
        <v>228</v>
      </c>
      <c r="T88" s="56" t="s">
        <v>190</v>
      </c>
      <c r="U88" s="56"/>
    </row>
    <row r="89" customFormat="false" ht="15" hidden="false" customHeight="true" outlineLevel="0" collapsed="false">
      <c r="A89" s="61" t="n">
        <v>88</v>
      </c>
      <c r="B89" s="62" t="s">
        <v>2060</v>
      </c>
      <c r="C89" s="63" t="s">
        <v>2166</v>
      </c>
      <c r="D89" s="63" t="s">
        <v>2167</v>
      </c>
      <c r="E89" s="57" t="s">
        <v>1839</v>
      </c>
      <c r="F89" s="62" t="s">
        <v>1016</v>
      </c>
      <c r="G89" s="62" t="s">
        <v>157</v>
      </c>
      <c r="H89" s="64" t="n">
        <v>4</v>
      </c>
      <c r="I89" s="64" t="n">
        <v>9</v>
      </c>
      <c r="J89" s="64" t="n">
        <f aca="false">ROUND(AVERAGE(H89:I89),1)</f>
        <v>6.5</v>
      </c>
      <c r="K89" s="59" t="n">
        <v>0.5</v>
      </c>
      <c r="L89" s="64" t="n">
        <f aca="false">J89+K89</f>
        <v>7</v>
      </c>
      <c r="M89" s="65" t="n">
        <f aca="false">IFERROR(INDEX(99_Listas!$C$2:$C$5,MATCH(G89,99_Listas!$B$2:$B$5,0)),0)</f>
        <v>0.07</v>
      </c>
      <c r="N89" s="64" t="n">
        <f aca="false">ROUND(J89*M89,2)</f>
        <v>0.46</v>
      </c>
      <c r="O89" s="64" t="n">
        <f aca="false">ROUND(J89-N89,2)</f>
        <v>6.04</v>
      </c>
      <c r="P89" s="62" t="s">
        <v>2080</v>
      </c>
      <c r="Q89" s="61" t="n">
        <v>4</v>
      </c>
      <c r="R89" s="62" t="s">
        <v>276</v>
      </c>
      <c r="S89" s="63" t="s">
        <v>1573</v>
      </c>
      <c r="T89" s="63" t="s">
        <v>1994</v>
      </c>
      <c r="U89" s="63"/>
    </row>
    <row r="90" customFormat="false" ht="23.25" hidden="false" customHeight="true" outlineLevel="0" collapsed="false">
      <c r="A90" s="54" t="n">
        <v>89</v>
      </c>
      <c r="B90" s="55" t="s">
        <v>2060</v>
      </c>
      <c r="C90" s="56" t="s">
        <v>2168</v>
      </c>
      <c r="D90" s="56" t="s">
        <v>2169</v>
      </c>
      <c r="E90" s="57" t="s">
        <v>1839</v>
      </c>
      <c r="F90" s="55" t="s">
        <v>1016</v>
      </c>
      <c r="G90" s="55" t="s">
        <v>157</v>
      </c>
      <c r="H90" s="58" t="n">
        <v>8</v>
      </c>
      <c r="I90" s="58" t="n">
        <v>15</v>
      </c>
      <c r="J90" s="58" t="n">
        <f aca="false">ROUND(AVERAGE(H90:I90),1)</f>
        <v>11.5</v>
      </c>
      <c r="K90" s="59" t="n">
        <v>0.5</v>
      </c>
      <c r="L90" s="58" t="n">
        <f aca="false">J90+K90</f>
        <v>12</v>
      </c>
      <c r="M90" s="60" t="n">
        <f aca="false">IFERROR(INDEX(99_Listas!$C$2:$C$5,MATCH(G90,99_Listas!$B$2:$B$5,0)),0)</f>
        <v>0.07</v>
      </c>
      <c r="N90" s="58" t="n">
        <f aca="false">ROUND(J90*M90,2)</f>
        <v>0.81</v>
      </c>
      <c r="O90" s="58" t="n">
        <f aca="false">ROUND(J90-N90,2)</f>
        <v>10.69</v>
      </c>
      <c r="P90" s="55" t="s">
        <v>325</v>
      </c>
      <c r="Q90" s="54" t="n">
        <v>6</v>
      </c>
      <c r="R90" s="55" t="s">
        <v>276</v>
      </c>
      <c r="S90" s="56" t="s">
        <v>228</v>
      </c>
      <c r="T90" s="56" t="s">
        <v>2066</v>
      </c>
      <c r="U90" s="56" t="s">
        <v>2170</v>
      </c>
    </row>
    <row r="91" customFormat="false" ht="15" hidden="false" customHeight="true" outlineLevel="0" collapsed="false">
      <c r="A91" s="61" t="n">
        <v>90</v>
      </c>
      <c r="B91" s="62" t="s">
        <v>2082</v>
      </c>
      <c r="C91" s="63" t="s">
        <v>2171</v>
      </c>
      <c r="D91" s="63" t="s">
        <v>2172</v>
      </c>
      <c r="E91" s="57" t="s">
        <v>2173</v>
      </c>
      <c r="F91" s="62" t="s">
        <v>482</v>
      </c>
      <c r="G91" s="62" t="s">
        <v>157</v>
      </c>
      <c r="H91" s="64" t="n">
        <v>2</v>
      </c>
      <c r="I91" s="64" t="n">
        <v>6</v>
      </c>
      <c r="J91" s="64" t="n">
        <f aca="false">ROUND(AVERAGE(H91:I91),1)</f>
        <v>4</v>
      </c>
      <c r="K91" s="59" t="n">
        <v>0.5</v>
      </c>
      <c r="L91" s="64" t="n">
        <f aca="false">J91+K91</f>
        <v>4.5</v>
      </c>
      <c r="M91" s="65" t="n">
        <f aca="false">IFERROR(INDEX(99_Listas!$C$2:$C$5,MATCH(G91,99_Listas!$B$2:$B$5,0)),0)</f>
        <v>0.07</v>
      </c>
      <c r="N91" s="64" t="n">
        <f aca="false">ROUND(J91*M91,2)</f>
        <v>0.28</v>
      </c>
      <c r="O91" s="64" t="n">
        <f aca="false">ROUND(J91-N91,2)</f>
        <v>3.72</v>
      </c>
      <c r="P91" s="62" t="s">
        <v>928</v>
      </c>
      <c r="Q91" s="61" t="n">
        <v>3</v>
      </c>
      <c r="R91" s="62" t="s">
        <v>276</v>
      </c>
      <c r="S91" s="63" t="s">
        <v>228</v>
      </c>
      <c r="T91" s="63" t="s">
        <v>1994</v>
      </c>
      <c r="U91" s="63"/>
    </row>
    <row r="92" customFormat="false" ht="15" hidden="false" customHeight="true" outlineLevel="0" collapsed="false">
      <c r="A92" s="54" t="n">
        <v>91</v>
      </c>
      <c r="B92" s="55" t="s">
        <v>2082</v>
      </c>
      <c r="C92" s="56" t="s">
        <v>2174</v>
      </c>
      <c r="D92" s="56" t="s">
        <v>2175</v>
      </c>
      <c r="E92" s="57" t="s">
        <v>1146</v>
      </c>
      <c r="F92" s="55" t="s">
        <v>534</v>
      </c>
      <c r="G92" s="55" t="s">
        <v>157</v>
      </c>
      <c r="H92" s="58" t="n">
        <v>2</v>
      </c>
      <c r="I92" s="58" t="n">
        <v>5</v>
      </c>
      <c r="J92" s="58" t="n">
        <f aca="false">ROUND(AVERAGE(H92:I92),1)</f>
        <v>3.5</v>
      </c>
      <c r="K92" s="59" t="n">
        <v>0.5</v>
      </c>
      <c r="L92" s="58" t="n">
        <f aca="false">J92+K92</f>
        <v>4</v>
      </c>
      <c r="M92" s="60" t="n">
        <f aca="false">IFERROR(INDEX(99_Listas!$C$2:$C$5,MATCH(G92,99_Listas!$B$2:$B$5,0)),0)</f>
        <v>0.07</v>
      </c>
      <c r="N92" s="58" t="n">
        <f aca="false">ROUND(J92*M92,2)</f>
        <v>0.25</v>
      </c>
      <c r="O92" s="58" t="n">
        <f aca="false">ROUND(J92-N92,2)</f>
        <v>3.25</v>
      </c>
      <c r="P92" s="55" t="s">
        <v>928</v>
      </c>
      <c r="Q92" s="54" t="n">
        <v>2</v>
      </c>
      <c r="R92" s="55" t="s">
        <v>276</v>
      </c>
      <c r="S92" s="56" t="s">
        <v>228</v>
      </c>
      <c r="T92" s="56" t="s">
        <v>1984</v>
      </c>
      <c r="U92" s="56"/>
    </row>
    <row r="93" customFormat="false" ht="15" hidden="false" customHeight="true" outlineLevel="0" collapsed="false">
      <c r="A93" s="61" t="n">
        <v>92</v>
      </c>
      <c r="B93" s="62" t="s">
        <v>2082</v>
      </c>
      <c r="C93" s="63" t="s">
        <v>2176</v>
      </c>
      <c r="D93" s="63" t="s">
        <v>2177</v>
      </c>
      <c r="E93" s="57" t="s">
        <v>1784</v>
      </c>
      <c r="F93" s="62" t="s">
        <v>482</v>
      </c>
      <c r="G93" s="62" t="s">
        <v>157</v>
      </c>
      <c r="H93" s="64" t="n">
        <v>2</v>
      </c>
      <c r="I93" s="64" t="n">
        <v>6</v>
      </c>
      <c r="J93" s="64" t="n">
        <f aca="false">ROUND(AVERAGE(H93:I93),1)</f>
        <v>4</v>
      </c>
      <c r="K93" s="59" t="n">
        <v>0.5</v>
      </c>
      <c r="L93" s="64" t="n">
        <f aca="false">J93+K93</f>
        <v>4.5</v>
      </c>
      <c r="M93" s="65" t="n">
        <f aca="false">IFERROR(INDEX(99_Listas!$C$2:$C$5,MATCH(G93,99_Listas!$B$2:$B$5,0)),0)</f>
        <v>0.07</v>
      </c>
      <c r="N93" s="64" t="n">
        <f aca="false">ROUND(J93*M93,2)</f>
        <v>0.28</v>
      </c>
      <c r="O93" s="64" t="n">
        <f aca="false">ROUND(J93-N93,2)</f>
        <v>3.72</v>
      </c>
      <c r="P93" s="62" t="s">
        <v>928</v>
      </c>
      <c r="Q93" s="61" t="n">
        <v>2</v>
      </c>
      <c r="R93" s="62" t="s">
        <v>276</v>
      </c>
      <c r="S93" s="63" t="s">
        <v>228</v>
      </c>
      <c r="T93" s="63" t="s">
        <v>1994</v>
      </c>
      <c r="U93" s="63"/>
    </row>
    <row r="94" customFormat="false" ht="15" hidden="false" customHeight="true" outlineLevel="0" collapsed="false">
      <c r="A94" s="54" t="n">
        <v>93</v>
      </c>
      <c r="B94" s="55" t="s">
        <v>2082</v>
      </c>
      <c r="C94" s="56" t="s">
        <v>2178</v>
      </c>
      <c r="D94" s="56" t="s">
        <v>2179</v>
      </c>
      <c r="E94" s="57" t="s">
        <v>1964</v>
      </c>
      <c r="F94" s="55" t="s">
        <v>927</v>
      </c>
      <c r="G94" s="55" t="s">
        <v>157</v>
      </c>
      <c r="H94" s="58" t="n">
        <v>1.5</v>
      </c>
      <c r="I94" s="58" t="n">
        <v>4</v>
      </c>
      <c r="J94" s="58" t="n">
        <f aca="false">ROUND(AVERAGE(H94:I94),1)</f>
        <v>2.8</v>
      </c>
      <c r="K94" s="59" t="n">
        <v>0.5</v>
      </c>
      <c r="L94" s="58" t="n">
        <f aca="false">J94+K94</f>
        <v>3.3</v>
      </c>
      <c r="M94" s="60" t="n">
        <f aca="false">IFERROR(INDEX(99_Listas!$C$2:$C$5,MATCH(G94,99_Listas!$B$2:$B$5,0)),0)</f>
        <v>0.07</v>
      </c>
      <c r="N94" s="58" t="n">
        <f aca="false">ROUND(J94*M94,2)</f>
        <v>0.2</v>
      </c>
      <c r="O94" s="58" t="n">
        <f aca="false">ROUND(J94-N94,2)</f>
        <v>2.6</v>
      </c>
      <c r="P94" s="55" t="s">
        <v>2180</v>
      </c>
      <c r="Q94" s="54" t="n">
        <v>2</v>
      </c>
      <c r="R94" s="55" t="s">
        <v>165</v>
      </c>
      <c r="S94" s="56" t="s">
        <v>1542</v>
      </c>
      <c r="T94" s="56" t="s">
        <v>1994</v>
      </c>
      <c r="U94" s="56"/>
    </row>
    <row r="95" customFormat="false" ht="15" hidden="false" customHeight="true" outlineLevel="0" collapsed="false">
      <c r="A95" s="61" t="n">
        <v>94</v>
      </c>
      <c r="B95" s="62" t="s">
        <v>2082</v>
      </c>
      <c r="C95" s="63" t="s">
        <v>2181</v>
      </c>
      <c r="D95" s="63" t="s">
        <v>2179</v>
      </c>
      <c r="E95" s="57" t="s">
        <v>2182</v>
      </c>
      <c r="F95" s="62" t="s">
        <v>927</v>
      </c>
      <c r="G95" s="62" t="s">
        <v>157</v>
      </c>
      <c r="H95" s="64" t="n">
        <v>2</v>
      </c>
      <c r="I95" s="64" t="n">
        <v>6</v>
      </c>
      <c r="J95" s="64" t="n">
        <f aca="false">ROUND(AVERAGE(H95:I95),1)</f>
        <v>4</v>
      </c>
      <c r="K95" s="59" t="n">
        <v>0.5</v>
      </c>
      <c r="L95" s="64" t="n">
        <f aca="false">J95+K95</f>
        <v>4.5</v>
      </c>
      <c r="M95" s="65" t="n">
        <f aca="false">IFERROR(INDEX(99_Listas!$C$2:$C$5,MATCH(G95,99_Listas!$B$2:$B$5,0)),0)</f>
        <v>0.07</v>
      </c>
      <c r="N95" s="64" t="n">
        <f aca="false">ROUND(J95*M95,2)</f>
        <v>0.28</v>
      </c>
      <c r="O95" s="64" t="n">
        <f aca="false">ROUND(J95-N95,2)</f>
        <v>3.72</v>
      </c>
      <c r="P95" s="62" t="s">
        <v>2180</v>
      </c>
      <c r="Q95" s="61" t="n">
        <v>3</v>
      </c>
      <c r="R95" s="62" t="s">
        <v>276</v>
      </c>
      <c r="S95" s="63" t="s">
        <v>1542</v>
      </c>
      <c r="T95" s="63" t="s">
        <v>1994</v>
      </c>
      <c r="U95" s="63"/>
    </row>
    <row r="96" customFormat="false" ht="15" hidden="false" customHeight="true" outlineLevel="0" collapsed="false">
      <c r="A96" s="54" t="n">
        <v>95</v>
      </c>
      <c r="B96" s="55" t="s">
        <v>2082</v>
      </c>
      <c r="C96" s="56" t="s">
        <v>2183</v>
      </c>
      <c r="D96" s="56" t="s">
        <v>2184</v>
      </c>
      <c r="E96" s="57" t="s">
        <v>417</v>
      </c>
      <c r="F96" s="55" t="s">
        <v>418</v>
      </c>
      <c r="G96" s="55" t="s">
        <v>157</v>
      </c>
      <c r="H96" s="58" t="n">
        <v>3</v>
      </c>
      <c r="I96" s="58" t="n">
        <v>8</v>
      </c>
      <c r="J96" s="58" t="n">
        <f aca="false">ROUND(AVERAGE(H96:I96),1)</f>
        <v>5.5</v>
      </c>
      <c r="K96" s="59" t="n">
        <v>0.5</v>
      </c>
      <c r="L96" s="58" t="n">
        <f aca="false">J96+K96</f>
        <v>6</v>
      </c>
      <c r="M96" s="60" t="n">
        <f aca="false">IFERROR(INDEX(99_Listas!$C$2:$C$5,MATCH(G96,99_Listas!$B$2:$B$5,0)),0)</f>
        <v>0.07</v>
      </c>
      <c r="N96" s="58" t="n">
        <f aca="false">ROUND(J96*M96,2)</f>
        <v>0.39</v>
      </c>
      <c r="O96" s="58" t="n">
        <f aca="false">ROUND(J96-N96,2)</f>
        <v>5.11</v>
      </c>
      <c r="P96" s="55" t="s">
        <v>1017</v>
      </c>
      <c r="Q96" s="54" t="n">
        <v>4</v>
      </c>
      <c r="R96" s="55" t="s">
        <v>276</v>
      </c>
      <c r="S96" s="56" t="s">
        <v>228</v>
      </c>
      <c r="T96" s="56" t="s">
        <v>1994</v>
      </c>
      <c r="U96" s="56"/>
    </row>
    <row r="97" customFormat="false" ht="15" hidden="false" customHeight="true" outlineLevel="0" collapsed="false">
      <c r="A97" s="61" t="n">
        <v>96</v>
      </c>
      <c r="B97" s="62" t="s">
        <v>2082</v>
      </c>
      <c r="C97" s="63" t="s">
        <v>2185</v>
      </c>
      <c r="D97" s="63" t="s">
        <v>2186</v>
      </c>
      <c r="E97" s="57" t="s">
        <v>1821</v>
      </c>
      <c r="F97" s="62" t="s">
        <v>418</v>
      </c>
      <c r="G97" s="62" t="s">
        <v>157</v>
      </c>
      <c r="H97" s="64" t="n">
        <v>2</v>
      </c>
      <c r="I97" s="64" t="n">
        <v>5</v>
      </c>
      <c r="J97" s="64" t="n">
        <f aca="false">ROUND(AVERAGE(H97:I97),1)</f>
        <v>3.5</v>
      </c>
      <c r="K97" s="59" t="n">
        <v>0.5</v>
      </c>
      <c r="L97" s="64" t="n">
        <f aca="false">J97+K97</f>
        <v>4</v>
      </c>
      <c r="M97" s="65" t="n">
        <f aca="false">IFERROR(INDEX(99_Listas!$C$2:$C$5,MATCH(G97,99_Listas!$B$2:$B$5,0)),0)</f>
        <v>0.07</v>
      </c>
      <c r="N97" s="64" t="n">
        <f aca="false">ROUND(J97*M97,2)</f>
        <v>0.25</v>
      </c>
      <c r="O97" s="64" t="n">
        <f aca="false">ROUND(J97-N97,2)</f>
        <v>3.25</v>
      </c>
      <c r="P97" s="62" t="s">
        <v>928</v>
      </c>
      <c r="Q97" s="61" t="n">
        <v>1</v>
      </c>
      <c r="R97" s="62" t="s">
        <v>276</v>
      </c>
      <c r="S97" s="63" t="s">
        <v>228</v>
      </c>
      <c r="T97" s="63" t="s">
        <v>1984</v>
      </c>
      <c r="U97" s="63"/>
    </row>
    <row r="98" customFormat="false" ht="15" hidden="false" customHeight="true" outlineLevel="0" collapsed="false">
      <c r="A98" s="54" t="n">
        <v>97</v>
      </c>
      <c r="B98" s="55" t="s">
        <v>2082</v>
      </c>
      <c r="C98" s="56" t="s">
        <v>2187</v>
      </c>
      <c r="D98" s="56" t="s">
        <v>2188</v>
      </c>
      <c r="E98" s="57" t="s">
        <v>1829</v>
      </c>
      <c r="F98" s="55" t="s">
        <v>927</v>
      </c>
      <c r="G98" s="55" t="s">
        <v>157</v>
      </c>
      <c r="H98" s="58" t="n">
        <v>1</v>
      </c>
      <c r="I98" s="58" t="n">
        <v>3</v>
      </c>
      <c r="J98" s="58" t="n">
        <f aca="false">ROUND(AVERAGE(H98:I98),1)</f>
        <v>2</v>
      </c>
      <c r="K98" s="59" t="n">
        <v>0.5</v>
      </c>
      <c r="L98" s="58" t="n">
        <f aca="false">J98+K98</f>
        <v>2.5</v>
      </c>
      <c r="M98" s="60" t="n">
        <f aca="false">IFERROR(INDEX(99_Listas!$C$2:$C$5,MATCH(G98,99_Listas!$B$2:$B$5,0)),0)</f>
        <v>0.07</v>
      </c>
      <c r="N98" s="58" t="n">
        <f aca="false">ROUND(J98*M98,2)</f>
        <v>0.14</v>
      </c>
      <c r="O98" s="58" t="n">
        <f aca="false">ROUND(J98-N98,2)</f>
        <v>1.86</v>
      </c>
      <c r="P98" s="55" t="s">
        <v>1761</v>
      </c>
      <c r="Q98" s="54" t="n">
        <v>1</v>
      </c>
      <c r="R98" s="55" t="s">
        <v>258</v>
      </c>
      <c r="S98" s="56" t="s">
        <v>1830</v>
      </c>
      <c r="T98" s="56" t="s">
        <v>1994</v>
      </c>
      <c r="U98" s="56" t="s">
        <v>2189</v>
      </c>
    </row>
    <row r="99" customFormat="false" ht="15" hidden="false" customHeight="true" outlineLevel="0" collapsed="false">
      <c r="A99" s="61" t="n">
        <v>98</v>
      </c>
      <c r="B99" s="62" t="s">
        <v>2082</v>
      </c>
      <c r="C99" s="63" t="s">
        <v>2190</v>
      </c>
      <c r="D99" s="63" t="s">
        <v>2191</v>
      </c>
      <c r="E99" s="57" t="s">
        <v>1829</v>
      </c>
      <c r="F99" s="62" t="s">
        <v>418</v>
      </c>
      <c r="G99" s="62" t="s">
        <v>157</v>
      </c>
      <c r="H99" s="64" t="n">
        <v>2</v>
      </c>
      <c r="I99" s="64" t="n">
        <v>5</v>
      </c>
      <c r="J99" s="64" t="n">
        <f aca="false">ROUND(AVERAGE(H99:I99),1)</f>
        <v>3.5</v>
      </c>
      <c r="K99" s="59" t="n">
        <v>0.5</v>
      </c>
      <c r="L99" s="64" t="n">
        <f aca="false">J99+K99</f>
        <v>4</v>
      </c>
      <c r="M99" s="65" t="n">
        <f aca="false">IFERROR(INDEX(99_Listas!$C$2:$C$5,MATCH(G99,99_Listas!$B$2:$B$5,0)),0)</f>
        <v>0.07</v>
      </c>
      <c r="N99" s="64" t="n">
        <f aca="false">ROUND(J99*M99,2)</f>
        <v>0.25</v>
      </c>
      <c r="O99" s="64" t="n">
        <f aca="false">ROUND(J99-N99,2)</f>
        <v>3.25</v>
      </c>
      <c r="P99" s="62" t="s">
        <v>1761</v>
      </c>
      <c r="Q99" s="61" t="n">
        <v>3</v>
      </c>
      <c r="R99" s="62" t="s">
        <v>258</v>
      </c>
      <c r="S99" s="63" t="s">
        <v>1830</v>
      </c>
      <c r="T99" s="63" t="s">
        <v>1994</v>
      </c>
      <c r="U99" s="63" t="s">
        <v>2192</v>
      </c>
    </row>
    <row r="101" customFormat="false" ht="15" hidden="false" customHeight="true" outlineLevel="0" collapsed="false">
      <c r="B101" s="8" t="s">
        <v>2193</v>
      </c>
    </row>
    <row r="102" customFormat="false" ht="15" hidden="false" customHeight="true" outlineLevel="0" collapsed="false">
      <c r="B102" s="8" t="s">
        <v>561</v>
      </c>
    </row>
    <row r="103" customFormat="false" ht="15" hidden="false" customHeight="true" outlineLevel="0" collapsed="false">
      <c r="B103" s="66" t="s">
        <v>2194</v>
      </c>
    </row>
    <row r="104" customFormat="false" ht="15" hidden="false" customHeight="true" outlineLevel="0" collapsed="false">
      <c r="B104" s="67" t="s">
        <v>2195</v>
      </c>
    </row>
    <row r="105" customFormat="false" ht="15" hidden="false" customHeight="true" outlineLevel="0" collapsed="false">
      <c r="B105" s="68" t="s">
        <v>2196</v>
      </c>
    </row>
  </sheetData>
  <autoFilter ref="A1:U99"/>
  <dataValidations count="2">
    <dataValidation allowBlank="true" errorStyle="stop" operator="between" showDropDown="false" showErrorMessage="false" showInputMessage="false" sqref="G2:G99" type="list">
      <formula1>99_Listas!$B$2:$B$5</formula1>
      <formula2>0</formula2>
    </dataValidation>
    <dataValidation allowBlank="true" errorStyle="stop" operator="between" showDropDown="false" showErrorMessage="false" showInputMessage="false" sqref="R2:R99" type="list">
      <formula1>"Alto,Medio,Bajo"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6" min="15" style="1" width="14"/>
    <col collapsed="false" customWidth="true" hidden="false" outlineLevel="0" max="17" min="17" style="1" width="9"/>
    <col collapsed="false" customWidth="true" hidden="false" outlineLevel="0" max="18" min="18" style="1" width="13"/>
    <col collapsed="false" customWidth="true" hidden="false" outlineLevel="0" max="19" min="19" style="1" width="22"/>
    <col collapsed="false" customWidth="true" hidden="false" outlineLevel="0" max="20" min="20" style="1" width="24"/>
    <col collapsed="false" customWidth="true" hidden="false" outlineLevel="0" max="21" min="21" style="1" width="46"/>
  </cols>
  <sheetData>
    <row r="1" customFormat="false" ht="33.75" hidden="false" customHeight="true" outlineLevel="0" collapsed="false">
      <c r="A1" s="13" t="s">
        <v>206</v>
      </c>
      <c r="B1" s="13" t="s">
        <v>70</v>
      </c>
      <c r="C1" s="13" t="s">
        <v>207</v>
      </c>
      <c r="D1" s="13" t="s">
        <v>208</v>
      </c>
      <c r="E1" s="13" t="s">
        <v>209</v>
      </c>
      <c r="F1" s="13" t="s">
        <v>210</v>
      </c>
      <c r="G1" s="13" t="s">
        <v>72</v>
      </c>
      <c r="H1" s="13" t="s">
        <v>211</v>
      </c>
      <c r="I1" s="13" t="s">
        <v>212</v>
      </c>
      <c r="J1" s="13" t="s">
        <v>73</v>
      </c>
      <c r="K1" s="13" t="s">
        <v>213</v>
      </c>
      <c r="L1" s="13" t="s">
        <v>74</v>
      </c>
      <c r="M1" s="13" t="s">
        <v>214</v>
      </c>
      <c r="N1" s="13" t="s">
        <v>215</v>
      </c>
      <c r="O1" s="13" t="s">
        <v>216</v>
      </c>
      <c r="P1" s="13" t="s">
        <v>217</v>
      </c>
      <c r="Q1" s="13" t="s">
        <v>218</v>
      </c>
      <c r="R1" s="13" t="s">
        <v>219</v>
      </c>
      <c r="S1" s="13" t="s">
        <v>220</v>
      </c>
      <c r="T1" s="13" t="s">
        <v>155</v>
      </c>
      <c r="U1" s="13" t="s">
        <v>221</v>
      </c>
    </row>
    <row r="2" customFormat="false" ht="15" hidden="false" customHeight="true" outlineLevel="0" collapsed="false">
      <c r="A2" s="54" t="n">
        <v>1</v>
      </c>
      <c r="B2" s="55" t="s">
        <v>2197</v>
      </c>
      <c r="C2" s="56" t="s">
        <v>2198</v>
      </c>
      <c r="D2" s="56" t="s">
        <v>1778</v>
      </c>
      <c r="E2" s="57" t="s">
        <v>1774</v>
      </c>
      <c r="F2" s="55" t="s">
        <v>1766</v>
      </c>
      <c r="G2" s="55" t="s">
        <v>157</v>
      </c>
      <c r="H2" s="58" t="n">
        <v>7</v>
      </c>
      <c r="I2" s="58" t="n">
        <v>11</v>
      </c>
      <c r="J2" s="58" t="n">
        <f aca="false">ROUND(AVERAGE(H2:I2),1)</f>
        <v>9</v>
      </c>
      <c r="K2" s="59" t="n">
        <v>0.5</v>
      </c>
      <c r="L2" s="58" t="n">
        <f aca="false">J2+K2</f>
        <v>9.5</v>
      </c>
      <c r="M2" s="60" t="n">
        <f aca="false">IFERROR(INDEX(99_Listas!$C$2:$C$5,MATCH(G2,99_Listas!$B$2:$B$5,0)),0)</f>
        <v>0.07</v>
      </c>
      <c r="N2" s="58" t="n">
        <f aca="false">ROUND(J2*M2,2)</f>
        <v>0.63</v>
      </c>
      <c r="O2" s="58" t="n">
        <f aca="false">ROUND(J2-N2,2)</f>
        <v>8.37</v>
      </c>
      <c r="P2" s="55" t="s">
        <v>1103</v>
      </c>
      <c r="Q2" s="54" t="n">
        <v>1</v>
      </c>
      <c r="R2" s="55" t="s">
        <v>276</v>
      </c>
      <c r="S2" s="56" t="s">
        <v>228</v>
      </c>
      <c r="T2" s="56" t="s">
        <v>2199</v>
      </c>
      <c r="U2" s="56" t="s">
        <v>2200</v>
      </c>
    </row>
    <row r="3" customFormat="false" ht="15" hidden="false" customHeight="true" outlineLevel="0" collapsed="false">
      <c r="A3" s="61" t="n">
        <v>2</v>
      </c>
      <c r="B3" s="62" t="s">
        <v>2197</v>
      </c>
      <c r="C3" s="63" t="s">
        <v>2201</v>
      </c>
      <c r="D3" s="63" t="s">
        <v>1778</v>
      </c>
      <c r="E3" s="57" t="s">
        <v>1774</v>
      </c>
      <c r="F3" s="62" t="s">
        <v>1766</v>
      </c>
      <c r="G3" s="62" t="s">
        <v>157</v>
      </c>
      <c r="H3" s="64" t="n">
        <v>7</v>
      </c>
      <c r="I3" s="64" t="n">
        <v>10</v>
      </c>
      <c r="J3" s="64" t="n">
        <f aca="false">ROUND(AVERAGE(H3:I3),1)</f>
        <v>8.5</v>
      </c>
      <c r="K3" s="59" t="n">
        <v>0.5</v>
      </c>
      <c r="L3" s="64" t="n">
        <f aca="false">J3+K3</f>
        <v>9</v>
      </c>
      <c r="M3" s="65" t="n">
        <f aca="false">IFERROR(INDEX(99_Listas!$C$2:$C$5,MATCH(G3,99_Listas!$B$2:$B$5,0)),0)</f>
        <v>0.07</v>
      </c>
      <c r="N3" s="64" t="n">
        <f aca="false">ROUND(J3*M3,2)</f>
        <v>0.6</v>
      </c>
      <c r="O3" s="64" t="n">
        <f aca="false">ROUND(J3-N3,2)</f>
        <v>7.9</v>
      </c>
      <c r="P3" s="62" t="s">
        <v>1103</v>
      </c>
      <c r="Q3" s="61" t="n">
        <v>1</v>
      </c>
      <c r="R3" s="62" t="s">
        <v>276</v>
      </c>
      <c r="S3" s="63" t="s">
        <v>228</v>
      </c>
      <c r="T3" s="63" t="s">
        <v>2199</v>
      </c>
      <c r="U3" s="63"/>
    </row>
    <row r="4" customFormat="false" ht="15" hidden="false" customHeight="true" outlineLevel="0" collapsed="false">
      <c r="A4" s="54" t="n">
        <v>3</v>
      </c>
      <c r="B4" s="55" t="s">
        <v>2197</v>
      </c>
      <c r="C4" s="56" t="s">
        <v>2202</v>
      </c>
      <c r="D4" s="56" t="s">
        <v>1778</v>
      </c>
      <c r="E4" s="57" t="s">
        <v>1774</v>
      </c>
      <c r="F4" s="55" t="s">
        <v>1766</v>
      </c>
      <c r="G4" s="55" t="s">
        <v>157</v>
      </c>
      <c r="H4" s="58" t="n">
        <v>7</v>
      </c>
      <c r="I4" s="58" t="n">
        <v>10</v>
      </c>
      <c r="J4" s="58" t="n">
        <f aca="false">ROUND(AVERAGE(H4:I4),1)</f>
        <v>8.5</v>
      </c>
      <c r="K4" s="59" t="n">
        <v>0.5</v>
      </c>
      <c r="L4" s="58" t="n">
        <f aca="false">J4+K4</f>
        <v>9</v>
      </c>
      <c r="M4" s="60" t="n">
        <f aca="false">IFERROR(INDEX(99_Listas!$C$2:$C$5,MATCH(G4,99_Listas!$B$2:$B$5,0)),0)</f>
        <v>0.07</v>
      </c>
      <c r="N4" s="58" t="n">
        <f aca="false">ROUND(J4*M4,2)</f>
        <v>0.6</v>
      </c>
      <c r="O4" s="58" t="n">
        <f aca="false">ROUND(J4-N4,2)</f>
        <v>7.9</v>
      </c>
      <c r="P4" s="55" t="s">
        <v>1103</v>
      </c>
      <c r="Q4" s="54" t="n">
        <v>1</v>
      </c>
      <c r="R4" s="55" t="s">
        <v>276</v>
      </c>
      <c r="S4" s="56" t="s">
        <v>228</v>
      </c>
      <c r="T4" s="56" t="s">
        <v>2199</v>
      </c>
      <c r="U4" s="56"/>
    </row>
    <row r="5" customFormat="false" ht="15" hidden="false" customHeight="true" outlineLevel="0" collapsed="false">
      <c r="A5" s="61" t="n">
        <v>4</v>
      </c>
      <c r="B5" s="62" t="s">
        <v>2197</v>
      </c>
      <c r="C5" s="63" t="s">
        <v>2203</v>
      </c>
      <c r="D5" s="63" t="s">
        <v>1778</v>
      </c>
      <c r="E5" s="57" t="s">
        <v>1774</v>
      </c>
      <c r="F5" s="62" t="s">
        <v>1766</v>
      </c>
      <c r="G5" s="62" t="s">
        <v>157</v>
      </c>
      <c r="H5" s="64" t="n">
        <v>7</v>
      </c>
      <c r="I5" s="64" t="n">
        <v>10</v>
      </c>
      <c r="J5" s="64" t="n">
        <f aca="false">ROUND(AVERAGE(H5:I5),1)</f>
        <v>8.5</v>
      </c>
      <c r="K5" s="59" t="n">
        <v>0.5</v>
      </c>
      <c r="L5" s="64" t="n">
        <f aca="false">J5+K5</f>
        <v>9</v>
      </c>
      <c r="M5" s="65" t="n">
        <f aca="false">IFERROR(INDEX(99_Listas!$C$2:$C$5,MATCH(G5,99_Listas!$B$2:$B$5,0)),0)</f>
        <v>0.07</v>
      </c>
      <c r="N5" s="64" t="n">
        <f aca="false">ROUND(J5*M5,2)</f>
        <v>0.6</v>
      </c>
      <c r="O5" s="64" t="n">
        <f aca="false">ROUND(J5-N5,2)</f>
        <v>7.9</v>
      </c>
      <c r="P5" s="62" t="s">
        <v>1103</v>
      </c>
      <c r="Q5" s="61" t="n">
        <v>1</v>
      </c>
      <c r="R5" s="62" t="s">
        <v>276</v>
      </c>
      <c r="S5" s="63" t="s">
        <v>228</v>
      </c>
      <c r="T5" s="63" t="s">
        <v>2199</v>
      </c>
      <c r="U5" s="63" t="s">
        <v>2204</v>
      </c>
    </row>
    <row r="6" customFormat="false" ht="15" hidden="false" customHeight="true" outlineLevel="0" collapsed="false">
      <c r="A6" s="54" t="n">
        <v>5</v>
      </c>
      <c r="B6" s="55" t="s">
        <v>2197</v>
      </c>
      <c r="C6" s="56" t="s">
        <v>2205</v>
      </c>
      <c r="D6" s="56" t="s">
        <v>1778</v>
      </c>
      <c r="E6" s="57" t="s">
        <v>1774</v>
      </c>
      <c r="F6" s="55" t="s">
        <v>1766</v>
      </c>
      <c r="G6" s="55" t="s">
        <v>157</v>
      </c>
      <c r="H6" s="58" t="n">
        <v>7</v>
      </c>
      <c r="I6" s="58" t="n">
        <v>10</v>
      </c>
      <c r="J6" s="58" t="n">
        <f aca="false">ROUND(AVERAGE(H6:I6),1)</f>
        <v>8.5</v>
      </c>
      <c r="K6" s="59" t="n">
        <v>0.5</v>
      </c>
      <c r="L6" s="58" t="n">
        <f aca="false">J6+K6</f>
        <v>9</v>
      </c>
      <c r="M6" s="60" t="n">
        <f aca="false">IFERROR(INDEX(99_Listas!$C$2:$C$5,MATCH(G6,99_Listas!$B$2:$B$5,0)),0)</f>
        <v>0.07</v>
      </c>
      <c r="N6" s="58" t="n">
        <f aca="false">ROUND(J6*M6,2)</f>
        <v>0.6</v>
      </c>
      <c r="O6" s="58" t="n">
        <f aca="false">ROUND(J6-N6,2)</f>
        <v>7.9</v>
      </c>
      <c r="P6" s="55" t="s">
        <v>1103</v>
      </c>
      <c r="Q6" s="54" t="n">
        <v>1</v>
      </c>
      <c r="R6" s="55" t="s">
        <v>276</v>
      </c>
      <c r="S6" s="56" t="s">
        <v>228</v>
      </c>
      <c r="T6" s="56" t="s">
        <v>178</v>
      </c>
      <c r="U6" s="56"/>
    </row>
    <row r="7" customFormat="false" ht="15" hidden="false" customHeight="true" outlineLevel="0" collapsed="false">
      <c r="A7" s="61" t="n">
        <v>6</v>
      </c>
      <c r="B7" s="62" t="s">
        <v>2197</v>
      </c>
      <c r="C7" s="63" t="s">
        <v>2206</v>
      </c>
      <c r="D7" s="63" t="s">
        <v>1778</v>
      </c>
      <c r="E7" s="57" t="s">
        <v>1774</v>
      </c>
      <c r="F7" s="62" t="s">
        <v>1766</v>
      </c>
      <c r="G7" s="62" t="s">
        <v>157</v>
      </c>
      <c r="H7" s="64" t="n">
        <v>6</v>
      </c>
      <c r="I7" s="64" t="n">
        <v>9</v>
      </c>
      <c r="J7" s="64" t="n">
        <f aca="false">ROUND(AVERAGE(H7:I7),1)</f>
        <v>7.5</v>
      </c>
      <c r="K7" s="59" t="n">
        <v>0.5</v>
      </c>
      <c r="L7" s="64" t="n">
        <f aca="false">J7+K7</f>
        <v>8</v>
      </c>
      <c r="M7" s="65" t="n">
        <f aca="false">IFERROR(INDEX(99_Listas!$C$2:$C$5,MATCH(G7,99_Listas!$B$2:$B$5,0)),0)</f>
        <v>0.07</v>
      </c>
      <c r="N7" s="64" t="n">
        <f aca="false">ROUND(J7*M7,2)</f>
        <v>0.53</v>
      </c>
      <c r="O7" s="64" t="n">
        <f aca="false">ROUND(J7-N7,2)</f>
        <v>6.97</v>
      </c>
      <c r="P7" s="62" t="s">
        <v>1103</v>
      </c>
      <c r="Q7" s="61" t="n">
        <v>1</v>
      </c>
      <c r="R7" s="62" t="s">
        <v>276</v>
      </c>
      <c r="S7" s="63" t="s">
        <v>228</v>
      </c>
      <c r="T7" s="63" t="s">
        <v>2199</v>
      </c>
      <c r="U7" s="63" t="s">
        <v>2207</v>
      </c>
    </row>
    <row r="8" customFormat="false" ht="15" hidden="false" customHeight="true" outlineLevel="0" collapsed="false">
      <c r="A8" s="54" t="n">
        <v>7</v>
      </c>
      <c r="B8" s="55" t="s">
        <v>2197</v>
      </c>
      <c r="C8" s="56" t="s">
        <v>2208</v>
      </c>
      <c r="D8" s="56" t="s">
        <v>2209</v>
      </c>
      <c r="E8" s="57" t="s">
        <v>1774</v>
      </c>
      <c r="F8" s="55" t="s">
        <v>2210</v>
      </c>
      <c r="G8" s="55" t="s">
        <v>157</v>
      </c>
      <c r="H8" s="58" t="n">
        <v>4</v>
      </c>
      <c r="I8" s="58" t="n">
        <v>7</v>
      </c>
      <c r="J8" s="58" t="n">
        <f aca="false">ROUND(AVERAGE(H8:I8),1)</f>
        <v>5.5</v>
      </c>
      <c r="K8" s="59" t="n">
        <v>0.5</v>
      </c>
      <c r="L8" s="58" t="n">
        <f aca="false">J8+K8</f>
        <v>6</v>
      </c>
      <c r="M8" s="60" t="n">
        <f aca="false">IFERROR(INDEX(99_Listas!$C$2:$C$5,MATCH(G8,99_Listas!$B$2:$B$5,0)),0)</f>
        <v>0.07</v>
      </c>
      <c r="N8" s="58" t="n">
        <f aca="false">ROUND(J8*M8,2)</f>
        <v>0.39</v>
      </c>
      <c r="O8" s="58" t="n">
        <f aca="false">ROUND(J8-N8,2)</f>
        <v>5.11</v>
      </c>
      <c r="P8" s="55" t="s">
        <v>1103</v>
      </c>
      <c r="Q8" s="54" t="n">
        <v>1</v>
      </c>
      <c r="R8" s="55" t="s">
        <v>276</v>
      </c>
      <c r="S8" s="56" t="s">
        <v>228</v>
      </c>
      <c r="T8" s="56" t="s">
        <v>2199</v>
      </c>
      <c r="U8" s="56"/>
    </row>
    <row r="9" customFormat="false" ht="15" hidden="false" customHeight="true" outlineLevel="0" collapsed="false">
      <c r="A9" s="61" t="n">
        <v>8</v>
      </c>
      <c r="B9" s="62" t="s">
        <v>2197</v>
      </c>
      <c r="C9" s="63" t="s">
        <v>2211</v>
      </c>
      <c r="D9" s="63" t="s">
        <v>2212</v>
      </c>
      <c r="E9" s="57" t="s">
        <v>2213</v>
      </c>
      <c r="F9" s="62" t="s">
        <v>2214</v>
      </c>
      <c r="G9" s="62" t="s">
        <v>161</v>
      </c>
      <c r="H9" s="64" t="n">
        <v>22</v>
      </c>
      <c r="I9" s="64" t="n">
        <v>38</v>
      </c>
      <c r="J9" s="64" t="n">
        <f aca="false">ROUND(AVERAGE(H9:I9),1)</f>
        <v>30</v>
      </c>
      <c r="K9" s="59" t="n">
        <v>0.5</v>
      </c>
      <c r="L9" s="64" t="n">
        <f aca="false">J9+K9</f>
        <v>30.5</v>
      </c>
      <c r="M9" s="65" t="n">
        <f aca="false">IFERROR(INDEX(99_Listas!$C$2:$C$5,MATCH(G9,99_Listas!$B$2:$B$5,0)),0)</f>
        <v>0.09</v>
      </c>
      <c r="N9" s="64" t="n">
        <f aca="false">ROUND(J9*M9,2)</f>
        <v>2.7</v>
      </c>
      <c r="O9" s="64" t="n">
        <f aca="false">ROUND(J9-N9,2)</f>
        <v>27.3</v>
      </c>
      <c r="P9" s="62" t="s">
        <v>1103</v>
      </c>
      <c r="Q9" s="61" t="n">
        <v>2</v>
      </c>
      <c r="R9" s="62" t="s">
        <v>276</v>
      </c>
      <c r="S9" s="63" t="s">
        <v>380</v>
      </c>
      <c r="T9" s="63" t="s">
        <v>178</v>
      </c>
      <c r="U9" s="63" t="s">
        <v>2215</v>
      </c>
    </row>
    <row r="10" customFormat="false" ht="15" hidden="false" customHeight="true" outlineLevel="0" collapsed="false">
      <c r="A10" s="54" t="n">
        <v>9</v>
      </c>
      <c r="B10" s="55" t="s">
        <v>2197</v>
      </c>
      <c r="C10" s="56" t="s">
        <v>2216</v>
      </c>
      <c r="D10" s="56" t="s">
        <v>2217</v>
      </c>
      <c r="E10" s="57" t="s">
        <v>1774</v>
      </c>
      <c r="F10" s="55" t="s">
        <v>1494</v>
      </c>
      <c r="G10" s="55" t="s">
        <v>165</v>
      </c>
      <c r="H10" s="58" t="n">
        <v>75</v>
      </c>
      <c r="I10" s="58" t="n">
        <v>120</v>
      </c>
      <c r="J10" s="58" t="n">
        <f aca="false">ROUND(AVERAGE(H10:I10),1)</f>
        <v>97.5</v>
      </c>
      <c r="K10" s="59" t="n">
        <v>0.5</v>
      </c>
      <c r="L10" s="58" t="n">
        <f aca="false">J10+K10</f>
        <v>98</v>
      </c>
      <c r="M10" s="60" t="n">
        <f aca="false">IFERROR(INDEX(99_Listas!$C$2:$C$5,MATCH(G10,99_Listas!$B$2:$B$5,0)),0)</f>
        <v>0.11</v>
      </c>
      <c r="N10" s="58" t="n">
        <f aca="false">ROUND(J10*M10,2)</f>
        <v>10.73</v>
      </c>
      <c r="O10" s="58" t="n">
        <f aca="false">ROUND(J10-N10,2)</f>
        <v>86.77</v>
      </c>
      <c r="P10" s="55" t="s">
        <v>1103</v>
      </c>
      <c r="Q10" s="54" t="n">
        <v>3</v>
      </c>
      <c r="R10" s="55" t="s">
        <v>276</v>
      </c>
      <c r="S10" s="56" t="s">
        <v>380</v>
      </c>
      <c r="T10" s="56" t="s">
        <v>2218</v>
      </c>
      <c r="U10" s="56" t="s">
        <v>2219</v>
      </c>
    </row>
    <row r="11" customFormat="false" ht="15" hidden="false" customHeight="true" outlineLevel="0" collapsed="false">
      <c r="A11" s="61" t="n">
        <v>10</v>
      </c>
      <c r="B11" s="62" t="s">
        <v>2197</v>
      </c>
      <c r="C11" s="63" t="s">
        <v>2220</v>
      </c>
      <c r="D11" s="63" t="s">
        <v>2217</v>
      </c>
      <c r="E11" s="57" t="s">
        <v>1774</v>
      </c>
      <c r="F11" s="62" t="s">
        <v>1494</v>
      </c>
      <c r="G11" s="62" t="s">
        <v>169</v>
      </c>
      <c r="H11" s="64" t="n">
        <v>120</v>
      </c>
      <c r="I11" s="64" t="n">
        <v>200</v>
      </c>
      <c r="J11" s="64" t="n">
        <f aca="false">ROUND(AVERAGE(H11:I11),1)</f>
        <v>160</v>
      </c>
      <c r="K11" s="59" t="n">
        <v>0.5</v>
      </c>
      <c r="L11" s="64" t="n">
        <f aca="false">J11+K11</f>
        <v>160.5</v>
      </c>
      <c r="M11" s="65" t="n">
        <f aca="false">IFERROR(INDEX(99_Listas!$C$2:$C$5,MATCH(G11,99_Listas!$B$2:$B$5,0)),0)</f>
        <v>0.13</v>
      </c>
      <c r="N11" s="64" t="n">
        <f aca="false">ROUND(J11*M11,2)</f>
        <v>20.8</v>
      </c>
      <c r="O11" s="64" t="n">
        <f aca="false">ROUND(J11-N11,2)</f>
        <v>139.2</v>
      </c>
      <c r="P11" s="62" t="s">
        <v>1103</v>
      </c>
      <c r="Q11" s="61" t="n">
        <v>3</v>
      </c>
      <c r="R11" s="62" t="s">
        <v>165</v>
      </c>
      <c r="S11" s="63" t="s">
        <v>380</v>
      </c>
      <c r="T11" s="63" t="s">
        <v>2221</v>
      </c>
      <c r="U11" s="63" t="s">
        <v>2222</v>
      </c>
    </row>
    <row r="12" customFormat="false" ht="15" hidden="false" customHeight="true" outlineLevel="0" collapsed="false">
      <c r="A12" s="54" t="n">
        <v>11</v>
      </c>
      <c r="B12" s="55" t="s">
        <v>2197</v>
      </c>
      <c r="C12" s="56" t="s">
        <v>2223</v>
      </c>
      <c r="D12" s="56" t="s">
        <v>2224</v>
      </c>
      <c r="E12" s="57" t="s">
        <v>1774</v>
      </c>
      <c r="F12" s="55" t="s">
        <v>1766</v>
      </c>
      <c r="G12" s="55" t="s">
        <v>161</v>
      </c>
      <c r="H12" s="58" t="n">
        <v>12</v>
      </c>
      <c r="I12" s="58" t="n">
        <v>25</v>
      </c>
      <c r="J12" s="58" t="n">
        <f aca="false">ROUND(AVERAGE(H12:I12),1)</f>
        <v>18.5</v>
      </c>
      <c r="K12" s="59" t="n">
        <v>0.5</v>
      </c>
      <c r="L12" s="58" t="n">
        <f aca="false">J12+K12</f>
        <v>19</v>
      </c>
      <c r="M12" s="60" t="n">
        <f aca="false">IFERROR(INDEX(99_Listas!$C$2:$C$5,MATCH(G12,99_Listas!$B$2:$B$5,0)),0)</f>
        <v>0.09</v>
      </c>
      <c r="N12" s="58" t="n">
        <f aca="false">ROUND(J12*M12,2)</f>
        <v>1.67</v>
      </c>
      <c r="O12" s="58" t="n">
        <f aca="false">ROUND(J12-N12,2)</f>
        <v>16.83</v>
      </c>
      <c r="P12" s="55" t="s">
        <v>1103</v>
      </c>
      <c r="Q12" s="54" t="n">
        <v>1</v>
      </c>
      <c r="R12" s="55" t="s">
        <v>276</v>
      </c>
      <c r="S12" s="56" t="s">
        <v>228</v>
      </c>
      <c r="T12" s="56" t="s">
        <v>2225</v>
      </c>
      <c r="U12" s="56" t="s">
        <v>2226</v>
      </c>
    </row>
    <row r="13" customFormat="false" ht="15" hidden="false" customHeight="true" outlineLevel="0" collapsed="false">
      <c r="A13" s="61" t="n">
        <v>12</v>
      </c>
      <c r="B13" s="62" t="s">
        <v>2227</v>
      </c>
      <c r="C13" s="63" t="s">
        <v>2228</v>
      </c>
      <c r="D13" s="63" t="s">
        <v>1766</v>
      </c>
      <c r="E13" s="57" t="s">
        <v>2229</v>
      </c>
      <c r="F13" s="62" t="s">
        <v>1766</v>
      </c>
      <c r="G13" s="62" t="s">
        <v>161</v>
      </c>
      <c r="H13" s="64" t="n">
        <v>25</v>
      </c>
      <c r="I13" s="64" t="n">
        <v>60</v>
      </c>
      <c r="J13" s="64" t="n">
        <f aca="false">ROUND(AVERAGE(H13:I13),1)</f>
        <v>42.5</v>
      </c>
      <c r="K13" s="59" t="n">
        <v>0.5</v>
      </c>
      <c r="L13" s="64" t="n">
        <f aca="false">J13+K13</f>
        <v>43</v>
      </c>
      <c r="M13" s="65" t="n">
        <f aca="false">IFERROR(INDEX(99_Listas!$C$2:$C$5,MATCH(G13,99_Listas!$B$2:$B$5,0)),0)</f>
        <v>0.09</v>
      </c>
      <c r="N13" s="64" t="n">
        <f aca="false">ROUND(J13*M13,2)</f>
        <v>3.83</v>
      </c>
      <c r="O13" s="64" t="n">
        <f aca="false">ROUND(J13-N13,2)</f>
        <v>38.67</v>
      </c>
      <c r="P13" s="62" t="s">
        <v>1103</v>
      </c>
      <c r="Q13" s="61" t="n">
        <v>1</v>
      </c>
      <c r="R13" s="62" t="s">
        <v>276</v>
      </c>
      <c r="S13" s="63" t="s">
        <v>228</v>
      </c>
      <c r="T13" s="63" t="s">
        <v>178</v>
      </c>
      <c r="U13" s="63"/>
    </row>
    <row r="14" customFormat="false" ht="15" hidden="false" customHeight="true" outlineLevel="0" collapsed="false">
      <c r="A14" s="54" t="n">
        <v>13</v>
      </c>
      <c r="B14" s="55" t="s">
        <v>2227</v>
      </c>
      <c r="C14" s="56" t="s">
        <v>2230</v>
      </c>
      <c r="D14" s="56" t="s">
        <v>1766</v>
      </c>
      <c r="E14" s="57" t="s">
        <v>2229</v>
      </c>
      <c r="F14" s="55" t="s">
        <v>1766</v>
      </c>
      <c r="G14" s="55" t="s">
        <v>161</v>
      </c>
      <c r="H14" s="58" t="n">
        <v>30</v>
      </c>
      <c r="I14" s="58" t="n">
        <v>70</v>
      </c>
      <c r="J14" s="58" t="n">
        <f aca="false">ROUND(AVERAGE(H14:I14),1)</f>
        <v>50</v>
      </c>
      <c r="K14" s="59" t="n">
        <v>0.5</v>
      </c>
      <c r="L14" s="58" t="n">
        <f aca="false">J14+K14</f>
        <v>50.5</v>
      </c>
      <c r="M14" s="60" t="n">
        <f aca="false">IFERROR(INDEX(99_Listas!$C$2:$C$5,MATCH(G14,99_Listas!$B$2:$B$5,0)),0)</f>
        <v>0.09</v>
      </c>
      <c r="N14" s="58" t="n">
        <f aca="false">ROUND(J14*M14,2)</f>
        <v>4.5</v>
      </c>
      <c r="O14" s="58" t="n">
        <f aca="false">ROUND(J14-N14,2)</f>
        <v>45.5</v>
      </c>
      <c r="P14" s="55" t="s">
        <v>1103</v>
      </c>
      <c r="Q14" s="54" t="n">
        <v>1</v>
      </c>
      <c r="R14" s="55" t="s">
        <v>276</v>
      </c>
      <c r="S14" s="56" t="s">
        <v>228</v>
      </c>
      <c r="T14" s="56" t="s">
        <v>178</v>
      </c>
      <c r="U14" s="56"/>
    </row>
    <row r="15" customFormat="false" ht="15" hidden="false" customHeight="true" outlineLevel="0" collapsed="false">
      <c r="A15" s="61" t="n">
        <v>14</v>
      </c>
      <c r="B15" s="62" t="s">
        <v>2227</v>
      </c>
      <c r="C15" s="63" t="s">
        <v>2231</v>
      </c>
      <c r="D15" s="63" t="s">
        <v>1766</v>
      </c>
      <c r="E15" s="57" t="s">
        <v>2229</v>
      </c>
      <c r="F15" s="62" t="s">
        <v>1766</v>
      </c>
      <c r="G15" s="62" t="s">
        <v>165</v>
      </c>
      <c r="H15" s="64" t="n">
        <v>35</v>
      </c>
      <c r="I15" s="64" t="n">
        <v>80</v>
      </c>
      <c r="J15" s="64" t="n">
        <f aca="false">ROUND(AVERAGE(H15:I15),1)</f>
        <v>57.5</v>
      </c>
      <c r="K15" s="59" t="n">
        <v>0.5</v>
      </c>
      <c r="L15" s="64" t="n">
        <f aca="false">J15+K15</f>
        <v>58</v>
      </c>
      <c r="M15" s="65" t="n">
        <f aca="false">IFERROR(INDEX(99_Listas!$C$2:$C$5,MATCH(G15,99_Listas!$B$2:$B$5,0)),0)</f>
        <v>0.11</v>
      </c>
      <c r="N15" s="64" t="n">
        <f aca="false">ROUND(J15*M15,2)</f>
        <v>6.33</v>
      </c>
      <c r="O15" s="64" t="n">
        <f aca="false">ROUND(J15-N15,2)</f>
        <v>51.17</v>
      </c>
      <c r="P15" s="62" t="s">
        <v>1103</v>
      </c>
      <c r="Q15" s="61" t="n">
        <v>1</v>
      </c>
      <c r="R15" s="62" t="s">
        <v>276</v>
      </c>
      <c r="S15" s="63" t="s">
        <v>228</v>
      </c>
      <c r="T15" s="63" t="s">
        <v>178</v>
      </c>
      <c r="U15" s="63"/>
    </row>
    <row r="16" customFormat="false" ht="15" hidden="false" customHeight="true" outlineLevel="0" collapsed="false">
      <c r="A16" s="54" t="n">
        <v>15</v>
      </c>
      <c r="B16" s="55" t="s">
        <v>2227</v>
      </c>
      <c r="C16" s="56" t="s">
        <v>2232</v>
      </c>
      <c r="D16" s="56" t="s">
        <v>2233</v>
      </c>
      <c r="E16" s="57" t="s">
        <v>2229</v>
      </c>
      <c r="F16" s="55" t="s">
        <v>1766</v>
      </c>
      <c r="G16" s="55" t="s">
        <v>169</v>
      </c>
      <c r="H16" s="58" t="n">
        <v>70</v>
      </c>
      <c r="I16" s="58" t="n">
        <v>150</v>
      </c>
      <c r="J16" s="58" t="n">
        <f aca="false">ROUND(AVERAGE(H16:I16),1)</f>
        <v>110</v>
      </c>
      <c r="K16" s="59" t="n">
        <v>0.5</v>
      </c>
      <c r="L16" s="58" t="n">
        <f aca="false">J16+K16</f>
        <v>110.5</v>
      </c>
      <c r="M16" s="60" t="n">
        <f aca="false">IFERROR(INDEX(99_Listas!$C$2:$C$5,MATCH(G16,99_Listas!$B$2:$B$5,0)),0)</f>
        <v>0.13</v>
      </c>
      <c r="N16" s="58" t="n">
        <f aca="false">ROUND(J16*M16,2)</f>
        <v>14.3</v>
      </c>
      <c r="O16" s="58" t="n">
        <f aca="false">ROUND(J16-N16,2)</f>
        <v>95.7</v>
      </c>
      <c r="P16" s="55" t="s">
        <v>1103</v>
      </c>
      <c r="Q16" s="54" t="n">
        <v>1</v>
      </c>
      <c r="R16" s="55" t="s">
        <v>276</v>
      </c>
      <c r="S16" s="56" t="s">
        <v>228</v>
      </c>
      <c r="T16" s="56" t="s">
        <v>178</v>
      </c>
      <c r="U16" s="56"/>
    </row>
    <row r="17" customFormat="false" ht="15" hidden="false" customHeight="true" outlineLevel="0" collapsed="false">
      <c r="A17" s="61" t="n">
        <v>16</v>
      </c>
      <c r="B17" s="62" t="s">
        <v>2227</v>
      </c>
      <c r="C17" s="63" t="s">
        <v>2234</v>
      </c>
      <c r="D17" s="63" t="s">
        <v>2235</v>
      </c>
      <c r="E17" s="57" t="s">
        <v>2236</v>
      </c>
      <c r="F17" s="62" t="s">
        <v>1766</v>
      </c>
      <c r="G17" s="62" t="s">
        <v>157</v>
      </c>
      <c r="H17" s="64" t="n">
        <v>8</v>
      </c>
      <c r="I17" s="64" t="n">
        <v>20</v>
      </c>
      <c r="J17" s="64" t="n">
        <f aca="false">ROUND(AVERAGE(H17:I17),1)</f>
        <v>14</v>
      </c>
      <c r="K17" s="59" t="n">
        <v>0.5</v>
      </c>
      <c r="L17" s="64" t="n">
        <f aca="false">J17+K17</f>
        <v>14.5</v>
      </c>
      <c r="M17" s="65" t="n">
        <f aca="false">IFERROR(INDEX(99_Listas!$C$2:$C$5,MATCH(G17,99_Listas!$B$2:$B$5,0)),0)</f>
        <v>0.07</v>
      </c>
      <c r="N17" s="64" t="n">
        <f aca="false">ROUND(J17*M17,2)</f>
        <v>0.98</v>
      </c>
      <c r="O17" s="64" t="n">
        <f aca="false">ROUND(J17-N17,2)</f>
        <v>13.02</v>
      </c>
      <c r="P17" s="62" t="s">
        <v>1103</v>
      </c>
      <c r="Q17" s="61" t="n">
        <v>1</v>
      </c>
      <c r="R17" s="62" t="s">
        <v>276</v>
      </c>
      <c r="S17" s="63" t="s">
        <v>228</v>
      </c>
      <c r="T17" s="63" t="s">
        <v>2199</v>
      </c>
      <c r="U17" s="63" t="s">
        <v>2237</v>
      </c>
    </row>
    <row r="18" customFormat="false" ht="15" hidden="false" customHeight="true" outlineLevel="0" collapsed="false">
      <c r="A18" s="54" t="n">
        <v>17</v>
      </c>
      <c r="B18" s="55" t="s">
        <v>2227</v>
      </c>
      <c r="C18" s="56" t="s">
        <v>2238</v>
      </c>
      <c r="D18" s="56" t="s">
        <v>2239</v>
      </c>
      <c r="E18" s="57" t="s">
        <v>449</v>
      </c>
      <c r="F18" s="55" t="s">
        <v>1766</v>
      </c>
      <c r="G18" s="55" t="s">
        <v>157</v>
      </c>
      <c r="H18" s="58" t="n">
        <v>10</v>
      </c>
      <c r="I18" s="58" t="n">
        <v>25</v>
      </c>
      <c r="J18" s="58" t="n">
        <f aca="false">ROUND(AVERAGE(H18:I18),1)</f>
        <v>17.5</v>
      </c>
      <c r="K18" s="59" t="n">
        <v>0.5</v>
      </c>
      <c r="L18" s="58" t="n">
        <f aca="false">J18+K18</f>
        <v>18</v>
      </c>
      <c r="M18" s="60" t="n">
        <f aca="false">IFERROR(INDEX(99_Listas!$C$2:$C$5,MATCH(G18,99_Listas!$B$2:$B$5,0)),0)</f>
        <v>0.07</v>
      </c>
      <c r="N18" s="58" t="n">
        <f aca="false">ROUND(J18*M18,2)</f>
        <v>1.23</v>
      </c>
      <c r="O18" s="58" t="n">
        <f aca="false">ROUND(J18-N18,2)</f>
        <v>16.27</v>
      </c>
      <c r="P18" s="55" t="s">
        <v>1103</v>
      </c>
      <c r="Q18" s="54" t="n">
        <v>1</v>
      </c>
      <c r="R18" s="55" t="s">
        <v>276</v>
      </c>
      <c r="S18" s="56" t="s">
        <v>228</v>
      </c>
      <c r="T18" s="56" t="s">
        <v>178</v>
      </c>
      <c r="U18" s="56"/>
    </row>
    <row r="19" customFormat="false" ht="15" hidden="false" customHeight="true" outlineLevel="0" collapsed="false">
      <c r="A19" s="61" t="n">
        <v>18</v>
      </c>
      <c r="B19" s="62" t="s">
        <v>2240</v>
      </c>
      <c r="C19" s="63" t="s">
        <v>2241</v>
      </c>
      <c r="D19" s="63" t="s">
        <v>1766</v>
      </c>
      <c r="E19" s="57" t="s">
        <v>1146</v>
      </c>
      <c r="F19" s="62" t="s">
        <v>1766</v>
      </c>
      <c r="G19" s="62" t="s">
        <v>161</v>
      </c>
      <c r="H19" s="64" t="n">
        <v>25</v>
      </c>
      <c r="I19" s="64" t="n">
        <v>45</v>
      </c>
      <c r="J19" s="64" t="n">
        <f aca="false">ROUND(AVERAGE(H19:I19),1)</f>
        <v>35</v>
      </c>
      <c r="K19" s="59" t="n">
        <v>0.5</v>
      </c>
      <c r="L19" s="64" t="n">
        <f aca="false">J19+K19</f>
        <v>35.5</v>
      </c>
      <c r="M19" s="65" t="n">
        <f aca="false">IFERROR(INDEX(99_Listas!$C$2:$C$5,MATCH(G19,99_Listas!$B$2:$B$5,0)),0)</f>
        <v>0.09</v>
      </c>
      <c r="N19" s="64" t="n">
        <f aca="false">ROUND(J19*M19,2)</f>
        <v>3.15</v>
      </c>
      <c r="O19" s="64" t="n">
        <f aca="false">ROUND(J19-N19,2)</f>
        <v>31.85</v>
      </c>
      <c r="P19" s="62" t="s">
        <v>1103</v>
      </c>
      <c r="Q19" s="61" t="n">
        <v>1</v>
      </c>
      <c r="R19" s="62" t="s">
        <v>276</v>
      </c>
      <c r="S19" s="63" t="s">
        <v>228</v>
      </c>
      <c r="T19" s="63" t="s">
        <v>178</v>
      </c>
      <c r="U19" s="63"/>
    </row>
    <row r="20" customFormat="false" ht="15" hidden="false" customHeight="true" outlineLevel="0" collapsed="false">
      <c r="A20" s="54" t="n">
        <v>19</v>
      </c>
      <c r="B20" s="55" t="s">
        <v>2240</v>
      </c>
      <c r="C20" s="56" t="s">
        <v>2242</v>
      </c>
      <c r="D20" s="56" t="s">
        <v>1766</v>
      </c>
      <c r="E20" s="57" t="s">
        <v>1146</v>
      </c>
      <c r="F20" s="55" t="s">
        <v>1766</v>
      </c>
      <c r="G20" s="55" t="s">
        <v>165</v>
      </c>
      <c r="H20" s="58" t="n">
        <v>45</v>
      </c>
      <c r="I20" s="58" t="n">
        <v>90</v>
      </c>
      <c r="J20" s="58" t="n">
        <f aca="false">ROUND(AVERAGE(H20:I20),1)</f>
        <v>67.5</v>
      </c>
      <c r="K20" s="59" t="n">
        <v>0.5</v>
      </c>
      <c r="L20" s="58" t="n">
        <f aca="false">J20+K20</f>
        <v>68</v>
      </c>
      <c r="M20" s="60" t="n">
        <f aca="false">IFERROR(INDEX(99_Listas!$C$2:$C$5,MATCH(G20,99_Listas!$B$2:$B$5,0)),0)</f>
        <v>0.11</v>
      </c>
      <c r="N20" s="58" t="n">
        <f aca="false">ROUND(J20*M20,2)</f>
        <v>7.43</v>
      </c>
      <c r="O20" s="58" t="n">
        <f aca="false">ROUND(J20-N20,2)</f>
        <v>60.07</v>
      </c>
      <c r="P20" s="55" t="s">
        <v>1103</v>
      </c>
      <c r="Q20" s="54" t="n">
        <v>1</v>
      </c>
      <c r="R20" s="55" t="s">
        <v>276</v>
      </c>
      <c r="S20" s="56" t="s">
        <v>228</v>
      </c>
      <c r="T20" s="56" t="s">
        <v>178</v>
      </c>
      <c r="U20" s="56"/>
    </row>
    <row r="21" customFormat="false" ht="15" hidden="false" customHeight="true" outlineLevel="0" collapsed="false">
      <c r="A21" s="61" t="n">
        <v>20</v>
      </c>
      <c r="B21" s="62" t="s">
        <v>2240</v>
      </c>
      <c r="C21" s="63" t="s">
        <v>2243</v>
      </c>
      <c r="D21" s="63" t="s">
        <v>1766</v>
      </c>
      <c r="E21" s="57" t="s">
        <v>1146</v>
      </c>
      <c r="F21" s="62" t="s">
        <v>1766</v>
      </c>
      <c r="G21" s="62" t="s">
        <v>165</v>
      </c>
      <c r="H21" s="64" t="n">
        <v>45</v>
      </c>
      <c r="I21" s="64" t="n">
        <v>90</v>
      </c>
      <c r="J21" s="64" t="n">
        <f aca="false">ROUND(AVERAGE(H21:I21),1)</f>
        <v>67.5</v>
      </c>
      <c r="K21" s="59" t="n">
        <v>0.5</v>
      </c>
      <c r="L21" s="64" t="n">
        <f aca="false">J21+K21</f>
        <v>68</v>
      </c>
      <c r="M21" s="65" t="n">
        <f aca="false">IFERROR(INDEX(99_Listas!$C$2:$C$5,MATCH(G21,99_Listas!$B$2:$B$5,0)),0)</f>
        <v>0.11</v>
      </c>
      <c r="N21" s="64" t="n">
        <f aca="false">ROUND(J21*M21,2)</f>
        <v>7.43</v>
      </c>
      <c r="O21" s="64" t="n">
        <f aca="false">ROUND(J21-N21,2)</f>
        <v>60.07</v>
      </c>
      <c r="P21" s="62" t="s">
        <v>1103</v>
      </c>
      <c r="Q21" s="61" t="n">
        <v>1</v>
      </c>
      <c r="R21" s="62" t="s">
        <v>276</v>
      </c>
      <c r="S21" s="63" t="s">
        <v>228</v>
      </c>
      <c r="T21" s="63" t="s">
        <v>178</v>
      </c>
      <c r="U21" s="63"/>
    </row>
    <row r="22" customFormat="false" ht="15" hidden="false" customHeight="true" outlineLevel="0" collapsed="false">
      <c r="A22" s="54" t="n">
        <v>21</v>
      </c>
      <c r="B22" s="55" t="s">
        <v>2240</v>
      </c>
      <c r="C22" s="56" t="s">
        <v>2244</v>
      </c>
      <c r="D22" s="56" t="s">
        <v>1766</v>
      </c>
      <c r="E22" s="57" t="s">
        <v>2245</v>
      </c>
      <c r="F22" s="55" t="s">
        <v>1766</v>
      </c>
      <c r="G22" s="55" t="s">
        <v>157</v>
      </c>
      <c r="H22" s="58" t="n">
        <v>18</v>
      </c>
      <c r="I22" s="58" t="n">
        <v>35</v>
      </c>
      <c r="J22" s="58" t="n">
        <f aca="false">ROUND(AVERAGE(H22:I22),1)</f>
        <v>26.5</v>
      </c>
      <c r="K22" s="59" t="n">
        <v>0.5</v>
      </c>
      <c r="L22" s="58" t="n">
        <f aca="false">J22+K22</f>
        <v>27</v>
      </c>
      <c r="M22" s="60" t="n">
        <f aca="false">IFERROR(INDEX(99_Listas!$C$2:$C$5,MATCH(G22,99_Listas!$B$2:$B$5,0)),0)</f>
        <v>0.07</v>
      </c>
      <c r="N22" s="58" t="n">
        <f aca="false">ROUND(J22*M22,2)</f>
        <v>1.86</v>
      </c>
      <c r="O22" s="58" t="n">
        <f aca="false">ROUND(J22-N22,2)</f>
        <v>24.64</v>
      </c>
      <c r="P22" s="55" t="s">
        <v>1103</v>
      </c>
      <c r="Q22" s="54" t="n">
        <v>1</v>
      </c>
      <c r="R22" s="55" t="s">
        <v>276</v>
      </c>
      <c r="S22" s="56" t="s">
        <v>228</v>
      </c>
      <c r="T22" s="56" t="s">
        <v>178</v>
      </c>
      <c r="U22" s="56"/>
    </row>
    <row r="23" customFormat="false" ht="15" hidden="false" customHeight="true" outlineLevel="0" collapsed="false">
      <c r="A23" s="61" t="n">
        <v>22</v>
      </c>
      <c r="B23" s="62" t="s">
        <v>2240</v>
      </c>
      <c r="C23" s="63" t="s">
        <v>2246</v>
      </c>
      <c r="D23" s="63" t="s">
        <v>1766</v>
      </c>
      <c r="E23" s="57" t="s">
        <v>2245</v>
      </c>
      <c r="F23" s="62" t="s">
        <v>1766</v>
      </c>
      <c r="G23" s="62" t="s">
        <v>165</v>
      </c>
      <c r="H23" s="64" t="n">
        <v>60</v>
      </c>
      <c r="I23" s="64" t="n">
        <v>110</v>
      </c>
      <c r="J23" s="64" t="n">
        <f aca="false">ROUND(AVERAGE(H23:I23),1)</f>
        <v>85</v>
      </c>
      <c r="K23" s="59" t="n">
        <v>0.5</v>
      </c>
      <c r="L23" s="64" t="n">
        <f aca="false">J23+K23</f>
        <v>85.5</v>
      </c>
      <c r="M23" s="65" t="n">
        <f aca="false">IFERROR(INDEX(99_Listas!$C$2:$C$5,MATCH(G23,99_Listas!$B$2:$B$5,0)),0)</f>
        <v>0.11</v>
      </c>
      <c r="N23" s="64" t="n">
        <f aca="false">ROUND(J23*M23,2)</f>
        <v>9.35</v>
      </c>
      <c r="O23" s="64" t="n">
        <f aca="false">ROUND(J23-N23,2)</f>
        <v>75.65</v>
      </c>
      <c r="P23" s="62" t="s">
        <v>1103</v>
      </c>
      <c r="Q23" s="61" t="n">
        <v>1</v>
      </c>
      <c r="R23" s="62" t="s">
        <v>276</v>
      </c>
      <c r="S23" s="63" t="s">
        <v>228</v>
      </c>
      <c r="T23" s="63" t="s">
        <v>178</v>
      </c>
      <c r="U23" s="63"/>
    </row>
    <row r="24" customFormat="false" ht="15" hidden="false" customHeight="true" outlineLevel="0" collapsed="false">
      <c r="A24" s="54" t="n">
        <v>23</v>
      </c>
      <c r="B24" s="55" t="s">
        <v>2240</v>
      </c>
      <c r="C24" s="56" t="s">
        <v>2247</v>
      </c>
      <c r="D24" s="56" t="s">
        <v>1766</v>
      </c>
      <c r="E24" s="57" t="s">
        <v>2245</v>
      </c>
      <c r="F24" s="55" t="s">
        <v>1766</v>
      </c>
      <c r="G24" s="55" t="s">
        <v>161</v>
      </c>
      <c r="H24" s="58" t="n">
        <v>35</v>
      </c>
      <c r="I24" s="58" t="n">
        <v>65</v>
      </c>
      <c r="J24" s="58" t="n">
        <f aca="false">ROUND(AVERAGE(H24:I24),1)</f>
        <v>50</v>
      </c>
      <c r="K24" s="59" t="n">
        <v>0.5</v>
      </c>
      <c r="L24" s="58" t="n">
        <f aca="false">J24+K24</f>
        <v>50.5</v>
      </c>
      <c r="M24" s="60" t="n">
        <f aca="false">IFERROR(INDEX(99_Listas!$C$2:$C$5,MATCH(G24,99_Listas!$B$2:$B$5,0)),0)</f>
        <v>0.09</v>
      </c>
      <c r="N24" s="58" t="n">
        <f aca="false">ROUND(J24*M24,2)</f>
        <v>4.5</v>
      </c>
      <c r="O24" s="58" t="n">
        <f aca="false">ROUND(J24-N24,2)</f>
        <v>45.5</v>
      </c>
      <c r="P24" s="55" t="s">
        <v>1103</v>
      </c>
      <c r="Q24" s="54" t="n">
        <v>1</v>
      </c>
      <c r="R24" s="55" t="s">
        <v>276</v>
      </c>
      <c r="S24" s="56" t="s">
        <v>228</v>
      </c>
      <c r="T24" s="56" t="s">
        <v>178</v>
      </c>
      <c r="U24" s="56"/>
    </row>
    <row r="25" customFormat="false" ht="15" hidden="false" customHeight="true" outlineLevel="0" collapsed="false">
      <c r="A25" s="61" t="n">
        <v>24</v>
      </c>
      <c r="B25" s="62" t="s">
        <v>2248</v>
      </c>
      <c r="C25" s="63" t="s">
        <v>2249</v>
      </c>
      <c r="D25" s="63" t="s">
        <v>1766</v>
      </c>
      <c r="E25" s="57" t="s">
        <v>2250</v>
      </c>
      <c r="F25" s="62" t="s">
        <v>1766</v>
      </c>
      <c r="G25" s="62" t="s">
        <v>165</v>
      </c>
      <c r="H25" s="64" t="n">
        <v>60</v>
      </c>
      <c r="I25" s="64" t="n">
        <v>110</v>
      </c>
      <c r="J25" s="64" t="n">
        <f aca="false">ROUND(AVERAGE(H25:I25),1)</f>
        <v>85</v>
      </c>
      <c r="K25" s="59" t="n">
        <v>0.5</v>
      </c>
      <c r="L25" s="64" t="n">
        <f aca="false">J25+K25</f>
        <v>85.5</v>
      </c>
      <c r="M25" s="65" t="n">
        <f aca="false">IFERROR(INDEX(99_Listas!$C$2:$C$5,MATCH(G25,99_Listas!$B$2:$B$5,0)),0)</f>
        <v>0.11</v>
      </c>
      <c r="N25" s="64" t="n">
        <f aca="false">ROUND(J25*M25,2)</f>
        <v>9.35</v>
      </c>
      <c r="O25" s="64" t="n">
        <f aca="false">ROUND(J25-N25,2)</f>
        <v>75.65</v>
      </c>
      <c r="P25" s="62" t="s">
        <v>1103</v>
      </c>
      <c r="Q25" s="61" t="n">
        <v>1</v>
      </c>
      <c r="R25" s="62" t="s">
        <v>276</v>
      </c>
      <c r="S25" s="63" t="s">
        <v>228</v>
      </c>
      <c r="T25" s="63" t="s">
        <v>178</v>
      </c>
      <c r="U25" s="63"/>
    </row>
    <row r="26" customFormat="false" ht="15" hidden="false" customHeight="true" outlineLevel="0" collapsed="false">
      <c r="A26" s="54" t="n">
        <v>25</v>
      </c>
      <c r="B26" s="55" t="s">
        <v>2248</v>
      </c>
      <c r="C26" s="56" t="s">
        <v>2251</v>
      </c>
      <c r="D26" s="56" t="s">
        <v>1766</v>
      </c>
      <c r="E26" s="57" t="s">
        <v>2250</v>
      </c>
      <c r="F26" s="55" t="s">
        <v>1766</v>
      </c>
      <c r="G26" s="55" t="s">
        <v>169</v>
      </c>
      <c r="H26" s="58" t="n">
        <v>110</v>
      </c>
      <c r="I26" s="58" t="n">
        <v>200</v>
      </c>
      <c r="J26" s="58" t="n">
        <f aca="false">ROUND(AVERAGE(H26:I26),1)</f>
        <v>155</v>
      </c>
      <c r="K26" s="59" t="n">
        <v>0.5</v>
      </c>
      <c r="L26" s="58" t="n">
        <f aca="false">J26+K26</f>
        <v>155.5</v>
      </c>
      <c r="M26" s="60" t="n">
        <f aca="false">IFERROR(INDEX(99_Listas!$C$2:$C$5,MATCH(G26,99_Listas!$B$2:$B$5,0)),0)</f>
        <v>0.13</v>
      </c>
      <c r="N26" s="58" t="n">
        <f aca="false">ROUND(J26*M26,2)</f>
        <v>20.15</v>
      </c>
      <c r="O26" s="58" t="n">
        <f aca="false">ROUND(J26-N26,2)</f>
        <v>134.85</v>
      </c>
      <c r="P26" s="55" t="s">
        <v>1103</v>
      </c>
      <c r="Q26" s="54" t="n">
        <v>1</v>
      </c>
      <c r="R26" s="55" t="s">
        <v>276</v>
      </c>
      <c r="S26" s="56" t="s">
        <v>380</v>
      </c>
      <c r="T26" s="56" t="s">
        <v>178</v>
      </c>
      <c r="U26" s="56" t="s">
        <v>1189</v>
      </c>
    </row>
    <row r="27" customFormat="false" ht="15" hidden="false" customHeight="true" outlineLevel="0" collapsed="false">
      <c r="A27" s="61" t="n">
        <v>26</v>
      </c>
      <c r="B27" s="62" t="s">
        <v>2248</v>
      </c>
      <c r="C27" s="63" t="s">
        <v>2252</v>
      </c>
      <c r="D27" s="63" t="s">
        <v>1766</v>
      </c>
      <c r="E27" s="57" t="s">
        <v>2250</v>
      </c>
      <c r="F27" s="62" t="s">
        <v>1766</v>
      </c>
      <c r="G27" s="62" t="s">
        <v>165</v>
      </c>
      <c r="H27" s="64" t="n">
        <v>55</v>
      </c>
      <c r="I27" s="64" t="n">
        <v>100</v>
      </c>
      <c r="J27" s="64" t="n">
        <f aca="false">ROUND(AVERAGE(H27:I27),1)</f>
        <v>77.5</v>
      </c>
      <c r="K27" s="59" t="n">
        <v>0.5</v>
      </c>
      <c r="L27" s="64" t="n">
        <f aca="false">J27+K27</f>
        <v>78</v>
      </c>
      <c r="M27" s="65" t="n">
        <f aca="false">IFERROR(INDEX(99_Listas!$C$2:$C$5,MATCH(G27,99_Listas!$B$2:$B$5,0)),0)</f>
        <v>0.11</v>
      </c>
      <c r="N27" s="64" t="n">
        <f aca="false">ROUND(J27*M27,2)</f>
        <v>8.53</v>
      </c>
      <c r="O27" s="64" t="n">
        <f aca="false">ROUND(J27-N27,2)</f>
        <v>68.97</v>
      </c>
      <c r="P27" s="62" t="s">
        <v>1103</v>
      </c>
      <c r="Q27" s="61" t="n">
        <v>1</v>
      </c>
      <c r="R27" s="62" t="s">
        <v>276</v>
      </c>
      <c r="S27" s="63" t="s">
        <v>228</v>
      </c>
      <c r="T27" s="63" t="s">
        <v>178</v>
      </c>
      <c r="U27" s="63"/>
    </row>
    <row r="28" customFormat="false" ht="15" hidden="false" customHeight="true" outlineLevel="0" collapsed="false">
      <c r="A28" s="54" t="n">
        <v>27</v>
      </c>
      <c r="B28" s="55" t="s">
        <v>2248</v>
      </c>
      <c r="C28" s="56" t="s">
        <v>2253</v>
      </c>
      <c r="D28" s="56" t="s">
        <v>1766</v>
      </c>
      <c r="E28" s="57" t="s">
        <v>2250</v>
      </c>
      <c r="F28" s="55" t="s">
        <v>1766</v>
      </c>
      <c r="G28" s="55" t="s">
        <v>161</v>
      </c>
      <c r="H28" s="58" t="n">
        <v>25</v>
      </c>
      <c r="I28" s="58" t="n">
        <v>50</v>
      </c>
      <c r="J28" s="58" t="n">
        <f aca="false">ROUND(AVERAGE(H28:I28),1)</f>
        <v>37.5</v>
      </c>
      <c r="K28" s="59" t="n">
        <v>0.5</v>
      </c>
      <c r="L28" s="58" t="n">
        <f aca="false">J28+K28</f>
        <v>38</v>
      </c>
      <c r="M28" s="60" t="n">
        <f aca="false">IFERROR(INDEX(99_Listas!$C$2:$C$5,MATCH(G28,99_Listas!$B$2:$B$5,0)),0)</f>
        <v>0.09</v>
      </c>
      <c r="N28" s="58" t="n">
        <f aca="false">ROUND(J28*M28,2)</f>
        <v>3.38</v>
      </c>
      <c r="O28" s="58" t="n">
        <f aca="false">ROUND(J28-N28,2)</f>
        <v>34.12</v>
      </c>
      <c r="P28" s="55" t="s">
        <v>1103</v>
      </c>
      <c r="Q28" s="54" t="n">
        <v>1</v>
      </c>
      <c r="R28" s="55" t="s">
        <v>276</v>
      </c>
      <c r="S28" s="56" t="s">
        <v>228</v>
      </c>
      <c r="T28" s="56" t="s">
        <v>178</v>
      </c>
      <c r="U28" s="56"/>
    </row>
    <row r="29" customFormat="false" ht="15" hidden="false" customHeight="true" outlineLevel="0" collapsed="false">
      <c r="A29" s="61" t="n">
        <v>28</v>
      </c>
      <c r="B29" s="62" t="s">
        <v>2254</v>
      </c>
      <c r="C29" s="63" t="s">
        <v>2255</v>
      </c>
      <c r="D29" s="63" t="s">
        <v>2256</v>
      </c>
      <c r="E29" s="57" t="s">
        <v>2257</v>
      </c>
      <c r="F29" s="62" t="s">
        <v>1766</v>
      </c>
      <c r="G29" s="62" t="s">
        <v>157</v>
      </c>
      <c r="H29" s="64" t="n">
        <v>15</v>
      </c>
      <c r="I29" s="64" t="n">
        <v>30</v>
      </c>
      <c r="J29" s="64" t="n">
        <f aca="false">ROUND(AVERAGE(H29:I29),1)</f>
        <v>22.5</v>
      </c>
      <c r="K29" s="59" t="n">
        <v>0.5</v>
      </c>
      <c r="L29" s="64" t="n">
        <f aca="false">J29+K29</f>
        <v>23</v>
      </c>
      <c r="M29" s="65" t="n">
        <f aca="false">IFERROR(INDEX(99_Listas!$C$2:$C$5,MATCH(G29,99_Listas!$B$2:$B$5,0)),0)</f>
        <v>0.07</v>
      </c>
      <c r="N29" s="64" t="n">
        <f aca="false">ROUND(J29*M29,2)</f>
        <v>1.58</v>
      </c>
      <c r="O29" s="64" t="n">
        <f aca="false">ROUND(J29-N29,2)</f>
        <v>20.92</v>
      </c>
      <c r="P29" s="62" t="s">
        <v>1103</v>
      </c>
      <c r="Q29" s="61" t="n">
        <v>1</v>
      </c>
      <c r="R29" s="62" t="s">
        <v>276</v>
      </c>
      <c r="S29" s="63" t="s">
        <v>228</v>
      </c>
      <c r="T29" s="63" t="s">
        <v>2199</v>
      </c>
      <c r="U29" s="63"/>
    </row>
    <row r="30" customFormat="false" ht="15" hidden="false" customHeight="true" outlineLevel="0" collapsed="false">
      <c r="A30" s="54" t="n">
        <v>29</v>
      </c>
      <c r="B30" s="55" t="s">
        <v>2254</v>
      </c>
      <c r="C30" s="56" t="s">
        <v>2258</v>
      </c>
      <c r="D30" s="56" t="s">
        <v>2256</v>
      </c>
      <c r="E30" s="57" t="s">
        <v>2257</v>
      </c>
      <c r="F30" s="55" t="s">
        <v>1766</v>
      </c>
      <c r="G30" s="55" t="s">
        <v>157</v>
      </c>
      <c r="H30" s="58" t="n">
        <v>15</v>
      </c>
      <c r="I30" s="58" t="n">
        <v>30</v>
      </c>
      <c r="J30" s="58" t="n">
        <f aca="false">ROUND(AVERAGE(H30:I30),1)</f>
        <v>22.5</v>
      </c>
      <c r="K30" s="59" t="n">
        <v>0.5</v>
      </c>
      <c r="L30" s="58" t="n">
        <f aca="false">J30+K30</f>
        <v>23</v>
      </c>
      <c r="M30" s="60" t="n">
        <f aca="false">IFERROR(INDEX(99_Listas!$C$2:$C$5,MATCH(G30,99_Listas!$B$2:$B$5,0)),0)</f>
        <v>0.07</v>
      </c>
      <c r="N30" s="58" t="n">
        <f aca="false">ROUND(J30*M30,2)</f>
        <v>1.58</v>
      </c>
      <c r="O30" s="58" t="n">
        <f aca="false">ROUND(J30-N30,2)</f>
        <v>20.92</v>
      </c>
      <c r="P30" s="55" t="s">
        <v>1103</v>
      </c>
      <c r="Q30" s="54" t="n">
        <v>1</v>
      </c>
      <c r="R30" s="55" t="s">
        <v>276</v>
      </c>
      <c r="S30" s="56" t="s">
        <v>228</v>
      </c>
      <c r="T30" s="56" t="s">
        <v>2199</v>
      </c>
      <c r="U30" s="56"/>
    </row>
    <row r="31" customFormat="false" ht="15" hidden="false" customHeight="true" outlineLevel="0" collapsed="false">
      <c r="A31" s="61" t="n">
        <v>30</v>
      </c>
      <c r="B31" s="62" t="s">
        <v>2254</v>
      </c>
      <c r="C31" s="63" t="s">
        <v>2259</v>
      </c>
      <c r="D31" s="63" t="s">
        <v>2260</v>
      </c>
      <c r="E31" s="57" t="s">
        <v>2257</v>
      </c>
      <c r="F31" s="62" t="s">
        <v>1766</v>
      </c>
      <c r="G31" s="62" t="s">
        <v>161</v>
      </c>
      <c r="H31" s="64" t="n">
        <v>25</v>
      </c>
      <c r="I31" s="64" t="n">
        <v>55</v>
      </c>
      <c r="J31" s="64" t="n">
        <f aca="false">ROUND(AVERAGE(H31:I31),1)</f>
        <v>40</v>
      </c>
      <c r="K31" s="59" t="n">
        <v>0.5</v>
      </c>
      <c r="L31" s="64" t="n">
        <f aca="false">J31+K31</f>
        <v>40.5</v>
      </c>
      <c r="M31" s="65" t="n">
        <f aca="false">IFERROR(INDEX(99_Listas!$C$2:$C$5,MATCH(G31,99_Listas!$B$2:$B$5,0)),0)</f>
        <v>0.09</v>
      </c>
      <c r="N31" s="64" t="n">
        <f aca="false">ROUND(J31*M31,2)</f>
        <v>3.6</v>
      </c>
      <c r="O31" s="64" t="n">
        <f aca="false">ROUND(J31-N31,2)</f>
        <v>36.4</v>
      </c>
      <c r="P31" s="62" t="s">
        <v>1103</v>
      </c>
      <c r="Q31" s="61" t="n">
        <v>1</v>
      </c>
      <c r="R31" s="62" t="s">
        <v>276</v>
      </c>
      <c r="S31" s="63" t="s">
        <v>228</v>
      </c>
      <c r="T31" s="63" t="s">
        <v>178</v>
      </c>
      <c r="U31" s="63"/>
    </row>
    <row r="32" customFormat="false" ht="15" hidden="false" customHeight="true" outlineLevel="0" collapsed="false">
      <c r="A32" s="54" t="n">
        <v>31</v>
      </c>
      <c r="B32" s="55" t="s">
        <v>2254</v>
      </c>
      <c r="C32" s="56" t="s">
        <v>2261</v>
      </c>
      <c r="D32" s="56" t="s">
        <v>1766</v>
      </c>
      <c r="E32" s="57" t="s">
        <v>2257</v>
      </c>
      <c r="F32" s="55" t="s">
        <v>1766</v>
      </c>
      <c r="G32" s="55" t="s">
        <v>165</v>
      </c>
      <c r="H32" s="58" t="n">
        <v>30</v>
      </c>
      <c r="I32" s="58" t="n">
        <v>90</v>
      </c>
      <c r="J32" s="58" t="n">
        <f aca="false">ROUND(AVERAGE(H32:I32),1)</f>
        <v>60</v>
      </c>
      <c r="K32" s="59" t="n">
        <v>0.5</v>
      </c>
      <c r="L32" s="58" t="n">
        <f aca="false">J32+K32</f>
        <v>60.5</v>
      </c>
      <c r="M32" s="60" t="n">
        <f aca="false">IFERROR(INDEX(99_Listas!$C$2:$C$5,MATCH(G32,99_Listas!$B$2:$B$5,0)),0)</f>
        <v>0.11</v>
      </c>
      <c r="N32" s="58" t="n">
        <f aca="false">ROUND(J32*M32,2)</f>
        <v>6.6</v>
      </c>
      <c r="O32" s="58" t="n">
        <f aca="false">ROUND(J32-N32,2)</f>
        <v>53.4</v>
      </c>
      <c r="P32" s="55" t="s">
        <v>1103</v>
      </c>
      <c r="Q32" s="54" t="n">
        <v>1</v>
      </c>
      <c r="R32" s="55" t="s">
        <v>276</v>
      </c>
      <c r="S32" s="56" t="s">
        <v>1433</v>
      </c>
      <c r="T32" s="56" t="s">
        <v>178</v>
      </c>
      <c r="U32" s="56" t="s">
        <v>2262</v>
      </c>
    </row>
    <row r="33" customFormat="false" ht="15" hidden="false" customHeight="true" outlineLevel="0" collapsed="false">
      <c r="A33" s="61" t="n">
        <v>32</v>
      </c>
      <c r="B33" s="62" t="s">
        <v>2254</v>
      </c>
      <c r="C33" s="63" t="s">
        <v>2263</v>
      </c>
      <c r="D33" s="63" t="s">
        <v>2264</v>
      </c>
      <c r="E33" s="57" t="s">
        <v>2257</v>
      </c>
      <c r="F33" s="62" t="s">
        <v>1766</v>
      </c>
      <c r="G33" s="62" t="s">
        <v>157</v>
      </c>
      <c r="H33" s="64" t="n">
        <v>12</v>
      </c>
      <c r="I33" s="64" t="n">
        <v>30</v>
      </c>
      <c r="J33" s="64" t="n">
        <f aca="false">ROUND(AVERAGE(H33:I33),1)</f>
        <v>21</v>
      </c>
      <c r="K33" s="59" t="n">
        <v>0.5</v>
      </c>
      <c r="L33" s="64" t="n">
        <f aca="false">J33+K33</f>
        <v>21.5</v>
      </c>
      <c r="M33" s="65" t="n">
        <f aca="false">IFERROR(INDEX(99_Listas!$C$2:$C$5,MATCH(G33,99_Listas!$B$2:$B$5,0)),0)</f>
        <v>0.07</v>
      </c>
      <c r="N33" s="64" t="n">
        <f aca="false">ROUND(J33*M33,2)</f>
        <v>1.47</v>
      </c>
      <c r="O33" s="64" t="n">
        <f aca="false">ROUND(J33-N33,2)</f>
        <v>19.53</v>
      </c>
      <c r="P33" s="62" t="s">
        <v>1103</v>
      </c>
      <c r="Q33" s="61" t="n">
        <v>1</v>
      </c>
      <c r="R33" s="62" t="s">
        <v>276</v>
      </c>
      <c r="S33" s="63" t="s">
        <v>228</v>
      </c>
      <c r="T33" s="63" t="s">
        <v>2265</v>
      </c>
      <c r="U33" s="63"/>
    </row>
    <row r="34" customFormat="false" ht="15" hidden="false" customHeight="true" outlineLevel="0" collapsed="false">
      <c r="A34" s="54" t="n">
        <v>33</v>
      </c>
      <c r="B34" s="55" t="s">
        <v>2266</v>
      </c>
      <c r="C34" s="56" t="s">
        <v>2267</v>
      </c>
      <c r="D34" s="56" t="s">
        <v>1766</v>
      </c>
      <c r="E34" s="57" t="s">
        <v>2250</v>
      </c>
      <c r="F34" s="55" t="s">
        <v>1766</v>
      </c>
      <c r="G34" s="55" t="s">
        <v>165</v>
      </c>
      <c r="H34" s="58" t="n">
        <v>50</v>
      </c>
      <c r="I34" s="58" t="n">
        <v>100</v>
      </c>
      <c r="J34" s="58" t="n">
        <f aca="false">ROUND(AVERAGE(H34:I34),1)</f>
        <v>75</v>
      </c>
      <c r="K34" s="59" t="n">
        <v>0.5</v>
      </c>
      <c r="L34" s="58" t="n">
        <f aca="false">J34+K34</f>
        <v>75.5</v>
      </c>
      <c r="M34" s="60" t="n">
        <f aca="false">IFERROR(INDEX(99_Listas!$C$2:$C$5,MATCH(G34,99_Listas!$B$2:$B$5,0)),0)</f>
        <v>0.11</v>
      </c>
      <c r="N34" s="58" t="n">
        <f aca="false">ROUND(J34*M34,2)</f>
        <v>8.25</v>
      </c>
      <c r="O34" s="58" t="n">
        <f aca="false">ROUND(J34-N34,2)</f>
        <v>66.75</v>
      </c>
      <c r="P34" s="55" t="s">
        <v>1103</v>
      </c>
      <c r="Q34" s="54" t="n">
        <v>1</v>
      </c>
      <c r="R34" s="55" t="s">
        <v>276</v>
      </c>
      <c r="S34" s="56" t="s">
        <v>228</v>
      </c>
      <c r="T34" s="56" t="s">
        <v>178</v>
      </c>
      <c r="U34" s="56"/>
    </row>
    <row r="35" customFormat="false" ht="15" hidden="false" customHeight="true" outlineLevel="0" collapsed="false">
      <c r="A35" s="61" t="n">
        <v>34</v>
      </c>
      <c r="B35" s="62" t="s">
        <v>2266</v>
      </c>
      <c r="C35" s="63" t="s">
        <v>2268</v>
      </c>
      <c r="D35" s="63" t="s">
        <v>1766</v>
      </c>
      <c r="E35" s="57" t="s">
        <v>274</v>
      </c>
      <c r="F35" s="62" t="s">
        <v>1766</v>
      </c>
      <c r="G35" s="62" t="s">
        <v>161</v>
      </c>
      <c r="H35" s="64" t="n">
        <v>25</v>
      </c>
      <c r="I35" s="64" t="n">
        <v>55</v>
      </c>
      <c r="J35" s="64" t="n">
        <f aca="false">ROUND(AVERAGE(H35:I35),1)</f>
        <v>40</v>
      </c>
      <c r="K35" s="59" t="n">
        <v>0.5</v>
      </c>
      <c r="L35" s="64" t="n">
        <f aca="false">J35+K35</f>
        <v>40.5</v>
      </c>
      <c r="M35" s="65" t="n">
        <f aca="false">IFERROR(INDEX(99_Listas!$C$2:$C$5,MATCH(G35,99_Listas!$B$2:$B$5,0)),0)</f>
        <v>0.09</v>
      </c>
      <c r="N35" s="64" t="n">
        <f aca="false">ROUND(J35*M35,2)</f>
        <v>3.6</v>
      </c>
      <c r="O35" s="64" t="n">
        <f aca="false">ROUND(J35-N35,2)</f>
        <v>36.4</v>
      </c>
      <c r="P35" s="62" t="s">
        <v>1103</v>
      </c>
      <c r="Q35" s="61" t="n">
        <v>1</v>
      </c>
      <c r="R35" s="62" t="s">
        <v>276</v>
      </c>
      <c r="S35" s="63" t="s">
        <v>228</v>
      </c>
      <c r="T35" s="63" t="s">
        <v>178</v>
      </c>
      <c r="U35" s="63"/>
    </row>
    <row r="36" customFormat="false" ht="15" hidden="false" customHeight="true" outlineLevel="0" collapsed="false">
      <c r="A36" s="54" t="n">
        <v>35</v>
      </c>
      <c r="B36" s="55" t="s">
        <v>2266</v>
      </c>
      <c r="C36" s="56" t="s">
        <v>2269</v>
      </c>
      <c r="D36" s="56" t="s">
        <v>2270</v>
      </c>
      <c r="E36" s="57" t="s">
        <v>814</v>
      </c>
      <c r="F36" s="55" t="s">
        <v>1766</v>
      </c>
      <c r="G36" s="55" t="s">
        <v>161</v>
      </c>
      <c r="H36" s="58" t="n">
        <v>20</v>
      </c>
      <c r="I36" s="58" t="n">
        <v>45</v>
      </c>
      <c r="J36" s="58" t="n">
        <f aca="false">ROUND(AVERAGE(H36:I36),1)</f>
        <v>32.5</v>
      </c>
      <c r="K36" s="59" t="n">
        <v>0.5</v>
      </c>
      <c r="L36" s="58" t="n">
        <f aca="false">J36+K36</f>
        <v>33</v>
      </c>
      <c r="M36" s="60" t="n">
        <f aca="false">IFERROR(INDEX(99_Listas!$C$2:$C$5,MATCH(G36,99_Listas!$B$2:$B$5,0)),0)</f>
        <v>0.09</v>
      </c>
      <c r="N36" s="58" t="n">
        <f aca="false">ROUND(J36*M36,2)</f>
        <v>2.93</v>
      </c>
      <c r="O36" s="58" t="n">
        <f aca="false">ROUND(J36-N36,2)</f>
        <v>29.57</v>
      </c>
      <c r="P36" s="55" t="s">
        <v>1103</v>
      </c>
      <c r="Q36" s="54" t="n">
        <v>1</v>
      </c>
      <c r="R36" s="55" t="s">
        <v>276</v>
      </c>
      <c r="S36" s="56" t="s">
        <v>228</v>
      </c>
      <c r="T36" s="56" t="s">
        <v>178</v>
      </c>
      <c r="U36" s="56"/>
    </row>
    <row r="37" customFormat="false" ht="15" hidden="false" customHeight="true" outlineLevel="0" collapsed="false">
      <c r="A37" s="61" t="n">
        <v>36</v>
      </c>
      <c r="B37" s="62" t="s">
        <v>2266</v>
      </c>
      <c r="C37" s="63" t="s">
        <v>2271</v>
      </c>
      <c r="D37" s="63" t="s">
        <v>2272</v>
      </c>
      <c r="E37" s="57" t="s">
        <v>2273</v>
      </c>
      <c r="F37" s="62" t="s">
        <v>1766</v>
      </c>
      <c r="G37" s="62" t="s">
        <v>161</v>
      </c>
      <c r="H37" s="64" t="n">
        <v>20</v>
      </c>
      <c r="I37" s="64" t="n">
        <v>50</v>
      </c>
      <c r="J37" s="64" t="n">
        <f aca="false">ROUND(AVERAGE(H37:I37),1)</f>
        <v>35</v>
      </c>
      <c r="K37" s="59" t="n">
        <v>0.5</v>
      </c>
      <c r="L37" s="64" t="n">
        <f aca="false">J37+K37</f>
        <v>35.5</v>
      </c>
      <c r="M37" s="65" t="n">
        <f aca="false">IFERROR(INDEX(99_Listas!$C$2:$C$5,MATCH(G37,99_Listas!$B$2:$B$5,0)),0)</f>
        <v>0.09</v>
      </c>
      <c r="N37" s="64" t="n">
        <f aca="false">ROUND(J37*M37,2)</f>
        <v>3.15</v>
      </c>
      <c r="O37" s="64" t="n">
        <f aca="false">ROUND(J37-N37,2)</f>
        <v>31.85</v>
      </c>
      <c r="P37" s="62" t="s">
        <v>1103</v>
      </c>
      <c r="Q37" s="61" t="n">
        <v>1</v>
      </c>
      <c r="R37" s="62" t="s">
        <v>276</v>
      </c>
      <c r="S37" s="63" t="s">
        <v>228</v>
      </c>
      <c r="T37" s="63" t="s">
        <v>2274</v>
      </c>
      <c r="U37" s="63" t="s">
        <v>2275</v>
      </c>
    </row>
    <row r="38" customFormat="false" ht="15" hidden="false" customHeight="true" outlineLevel="0" collapsed="false">
      <c r="A38" s="54" t="n">
        <v>37</v>
      </c>
      <c r="B38" s="55" t="s">
        <v>2266</v>
      </c>
      <c r="C38" s="56" t="s">
        <v>2276</v>
      </c>
      <c r="D38" s="56" t="s">
        <v>1766</v>
      </c>
      <c r="E38" s="57" t="s">
        <v>2277</v>
      </c>
      <c r="F38" s="55" t="s">
        <v>1766</v>
      </c>
      <c r="G38" s="55" t="s">
        <v>165</v>
      </c>
      <c r="H38" s="58" t="n">
        <v>60</v>
      </c>
      <c r="I38" s="58" t="n">
        <v>120</v>
      </c>
      <c r="J38" s="58" t="n">
        <f aca="false">ROUND(AVERAGE(H38:I38),1)</f>
        <v>90</v>
      </c>
      <c r="K38" s="59" t="n">
        <v>0.5</v>
      </c>
      <c r="L38" s="58" t="n">
        <f aca="false">J38+K38</f>
        <v>90.5</v>
      </c>
      <c r="M38" s="60" t="n">
        <f aca="false">IFERROR(INDEX(99_Listas!$C$2:$C$5,MATCH(G38,99_Listas!$B$2:$B$5,0)),0)</f>
        <v>0.11</v>
      </c>
      <c r="N38" s="58" t="n">
        <f aca="false">ROUND(J38*M38,2)</f>
        <v>9.9</v>
      </c>
      <c r="O38" s="58" t="n">
        <f aca="false">ROUND(J38-N38,2)</f>
        <v>80.1</v>
      </c>
      <c r="P38" s="55" t="s">
        <v>1103</v>
      </c>
      <c r="Q38" s="54" t="n">
        <v>1</v>
      </c>
      <c r="R38" s="55" t="s">
        <v>276</v>
      </c>
      <c r="S38" s="56" t="s">
        <v>380</v>
      </c>
      <c r="T38" s="56" t="s">
        <v>178</v>
      </c>
      <c r="U38" s="56"/>
    </row>
    <row r="39" customFormat="false" ht="15" hidden="false" customHeight="true" outlineLevel="0" collapsed="false">
      <c r="A39" s="61" t="n">
        <v>38</v>
      </c>
      <c r="B39" s="62" t="s">
        <v>2278</v>
      </c>
      <c r="C39" s="63" t="s">
        <v>2279</v>
      </c>
      <c r="D39" s="63" t="s">
        <v>2280</v>
      </c>
      <c r="E39" s="57" t="s">
        <v>2229</v>
      </c>
      <c r="F39" s="62" t="s">
        <v>1016</v>
      </c>
      <c r="G39" s="62" t="s">
        <v>165</v>
      </c>
      <c r="H39" s="64" t="n">
        <v>40</v>
      </c>
      <c r="I39" s="64" t="n">
        <v>80</v>
      </c>
      <c r="J39" s="64" t="n">
        <f aca="false">ROUND(AVERAGE(H39:I39),1)</f>
        <v>60</v>
      </c>
      <c r="K39" s="59" t="n">
        <v>0.5</v>
      </c>
      <c r="L39" s="64" t="n">
        <f aca="false">J39+K39</f>
        <v>60.5</v>
      </c>
      <c r="M39" s="65" t="n">
        <f aca="false">IFERROR(INDEX(99_Listas!$C$2:$C$5,MATCH(G39,99_Listas!$B$2:$B$5,0)),0)</f>
        <v>0.11</v>
      </c>
      <c r="N39" s="64" t="n">
        <f aca="false">ROUND(J39*M39,2)</f>
        <v>6.6</v>
      </c>
      <c r="O39" s="64" t="n">
        <f aca="false">ROUND(J39-N39,2)</f>
        <v>53.4</v>
      </c>
      <c r="P39" s="62" t="s">
        <v>1103</v>
      </c>
      <c r="Q39" s="61" t="n">
        <v>5</v>
      </c>
      <c r="R39" s="62" t="s">
        <v>276</v>
      </c>
      <c r="S39" s="63" t="s">
        <v>228</v>
      </c>
      <c r="T39" s="63" t="s">
        <v>178</v>
      </c>
      <c r="U39" s="63" t="s">
        <v>2281</v>
      </c>
    </row>
    <row r="40" customFormat="false" ht="23.25" hidden="false" customHeight="true" outlineLevel="0" collapsed="false">
      <c r="A40" s="54" t="n">
        <v>39</v>
      </c>
      <c r="B40" s="55" t="s">
        <v>2278</v>
      </c>
      <c r="C40" s="56" t="s">
        <v>2282</v>
      </c>
      <c r="D40" s="56" t="s">
        <v>2283</v>
      </c>
      <c r="E40" s="57" t="s">
        <v>1098</v>
      </c>
      <c r="F40" s="55" t="s">
        <v>1016</v>
      </c>
      <c r="G40" s="55" t="s">
        <v>161</v>
      </c>
      <c r="H40" s="58" t="n">
        <v>35</v>
      </c>
      <c r="I40" s="58" t="n">
        <v>70</v>
      </c>
      <c r="J40" s="58" t="n">
        <f aca="false">ROUND(AVERAGE(H40:I40),1)</f>
        <v>52.5</v>
      </c>
      <c r="K40" s="59" t="n">
        <v>0.5</v>
      </c>
      <c r="L40" s="58" t="n">
        <f aca="false">J40+K40</f>
        <v>53</v>
      </c>
      <c r="M40" s="60" t="n">
        <f aca="false">IFERROR(INDEX(99_Listas!$C$2:$C$5,MATCH(G40,99_Listas!$B$2:$B$5,0)),0)</f>
        <v>0.09</v>
      </c>
      <c r="N40" s="58" t="n">
        <f aca="false">ROUND(J40*M40,2)</f>
        <v>4.73</v>
      </c>
      <c r="O40" s="58" t="n">
        <f aca="false">ROUND(J40-N40,2)</f>
        <v>47.77</v>
      </c>
      <c r="P40" s="55" t="s">
        <v>1103</v>
      </c>
      <c r="Q40" s="54" t="n">
        <v>5</v>
      </c>
      <c r="R40" s="55" t="s">
        <v>276</v>
      </c>
      <c r="S40" s="56" t="s">
        <v>380</v>
      </c>
      <c r="T40" s="56" t="s">
        <v>178</v>
      </c>
      <c r="U40" s="56" t="s">
        <v>2284</v>
      </c>
    </row>
    <row r="41" customFormat="false" ht="23.25" hidden="false" customHeight="true" outlineLevel="0" collapsed="false">
      <c r="A41" s="61" t="n">
        <v>40</v>
      </c>
      <c r="B41" s="62" t="s">
        <v>2278</v>
      </c>
      <c r="C41" s="63" t="s">
        <v>2285</v>
      </c>
      <c r="D41" s="63" t="s">
        <v>2286</v>
      </c>
      <c r="E41" s="57" t="s">
        <v>1774</v>
      </c>
      <c r="F41" s="62" t="s">
        <v>1016</v>
      </c>
      <c r="G41" s="62" t="s">
        <v>169</v>
      </c>
      <c r="H41" s="64" t="n">
        <v>100</v>
      </c>
      <c r="I41" s="64" t="n">
        <v>180</v>
      </c>
      <c r="J41" s="64" t="n">
        <f aca="false">ROUND(AVERAGE(H41:I41),1)</f>
        <v>140</v>
      </c>
      <c r="K41" s="59" t="n">
        <v>0.5</v>
      </c>
      <c r="L41" s="64" t="n">
        <f aca="false">J41+K41</f>
        <v>140.5</v>
      </c>
      <c r="M41" s="65" t="n">
        <f aca="false">IFERROR(INDEX(99_Listas!$C$2:$C$5,MATCH(G41,99_Listas!$B$2:$B$5,0)),0)</f>
        <v>0.13</v>
      </c>
      <c r="N41" s="64" t="n">
        <f aca="false">ROUND(J41*M41,2)</f>
        <v>18.2</v>
      </c>
      <c r="O41" s="64" t="n">
        <f aca="false">ROUND(J41-N41,2)</f>
        <v>121.8</v>
      </c>
      <c r="P41" s="62" t="s">
        <v>1103</v>
      </c>
      <c r="Q41" s="61" t="n">
        <v>8</v>
      </c>
      <c r="R41" s="62" t="s">
        <v>165</v>
      </c>
      <c r="S41" s="63" t="s">
        <v>380</v>
      </c>
      <c r="T41" s="63" t="s">
        <v>178</v>
      </c>
      <c r="U41" s="63" t="s">
        <v>2287</v>
      </c>
    </row>
    <row r="42" customFormat="false" ht="23.25" hidden="false" customHeight="true" outlineLevel="0" collapsed="false">
      <c r="A42" s="54" t="n">
        <v>41</v>
      </c>
      <c r="B42" s="55" t="s">
        <v>2278</v>
      </c>
      <c r="C42" s="56" t="s">
        <v>2288</v>
      </c>
      <c r="D42" s="56" t="s">
        <v>2289</v>
      </c>
      <c r="E42" s="57" t="s">
        <v>2257</v>
      </c>
      <c r="F42" s="55" t="s">
        <v>1016</v>
      </c>
      <c r="G42" s="55" t="s">
        <v>169</v>
      </c>
      <c r="H42" s="58" t="n">
        <v>70</v>
      </c>
      <c r="I42" s="58" t="n">
        <v>150</v>
      </c>
      <c r="J42" s="58" t="n">
        <f aca="false">ROUND(AVERAGE(H42:I42),1)</f>
        <v>110</v>
      </c>
      <c r="K42" s="59" t="n">
        <v>0.5</v>
      </c>
      <c r="L42" s="58" t="n">
        <f aca="false">J42+K42</f>
        <v>110.5</v>
      </c>
      <c r="M42" s="60" t="n">
        <f aca="false">IFERROR(INDEX(99_Listas!$C$2:$C$5,MATCH(G42,99_Listas!$B$2:$B$5,0)),0)</f>
        <v>0.13</v>
      </c>
      <c r="N42" s="58" t="n">
        <f aca="false">ROUND(J42*M42,2)</f>
        <v>14.3</v>
      </c>
      <c r="O42" s="58" t="n">
        <f aca="false">ROUND(J42-N42,2)</f>
        <v>95.7</v>
      </c>
      <c r="P42" s="55" t="s">
        <v>928</v>
      </c>
      <c r="Q42" s="54" t="n">
        <v>15</v>
      </c>
      <c r="R42" s="55" t="s">
        <v>165</v>
      </c>
      <c r="S42" s="56" t="s">
        <v>228</v>
      </c>
      <c r="T42" s="56" t="s">
        <v>2290</v>
      </c>
      <c r="U42" s="56" t="s">
        <v>2291</v>
      </c>
    </row>
    <row r="43" customFormat="false" ht="15" hidden="false" customHeight="true" outlineLevel="0" collapsed="false">
      <c r="A43" s="61" t="n">
        <v>42</v>
      </c>
      <c r="B43" s="62" t="s">
        <v>2278</v>
      </c>
      <c r="C43" s="63" t="s">
        <v>2292</v>
      </c>
      <c r="D43" s="63" t="s">
        <v>2293</v>
      </c>
      <c r="E43" s="57" t="s">
        <v>2229</v>
      </c>
      <c r="F43" s="62" t="s">
        <v>2294</v>
      </c>
      <c r="G43" s="62" t="s">
        <v>165</v>
      </c>
      <c r="H43" s="64" t="n">
        <v>35</v>
      </c>
      <c r="I43" s="64" t="n">
        <v>70</v>
      </c>
      <c r="J43" s="64" t="n">
        <f aca="false">ROUND(AVERAGE(H43:I43),1)</f>
        <v>52.5</v>
      </c>
      <c r="K43" s="59" t="n">
        <v>0.5</v>
      </c>
      <c r="L43" s="64" t="n">
        <f aca="false">J43+K43</f>
        <v>53</v>
      </c>
      <c r="M43" s="65" t="n">
        <f aca="false">IFERROR(INDEX(99_Listas!$C$2:$C$5,MATCH(G43,99_Listas!$B$2:$B$5,0)),0)</f>
        <v>0.11</v>
      </c>
      <c r="N43" s="64" t="n">
        <f aca="false">ROUND(J43*M43,2)</f>
        <v>5.78</v>
      </c>
      <c r="O43" s="64" t="n">
        <f aca="false">ROUND(J43-N43,2)</f>
        <v>46.72</v>
      </c>
      <c r="P43" s="62" t="s">
        <v>1103</v>
      </c>
      <c r="Q43" s="61" t="n">
        <v>10</v>
      </c>
      <c r="R43" s="62" t="s">
        <v>165</v>
      </c>
      <c r="S43" s="63" t="s">
        <v>380</v>
      </c>
      <c r="T43" s="63" t="s">
        <v>1236</v>
      </c>
      <c r="U43" s="63" t="s">
        <v>2295</v>
      </c>
    </row>
    <row r="44" customFormat="false" ht="15" hidden="false" customHeight="true" outlineLevel="0" collapsed="false">
      <c r="A44" s="54" t="n">
        <v>43</v>
      </c>
      <c r="B44" s="55" t="s">
        <v>2296</v>
      </c>
      <c r="C44" s="56" t="s">
        <v>2297</v>
      </c>
      <c r="D44" s="56" t="s">
        <v>2298</v>
      </c>
      <c r="E44" s="57" t="s">
        <v>2299</v>
      </c>
      <c r="F44" s="55" t="s">
        <v>534</v>
      </c>
      <c r="G44" s="55" t="s">
        <v>157</v>
      </c>
      <c r="H44" s="58" t="n">
        <v>3</v>
      </c>
      <c r="I44" s="58" t="n">
        <v>8</v>
      </c>
      <c r="J44" s="58" t="n">
        <f aca="false">ROUND(AVERAGE(H44:I44),1)</f>
        <v>5.5</v>
      </c>
      <c r="K44" s="59" t="n">
        <v>0.5</v>
      </c>
      <c r="L44" s="58" t="n">
        <f aca="false">J44+K44</f>
        <v>6</v>
      </c>
      <c r="M44" s="60" t="n">
        <f aca="false">IFERROR(INDEX(99_Listas!$C$2:$C$5,MATCH(G44,99_Listas!$B$2:$B$5,0)),0)</f>
        <v>0.07</v>
      </c>
      <c r="N44" s="58" t="n">
        <f aca="false">ROUND(J44*M44,2)</f>
        <v>0.39</v>
      </c>
      <c r="O44" s="58" t="n">
        <f aca="false">ROUND(J44-N44,2)</f>
        <v>5.11</v>
      </c>
      <c r="P44" s="55" t="s">
        <v>1103</v>
      </c>
      <c r="Q44" s="54" t="n">
        <v>1</v>
      </c>
      <c r="R44" s="55" t="s">
        <v>258</v>
      </c>
      <c r="S44" s="56" t="s">
        <v>1830</v>
      </c>
      <c r="T44" s="56" t="s">
        <v>2199</v>
      </c>
      <c r="U44" s="56" t="s">
        <v>2300</v>
      </c>
    </row>
    <row r="45" customFormat="false" ht="15" hidden="false" customHeight="true" outlineLevel="0" collapsed="false">
      <c r="A45" s="61" t="n">
        <v>44</v>
      </c>
      <c r="B45" s="62" t="s">
        <v>2296</v>
      </c>
      <c r="C45" s="63" t="s">
        <v>2301</v>
      </c>
      <c r="D45" s="63" t="s">
        <v>1766</v>
      </c>
      <c r="E45" s="57" t="s">
        <v>1098</v>
      </c>
      <c r="F45" s="62" t="s">
        <v>1766</v>
      </c>
      <c r="G45" s="62" t="s">
        <v>157</v>
      </c>
      <c r="H45" s="64" t="n">
        <v>7</v>
      </c>
      <c r="I45" s="64" t="n">
        <v>10</v>
      </c>
      <c r="J45" s="64" t="n">
        <f aca="false">ROUND(AVERAGE(H45:I45),1)</f>
        <v>8.5</v>
      </c>
      <c r="K45" s="59" t="n">
        <v>0.5</v>
      </c>
      <c r="L45" s="64" t="n">
        <f aca="false">J45+K45</f>
        <v>9</v>
      </c>
      <c r="M45" s="65" t="n">
        <f aca="false">IFERROR(INDEX(99_Listas!$C$2:$C$5,MATCH(G45,99_Listas!$B$2:$B$5,0)),0)</f>
        <v>0.07</v>
      </c>
      <c r="N45" s="64" t="n">
        <f aca="false">ROUND(J45*M45,2)</f>
        <v>0.6</v>
      </c>
      <c r="O45" s="64" t="n">
        <f aca="false">ROUND(J45-N45,2)</f>
        <v>7.9</v>
      </c>
      <c r="P45" s="62" t="s">
        <v>1103</v>
      </c>
      <c r="Q45" s="61" t="n">
        <v>1</v>
      </c>
      <c r="R45" s="62" t="s">
        <v>276</v>
      </c>
      <c r="S45" s="63" t="s">
        <v>228</v>
      </c>
      <c r="T45" s="63" t="s">
        <v>2199</v>
      </c>
      <c r="U45" s="63" t="s">
        <v>2302</v>
      </c>
    </row>
    <row r="46" customFormat="false" ht="15" hidden="false" customHeight="true" outlineLevel="0" collapsed="false">
      <c r="A46" s="54" t="n">
        <v>45</v>
      </c>
      <c r="B46" s="55" t="s">
        <v>2296</v>
      </c>
      <c r="C46" s="56" t="s">
        <v>2303</v>
      </c>
      <c r="D46" s="56" t="s">
        <v>1769</v>
      </c>
      <c r="E46" s="57" t="s">
        <v>1098</v>
      </c>
      <c r="F46" s="55" t="s">
        <v>1766</v>
      </c>
      <c r="G46" s="55" t="s">
        <v>157</v>
      </c>
      <c r="H46" s="58" t="n">
        <v>10</v>
      </c>
      <c r="I46" s="58" t="n">
        <v>15</v>
      </c>
      <c r="J46" s="58" t="n">
        <f aca="false">ROUND(AVERAGE(H46:I46),1)</f>
        <v>12.5</v>
      </c>
      <c r="K46" s="59" t="n">
        <v>0.5</v>
      </c>
      <c r="L46" s="58" t="n">
        <f aca="false">J46+K46</f>
        <v>13</v>
      </c>
      <c r="M46" s="60" t="n">
        <f aca="false">IFERROR(INDEX(99_Listas!$C$2:$C$5,MATCH(G46,99_Listas!$B$2:$B$5,0)),0)</f>
        <v>0.07</v>
      </c>
      <c r="N46" s="58" t="n">
        <f aca="false">ROUND(J46*M46,2)</f>
        <v>0.88</v>
      </c>
      <c r="O46" s="58" t="n">
        <f aca="false">ROUND(J46-N46,2)</f>
        <v>11.62</v>
      </c>
      <c r="P46" s="55" t="s">
        <v>1103</v>
      </c>
      <c r="Q46" s="54" t="n">
        <v>1</v>
      </c>
      <c r="R46" s="55" t="s">
        <v>276</v>
      </c>
      <c r="S46" s="56" t="s">
        <v>380</v>
      </c>
      <c r="T46" s="56" t="s">
        <v>178</v>
      </c>
      <c r="U46" s="56"/>
    </row>
    <row r="47" customFormat="false" ht="15" hidden="false" customHeight="true" outlineLevel="0" collapsed="false">
      <c r="A47" s="61" t="n">
        <v>46</v>
      </c>
      <c r="B47" s="62" t="s">
        <v>2296</v>
      </c>
      <c r="C47" s="63" t="s">
        <v>2304</v>
      </c>
      <c r="D47" s="63" t="s">
        <v>2305</v>
      </c>
      <c r="E47" s="57" t="s">
        <v>1098</v>
      </c>
      <c r="F47" s="62" t="s">
        <v>1766</v>
      </c>
      <c r="G47" s="62" t="s">
        <v>157</v>
      </c>
      <c r="H47" s="64" t="n">
        <v>4</v>
      </c>
      <c r="I47" s="64" t="n">
        <v>8</v>
      </c>
      <c r="J47" s="64" t="n">
        <f aca="false">ROUND(AVERAGE(H47:I47),1)</f>
        <v>6</v>
      </c>
      <c r="K47" s="59" t="n">
        <v>0.5</v>
      </c>
      <c r="L47" s="64" t="n">
        <f aca="false">J47+K47</f>
        <v>6.5</v>
      </c>
      <c r="M47" s="65" t="n">
        <f aca="false">IFERROR(INDEX(99_Listas!$C$2:$C$5,MATCH(G47,99_Listas!$B$2:$B$5,0)),0)</f>
        <v>0.07</v>
      </c>
      <c r="N47" s="64" t="n">
        <f aca="false">ROUND(J47*M47,2)</f>
        <v>0.42</v>
      </c>
      <c r="O47" s="64" t="n">
        <f aca="false">ROUND(J47-N47,2)</f>
        <v>5.58</v>
      </c>
      <c r="P47" s="62" t="s">
        <v>1103</v>
      </c>
      <c r="Q47" s="61" t="n">
        <v>1</v>
      </c>
      <c r="R47" s="62" t="s">
        <v>276</v>
      </c>
      <c r="S47" s="63" t="s">
        <v>228</v>
      </c>
      <c r="T47" s="63" t="s">
        <v>178</v>
      </c>
      <c r="U47" s="63"/>
    </row>
    <row r="48" customFormat="false" ht="15" hidden="false" customHeight="true" outlineLevel="0" collapsed="false">
      <c r="A48" s="54" t="n">
        <v>47</v>
      </c>
      <c r="B48" s="55" t="s">
        <v>2296</v>
      </c>
      <c r="C48" s="56" t="s">
        <v>2306</v>
      </c>
      <c r="D48" s="56" t="s">
        <v>2307</v>
      </c>
      <c r="E48" s="57" t="s">
        <v>2308</v>
      </c>
      <c r="F48" s="55" t="s">
        <v>1766</v>
      </c>
      <c r="G48" s="55" t="s">
        <v>157</v>
      </c>
      <c r="H48" s="58" t="n">
        <v>5</v>
      </c>
      <c r="I48" s="58" t="n">
        <v>12</v>
      </c>
      <c r="J48" s="58" t="n">
        <f aca="false">ROUND(AVERAGE(H48:I48),1)</f>
        <v>8.5</v>
      </c>
      <c r="K48" s="59" t="n">
        <v>0.5</v>
      </c>
      <c r="L48" s="58" t="n">
        <f aca="false">J48+K48</f>
        <v>9</v>
      </c>
      <c r="M48" s="60" t="n">
        <f aca="false">IFERROR(INDEX(99_Listas!$C$2:$C$5,MATCH(G48,99_Listas!$B$2:$B$5,0)),0)</f>
        <v>0.07</v>
      </c>
      <c r="N48" s="58" t="n">
        <f aca="false">ROUND(J48*M48,2)</f>
        <v>0.6</v>
      </c>
      <c r="O48" s="58" t="n">
        <f aca="false">ROUND(J48-N48,2)</f>
        <v>7.9</v>
      </c>
      <c r="P48" s="55" t="s">
        <v>1103</v>
      </c>
      <c r="Q48" s="54" t="n">
        <v>3</v>
      </c>
      <c r="R48" s="55" t="s">
        <v>276</v>
      </c>
      <c r="S48" s="56" t="s">
        <v>228</v>
      </c>
      <c r="T48" s="56" t="s">
        <v>178</v>
      </c>
      <c r="U48" s="56"/>
    </row>
    <row r="49" customFormat="false" ht="15" hidden="false" customHeight="true" outlineLevel="0" collapsed="false">
      <c r="A49" s="61" t="n">
        <v>48</v>
      </c>
      <c r="B49" s="62" t="s">
        <v>2296</v>
      </c>
      <c r="C49" s="63" t="s">
        <v>2309</v>
      </c>
      <c r="D49" s="63" t="s">
        <v>1661</v>
      </c>
      <c r="E49" s="57" t="s">
        <v>2310</v>
      </c>
      <c r="F49" s="62" t="s">
        <v>1661</v>
      </c>
      <c r="G49" s="62" t="s">
        <v>157</v>
      </c>
      <c r="H49" s="64" t="n">
        <v>5</v>
      </c>
      <c r="I49" s="64" t="n">
        <v>12</v>
      </c>
      <c r="J49" s="64" t="n">
        <f aca="false">ROUND(AVERAGE(H49:I49),1)</f>
        <v>8.5</v>
      </c>
      <c r="K49" s="59" t="n">
        <v>0.5</v>
      </c>
      <c r="L49" s="64" t="n">
        <f aca="false">J49+K49</f>
        <v>9</v>
      </c>
      <c r="M49" s="65" t="n">
        <f aca="false">IFERROR(INDEX(99_Listas!$C$2:$C$5,MATCH(G49,99_Listas!$B$2:$B$5,0)),0)</f>
        <v>0.07</v>
      </c>
      <c r="N49" s="64" t="n">
        <f aca="false">ROUND(J49*M49,2)</f>
        <v>0.6</v>
      </c>
      <c r="O49" s="64" t="n">
        <f aca="false">ROUND(J49-N49,2)</f>
        <v>7.9</v>
      </c>
      <c r="P49" s="62" t="s">
        <v>1103</v>
      </c>
      <c r="Q49" s="61" t="n">
        <v>1</v>
      </c>
      <c r="R49" s="62" t="s">
        <v>276</v>
      </c>
      <c r="S49" s="63" t="s">
        <v>228</v>
      </c>
      <c r="T49" s="63" t="s">
        <v>2199</v>
      </c>
      <c r="U49" s="63"/>
    </row>
    <row r="50" customFormat="false" ht="15" hidden="false" customHeight="true" outlineLevel="0" collapsed="false">
      <c r="A50" s="54" t="n">
        <v>49</v>
      </c>
      <c r="B50" s="55" t="s">
        <v>2296</v>
      </c>
      <c r="C50" s="56" t="s">
        <v>2311</v>
      </c>
      <c r="D50" s="56" t="s">
        <v>2312</v>
      </c>
      <c r="E50" s="57" t="s">
        <v>1235</v>
      </c>
      <c r="F50" s="55" t="s">
        <v>1661</v>
      </c>
      <c r="G50" s="55" t="s">
        <v>157</v>
      </c>
      <c r="H50" s="58" t="n">
        <v>3</v>
      </c>
      <c r="I50" s="58" t="n">
        <v>10</v>
      </c>
      <c r="J50" s="58" t="n">
        <f aca="false">ROUND(AVERAGE(H50:I50),1)</f>
        <v>6.5</v>
      </c>
      <c r="K50" s="59" t="n">
        <v>0.5</v>
      </c>
      <c r="L50" s="58" t="n">
        <f aca="false">J50+K50</f>
        <v>7</v>
      </c>
      <c r="M50" s="60" t="n">
        <f aca="false">IFERROR(INDEX(99_Listas!$C$2:$C$5,MATCH(G50,99_Listas!$B$2:$B$5,0)),0)</f>
        <v>0.07</v>
      </c>
      <c r="N50" s="58" t="n">
        <f aca="false">ROUND(J50*M50,2)</f>
        <v>0.46</v>
      </c>
      <c r="O50" s="58" t="n">
        <f aca="false">ROUND(J50-N50,2)</f>
        <v>6.04</v>
      </c>
      <c r="P50" s="55" t="s">
        <v>1103</v>
      </c>
      <c r="Q50" s="54" t="n">
        <v>1</v>
      </c>
      <c r="R50" s="55" t="s">
        <v>276</v>
      </c>
      <c r="S50" s="56" t="s">
        <v>228</v>
      </c>
      <c r="T50" s="56" t="s">
        <v>2199</v>
      </c>
      <c r="U50" s="56" t="s">
        <v>2313</v>
      </c>
    </row>
    <row r="51" customFormat="false" ht="15" hidden="false" customHeight="true" outlineLevel="0" collapsed="false">
      <c r="A51" s="61" t="n">
        <v>50</v>
      </c>
      <c r="B51" s="62" t="s">
        <v>2296</v>
      </c>
      <c r="C51" s="63" t="s">
        <v>2314</v>
      </c>
      <c r="D51" s="63" t="s">
        <v>2315</v>
      </c>
      <c r="E51" s="57" t="s">
        <v>2316</v>
      </c>
      <c r="F51" s="62" t="s">
        <v>927</v>
      </c>
      <c r="G51" s="62" t="s">
        <v>157</v>
      </c>
      <c r="H51" s="64" t="n">
        <v>8</v>
      </c>
      <c r="I51" s="64" t="n">
        <v>18</v>
      </c>
      <c r="J51" s="64" t="n">
        <f aca="false">ROUND(AVERAGE(H51:I51),1)</f>
        <v>13</v>
      </c>
      <c r="K51" s="59" t="n">
        <v>0.5</v>
      </c>
      <c r="L51" s="64" t="n">
        <f aca="false">J51+K51</f>
        <v>13.5</v>
      </c>
      <c r="M51" s="65" t="n">
        <f aca="false">IFERROR(INDEX(99_Listas!$C$2:$C$5,MATCH(G51,99_Listas!$B$2:$B$5,0)),0)</f>
        <v>0.07</v>
      </c>
      <c r="N51" s="64" t="n">
        <f aca="false">ROUND(J51*M51,2)</f>
        <v>0.91</v>
      </c>
      <c r="O51" s="64" t="n">
        <f aca="false">ROUND(J51-N51,2)</f>
        <v>12.09</v>
      </c>
      <c r="P51" s="62" t="s">
        <v>1103</v>
      </c>
      <c r="Q51" s="61" t="n">
        <v>1</v>
      </c>
      <c r="R51" s="62" t="s">
        <v>276</v>
      </c>
      <c r="S51" s="63" t="s">
        <v>228</v>
      </c>
      <c r="T51" s="63" t="s">
        <v>2199</v>
      </c>
      <c r="U51" s="63" t="s">
        <v>2317</v>
      </c>
    </row>
    <row r="52" customFormat="false" ht="15" hidden="false" customHeight="true" outlineLevel="0" collapsed="false">
      <c r="A52" s="54" t="n">
        <v>51</v>
      </c>
      <c r="B52" s="55" t="s">
        <v>2197</v>
      </c>
      <c r="C52" s="56" t="s">
        <v>2318</v>
      </c>
      <c r="D52" s="56" t="s">
        <v>1778</v>
      </c>
      <c r="E52" s="57" t="s">
        <v>1774</v>
      </c>
      <c r="F52" s="55" t="s">
        <v>1766</v>
      </c>
      <c r="G52" s="55" t="s">
        <v>157</v>
      </c>
      <c r="H52" s="58" t="n">
        <v>7</v>
      </c>
      <c r="I52" s="58" t="n">
        <v>10</v>
      </c>
      <c r="J52" s="58" t="n">
        <f aca="false">ROUND(AVERAGE(H52:I52),1)</f>
        <v>8.5</v>
      </c>
      <c r="K52" s="59" t="n">
        <v>0.5</v>
      </c>
      <c r="L52" s="58" t="n">
        <f aca="false">J52+K52</f>
        <v>9</v>
      </c>
      <c r="M52" s="60" t="n">
        <f aca="false">IFERROR(INDEX(99_Listas!$C$2:$C$5,MATCH(G52,99_Listas!$B$2:$B$5,0)),0)</f>
        <v>0.07</v>
      </c>
      <c r="N52" s="58" t="n">
        <f aca="false">ROUND(J52*M52,2)</f>
        <v>0.6</v>
      </c>
      <c r="O52" s="58" t="n">
        <f aca="false">ROUND(J52-N52,2)</f>
        <v>7.9</v>
      </c>
      <c r="P52" s="55" t="s">
        <v>1103</v>
      </c>
      <c r="Q52" s="54" t="n">
        <v>1</v>
      </c>
      <c r="R52" s="55" t="s">
        <v>276</v>
      </c>
      <c r="S52" s="56" t="s">
        <v>228</v>
      </c>
      <c r="T52" s="56" t="s">
        <v>2199</v>
      </c>
      <c r="U52" s="56"/>
    </row>
    <row r="53" customFormat="false" ht="15" hidden="false" customHeight="true" outlineLevel="0" collapsed="false">
      <c r="A53" s="61" t="n">
        <v>52</v>
      </c>
      <c r="B53" s="62" t="s">
        <v>2197</v>
      </c>
      <c r="C53" s="63" t="s">
        <v>2319</v>
      </c>
      <c r="D53" s="63" t="s">
        <v>2320</v>
      </c>
      <c r="E53" s="57" t="s">
        <v>1774</v>
      </c>
      <c r="F53" s="62" t="s">
        <v>1766</v>
      </c>
      <c r="G53" s="62" t="s">
        <v>161</v>
      </c>
      <c r="H53" s="64" t="n">
        <v>8</v>
      </c>
      <c r="I53" s="64" t="n">
        <v>16</v>
      </c>
      <c r="J53" s="64" t="n">
        <f aca="false">ROUND(AVERAGE(H53:I53),1)</f>
        <v>12</v>
      </c>
      <c r="K53" s="59" t="n">
        <v>0.5</v>
      </c>
      <c r="L53" s="64" t="n">
        <f aca="false">J53+K53</f>
        <v>12.5</v>
      </c>
      <c r="M53" s="65" t="n">
        <f aca="false">IFERROR(INDEX(99_Listas!$C$2:$C$5,MATCH(G53,99_Listas!$B$2:$B$5,0)),0)</f>
        <v>0.09</v>
      </c>
      <c r="N53" s="64" t="n">
        <f aca="false">ROUND(J53*M53,2)</f>
        <v>1.08</v>
      </c>
      <c r="O53" s="64" t="n">
        <f aca="false">ROUND(J53-N53,2)</f>
        <v>10.92</v>
      </c>
      <c r="P53" s="62" t="s">
        <v>1103</v>
      </c>
      <c r="Q53" s="61" t="n">
        <v>1</v>
      </c>
      <c r="R53" s="62" t="s">
        <v>276</v>
      </c>
      <c r="S53" s="63" t="s">
        <v>228</v>
      </c>
      <c r="T53" s="63" t="s">
        <v>178</v>
      </c>
      <c r="U53" s="63"/>
    </row>
    <row r="54" customFormat="false" ht="15" hidden="false" customHeight="true" outlineLevel="0" collapsed="false">
      <c r="A54" s="54" t="n">
        <v>53</v>
      </c>
      <c r="B54" s="55" t="s">
        <v>2197</v>
      </c>
      <c r="C54" s="56" t="s">
        <v>2321</v>
      </c>
      <c r="D54" s="56" t="s">
        <v>1766</v>
      </c>
      <c r="E54" s="57" t="s">
        <v>1774</v>
      </c>
      <c r="F54" s="55" t="s">
        <v>1766</v>
      </c>
      <c r="G54" s="55" t="s">
        <v>157</v>
      </c>
      <c r="H54" s="58" t="n">
        <v>5</v>
      </c>
      <c r="I54" s="58" t="n">
        <v>10</v>
      </c>
      <c r="J54" s="58" t="n">
        <f aca="false">ROUND(AVERAGE(H54:I54),1)</f>
        <v>7.5</v>
      </c>
      <c r="K54" s="59" t="n">
        <v>0.5</v>
      </c>
      <c r="L54" s="58" t="n">
        <f aca="false">J54+K54</f>
        <v>8</v>
      </c>
      <c r="M54" s="60" t="n">
        <f aca="false">IFERROR(INDEX(99_Listas!$C$2:$C$5,MATCH(G54,99_Listas!$B$2:$B$5,0)),0)</f>
        <v>0.07</v>
      </c>
      <c r="N54" s="58" t="n">
        <f aca="false">ROUND(J54*M54,2)</f>
        <v>0.53</v>
      </c>
      <c r="O54" s="58" t="n">
        <f aca="false">ROUND(J54-N54,2)</f>
        <v>6.97</v>
      </c>
      <c r="P54" s="55" t="s">
        <v>1103</v>
      </c>
      <c r="Q54" s="54" t="n">
        <v>1</v>
      </c>
      <c r="R54" s="55" t="s">
        <v>276</v>
      </c>
      <c r="S54" s="56" t="s">
        <v>228</v>
      </c>
      <c r="T54" s="56" t="s">
        <v>2199</v>
      </c>
      <c r="U54" s="56"/>
    </row>
    <row r="55" customFormat="false" ht="15" hidden="false" customHeight="true" outlineLevel="0" collapsed="false">
      <c r="A55" s="61" t="n">
        <v>54</v>
      </c>
      <c r="B55" s="62" t="s">
        <v>2197</v>
      </c>
      <c r="C55" s="63" t="s">
        <v>2322</v>
      </c>
      <c r="D55" s="63" t="s">
        <v>2323</v>
      </c>
      <c r="E55" s="57" t="s">
        <v>2213</v>
      </c>
      <c r="F55" s="62" t="s">
        <v>2214</v>
      </c>
      <c r="G55" s="62" t="s">
        <v>165</v>
      </c>
      <c r="H55" s="64" t="n">
        <v>45</v>
      </c>
      <c r="I55" s="64" t="n">
        <v>80</v>
      </c>
      <c r="J55" s="64" t="n">
        <f aca="false">ROUND(AVERAGE(H55:I55),1)</f>
        <v>62.5</v>
      </c>
      <c r="K55" s="59" t="n">
        <v>0.5</v>
      </c>
      <c r="L55" s="64" t="n">
        <f aca="false">J55+K55</f>
        <v>63</v>
      </c>
      <c r="M55" s="65" t="n">
        <f aca="false">IFERROR(INDEX(99_Listas!$C$2:$C$5,MATCH(G55,99_Listas!$B$2:$B$5,0)),0)</f>
        <v>0.11</v>
      </c>
      <c r="N55" s="64" t="n">
        <f aca="false">ROUND(J55*M55,2)</f>
        <v>6.88</v>
      </c>
      <c r="O55" s="64" t="n">
        <f aca="false">ROUND(J55-N55,2)</f>
        <v>55.62</v>
      </c>
      <c r="P55" s="62" t="s">
        <v>1103</v>
      </c>
      <c r="Q55" s="61" t="n">
        <v>3</v>
      </c>
      <c r="R55" s="62" t="s">
        <v>276</v>
      </c>
      <c r="S55" s="63" t="s">
        <v>380</v>
      </c>
      <c r="T55" s="63" t="s">
        <v>178</v>
      </c>
      <c r="U55" s="63"/>
    </row>
    <row r="56" customFormat="false" ht="15" hidden="false" customHeight="true" outlineLevel="0" collapsed="false">
      <c r="A56" s="54" t="n">
        <v>55</v>
      </c>
      <c r="B56" s="55" t="s">
        <v>2227</v>
      </c>
      <c r="C56" s="56" t="s">
        <v>2324</v>
      </c>
      <c r="D56" s="56" t="s">
        <v>2325</v>
      </c>
      <c r="E56" s="57" t="s">
        <v>2229</v>
      </c>
      <c r="F56" s="55" t="s">
        <v>1766</v>
      </c>
      <c r="G56" s="55" t="s">
        <v>169</v>
      </c>
      <c r="H56" s="58" t="n">
        <v>80</v>
      </c>
      <c r="I56" s="58" t="n">
        <v>180</v>
      </c>
      <c r="J56" s="58" t="n">
        <f aca="false">ROUND(AVERAGE(H56:I56),1)</f>
        <v>130</v>
      </c>
      <c r="K56" s="59" t="n">
        <v>0.5</v>
      </c>
      <c r="L56" s="58" t="n">
        <f aca="false">J56+K56</f>
        <v>130.5</v>
      </c>
      <c r="M56" s="60" t="n">
        <f aca="false">IFERROR(INDEX(99_Listas!$C$2:$C$5,MATCH(G56,99_Listas!$B$2:$B$5,0)),0)</f>
        <v>0.13</v>
      </c>
      <c r="N56" s="58" t="n">
        <f aca="false">ROUND(J56*M56,2)</f>
        <v>16.9</v>
      </c>
      <c r="O56" s="58" t="n">
        <f aca="false">ROUND(J56-N56,2)</f>
        <v>113.1</v>
      </c>
      <c r="P56" s="55" t="s">
        <v>1103</v>
      </c>
      <c r="Q56" s="54" t="n">
        <v>1</v>
      </c>
      <c r="R56" s="55" t="s">
        <v>276</v>
      </c>
      <c r="S56" s="56" t="s">
        <v>228</v>
      </c>
      <c r="T56" s="56" t="s">
        <v>178</v>
      </c>
      <c r="U56" s="56"/>
    </row>
    <row r="57" customFormat="false" ht="15" hidden="false" customHeight="true" outlineLevel="0" collapsed="false">
      <c r="A57" s="61" t="n">
        <v>56</v>
      </c>
      <c r="B57" s="62" t="s">
        <v>2227</v>
      </c>
      <c r="C57" s="63" t="s">
        <v>2326</v>
      </c>
      <c r="D57" s="63" t="s">
        <v>2327</v>
      </c>
      <c r="E57" s="57" t="s">
        <v>2229</v>
      </c>
      <c r="F57" s="62" t="s">
        <v>1766</v>
      </c>
      <c r="G57" s="62" t="s">
        <v>157</v>
      </c>
      <c r="H57" s="64" t="n">
        <v>10</v>
      </c>
      <c r="I57" s="64" t="n">
        <v>25</v>
      </c>
      <c r="J57" s="64" t="n">
        <f aca="false">ROUND(AVERAGE(H57:I57),1)</f>
        <v>17.5</v>
      </c>
      <c r="K57" s="59" t="n">
        <v>0.5</v>
      </c>
      <c r="L57" s="64" t="n">
        <f aca="false">J57+K57</f>
        <v>18</v>
      </c>
      <c r="M57" s="65" t="n">
        <f aca="false">IFERROR(INDEX(99_Listas!$C$2:$C$5,MATCH(G57,99_Listas!$B$2:$B$5,0)),0)</f>
        <v>0.07</v>
      </c>
      <c r="N57" s="64" t="n">
        <f aca="false">ROUND(J57*M57,2)</f>
        <v>1.23</v>
      </c>
      <c r="O57" s="64" t="n">
        <f aca="false">ROUND(J57-N57,2)</f>
        <v>16.27</v>
      </c>
      <c r="P57" s="62" t="s">
        <v>1103</v>
      </c>
      <c r="Q57" s="61" t="n">
        <v>1</v>
      </c>
      <c r="R57" s="62" t="s">
        <v>276</v>
      </c>
      <c r="S57" s="63" t="s">
        <v>228</v>
      </c>
      <c r="T57" s="63" t="s">
        <v>2199</v>
      </c>
      <c r="U57" s="63" t="s">
        <v>2328</v>
      </c>
    </row>
    <row r="58" customFormat="false" ht="15" hidden="false" customHeight="true" outlineLevel="0" collapsed="false">
      <c r="A58" s="54" t="n">
        <v>57</v>
      </c>
      <c r="B58" s="55" t="s">
        <v>2240</v>
      </c>
      <c r="C58" s="56" t="s">
        <v>2329</v>
      </c>
      <c r="D58" s="56" t="s">
        <v>1766</v>
      </c>
      <c r="E58" s="57" t="s">
        <v>1146</v>
      </c>
      <c r="F58" s="55" t="s">
        <v>1766</v>
      </c>
      <c r="G58" s="55" t="s">
        <v>157</v>
      </c>
      <c r="H58" s="58" t="n">
        <v>18</v>
      </c>
      <c r="I58" s="58" t="n">
        <v>35</v>
      </c>
      <c r="J58" s="58" t="n">
        <f aca="false">ROUND(AVERAGE(H58:I58),1)</f>
        <v>26.5</v>
      </c>
      <c r="K58" s="59" t="n">
        <v>0.5</v>
      </c>
      <c r="L58" s="58" t="n">
        <f aca="false">J58+K58</f>
        <v>27</v>
      </c>
      <c r="M58" s="60" t="n">
        <f aca="false">IFERROR(INDEX(99_Listas!$C$2:$C$5,MATCH(G58,99_Listas!$B$2:$B$5,0)),0)</f>
        <v>0.07</v>
      </c>
      <c r="N58" s="58" t="n">
        <f aca="false">ROUND(J58*M58,2)</f>
        <v>1.86</v>
      </c>
      <c r="O58" s="58" t="n">
        <f aca="false">ROUND(J58-N58,2)</f>
        <v>24.64</v>
      </c>
      <c r="P58" s="55" t="s">
        <v>1103</v>
      </c>
      <c r="Q58" s="54" t="n">
        <v>1</v>
      </c>
      <c r="R58" s="55" t="s">
        <v>276</v>
      </c>
      <c r="S58" s="56" t="s">
        <v>228</v>
      </c>
      <c r="T58" s="56" t="s">
        <v>178</v>
      </c>
      <c r="U58" s="56"/>
    </row>
    <row r="59" customFormat="false" ht="15" hidden="false" customHeight="true" outlineLevel="0" collapsed="false">
      <c r="A59" s="61" t="n">
        <v>58</v>
      </c>
      <c r="B59" s="62" t="s">
        <v>2240</v>
      </c>
      <c r="C59" s="63" t="s">
        <v>2330</v>
      </c>
      <c r="D59" s="63" t="s">
        <v>1766</v>
      </c>
      <c r="E59" s="57" t="s">
        <v>2331</v>
      </c>
      <c r="F59" s="62" t="s">
        <v>1766</v>
      </c>
      <c r="G59" s="62" t="s">
        <v>161</v>
      </c>
      <c r="H59" s="64" t="n">
        <v>35</v>
      </c>
      <c r="I59" s="64" t="n">
        <v>70</v>
      </c>
      <c r="J59" s="64" t="n">
        <f aca="false">ROUND(AVERAGE(H59:I59),1)</f>
        <v>52.5</v>
      </c>
      <c r="K59" s="59" t="n">
        <v>0.5</v>
      </c>
      <c r="L59" s="64" t="n">
        <f aca="false">J59+K59</f>
        <v>53</v>
      </c>
      <c r="M59" s="65" t="n">
        <f aca="false">IFERROR(INDEX(99_Listas!$C$2:$C$5,MATCH(G59,99_Listas!$B$2:$B$5,0)),0)</f>
        <v>0.09</v>
      </c>
      <c r="N59" s="64" t="n">
        <f aca="false">ROUND(J59*M59,2)</f>
        <v>4.73</v>
      </c>
      <c r="O59" s="64" t="n">
        <f aca="false">ROUND(J59-N59,2)</f>
        <v>47.77</v>
      </c>
      <c r="P59" s="62" t="s">
        <v>1103</v>
      </c>
      <c r="Q59" s="61" t="n">
        <v>1</v>
      </c>
      <c r="R59" s="62" t="s">
        <v>276</v>
      </c>
      <c r="S59" s="63" t="s">
        <v>228</v>
      </c>
      <c r="T59" s="63" t="s">
        <v>178</v>
      </c>
      <c r="U59" s="63"/>
    </row>
    <row r="60" customFormat="false" ht="15" hidden="false" customHeight="true" outlineLevel="0" collapsed="false">
      <c r="A60" s="54" t="n">
        <v>59</v>
      </c>
      <c r="B60" s="55" t="s">
        <v>2240</v>
      </c>
      <c r="C60" s="56" t="s">
        <v>2332</v>
      </c>
      <c r="D60" s="56" t="s">
        <v>1766</v>
      </c>
      <c r="E60" s="57" t="s">
        <v>2331</v>
      </c>
      <c r="F60" s="55" t="s">
        <v>1766</v>
      </c>
      <c r="G60" s="55" t="s">
        <v>169</v>
      </c>
      <c r="H60" s="58" t="n">
        <v>70</v>
      </c>
      <c r="I60" s="58" t="n">
        <v>160</v>
      </c>
      <c r="J60" s="58" t="n">
        <f aca="false">ROUND(AVERAGE(H60:I60),1)</f>
        <v>115</v>
      </c>
      <c r="K60" s="59" t="n">
        <v>0.5</v>
      </c>
      <c r="L60" s="58" t="n">
        <f aca="false">J60+K60</f>
        <v>115.5</v>
      </c>
      <c r="M60" s="60" t="n">
        <f aca="false">IFERROR(INDEX(99_Listas!$C$2:$C$5,MATCH(G60,99_Listas!$B$2:$B$5,0)),0)</f>
        <v>0.13</v>
      </c>
      <c r="N60" s="58" t="n">
        <f aca="false">ROUND(J60*M60,2)</f>
        <v>14.95</v>
      </c>
      <c r="O60" s="58" t="n">
        <f aca="false">ROUND(J60-N60,2)</f>
        <v>100.05</v>
      </c>
      <c r="P60" s="55" t="s">
        <v>1103</v>
      </c>
      <c r="Q60" s="54" t="n">
        <v>1</v>
      </c>
      <c r="R60" s="55" t="s">
        <v>276</v>
      </c>
      <c r="S60" s="56" t="s">
        <v>228</v>
      </c>
      <c r="T60" s="56" t="s">
        <v>178</v>
      </c>
      <c r="U60" s="56"/>
    </row>
    <row r="61" customFormat="false" ht="15" hidden="false" customHeight="true" outlineLevel="0" collapsed="false">
      <c r="A61" s="61" t="n">
        <v>60</v>
      </c>
      <c r="B61" s="62" t="s">
        <v>2248</v>
      </c>
      <c r="C61" s="63" t="s">
        <v>2333</v>
      </c>
      <c r="D61" s="63" t="s">
        <v>1766</v>
      </c>
      <c r="E61" s="57" t="s">
        <v>2250</v>
      </c>
      <c r="F61" s="62" t="s">
        <v>1766</v>
      </c>
      <c r="G61" s="62" t="s">
        <v>169</v>
      </c>
      <c r="H61" s="64" t="n">
        <v>130</v>
      </c>
      <c r="I61" s="64" t="n">
        <v>250</v>
      </c>
      <c r="J61" s="64" t="n">
        <f aca="false">ROUND(AVERAGE(H61:I61),1)</f>
        <v>190</v>
      </c>
      <c r="K61" s="59" t="n">
        <v>0.5</v>
      </c>
      <c r="L61" s="64" t="n">
        <f aca="false">J61+K61</f>
        <v>190.5</v>
      </c>
      <c r="M61" s="65" t="n">
        <f aca="false">IFERROR(INDEX(99_Listas!$C$2:$C$5,MATCH(G61,99_Listas!$B$2:$B$5,0)),0)</f>
        <v>0.13</v>
      </c>
      <c r="N61" s="64" t="n">
        <f aca="false">ROUND(J61*M61,2)</f>
        <v>24.7</v>
      </c>
      <c r="O61" s="64" t="n">
        <f aca="false">ROUND(J61-N61,2)</f>
        <v>165.3</v>
      </c>
      <c r="P61" s="62" t="s">
        <v>1103</v>
      </c>
      <c r="Q61" s="61" t="n">
        <v>1</v>
      </c>
      <c r="R61" s="62" t="s">
        <v>276</v>
      </c>
      <c r="S61" s="63" t="s">
        <v>1542</v>
      </c>
      <c r="T61" s="63" t="s">
        <v>178</v>
      </c>
      <c r="U61" s="63" t="s">
        <v>2334</v>
      </c>
    </row>
    <row r="62" customFormat="false" ht="15" hidden="false" customHeight="true" outlineLevel="0" collapsed="false">
      <c r="A62" s="54" t="n">
        <v>61</v>
      </c>
      <c r="B62" s="55" t="s">
        <v>2248</v>
      </c>
      <c r="C62" s="56" t="s">
        <v>2335</v>
      </c>
      <c r="D62" s="56" t="s">
        <v>1766</v>
      </c>
      <c r="E62" s="57" t="s">
        <v>2250</v>
      </c>
      <c r="F62" s="55" t="s">
        <v>1766</v>
      </c>
      <c r="G62" s="55" t="s">
        <v>161</v>
      </c>
      <c r="H62" s="58" t="n">
        <v>25</v>
      </c>
      <c r="I62" s="58" t="n">
        <v>50</v>
      </c>
      <c r="J62" s="58" t="n">
        <f aca="false">ROUND(AVERAGE(H62:I62),1)</f>
        <v>37.5</v>
      </c>
      <c r="K62" s="59" t="n">
        <v>0.5</v>
      </c>
      <c r="L62" s="58" t="n">
        <f aca="false">J62+K62</f>
        <v>38</v>
      </c>
      <c r="M62" s="60" t="n">
        <f aca="false">IFERROR(INDEX(99_Listas!$C$2:$C$5,MATCH(G62,99_Listas!$B$2:$B$5,0)),0)</f>
        <v>0.09</v>
      </c>
      <c r="N62" s="58" t="n">
        <f aca="false">ROUND(J62*M62,2)</f>
        <v>3.38</v>
      </c>
      <c r="O62" s="58" t="n">
        <f aca="false">ROUND(J62-N62,2)</f>
        <v>34.12</v>
      </c>
      <c r="P62" s="55" t="s">
        <v>1103</v>
      </c>
      <c r="Q62" s="54" t="n">
        <v>1</v>
      </c>
      <c r="R62" s="55" t="s">
        <v>276</v>
      </c>
      <c r="S62" s="56" t="s">
        <v>228</v>
      </c>
      <c r="T62" s="56" t="s">
        <v>178</v>
      </c>
      <c r="U62" s="56"/>
    </row>
    <row r="63" customFormat="false" ht="15" hidden="false" customHeight="true" outlineLevel="0" collapsed="false">
      <c r="A63" s="61" t="n">
        <v>62</v>
      </c>
      <c r="B63" s="62" t="s">
        <v>2254</v>
      </c>
      <c r="C63" s="63" t="s">
        <v>2336</v>
      </c>
      <c r="D63" s="63" t="s">
        <v>2337</v>
      </c>
      <c r="E63" s="57" t="s">
        <v>2257</v>
      </c>
      <c r="F63" s="62" t="s">
        <v>1766</v>
      </c>
      <c r="G63" s="62" t="s">
        <v>165</v>
      </c>
      <c r="H63" s="64" t="n">
        <v>35</v>
      </c>
      <c r="I63" s="64" t="n">
        <v>70</v>
      </c>
      <c r="J63" s="64" t="n">
        <f aca="false">ROUND(AVERAGE(H63:I63),1)</f>
        <v>52.5</v>
      </c>
      <c r="K63" s="59" t="n">
        <v>0.5</v>
      </c>
      <c r="L63" s="64" t="n">
        <f aca="false">J63+K63</f>
        <v>53</v>
      </c>
      <c r="M63" s="65" t="n">
        <f aca="false">IFERROR(INDEX(99_Listas!$C$2:$C$5,MATCH(G63,99_Listas!$B$2:$B$5,0)),0)</f>
        <v>0.11</v>
      </c>
      <c r="N63" s="64" t="n">
        <f aca="false">ROUND(J63*M63,2)</f>
        <v>5.78</v>
      </c>
      <c r="O63" s="64" t="n">
        <f aca="false">ROUND(J63-N63,2)</f>
        <v>46.72</v>
      </c>
      <c r="P63" s="62" t="s">
        <v>1103</v>
      </c>
      <c r="Q63" s="61" t="n">
        <v>1</v>
      </c>
      <c r="R63" s="62" t="s">
        <v>276</v>
      </c>
      <c r="S63" s="63" t="s">
        <v>228</v>
      </c>
      <c r="T63" s="63" t="s">
        <v>178</v>
      </c>
      <c r="U63" s="63"/>
    </row>
    <row r="64" customFormat="false" ht="15" hidden="false" customHeight="true" outlineLevel="0" collapsed="false">
      <c r="A64" s="54" t="n">
        <v>63</v>
      </c>
      <c r="B64" s="55" t="s">
        <v>2254</v>
      </c>
      <c r="C64" s="56" t="s">
        <v>2338</v>
      </c>
      <c r="D64" s="56" t="s">
        <v>2339</v>
      </c>
      <c r="E64" s="57" t="s">
        <v>2257</v>
      </c>
      <c r="F64" s="55" t="s">
        <v>418</v>
      </c>
      <c r="G64" s="55" t="s">
        <v>157</v>
      </c>
      <c r="H64" s="58" t="n">
        <v>6</v>
      </c>
      <c r="I64" s="58" t="n">
        <v>14</v>
      </c>
      <c r="J64" s="58" t="n">
        <f aca="false">ROUND(AVERAGE(H64:I64),1)</f>
        <v>10</v>
      </c>
      <c r="K64" s="59" t="n">
        <v>0.5</v>
      </c>
      <c r="L64" s="58" t="n">
        <f aca="false">J64+K64</f>
        <v>10.5</v>
      </c>
      <c r="M64" s="60" t="n">
        <f aca="false">IFERROR(INDEX(99_Listas!$C$2:$C$5,MATCH(G64,99_Listas!$B$2:$B$5,0)),0)</f>
        <v>0.07</v>
      </c>
      <c r="N64" s="58" t="n">
        <f aca="false">ROUND(J64*M64,2)</f>
        <v>0.7</v>
      </c>
      <c r="O64" s="58" t="n">
        <f aca="false">ROUND(J64-N64,2)</f>
        <v>9.3</v>
      </c>
      <c r="P64" s="55" t="s">
        <v>1103</v>
      </c>
      <c r="Q64" s="54" t="n">
        <v>8</v>
      </c>
      <c r="R64" s="55" t="s">
        <v>165</v>
      </c>
      <c r="S64" s="56" t="s">
        <v>248</v>
      </c>
      <c r="T64" s="56" t="s">
        <v>1869</v>
      </c>
      <c r="U64" s="56" t="s">
        <v>2340</v>
      </c>
    </row>
    <row r="65" customFormat="false" ht="15" hidden="false" customHeight="true" outlineLevel="0" collapsed="false">
      <c r="A65" s="61" t="n">
        <v>64</v>
      </c>
      <c r="B65" s="62" t="s">
        <v>2266</v>
      </c>
      <c r="C65" s="63" t="s">
        <v>2341</v>
      </c>
      <c r="D65" s="63" t="s">
        <v>2342</v>
      </c>
      <c r="E65" s="57" t="s">
        <v>2273</v>
      </c>
      <c r="F65" s="62" t="s">
        <v>1766</v>
      </c>
      <c r="G65" s="62" t="s">
        <v>161</v>
      </c>
      <c r="H65" s="64" t="n">
        <v>20</v>
      </c>
      <c r="I65" s="64" t="n">
        <v>50</v>
      </c>
      <c r="J65" s="64" t="n">
        <f aca="false">ROUND(AVERAGE(H65:I65),1)</f>
        <v>35</v>
      </c>
      <c r="K65" s="59" t="n">
        <v>0.5</v>
      </c>
      <c r="L65" s="64" t="n">
        <f aca="false">J65+K65</f>
        <v>35.5</v>
      </c>
      <c r="M65" s="65" t="n">
        <f aca="false">IFERROR(INDEX(99_Listas!$C$2:$C$5,MATCH(G65,99_Listas!$B$2:$B$5,0)),0)</f>
        <v>0.09</v>
      </c>
      <c r="N65" s="64" t="n">
        <f aca="false">ROUND(J65*M65,2)</f>
        <v>3.15</v>
      </c>
      <c r="O65" s="64" t="n">
        <f aca="false">ROUND(J65-N65,2)</f>
        <v>31.85</v>
      </c>
      <c r="P65" s="62" t="s">
        <v>1103</v>
      </c>
      <c r="Q65" s="61" t="n">
        <v>1</v>
      </c>
      <c r="R65" s="62" t="s">
        <v>276</v>
      </c>
      <c r="S65" s="63" t="s">
        <v>228</v>
      </c>
      <c r="T65" s="63" t="s">
        <v>2265</v>
      </c>
      <c r="U65" s="63"/>
    </row>
    <row r="66" customFormat="false" ht="15" hidden="false" customHeight="true" outlineLevel="0" collapsed="false">
      <c r="A66" s="54" t="n">
        <v>65</v>
      </c>
      <c r="B66" s="55" t="s">
        <v>2266</v>
      </c>
      <c r="C66" s="56" t="s">
        <v>2343</v>
      </c>
      <c r="D66" s="56" t="s">
        <v>2344</v>
      </c>
      <c r="E66" s="57" t="s">
        <v>2236</v>
      </c>
      <c r="F66" s="55" t="s">
        <v>1766</v>
      </c>
      <c r="G66" s="55" t="s">
        <v>157</v>
      </c>
      <c r="H66" s="58" t="n">
        <v>12</v>
      </c>
      <c r="I66" s="58" t="n">
        <v>30</v>
      </c>
      <c r="J66" s="58" t="n">
        <f aca="false">ROUND(AVERAGE(H66:I66),1)</f>
        <v>21</v>
      </c>
      <c r="K66" s="59" t="n">
        <v>0.5</v>
      </c>
      <c r="L66" s="58" t="n">
        <f aca="false">J66+K66</f>
        <v>21.5</v>
      </c>
      <c r="M66" s="60" t="n">
        <f aca="false">IFERROR(INDEX(99_Listas!$C$2:$C$5,MATCH(G66,99_Listas!$B$2:$B$5,0)),0)</f>
        <v>0.07</v>
      </c>
      <c r="N66" s="58" t="n">
        <f aca="false">ROUND(J66*M66,2)</f>
        <v>1.47</v>
      </c>
      <c r="O66" s="58" t="n">
        <f aca="false">ROUND(J66-N66,2)</f>
        <v>19.53</v>
      </c>
      <c r="P66" s="55" t="s">
        <v>1103</v>
      </c>
      <c r="Q66" s="54" t="n">
        <v>1</v>
      </c>
      <c r="R66" s="55" t="s">
        <v>276</v>
      </c>
      <c r="S66" s="56" t="s">
        <v>228</v>
      </c>
      <c r="T66" s="56" t="s">
        <v>2345</v>
      </c>
      <c r="U66" s="56"/>
    </row>
    <row r="67" customFormat="false" ht="23.25" hidden="false" customHeight="true" outlineLevel="0" collapsed="false">
      <c r="A67" s="61" t="n">
        <v>66</v>
      </c>
      <c r="B67" s="62" t="s">
        <v>2278</v>
      </c>
      <c r="C67" s="63" t="s">
        <v>2346</v>
      </c>
      <c r="D67" s="63" t="s">
        <v>2347</v>
      </c>
      <c r="E67" s="57" t="s">
        <v>2229</v>
      </c>
      <c r="F67" s="62" t="s">
        <v>1016</v>
      </c>
      <c r="G67" s="62" t="s">
        <v>161</v>
      </c>
      <c r="H67" s="64" t="n">
        <v>35</v>
      </c>
      <c r="I67" s="64" t="n">
        <v>70</v>
      </c>
      <c r="J67" s="64" t="n">
        <f aca="false">ROUND(AVERAGE(H67:I67),1)</f>
        <v>52.5</v>
      </c>
      <c r="K67" s="59" t="n">
        <v>0.5</v>
      </c>
      <c r="L67" s="64" t="n">
        <f aca="false">J67+K67</f>
        <v>53</v>
      </c>
      <c r="M67" s="65" t="n">
        <f aca="false">IFERROR(INDEX(99_Listas!$C$2:$C$5,MATCH(G67,99_Listas!$B$2:$B$5,0)),0)</f>
        <v>0.09</v>
      </c>
      <c r="N67" s="64" t="n">
        <f aca="false">ROUND(J67*M67,2)</f>
        <v>4.73</v>
      </c>
      <c r="O67" s="64" t="n">
        <f aca="false">ROUND(J67-N67,2)</f>
        <v>47.77</v>
      </c>
      <c r="P67" s="62" t="s">
        <v>1103</v>
      </c>
      <c r="Q67" s="61" t="n">
        <v>5</v>
      </c>
      <c r="R67" s="62" t="s">
        <v>276</v>
      </c>
      <c r="S67" s="63" t="s">
        <v>228</v>
      </c>
      <c r="T67" s="63" t="s">
        <v>178</v>
      </c>
      <c r="U67" s="63"/>
    </row>
    <row r="68" customFormat="false" ht="15" hidden="false" customHeight="true" outlineLevel="0" collapsed="false">
      <c r="A68" s="54" t="n">
        <v>67</v>
      </c>
      <c r="B68" s="55" t="s">
        <v>2278</v>
      </c>
      <c r="C68" s="56" t="s">
        <v>2348</v>
      </c>
      <c r="D68" s="56" t="s">
        <v>2349</v>
      </c>
      <c r="E68" s="57" t="s">
        <v>2350</v>
      </c>
      <c r="F68" s="55" t="s">
        <v>1016</v>
      </c>
      <c r="G68" s="55" t="s">
        <v>161</v>
      </c>
      <c r="H68" s="58" t="n">
        <v>25</v>
      </c>
      <c r="I68" s="58" t="n">
        <v>50</v>
      </c>
      <c r="J68" s="58" t="n">
        <f aca="false">ROUND(AVERAGE(H68:I68),1)</f>
        <v>37.5</v>
      </c>
      <c r="K68" s="59" t="n">
        <v>0.5</v>
      </c>
      <c r="L68" s="58" t="n">
        <f aca="false">J68+K68</f>
        <v>38</v>
      </c>
      <c r="M68" s="60" t="n">
        <f aca="false">IFERROR(INDEX(99_Listas!$C$2:$C$5,MATCH(G68,99_Listas!$B$2:$B$5,0)),0)</f>
        <v>0.09</v>
      </c>
      <c r="N68" s="58" t="n">
        <f aca="false">ROUND(J68*M68,2)</f>
        <v>3.38</v>
      </c>
      <c r="O68" s="58" t="n">
        <f aca="false">ROUND(J68-N68,2)</f>
        <v>34.12</v>
      </c>
      <c r="P68" s="55" t="s">
        <v>1103</v>
      </c>
      <c r="Q68" s="54" t="n">
        <v>8</v>
      </c>
      <c r="R68" s="55" t="s">
        <v>165</v>
      </c>
      <c r="S68" s="56" t="s">
        <v>248</v>
      </c>
      <c r="T68" s="56" t="s">
        <v>178</v>
      </c>
      <c r="U68" s="56"/>
    </row>
    <row r="69" customFormat="false" ht="15" hidden="false" customHeight="true" outlineLevel="0" collapsed="false">
      <c r="A69" s="61" t="n">
        <v>68</v>
      </c>
      <c r="B69" s="62" t="s">
        <v>2278</v>
      </c>
      <c r="C69" s="63" t="s">
        <v>2351</v>
      </c>
      <c r="D69" s="63" t="s">
        <v>2352</v>
      </c>
      <c r="E69" s="57" t="s">
        <v>1774</v>
      </c>
      <c r="F69" s="62" t="s">
        <v>1016</v>
      </c>
      <c r="G69" s="62" t="s">
        <v>169</v>
      </c>
      <c r="H69" s="64" t="n">
        <v>85</v>
      </c>
      <c r="I69" s="64" t="n">
        <v>140</v>
      </c>
      <c r="J69" s="64" t="n">
        <f aca="false">ROUND(AVERAGE(H69:I69),1)</f>
        <v>112.5</v>
      </c>
      <c r="K69" s="59" t="n">
        <v>0.5</v>
      </c>
      <c r="L69" s="64" t="n">
        <f aca="false">J69+K69</f>
        <v>113</v>
      </c>
      <c r="M69" s="65" t="n">
        <f aca="false">IFERROR(INDEX(99_Listas!$C$2:$C$5,MATCH(G69,99_Listas!$B$2:$B$5,0)),0)</f>
        <v>0.13</v>
      </c>
      <c r="N69" s="64" t="n">
        <f aca="false">ROUND(J69*M69,2)</f>
        <v>14.63</v>
      </c>
      <c r="O69" s="64" t="n">
        <f aca="false">ROUND(J69-N69,2)</f>
        <v>97.87</v>
      </c>
      <c r="P69" s="62" t="s">
        <v>1103</v>
      </c>
      <c r="Q69" s="61" t="n">
        <v>5</v>
      </c>
      <c r="R69" s="62" t="s">
        <v>165</v>
      </c>
      <c r="S69" s="63" t="s">
        <v>380</v>
      </c>
      <c r="T69" s="63" t="s">
        <v>178</v>
      </c>
      <c r="U69" s="63" t="s">
        <v>2353</v>
      </c>
    </row>
    <row r="70" customFormat="false" ht="15" hidden="false" customHeight="true" outlineLevel="0" collapsed="false">
      <c r="A70" s="54" t="n">
        <v>69</v>
      </c>
      <c r="B70" s="55" t="s">
        <v>2296</v>
      </c>
      <c r="C70" s="56" t="s">
        <v>2354</v>
      </c>
      <c r="D70" s="56" t="s">
        <v>2355</v>
      </c>
      <c r="E70" s="57" t="s">
        <v>2299</v>
      </c>
      <c r="F70" s="55" t="s">
        <v>534</v>
      </c>
      <c r="G70" s="55" t="s">
        <v>157</v>
      </c>
      <c r="H70" s="58" t="n">
        <v>6</v>
      </c>
      <c r="I70" s="58" t="n">
        <v>14</v>
      </c>
      <c r="J70" s="58" t="n">
        <f aca="false">ROUND(AVERAGE(H70:I70),1)</f>
        <v>10</v>
      </c>
      <c r="K70" s="59" t="n">
        <v>0.5</v>
      </c>
      <c r="L70" s="58" t="n">
        <f aca="false">J70+K70</f>
        <v>10.5</v>
      </c>
      <c r="M70" s="60" t="n">
        <f aca="false">IFERROR(INDEX(99_Listas!$C$2:$C$5,MATCH(G70,99_Listas!$B$2:$B$5,0)),0)</f>
        <v>0.07</v>
      </c>
      <c r="N70" s="58" t="n">
        <f aca="false">ROUND(J70*M70,2)</f>
        <v>0.7</v>
      </c>
      <c r="O70" s="58" t="n">
        <f aca="false">ROUND(J70-N70,2)</f>
        <v>9.3</v>
      </c>
      <c r="P70" s="55" t="s">
        <v>1103</v>
      </c>
      <c r="Q70" s="54" t="n">
        <v>1</v>
      </c>
      <c r="R70" s="55" t="s">
        <v>258</v>
      </c>
      <c r="S70" s="56" t="s">
        <v>1830</v>
      </c>
      <c r="T70" s="56" t="s">
        <v>178</v>
      </c>
      <c r="U70" s="56" t="s">
        <v>2356</v>
      </c>
    </row>
    <row r="71" customFormat="false" ht="15" hidden="false" customHeight="true" outlineLevel="0" collapsed="false">
      <c r="A71" s="61" t="n">
        <v>70</v>
      </c>
      <c r="B71" s="62" t="s">
        <v>2296</v>
      </c>
      <c r="C71" s="63" t="s">
        <v>2357</v>
      </c>
      <c r="D71" s="63" t="s">
        <v>2358</v>
      </c>
      <c r="E71" s="57" t="s">
        <v>2173</v>
      </c>
      <c r="F71" s="62" t="s">
        <v>1661</v>
      </c>
      <c r="G71" s="62" t="s">
        <v>157</v>
      </c>
      <c r="H71" s="64" t="n">
        <v>4</v>
      </c>
      <c r="I71" s="64" t="n">
        <v>12</v>
      </c>
      <c r="J71" s="64" t="n">
        <f aca="false">ROUND(AVERAGE(H71:I71),1)</f>
        <v>8</v>
      </c>
      <c r="K71" s="59" t="n">
        <v>0.5</v>
      </c>
      <c r="L71" s="64" t="n">
        <f aca="false">J71+K71</f>
        <v>8.5</v>
      </c>
      <c r="M71" s="65" t="n">
        <f aca="false">IFERROR(INDEX(99_Listas!$C$2:$C$5,MATCH(G71,99_Listas!$B$2:$B$5,0)),0)</f>
        <v>0.07</v>
      </c>
      <c r="N71" s="64" t="n">
        <f aca="false">ROUND(J71*M71,2)</f>
        <v>0.56</v>
      </c>
      <c r="O71" s="64" t="n">
        <f aca="false">ROUND(J71-N71,2)</f>
        <v>7.44</v>
      </c>
      <c r="P71" s="62" t="s">
        <v>1103</v>
      </c>
      <c r="Q71" s="61" t="n">
        <v>1</v>
      </c>
      <c r="R71" s="62" t="s">
        <v>276</v>
      </c>
      <c r="S71" s="63" t="s">
        <v>228</v>
      </c>
      <c r="T71" s="63" t="s">
        <v>2199</v>
      </c>
      <c r="U71" s="63"/>
    </row>
    <row r="72" customFormat="false" ht="15" hidden="false" customHeight="true" outlineLevel="0" collapsed="false">
      <c r="A72" s="54" t="n">
        <v>71</v>
      </c>
      <c r="B72" s="55" t="s">
        <v>2296</v>
      </c>
      <c r="C72" s="56" t="s">
        <v>2359</v>
      </c>
      <c r="D72" s="56" t="s">
        <v>2210</v>
      </c>
      <c r="E72" s="57" t="s">
        <v>1098</v>
      </c>
      <c r="F72" s="55" t="s">
        <v>2210</v>
      </c>
      <c r="G72" s="55" t="s">
        <v>157</v>
      </c>
      <c r="H72" s="58" t="n">
        <v>4</v>
      </c>
      <c r="I72" s="58" t="n">
        <v>10</v>
      </c>
      <c r="J72" s="58" t="n">
        <f aca="false">ROUND(AVERAGE(H72:I72),1)</f>
        <v>7</v>
      </c>
      <c r="K72" s="59" t="n">
        <v>0.5</v>
      </c>
      <c r="L72" s="58" t="n">
        <f aca="false">J72+K72</f>
        <v>7.5</v>
      </c>
      <c r="M72" s="60" t="n">
        <f aca="false">IFERROR(INDEX(99_Listas!$C$2:$C$5,MATCH(G72,99_Listas!$B$2:$B$5,0)),0)</f>
        <v>0.07</v>
      </c>
      <c r="N72" s="58" t="n">
        <f aca="false">ROUND(J72*M72,2)</f>
        <v>0.49</v>
      </c>
      <c r="O72" s="58" t="n">
        <f aca="false">ROUND(J72-N72,2)</f>
        <v>6.51</v>
      </c>
      <c r="P72" s="55" t="s">
        <v>2360</v>
      </c>
      <c r="Q72" s="54" t="n">
        <v>1</v>
      </c>
      <c r="R72" s="55" t="s">
        <v>276</v>
      </c>
      <c r="S72" s="56" t="s">
        <v>380</v>
      </c>
      <c r="T72" s="56" t="s">
        <v>2199</v>
      </c>
      <c r="U72" s="56" t="s">
        <v>2361</v>
      </c>
    </row>
    <row r="73" customFormat="false" ht="15" hidden="false" customHeight="true" outlineLevel="0" collapsed="false">
      <c r="A73" s="61" t="n">
        <v>72</v>
      </c>
      <c r="B73" s="62" t="s">
        <v>2296</v>
      </c>
      <c r="C73" s="63" t="s">
        <v>2362</v>
      </c>
      <c r="D73" s="63" t="s">
        <v>2363</v>
      </c>
      <c r="E73" s="57" t="s">
        <v>2310</v>
      </c>
      <c r="F73" s="62" t="s">
        <v>1661</v>
      </c>
      <c r="G73" s="62" t="s">
        <v>157</v>
      </c>
      <c r="H73" s="64" t="n">
        <v>8</v>
      </c>
      <c r="I73" s="64" t="n">
        <v>20</v>
      </c>
      <c r="J73" s="64" t="n">
        <f aca="false">ROUND(AVERAGE(H73:I73),1)</f>
        <v>14</v>
      </c>
      <c r="K73" s="59" t="n">
        <v>0.5</v>
      </c>
      <c r="L73" s="64" t="n">
        <f aca="false">J73+K73</f>
        <v>14.5</v>
      </c>
      <c r="M73" s="65" t="n">
        <f aca="false">IFERROR(INDEX(99_Listas!$C$2:$C$5,MATCH(G73,99_Listas!$B$2:$B$5,0)),0)</f>
        <v>0.07</v>
      </c>
      <c r="N73" s="64" t="n">
        <f aca="false">ROUND(J73*M73,2)</f>
        <v>0.98</v>
      </c>
      <c r="O73" s="64" t="n">
        <f aca="false">ROUND(J73-N73,2)</f>
        <v>13.02</v>
      </c>
      <c r="P73" s="62" t="s">
        <v>1103</v>
      </c>
      <c r="Q73" s="61" t="n">
        <v>2</v>
      </c>
      <c r="R73" s="62" t="s">
        <v>276</v>
      </c>
      <c r="S73" s="63" t="s">
        <v>380</v>
      </c>
      <c r="T73" s="63" t="s">
        <v>198</v>
      </c>
      <c r="U73" s="63"/>
    </row>
    <row r="74" customFormat="false" ht="15" hidden="false" customHeight="true" outlineLevel="0" collapsed="false">
      <c r="A74" s="54" t="n">
        <v>73</v>
      </c>
      <c r="B74" s="55" t="s">
        <v>2197</v>
      </c>
      <c r="C74" s="56" t="s">
        <v>2364</v>
      </c>
      <c r="D74" s="56" t="s">
        <v>2209</v>
      </c>
      <c r="E74" s="57" t="s">
        <v>1774</v>
      </c>
      <c r="F74" s="55" t="s">
        <v>2210</v>
      </c>
      <c r="G74" s="55" t="s">
        <v>157</v>
      </c>
      <c r="H74" s="58" t="n">
        <v>4</v>
      </c>
      <c r="I74" s="58" t="n">
        <v>7</v>
      </c>
      <c r="J74" s="58" t="n">
        <f aca="false">ROUND(AVERAGE(H74:I74),1)</f>
        <v>5.5</v>
      </c>
      <c r="K74" s="59" t="n">
        <v>0.5</v>
      </c>
      <c r="L74" s="58" t="n">
        <f aca="false">J74+K74</f>
        <v>6</v>
      </c>
      <c r="M74" s="60" t="n">
        <f aca="false">IFERROR(INDEX(99_Listas!$C$2:$C$5,MATCH(G74,99_Listas!$B$2:$B$5,0)),0)</f>
        <v>0.07</v>
      </c>
      <c r="N74" s="58" t="n">
        <f aca="false">ROUND(J74*M74,2)</f>
        <v>0.39</v>
      </c>
      <c r="O74" s="58" t="n">
        <f aca="false">ROUND(J74-N74,2)</f>
        <v>5.11</v>
      </c>
      <c r="P74" s="55" t="s">
        <v>1103</v>
      </c>
      <c r="Q74" s="54" t="n">
        <v>1</v>
      </c>
      <c r="R74" s="55" t="s">
        <v>276</v>
      </c>
      <c r="S74" s="56" t="s">
        <v>228</v>
      </c>
      <c r="T74" s="56" t="s">
        <v>2199</v>
      </c>
      <c r="U74" s="56"/>
    </row>
    <row r="75" customFormat="false" ht="15" hidden="false" customHeight="true" outlineLevel="0" collapsed="false">
      <c r="A75" s="61" t="n">
        <v>74</v>
      </c>
      <c r="B75" s="62" t="s">
        <v>2197</v>
      </c>
      <c r="C75" s="63" t="s">
        <v>2365</v>
      </c>
      <c r="D75" s="63" t="s">
        <v>2366</v>
      </c>
      <c r="E75" s="57" t="s">
        <v>1774</v>
      </c>
      <c r="F75" s="62" t="s">
        <v>1766</v>
      </c>
      <c r="G75" s="62" t="s">
        <v>161</v>
      </c>
      <c r="H75" s="64" t="n">
        <v>8</v>
      </c>
      <c r="I75" s="64" t="n">
        <v>15</v>
      </c>
      <c r="J75" s="64" t="n">
        <f aca="false">ROUND(AVERAGE(H75:I75),1)</f>
        <v>11.5</v>
      </c>
      <c r="K75" s="59" t="n">
        <v>0.5</v>
      </c>
      <c r="L75" s="64" t="n">
        <f aca="false">J75+K75</f>
        <v>12</v>
      </c>
      <c r="M75" s="65" t="n">
        <f aca="false">IFERROR(INDEX(99_Listas!$C$2:$C$5,MATCH(G75,99_Listas!$B$2:$B$5,0)),0)</f>
        <v>0.09</v>
      </c>
      <c r="N75" s="64" t="n">
        <f aca="false">ROUND(J75*M75,2)</f>
        <v>1.04</v>
      </c>
      <c r="O75" s="64" t="n">
        <f aca="false">ROUND(J75-N75,2)</f>
        <v>10.46</v>
      </c>
      <c r="P75" s="62" t="s">
        <v>1103</v>
      </c>
      <c r="Q75" s="61" t="n">
        <v>1</v>
      </c>
      <c r="R75" s="62" t="s">
        <v>276</v>
      </c>
      <c r="S75" s="63" t="s">
        <v>228</v>
      </c>
      <c r="T75" s="63" t="s">
        <v>178</v>
      </c>
      <c r="U75" s="63"/>
    </row>
    <row r="76" customFormat="false" ht="15" hidden="false" customHeight="true" outlineLevel="0" collapsed="false">
      <c r="A76" s="54" t="n">
        <v>75</v>
      </c>
      <c r="B76" s="55" t="s">
        <v>2197</v>
      </c>
      <c r="C76" s="56" t="s">
        <v>2367</v>
      </c>
      <c r="D76" s="56" t="s">
        <v>2368</v>
      </c>
      <c r="E76" s="57" t="s">
        <v>1774</v>
      </c>
      <c r="F76" s="55" t="s">
        <v>1766</v>
      </c>
      <c r="G76" s="55" t="s">
        <v>161</v>
      </c>
      <c r="H76" s="58" t="n">
        <v>8</v>
      </c>
      <c r="I76" s="58" t="n">
        <v>15</v>
      </c>
      <c r="J76" s="58" t="n">
        <f aca="false">ROUND(AVERAGE(H76:I76),1)</f>
        <v>11.5</v>
      </c>
      <c r="K76" s="59" t="n">
        <v>0.5</v>
      </c>
      <c r="L76" s="58" t="n">
        <f aca="false">J76+K76</f>
        <v>12</v>
      </c>
      <c r="M76" s="60" t="n">
        <f aca="false">IFERROR(INDEX(99_Listas!$C$2:$C$5,MATCH(G76,99_Listas!$B$2:$B$5,0)),0)</f>
        <v>0.09</v>
      </c>
      <c r="N76" s="58" t="n">
        <f aca="false">ROUND(J76*M76,2)</f>
        <v>1.04</v>
      </c>
      <c r="O76" s="58" t="n">
        <f aca="false">ROUND(J76-N76,2)</f>
        <v>10.46</v>
      </c>
      <c r="P76" s="55" t="s">
        <v>1103</v>
      </c>
      <c r="Q76" s="54" t="n">
        <v>1</v>
      </c>
      <c r="R76" s="55" t="s">
        <v>276</v>
      </c>
      <c r="S76" s="56" t="s">
        <v>228</v>
      </c>
      <c r="T76" s="56" t="s">
        <v>178</v>
      </c>
      <c r="U76" s="56"/>
    </row>
    <row r="77" customFormat="false" ht="15" hidden="false" customHeight="true" outlineLevel="0" collapsed="false">
      <c r="A77" s="61" t="n">
        <v>76</v>
      </c>
      <c r="B77" s="62" t="s">
        <v>2197</v>
      </c>
      <c r="C77" s="63" t="s">
        <v>2369</v>
      </c>
      <c r="D77" s="63" t="s">
        <v>2370</v>
      </c>
      <c r="E77" s="57" t="s">
        <v>1774</v>
      </c>
      <c r="F77" s="62" t="s">
        <v>1766</v>
      </c>
      <c r="G77" s="62" t="s">
        <v>161</v>
      </c>
      <c r="H77" s="64" t="n">
        <v>8</v>
      </c>
      <c r="I77" s="64" t="n">
        <v>16</v>
      </c>
      <c r="J77" s="64" t="n">
        <f aca="false">ROUND(AVERAGE(H77:I77),1)</f>
        <v>12</v>
      </c>
      <c r="K77" s="59" t="n">
        <v>0.5</v>
      </c>
      <c r="L77" s="64" t="n">
        <f aca="false">J77+K77</f>
        <v>12.5</v>
      </c>
      <c r="M77" s="65" t="n">
        <f aca="false">IFERROR(INDEX(99_Listas!$C$2:$C$5,MATCH(G77,99_Listas!$B$2:$B$5,0)),0)</f>
        <v>0.09</v>
      </c>
      <c r="N77" s="64" t="n">
        <f aca="false">ROUND(J77*M77,2)</f>
        <v>1.08</v>
      </c>
      <c r="O77" s="64" t="n">
        <f aca="false">ROUND(J77-N77,2)</f>
        <v>10.92</v>
      </c>
      <c r="P77" s="62" t="s">
        <v>1103</v>
      </c>
      <c r="Q77" s="61" t="n">
        <v>1</v>
      </c>
      <c r="R77" s="62" t="s">
        <v>276</v>
      </c>
      <c r="S77" s="63" t="s">
        <v>228</v>
      </c>
      <c r="T77" s="63" t="s">
        <v>178</v>
      </c>
      <c r="U77" s="63"/>
    </row>
    <row r="78" customFormat="false" ht="15" hidden="false" customHeight="true" outlineLevel="0" collapsed="false">
      <c r="A78" s="54" t="n">
        <v>77</v>
      </c>
      <c r="B78" s="55" t="s">
        <v>2197</v>
      </c>
      <c r="C78" s="56" t="s">
        <v>2371</v>
      </c>
      <c r="D78" s="56" t="s">
        <v>1766</v>
      </c>
      <c r="E78" s="57" t="s">
        <v>1774</v>
      </c>
      <c r="F78" s="55" t="s">
        <v>1766</v>
      </c>
      <c r="G78" s="55" t="s">
        <v>157</v>
      </c>
      <c r="H78" s="58" t="n">
        <v>5</v>
      </c>
      <c r="I78" s="58" t="n">
        <v>11</v>
      </c>
      <c r="J78" s="58" t="n">
        <f aca="false">ROUND(AVERAGE(H78:I78),1)</f>
        <v>8</v>
      </c>
      <c r="K78" s="59" t="n">
        <v>0.5</v>
      </c>
      <c r="L78" s="58" t="n">
        <f aca="false">J78+K78</f>
        <v>8.5</v>
      </c>
      <c r="M78" s="60" t="n">
        <f aca="false">IFERROR(INDEX(99_Listas!$C$2:$C$5,MATCH(G78,99_Listas!$B$2:$B$5,0)),0)</f>
        <v>0.07</v>
      </c>
      <c r="N78" s="58" t="n">
        <f aca="false">ROUND(J78*M78,2)</f>
        <v>0.56</v>
      </c>
      <c r="O78" s="58" t="n">
        <f aca="false">ROUND(J78-N78,2)</f>
        <v>7.44</v>
      </c>
      <c r="P78" s="55" t="s">
        <v>1103</v>
      </c>
      <c r="Q78" s="54" t="n">
        <v>1</v>
      </c>
      <c r="R78" s="55" t="s">
        <v>276</v>
      </c>
      <c r="S78" s="56" t="s">
        <v>228</v>
      </c>
      <c r="T78" s="56" t="s">
        <v>178</v>
      </c>
      <c r="U78" s="56" t="s">
        <v>2372</v>
      </c>
    </row>
    <row r="79" customFormat="false" ht="15" hidden="false" customHeight="true" outlineLevel="0" collapsed="false">
      <c r="A79" s="61" t="n">
        <v>78</v>
      </c>
      <c r="B79" s="62" t="s">
        <v>2197</v>
      </c>
      <c r="C79" s="63" t="s">
        <v>2373</v>
      </c>
      <c r="D79" s="63" t="s">
        <v>2374</v>
      </c>
      <c r="E79" s="57" t="s">
        <v>1774</v>
      </c>
      <c r="F79" s="62" t="s">
        <v>2214</v>
      </c>
      <c r="G79" s="62" t="s">
        <v>161</v>
      </c>
      <c r="H79" s="64" t="n">
        <v>40</v>
      </c>
      <c r="I79" s="64" t="n">
        <v>65</v>
      </c>
      <c r="J79" s="64" t="n">
        <f aca="false">ROUND(AVERAGE(H79:I79),1)</f>
        <v>52.5</v>
      </c>
      <c r="K79" s="59" t="n">
        <v>0.5</v>
      </c>
      <c r="L79" s="64" t="n">
        <f aca="false">J79+K79</f>
        <v>53</v>
      </c>
      <c r="M79" s="65" t="n">
        <f aca="false">IFERROR(INDEX(99_Listas!$C$2:$C$5,MATCH(G79,99_Listas!$B$2:$B$5,0)),0)</f>
        <v>0.09</v>
      </c>
      <c r="N79" s="64" t="n">
        <f aca="false">ROUND(J79*M79,2)</f>
        <v>4.73</v>
      </c>
      <c r="O79" s="64" t="n">
        <f aca="false">ROUND(J79-N79,2)</f>
        <v>47.77</v>
      </c>
      <c r="P79" s="62" t="s">
        <v>1103</v>
      </c>
      <c r="Q79" s="61" t="n">
        <v>2</v>
      </c>
      <c r="R79" s="62" t="s">
        <v>276</v>
      </c>
      <c r="S79" s="63" t="s">
        <v>380</v>
      </c>
      <c r="T79" s="63" t="s">
        <v>178</v>
      </c>
      <c r="U79" s="63"/>
    </row>
    <row r="80" customFormat="false" ht="15" hidden="false" customHeight="true" outlineLevel="0" collapsed="false">
      <c r="A80" s="54" t="n">
        <v>79</v>
      </c>
      <c r="B80" s="55" t="s">
        <v>2197</v>
      </c>
      <c r="C80" s="56" t="s">
        <v>2375</v>
      </c>
      <c r="D80" s="56" t="s">
        <v>2376</v>
      </c>
      <c r="E80" s="57" t="s">
        <v>2299</v>
      </c>
      <c r="F80" s="55" t="s">
        <v>1016</v>
      </c>
      <c r="G80" s="55" t="s">
        <v>157</v>
      </c>
      <c r="H80" s="58" t="n">
        <v>9</v>
      </c>
      <c r="I80" s="58" t="n">
        <v>16</v>
      </c>
      <c r="J80" s="58" t="n">
        <f aca="false">ROUND(AVERAGE(H80:I80),1)</f>
        <v>12.5</v>
      </c>
      <c r="K80" s="59" t="n">
        <v>0.5</v>
      </c>
      <c r="L80" s="58" t="n">
        <f aca="false">J80+K80</f>
        <v>13</v>
      </c>
      <c r="M80" s="60" t="n">
        <f aca="false">IFERROR(INDEX(99_Listas!$C$2:$C$5,MATCH(G80,99_Listas!$B$2:$B$5,0)),0)</f>
        <v>0.07</v>
      </c>
      <c r="N80" s="58" t="n">
        <f aca="false">ROUND(J80*M80,2)</f>
        <v>0.88</v>
      </c>
      <c r="O80" s="58" t="n">
        <f aca="false">ROUND(J80-N80,2)</f>
        <v>11.62</v>
      </c>
      <c r="P80" s="55" t="s">
        <v>1103</v>
      </c>
      <c r="Q80" s="54" t="n">
        <v>3</v>
      </c>
      <c r="R80" s="55" t="s">
        <v>165</v>
      </c>
      <c r="S80" s="56" t="s">
        <v>1830</v>
      </c>
      <c r="T80" s="56" t="s">
        <v>178</v>
      </c>
      <c r="U80" s="56"/>
    </row>
    <row r="81" customFormat="false" ht="15" hidden="false" customHeight="true" outlineLevel="0" collapsed="false">
      <c r="A81" s="61" t="n">
        <v>80</v>
      </c>
      <c r="B81" s="62" t="s">
        <v>2227</v>
      </c>
      <c r="C81" s="63" t="s">
        <v>2377</v>
      </c>
      <c r="D81" s="63" t="s">
        <v>2378</v>
      </c>
      <c r="E81" s="57" t="s">
        <v>2229</v>
      </c>
      <c r="F81" s="62" t="s">
        <v>1766</v>
      </c>
      <c r="G81" s="62" t="s">
        <v>165</v>
      </c>
      <c r="H81" s="64" t="n">
        <v>35</v>
      </c>
      <c r="I81" s="64" t="n">
        <v>80</v>
      </c>
      <c r="J81" s="64" t="n">
        <f aca="false">ROUND(AVERAGE(H81:I81),1)</f>
        <v>57.5</v>
      </c>
      <c r="K81" s="59" t="n">
        <v>0.5</v>
      </c>
      <c r="L81" s="64" t="n">
        <f aca="false">J81+K81</f>
        <v>58</v>
      </c>
      <c r="M81" s="65" t="n">
        <f aca="false">IFERROR(INDEX(99_Listas!$C$2:$C$5,MATCH(G81,99_Listas!$B$2:$B$5,0)),0)</f>
        <v>0.11</v>
      </c>
      <c r="N81" s="64" t="n">
        <f aca="false">ROUND(J81*M81,2)</f>
        <v>6.33</v>
      </c>
      <c r="O81" s="64" t="n">
        <f aca="false">ROUND(J81-N81,2)</f>
        <v>51.17</v>
      </c>
      <c r="P81" s="62" t="s">
        <v>1103</v>
      </c>
      <c r="Q81" s="61" t="n">
        <v>1</v>
      </c>
      <c r="R81" s="62" t="s">
        <v>276</v>
      </c>
      <c r="S81" s="63" t="s">
        <v>228</v>
      </c>
      <c r="T81" s="63" t="s">
        <v>178</v>
      </c>
      <c r="U81" s="63"/>
    </row>
    <row r="82" customFormat="false" ht="15" hidden="false" customHeight="true" outlineLevel="0" collapsed="false">
      <c r="A82" s="54" t="n">
        <v>81</v>
      </c>
      <c r="B82" s="55" t="s">
        <v>2227</v>
      </c>
      <c r="C82" s="56" t="s">
        <v>2379</v>
      </c>
      <c r="D82" s="56" t="s">
        <v>2380</v>
      </c>
      <c r="E82" s="57" t="s">
        <v>2229</v>
      </c>
      <c r="F82" s="55" t="s">
        <v>1494</v>
      </c>
      <c r="G82" s="55" t="s">
        <v>169</v>
      </c>
      <c r="H82" s="58" t="n">
        <v>60</v>
      </c>
      <c r="I82" s="58" t="n">
        <v>150</v>
      </c>
      <c r="J82" s="58" t="n">
        <f aca="false">ROUND(AVERAGE(H82:I82),1)</f>
        <v>105</v>
      </c>
      <c r="K82" s="59" t="n">
        <v>0.5</v>
      </c>
      <c r="L82" s="58" t="n">
        <f aca="false">J82+K82</f>
        <v>105.5</v>
      </c>
      <c r="M82" s="60" t="n">
        <f aca="false">IFERROR(INDEX(99_Listas!$C$2:$C$5,MATCH(G82,99_Listas!$B$2:$B$5,0)),0)</f>
        <v>0.13</v>
      </c>
      <c r="N82" s="58" t="n">
        <f aca="false">ROUND(J82*M82,2)</f>
        <v>13.65</v>
      </c>
      <c r="O82" s="58" t="n">
        <f aca="false">ROUND(J82-N82,2)</f>
        <v>91.35</v>
      </c>
      <c r="P82" s="55" t="s">
        <v>928</v>
      </c>
      <c r="Q82" s="54" t="n">
        <v>2</v>
      </c>
      <c r="R82" s="55" t="s">
        <v>276</v>
      </c>
      <c r="S82" s="56" t="s">
        <v>1542</v>
      </c>
      <c r="T82" s="56" t="s">
        <v>178</v>
      </c>
      <c r="U82" s="56" t="s">
        <v>2381</v>
      </c>
    </row>
    <row r="83" customFormat="false" ht="15" hidden="false" customHeight="true" outlineLevel="0" collapsed="false">
      <c r="A83" s="61" t="n">
        <v>82</v>
      </c>
      <c r="B83" s="62" t="s">
        <v>2227</v>
      </c>
      <c r="C83" s="63" t="s">
        <v>2382</v>
      </c>
      <c r="D83" s="63" t="s">
        <v>2383</v>
      </c>
      <c r="E83" s="57" t="s">
        <v>2273</v>
      </c>
      <c r="F83" s="62" t="s">
        <v>1766</v>
      </c>
      <c r="G83" s="62" t="s">
        <v>161</v>
      </c>
      <c r="H83" s="64" t="n">
        <v>20</v>
      </c>
      <c r="I83" s="64" t="n">
        <v>50</v>
      </c>
      <c r="J83" s="64" t="n">
        <f aca="false">ROUND(AVERAGE(H83:I83),1)</f>
        <v>35</v>
      </c>
      <c r="K83" s="59" t="n">
        <v>0.5</v>
      </c>
      <c r="L83" s="64" t="n">
        <f aca="false">J83+K83</f>
        <v>35.5</v>
      </c>
      <c r="M83" s="65" t="n">
        <f aca="false">IFERROR(INDEX(99_Listas!$C$2:$C$5,MATCH(G83,99_Listas!$B$2:$B$5,0)),0)</f>
        <v>0.09</v>
      </c>
      <c r="N83" s="64" t="n">
        <f aca="false">ROUND(J83*M83,2)</f>
        <v>3.15</v>
      </c>
      <c r="O83" s="64" t="n">
        <f aca="false">ROUND(J83-N83,2)</f>
        <v>31.85</v>
      </c>
      <c r="P83" s="62" t="s">
        <v>1103</v>
      </c>
      <c r="Q83" s="61" t="n">
        <v>1</v>
      </c>
      <c r="R83" s="62" t="s">
        <v>276</v>
      </c>
      <c r="S83" s="63" t="s">
        <v>228</v>
      </c>
      <c r="T83" s="63" t="s">
        <v>2274</v>
      </c>
      <c r="U83" s="63" t="s">
        <v>2384</v>
      </c>
    </row>
    <row r="84" customFormat="false" ht="15" hidden="false" customHeight="true" outlineLevel="0" collapsed="false">
      <c r="A84" s="54" t="n">
        <v>83</v>
      </c>
      <c r="B84" s="55" t="s">
        <v>2227</v>
      </c>
      <c r="C84" s="56" t="s">
        <v>2385</v>
      </c>
      <c r="D84" s="56" t="s">
        <v>2386</v>
      </c>
      <c r="E84" s="57" t="s">
        <v>2273</v>
      </c>
      <c r="F84" s="55" t="s">
        <v>1766</v>
      </c>
      <c r="G84" s="55" t="s">
        <v>161</v>
      </c>
      <c r="H84" s="58" t="n">
        <v>20</v>
      </c>
      <c r="I84" s="58" t="n">
        <v>50</v>
      </c>
      <c r="J84" s="58" t="n">
        <f aca="false">ROUND(AVERAGE(H84:I84),1)</f>
        <v>35</v>
      </c>
      <c r="K84" s="59" t="n">
        <v>0.5</v>
      </c>
      <c r="L84" s="58" t="n">
        <f aca="false">J84+K84</f>
        <v>35.5</v>
      </c>
      <c r="M84" s="60" t="n">
        <f aca="false">IFERROR(INDEX(99_Listas!$C$2:$C$5,MATCH(G84,99_Listas!$B$2:$B$5,0)),0)</f>
        <v>0.09</v>
      </c>
      <c r="N84" s="58" t="n">
        <f aca="false">ROUND(J84*M84,2)</f>
        <v>3.15</v>
      </c>
      <c r="O84" s="58" t="n">
        <f aca="false">ROUND(J84-N84,2)</f>
        <v>31.85</v>
      </c>
      <c r="P84" s="55" t="s">
        <v>1103</v>
      </c>
      <c r="Q84" s="54" t="n">
        <v>1</v>
      </c>
      <c r="R84" s="55" t="s">
        <v>276</v>
      </c>
      <c r="S84" s="56" t="s">
        <v>228</v>
      </c>
      <c r="T84" s="56" t="s">
        <v>2274</v>
      </c>
      <c r="U84" s="56"/>
    </row>
    <row r="85" customFormat="false" ht="15" hidden="false" customHeight="true" outlineLevel="0" collapsed="false">
      <c r="A85" s="61" t="n">
        <v>84</v>
      </c>
      <c r="B85" s="62" t="s">
        <v>2240</v>
      </c>
      <c r="C85" s="63" t="s">
        <v>2387</v>
      </c>
      <c r="D85" s="63" t="s">
        <v>2320</v>
      </c>
      <c r="E85" s="57" t="s">
        <v>1146</v>
      </c>
      <c r="F85" s="62" t="s">
        <v>1766</v>
      </c>
      <c r="G85" s="62" t="s">
        <v>165</v>
      </c>
      <c r="H85" s="64" t="n">
        <v>45</v>
      </c>
      <c r="I85" s="64" t="n">
        <v>90</v>
      </c>
      <c r="J85" s="64" t="n">
        <f aca="false">ROUND(AVERAGE(H85:I85),1)</f>
        <v>67.5</v>
      </c>
      <c r="K85" s="59" t="n">
        <v>0.5</v>
      </c>
      <c r="L85" s="64" t="n">
        <f aca="false">J85+K85</f>
        <v>68</v>
      </c>
      <c r="M85" s="65" t="n">
        <f aca="false">IFERROR(INDEX(99_Listas!$C$2:$C$5,MATCH(G85,99_Listas!$B$2:$B$5,0)),0)</f>
        <v>0.11</v>
      </c>
      <c r="N85" s="64" t="n">
        <f aca="false">ROUND(J85*M85,2)</f>
        <v>7.43</v>
      </c>
      <c r="O85" s="64" t="n">
        <f aca="false">ROUND(J85-N85,2)</f>
        <v>60.07</v>
      </c>
      <c r="P85" s="62" t="s">
        <v>1103</v>
      </c>
      <c r="Q85" s="61" t="n">
        <v>1</v>
      </c>
      <c r="R85" s="62" t="s">
        <v>276</v>
      </c>
      <c r="S85" s="63" t="s">
        <v>228</v>
      </c>
      <c r="T85" s="63" t="s">
        <v>178</v>
      </c>
      <c r="U85" s="63"/>
    </row>
    <row r="86" customFormat="false" ht="15" hidden="false" customHeight="true" outlineLevel="0" collapsed="false">
      <c r="A86" s="54" t="n">
        <v>85</v>
      </c>
      <c r="B86" s="55" t="s">
        <v>2240</v>
      </c>
      <c r="C86" s="56" t="s">
        <v>2388</v>
      </c>
      <c r="D86" s="56" t="s">
        <v>1766</v>
      </c>
      <c r="E86" s="57" t="s">
        <v>1146</v>
      </c>
      <c r="F86" s="55" t="s">
        <v>1766</v>
      </c>
      <c r="G86" s="55" t="s">
        <v>161</v>
      </c>
      <c r="H86" s="58" t="n">
        <v>35</v>
      </c>
      <c r="I86" s="58" t="n">
        <v>70</v>
      </c>
      <c r="J86" s="58" t="n">
        <f aca="false">ROUND(AVERAGE(H86:I86),1)</f>
        <v>52.5</v>
      </c>
      <c r="K86" s="59" t="n">
        <v>0.5</v>
      </c>
      <c r="L86" s="58" t="n">
        <f aca="false">J86+K86</f>
        <v>53</v>
      </c>
      <c r="M86" s="60" t="n">
        <f aca="false">IFERROR(INDEX(99_Listas!$C$2:$C$5,MATCH(G86,99_Listas!$B$2:$B$5,0)),0)</f>
        <v>0.09</v>
      </c>
      <c r="N86" s="58" t="n">
        <f aca="false">ROUND(J86*M86,2)</f>
        <v>4.73</v>
      </c>
      <c r="O86" s="58" t="n">
        <f aca="false">ROUND(J86-N86,2)</f>
        <v>47.77</v>
      </c>
      <c r="P86" s="55" t="s">
        <v>1103</v>
      </c>
      <c r="Q86" s="54" t="n">
        <v>1</v>
      </c>
      <c r="R86" s="55" t="s">
        <v>276</v>
      </c>
      <c r="S86" s="56" t="s">
        <v>228</v>
      </c>
      <c r="T86" s="56" t="s">
        <v>178</v>
      </c>
      <c r="U86" s="56"/>
    </row>
    <row r="87" customFormat="false" ht="15" hidden="false" customHeight="true" outlineLevel="0" collapsed="false">
      <c r="A87" s="61" t="n">
        <v>86</v>
      </c>
      <c r="B87" s="62" t="s">
        <v>2240</v>
      </c>
      <c r="C87" s="63" t="s">
        <v>2389</v>
      </c>
      <c r="D87" s="63" t="s">
        <v>2390</v>
      </c>
      <c r="E87" s="57" t="s">
        <v>2245</v>
      </c>
      <c r="F87" s="62" t="s">
        <v>1766</v>
      </c>
      <c r="G87" s="62" t="s">
        <v>161</v>
      </c>
      <c r="H87" s="64" t="n">
        <v>30</v>
      </c>
      <c r="I87" s="64" t="n">
        <v>60</v>
      </c>
      <c r="J87" s="64" t="n">
        <f aca="false">ROUND(AVERAGE(H87:I87),1)</f>
        <v>45</v>
      </c>
      <c r="K87" s="59" t="n">
        <v>0.5</v>
      </c>
      <c r="L87" s="64" t="n">
        <f aca="false">J87+K87</f>
        <v>45.5</v>
      </c>
      <c r="M87" s="65" t="n">
        <f aca="false">IFERROR(INDEX(99_Listas!$C$2:$C$5,MATCH(G87,99_Listas!$B$2:$B$5,0)),0)</f>
        <v>0.09</v>
      </c>
      <c r="N87" s="64" t="n">
        <f aca="false">ROUND(J87*M87,2)</f>
        <v>4.05</v>
      </c>
      <c r="O87" s="64" t="n">
        <f aca="false">ROUND(J87-N87,2)</f>
        <v>40.95</v>
      </c>
      <c r="P87" s="62" t="s">
        <v>1103</v>
      </c>
      <c r="Q87" s="61" t="n">
        <v>1</v>
      </c>
      <c r="R87" s="62" t="s">
        <v>276</v>
      </c>
      <c r="S87" s="63" t="s">
        <v>380</v>
      </c>
      <c r="T87" s="63" t="s">
        <v>178</v>
      </c>
      <c r="U87" s="63"/>
    </row>
    <row r="88" customFormat="false" ht="15" hidden="false" customHeight="true" outlineLevel="0" collapsed="false">
      <c r="A88" s="54" t="n">
        <v>87</v>
      </c>
      <c r="B88" s="55" t="s">
        <v>2240</v>
      </c>
      <c r="C88" s="56" t="s">
        <v>2391</v>
      </c>
      <c r="D88" s="56" t="s">
        <v>1766</v>
      </c>
      <c r="E88" s="57" t="s">
        <v>2277</v>
      </c>
      <c r="F88" s="55" t="s">
        <v>1766</v>
      </c>
      <c r="G88" s="55" t="s">
        <v>165</v>
      </c>
      <c r="H88" s="58" t="n">
        <v>50</v>
      </c>
      <c r="I88" s="58" t="n">
        <v>110</v>
      </c>
      <c r="J88" s="58" t="n">
        <f aca="false">ROUND(AVERAGE(H88:I88),1)</f>
        <v>80</v>
      </c>
      <c r="K88" s="59" t="n">
        <v>0.5</v>
      </c>
      <c r="L88" s="58" t="n">
        <f aca="false">J88+K88</f>
        <v>80.5</v>
      </c>
      <c r="M88" s="60" t="n">
        <f aca="false">IFERROR(INDEX(99_Listas!$C$2:$C$5,MATCH(G88,99_Listas!$B$2:$B$5,0)),0)</f>
        <v>0.11</v>
      </c>
      <c r="N88" s="58" t="n">
        <f aca="false">ROUND(J88*M88,2)</f>
        <v>8.8</v>
      </c>
      <c r="O88" s="58" t="n">
        <f aca="false">ROUND(J88-N88,2)</f>
        <v>71.2</v>
      </c>
      <c r="P88" s="55" t="s">
        <v>1103</v>
      </c>
      <c r="Q88" s="54" t="n">
        <v>1</v>
      </c>
      <c r="R88" s="55" t="s">
        <v>276</v>
      </c>
      <c r="S88" s="56" t="s">
        <v>380</v>
      </c>
      <c r="T88" s="56" t="s">
        <v>178</v>
      </c>
      <c r="U88" s="56"/>
    </row>
    <row r="89" customFormat="false" ht="15" hidden="false" customHeight="true" outlineLevel="0" collapsed="false">
      <c r="A89" s="61" t="n">
        <v>88</v>
      </c>
      <c r="B89" s="62" t="s">
        <v>2248</v>
      </c>
      <c r="C89" s="63" t="s">
        <v>2392</v>
      </c>
      <c r="D89" s="63" t="s">
        <v>1766</v>
      </c>
      <c r="E89" s="57" t="s">
        <v>2250</v>
      </c>
      <c r="F89" s="62" t="s">
        <v>1766</v>
      </c>
      <c r="G89" s="62" t="s">
        <v>169</v>
      </c>
      <c r="H89" s="64" t="n">
        <v>140</v>
      </c>
      <c r="I89" s="64" t="n">
        <v>280</v>
      </c>
      <c r="J89" s="64" t="n">
        <f aca="false">ROUND(AVERAGE(H89:I89),1)</f>
        <v>210</v>
      </c>
      <c r="K89" s="59" t="n">
        <v>0.5</v>
      </c>
      <c r="L89" s="64" t="n">
        <f aca="false">J89+K89</f>
        <v>210.5</v>
      </c>
      <c r="M89" s="65" t="n">
        <f aca="false">IFERROR(INDEX(99_Listas!$C$2:$C$5,MATCH(G89,99_Listas!$B$2:$B$5,0)),0)</f>
        <v>0.13</v>
      </c>
      <c r="N89" s="64" t="n">
        <f aca="false">ROUND(J89*M89,2)</f>
        <v>27.3</v>
      </c>
      <c r="O89" s="64" t="n">
        <f aca="false">ROUND(J89-N89,2)</f>
        <v>182.7</v>
      </c>
      <c r="P89" s="62" t="s">
        <v>1103</v>
      </c>
      <c r="Q89" s="61" t="n">
        <v>1</v>
      </c>
      <c r="R89" s="62" t="s">
        <v>276</v>
      </c>
      <c r="S89" s="63" t="s">
        <v>1542</v>
      </c>
      <c r="T89" s="63" t="s">
        <v>178</v>
      </c>
      <c r="U89" s="63"/>
    </row>
    <row r="90" customFormat="false" ht="15" hidden="false" customHeight="true" outlineLevel="0" collapsed="false">
      <c r="A90" s="54" t="n">
        <v>89</v>
      </c>
      <c r="B90" s="55" t="s">
        <v>2248</v>
      </c>
      <c r="C90" s="56" t="s">
        <v>2393</v>
      </c>
      <c r="D90" s="56" t="s">
        <v>1766</v>
      </c>
      <c r="E90" s="57" t="s">
        <v>2250</v>
      </c>
      <c r="F90" s="55" t="s">
        <v>1766</v>
      </c>
      <c r="G90" s="55" t="s">
        <v>165</v>
      </c>
      <c r="H90" s="58" t="n">
        <v>60</v>
      </c>
      <c r="I90" s="58" t="n">
        <v>120</v>
      </c>
      <c r="J90" s="58" t="n">
        <f aca="false">ROUND(AVERAGE(H90:I90),1)</f>
        <v>90</v>
      </c>
      <c r="K90" s="59" t="n">
        <v>0.5</v>
      </c>
      <c r="L90" s="58" t="n">
        <f aca="false">J90+K90</f>
        <v>90.5</v>
      </c>
      <c r="M90" s="60" t="n">
        <f aca="false">IFERROR(INDEX(99_Listas!$C$2:$C$5,MATCH(G90,99_Listas!$B$2:$B$5,0)),0)</f>
        <v>0.11</v>
      </c>
      <c r="N90" s="58" t="n">
        <f aca="false">ROUND(J90*M90,2)</f>
        <v>9.9</v>
      </c>
      <c r="O90" s="58" t="n">
        <f aca="false">ROUND(J90-N90,2)</f>
        <v>80.1</v>
      </c>
      <c r="P90" s="55" t="s">
        <v>1103</v>
      </c>
      <c r="Q90" s="54" t="n">
        <v>1</v>
      </c>
      <c r="R90" s="55" t="s">
        <v>276</v>
      </c>
      <c r="S90" s="56" t="s">
        <v>228</v>
      </c>
      <c r="T90" s="56" t="s">
        <v>178</v>
      </c>
      <c r="U90" s="56"/>
    </row>
    <row r="91" customFormat="false" ht="15" hidden="false" customHeight="true" outlineLevel="0" collapsed="false">
      <c r="A91" s="61" t="n">
        <v>90</v>
      </c>
      <c r="B91" s="62" t="s">
        <v>2248</v>
      </c>
      <c r="C91" s="63" t="s">
        <v>2394</v>
      </c>
      <c r="D91" s="63" t="s">
        <v>2327</v>
      </c>
      <c r="E91" s="57" t="s">
        <v>2250</v>
      </c>
      <c r="F91" s="62" t="s">
        <v>1766</v>
      </c>
      <c r="G91" s="62" t="s">
        <v>157</v>
      </c>
      <c r="H91" s="64" t="n">
        <v>12</v>
      </c>
      <c r="I91" s="64" t="n">
        <v>30</v>
      </c>
      <c r="J91" s="64" t="n">
        <f aca="false">ROUND(AVERAGE(H91:I91),1)</f>
        <v>21</v>
      </c>
      <c r="K91" s="59" t="n">
        <v>0.5</v>
      </c>
      <c r="L91" s="64" t="n">
        <f aca="false">J91+K91</f>
        <v>21.5</v>
      </c>
      <c r="M91" s="65" t="n">
        <f aca="false">IFERROR(INDEX(99_Listas!$C$2:$C$5,MATCH(G91,99_Listas!$B$2:$B$5,0)),0)</f>
        <v>0.07</v>
      </c>
      <c r="N91" s="64" t="n">
        <f aca="false">ROUND(J91*M91,2)</f>
        <v>1.47</v>
      </c>
      <c r="O91" s="64" t="n">
        <f aca="false">ROUND(J91-N91,2)</f>
        <v>19.53</v>
      </c>
      <c r="P91" s="62" t="s">
        <v>1103</v>
      </c>
      <c r="Q91" s="61" t="n">
        <v>1</v>
      </c>
      <c r="R91" s="62" t="s">
        <v>276</v>
      </c>
      <c r="S91" s="63" t="s">
        <v>228</v>
      </c>
      <c r="T91" s="63" t="s">
        <v>2199</v>
      </c>
      <c r="U91" s="63" t="s">
        <v>2395</v>
      </c>
    </row>
    <row r="92" customFormat="false" ht="15" hidden="false" customHeight="true" outlineLevel="0" collapsed="false">
      <c r="A92" s="54" t="n">
        <v>91</v>
      </c>
      <c r="B92" s="55" t="s">
        <v>2254</v>
      </c>
      <c r="C92" s="56" t="s">
        <v>2396</v>
      </c>
      <c r="D92" s="56" t="s">
        <v>2397</v>
      </c>
      <c r="E92" s="57" t="s">
        <v>2257</v>
      </c>
      <c r="F92" s="55" t="s">
        <v>1766</v>
      </c>
      <c r="G92" s="55" t="s">
        <v>157</v>
      </c>
      <c r="H92" s="58" t="n">
        <v>14</v>
      </c>
      <c r="I92" s="58" t="n">
        <v>28</v>
      </c>
      <c r="J92" s="58" t="n">
        <f aca="false">ROUND(AVERAGE(H92:I92),1)</f>
        <v>21</v>
      </c>
      <c r="K92" s="59" t="n">
        <v>0.5</v>
      </c>
      <c r="L92" s="58" t="n">
        <f aca="false">J92+K92</f>
        <v>21.5</v>
      </c>
      <c r="M92" s="60" t="n">
        <f aca="false">IFERROR(INDEX(99_Listas!$C$2:$C$5,MATCH(G92,99_Listas!$B$2:$B$5,0)),0)</f>
        <v>0.07</v>
      </c>
      <c r="N92" s="58" t="n">
        <f aca="false">ROUND(J92*M92,2)</f>
        <v>1.47</v>
      </c>
      <c r="O92" s="58" t="n">
        <f aca="false">ROUND(J92-N92,2)</f>
        <v>19.53</v>
      </c>
      <c r="P92" s="55" t="s">
        <v>1103</v>
      </c>
      <c r="Q92" s="54" t="n">
        <v>1</v>
      </c>
      <c r="R92" s="55" t="s">
        <v>276</v>
      </c>
      <c r="S92" s="56" t="s">
        <v>228</v>
      </c>
      <c r="T92" s="56" t="s">
        <v>2199</v>
      </c>
      <c r="U92" s="56" t="s">
        <v>2398</v>
      </c>
    </row>
    <row r="93" customFormat="false" ht="15" hidden="false" customHeight="true" outlineLevel="0" collapsed="false">
      <c r="A93" s="61" t="n">
        <v>92</v>
      </c>
      <c r="B93" s="62" t="s">
        <v>2254</v>
      </c>
      <c r="C93" s="63" t="s">
        <v>2399</v>
      </c>
      <c r="D93" s="63" t="s">
        <v>1766</v>
      </c>
      <c r="E93" s="57" t="s">
        <v>2257</v>
      </c>
      <c r="F93" s="62" t="s">
        <v>1766</v>
      </c>
      <c r="G93" s="62" t="s">
        <v>161</v>
      </c>
      <c r="H93" s="64" t="n">
        <v>20</v>
      </c>
      <c r="I93" s="64" t="n">
        <v>45</v>
      </c>
      <c r="J93" s="64" t="n">
        <f aca="false">ROUND(AVERAGE(H93:I93),1)</f>
        <v>32.5</v>
      </c>
      <c r="K93" s="59" t="n">
        <v>0.5</v>
      </c>
      <c r="L93" s="64" t="n">
        <f aca="false">J93+K93</f>
        <v>33</v>
      </c>
      <c r="M93" s="65" t="n">
        <f aca="false">IFERROR(INDEX(99_Listas!$C$2:$C$5,MATCH(G93,99_Listas!$B$2:$B$5,0)),0)</f>
        <v>0.09</v>
      </c>
      <c r="N93" s="64" t="n">
        <f aca="false">ROUND(J93*M93,2)</f>
        <v>2.93</v>
      </c>
      <c r="O93" s="64" t="n">
        <f aca="false">ROUND(J93-N93,2)</f>
        <v>29.57</v>
      </c>
      <c r="P93" s="62" t="s">
        <v>1103</v>
      </c>
      <c r="Q93" s="61" t="n">
        <v>1</v>
      </c>
      <c r="R93" s="62" t="s">
        <v>276</v>
      </c>
      <c r="S93" s="63" t="s">
        <v>228</v>
      </c>
      <c r="T93" s="63" t="s">
        <v>178</v>
      </c>
      <c r="U93" s="63"/>
    </row>
    <row r="94" customFormat="false" ht="15" hidden="false" customHeight="true" outlineLevel="0" collapsed="false">
      <c r="A94" s="54" t="n">
        <v>93</v>
      </c>
      <c r="B94" s="55" t="s">
        <v>2254</v>
      </c>
      <c r="C94" s="56" t="s">
        <v>2400</v>
      </c>
      <c r="D94" s="56" t="s">
        <v>1766</v>
      </c>
      <c r="E94" s="57" t="s">
        <v>2257</v>
      </c>
      <c r="F94" s="55" t="s">
        <v>1766</v>
      </c>
      <c r="G94" s="55" t="s">
        <v>161</v>
      </c>
      <c r="H94" s="58" t="n">
        <v>22</v>
      </c>
      <c r="I94" s="58" t="n">
        <v>50</v>
      </c>
      <c r="J94" s="58" t="n">
        <f aca="false">ROUND(AVERAGE(H94:I94),1)</f>
        <v>36</v>
      </c>
      <c r="K94" s="59" t="n">
        <v>0.5</v>
      </c>
      <c r="L94" s="58" t="n">
        <f aca="false">J94+K94</f>
        <v>36.5</v>
      </c>
      <c r="M94" s="60" t="n">
        <f aca="false">IFERROR(INDEX(99_Listas!$C$2:$C$5,MATCH(G94,99_Listas!$B$2:$B$5,0)),0)</f>
        <v>0.09</v>
      </c>
      <c r="N94" s="58" t="n">
        <f aca="false">ROUND(J94*M94,2)</f>
        <v>3.24</v>
      </c>
      <c r="O94" s="58" t="n">
        <f aca="false">ROUND(J94-N94,2)</f>
        <v>32.76</v>
      </c>
      <c r="P94" s="55" t="s">
        <v>1103</v>
      </c>
      <c r="Q94" s="54" t="n">
        <v>1</v>
      </c>
      <c r="R94" s="55" t="s">
        <v>276</v>
      </c>
      <c r="S94" s="56" t="s">
        <v>228</v>
      </c>
      <c r="T94" s="56" t="s">
        <v>178</v>
      </c>
      <c r="U94" s="56"/>
    </row>
    <row r="95" customFormat="false" ht="15" hidden="false" customHeight="true" outlineLevel="0" collapsed="false">
      <c r="A95" s="61" t="n">
        <v>94</v>
      </c>
      <c r="B95" s="62" t="s">
        <v>2254</v>
      </c>
      <c r="C95" s="63" t="s">
        <v>2401</v>
      </c>
      <c r="D95" s="63" t="s">
        <v>2402</v>
      </c>
      <c r="E95" s="57" t="s">
        <v>2257</v>
      </c>
      <c r="F95" s="62" t="s">
        <v>1753</v>
      </c>
      <c r="G95" s="62" t="s">
        <v>161</v>
      </c>
      <c r="H95" s="64" t="n">
        <v>20</v>
      </c>
      <c r="I95" s="64" t="n">
        <v>45</v>
      </c>
      <c r="J95" s="64" t="n">
        <f aca="false">ROUND(AVERAGE(H95:I95),1)</f>
        <v>32.5</v>
      </c>
      <c r="K95" s="59" t="n">
        <v>0.5</v>
      </c>
      <c r="L95" s="64" t="n">
        <f aca="false">J95+K95</f>
        <v>33</v>
      </c>
      <c r="M95" s="65" t="n">
        <f aca="false">IFERROR(INDEX(99_Listas!$C$2:$C$5,MATCH(G95,99_Listas!$B$2:$B$5,0)),0)</f>
        <v>0.09</v>
      </c>
      <c r="N95" s="64" t="n">
        <f aca="false">ROUND(J95*M95,2)</f>
        <v>2.93</v>
      </c>
      <c r="O95" s="64" t="n">
        <f aca="false">ROUND(J95-N95,2)</f>
        <v>29.57</v>
      </c>
      <c r="P95" s="62" t="s">
        <v>1103</v>
      </c>
      <c r="Q95" s="61" t="n">
        <v>8</v>
      </c>
      <c r="R95" s="62" t="s">
        <v>165</v>
      </c>
      <c r="S95" s="63" t="s">
        <v>228</v>
      </c>
      <c r="T95" s="63" t="s">
        <v>1236</v>
      </c>
      <c r="U95" s="63"/>
    </row>
    <row r="96" customFormat="false" ht="15" hidden="false" customHeight="true" outlineLevel="0" collapsed="false">
      <c r="A96" s="54" t="n">
        <v>95</v>
      </c>
      <c r="B96" s="55" t="s">
        <v>2254</v>
      </c>
      <c r="C96" s="56" t="s">
        <v>2403</v>
      </c>
      <c r="D96" s="56" t="s">
        <v>2404</v>
      </c>
      <c r="E96" s="57" t="s">
        <v>2257</v>
      </c>
      <c r="F96" s="55" t="s">
        <v>1494</v>
      </c>
      <c r="G96" s="55" t="s">
        <v>169</v>
      </c>
      <c r="H96" s="58" t="n">
        <v>90</v>
      </c>
      <c r="I96" s="58" t="n">
        <v>200</v>
      </c>
      <c r="J96" s="58" t="n">
        <f aca="false">ROUND(AVERAGE(H96:I96),1)</f>
        <v>145</v>
      </c>
      <c r="K96" s="59" t="n">
        <v>0.5</v>
      </c>
      <c r="L96" s="58" t="n">
        <f aca="false">J96+K96</f>
        <v>145.5</v>
      </c>
      <c r="M96" s="60" t="n">
        <f aca="false">IFERROR(INDEX(99_Listas!$C$2:$C$5,MATCH(G96,99_Listas!$B$2:$B$5,0)),0)</f>
        <v>0.13</v>
      </c>
      <c r="N96" s="58" t="n">
        <f aca="false">ROUND(J96*M96,2)</f>
        <v>18.85</v>
      </c>
      <c r="O96" s="58" t="n">
        <f aca="false">ROUND(J96-N96,2)</f>
        <v>126.15</v>
      </c>
      <c r="P96" s="55" t="s">
        <v>928</v>
      </c>
      <c r="Q96" s="54" t="n">
        <v>3</v>
      </c>
      <c r="R96" s="55" t="s">
        <v>276</v>
      </c>
      <c r="S96" s="56" t="s">
        <v>1542</v>
      </c>
      <c r="T96" s="56" t="s">
        <v>178</v>
      </c>
      <c r="U96" s="56"/>
    </row>
    <row r="97" customFormat="false" ht="15" hidden="false" customHeight="true" outlineLevel="0" collapsed="false">
      <c r="A97" s="61" t="n">
        <v>96</v>
      </c>
      <c r="B97" s="62" t="s">
        <v>2266</v>
      </c>
      <c r="C97" s="63" t="s">
        <v>2405</v>
      </c>
      <c r="D97" s="63" t="s">
        <v>1766</v>
      </c>
      <c r="E97" s="57" t="s">
        <v>2273</v>
      </c>
      <c r="F97" s="62" t="s">
        <v>1766</v>
      </c>
      <c r="G97" s="62" t="s">
        <v>161</v>
      </c>
      <c r="H97" s="64" t="n">
        <v>20</v>
      </c>
      <c r="I97" s="64" t="n">
        <v>45</v>
      </c>
      <c r="J97" s="64" t="n">
        <f aca="false">ROUND(AVERAGE(H97:I97),1)</f>
        <v>32.5</v>
      </c>
      <c r="K97" s="59" t="n">
        <v>0.5</v>
      </c>
      <c r="L97" s="64" t="n">
        <f aca="false">J97+K97</f>
        <v>33</v>
      </c>
      <c r="M97" s="65" t="n">
        <f aca="false">IFERROR(INDEX(99_Listas!$C$2:$C$5,MATCH(G97,99_Listas!$B$2:$B$5,0)),0)</f>
        <v>0.09</v>
      </c>
      <c r="N97" s="64" t="n">
        <f aca="false">ROUND(J97*M97,2)</f>
        <v>2.93</v>
      </c>
      <c r="O97" s="64" t="n">
        <f aca="false">ROUND(J97-N97,2)</f>
        <v>29.57</v>
      </c>
      <c r="P97" s="62" t="s">
        <v>1103</v>
      </c>
      <c r="Q97" s="61" t="n">
        <v>1</v>
      </c>
      <c r="R97" s="62" t="s">
        <v>276</v>
      </c>
      <c r="S97" s="63" t="s">
        <v>228</v>
      </c>
      <c r="T97" s="63" t="s">
        <v>178</v>
      </c>
      <c r="U97" s="63"/>
    </row>
    <row r="98" customFormat="false" ht="15" hidden="false" customHeight="true" outlineLevel="0" collapsed="false">
      <c r="A98" s="54" t="n">
        <v>97</v>
      </c>
      <c r="B98" s="55" t="s">
        <v>2266</v>
      </c>
      <c r="C98" s="56" t="s">
        <v>2406</v>
      </c>
      <c r="D98" s="56" t="s">
        <v>1766</v>
      </c>
      <c r="E98" s="57" t="s">
        <v>2273</v>
      </c>
      <c r="F98" s="55" t="s">
        <v>1766</v>
      </c>
      <c r="G98" s="55" t="s">
        <v>161</v>
      </c>
      <c r="H98" s="58" t="n">
        <v>20</v>
      </c>
      <c r="I98" s="58" t="n">
        <v>45</v>
      </c>
      <c r="J98" s="58" t="n">
        <f aca="false">ROUND(AVERAGE(H98:I98),1)</f>
        <v>32.5</v>
      </c>
      <c r="K98" s="59" t="n">
        <v>0.5</v>
      </c>
      <c r="L98" s="58" t="n">
        <f aca="false">J98+K98</f>
        <v>33</v>
      </c>
      <c r="M98" s="60" t="n">
        <f aca="false">IFERROR(INDEX(99_Listas!$C$2:$C$5,MATCH(G98,99_Listas!$B$2:$B$5,0)),0)</f>
        <v>0.09</v>
      </c>
      <c r="N98" s="58" t="n">
        <f aca="false">ROUND(J98*M98,2)</f>
        <v>2.93</v>
      </c>
      <c r="O98" s="58" t="n">
        <f aca="false">ROUND(J98-N98,2)</f>
        <v>29.57</v>
      </c>
      <c r="P98" s="55" t="s">
        <v>1103</v>
      </c>
      <c r="Q98" s="54" t="n">
        <v>1</v>
      </c>
      <c r="R98" s="55" t="s">
        <v>276</v>
      </c>
      <c r="S98" s="56" t="s">
        <v>228</v>
      </c>
      <c r="T98" s="56" t="s">
        <v>178</v>
      </c>
      <c r="U98" s="56"/>
    </row>
    <row r="99" customFormat="false" ht="15" hidden="false" customHeight="true" outlineLevel="0" collapsed="false">
      <c r="A99" s="61" t="n">
        <v>98</v>
      </c>
      <c r="B99" s="62" t="s">
        <v>2266</v>
      </c>
      <c r="C99" s="63" t="s">
        <v>2407</v>
      </c>
      <c r="D99" s="63" t="s">
        <v>2408</v>
      </c>
      <c r="E99" s="57" t="s">
        <v>1737</v>
      </c>
      <c r="F99" s="62" t="s">
        <v>1766</v>
      </c>
      <c r="G99" s="62" t="s">
        <v>161</v>
      </c>
      <c r="H99" s="64" t="n">
        <v>22</v>
      </c>
      <c r="I99" s="64" t="n">
        <v>50</v>
      </c>
      <c r="J99" s="64" t="n">
        <f aca="false">ROUND(AVERAGE(H99:I99),1)</f>
        <v>36</v>
      </c>
      <c r="K99" s="59" t="n">
        <v>0.5</v>
      </c>
      <c r="L99" s="64" t="n">
        <f aca="false">J99+K99</f>
        <v>36.5</v>
      </c>
      <c r="M99" s="65" t="n">
        <f aca="false">IFERROR(INDEX(99_Listas!$C$2:$C$5,MATCH(G99,99_Listas!$B$2:$B$5,0)),0)</f>
        <v>0.09</v>
      </c>
      <c r="N99" s="64" t="n">
        <f aca="false">ROUND(J99*M99,2)</f>
        <v>3.24</v>
      </c>
      <c r="O99" s="64" t="n">
        <f aca="false">ROUND(J99-N99,2)</f>
        <v>32.76</v>
      </c>
      <c r="P99" s="62" t="s">
        <v>1103</v>
      </c>
      <c r="Q99" s="61" t="n">
        <v>1</v>
      </c>
      <c r="R99" s="62" t="s">
        <v>276</v>
      </c>
      <c r="S99" s="63" t="s">
        <v>228</v>
      </c>
      <c r="T99" s="63" t="s">
        <v>178</v>
      </c>
      <c r="U99" s="63"/>
    </row>
    <row r="100" customFormat="false" ht="15" hidden="false" customHeight="true" outlineLevel="0" collapsed="false">
      <c r="A100" s="54" t="n">
        <v>99</v>
      </c>
      <c r="B100" s="55" t="s">
        <v>2266</v>
      </c>
      <c r="C100" s="56" t="s">
        <v>2409</v>
      </c>
      <c r="D100" s="56" t="s">
        <v>2410</v>
      </c>
      <c r="E100" s="57" t="s">
        <v>2273</v>
      </c>
      <c r="F100" s="55" t="s">
        <v>1766</v>
      </c>
      <c r="G100" s="55" t="s">
        <v>161</v>
      </c>
      <c r="H100" s="58" t="n">
        <v>20</v>
      </c>
      <c r="I100" s="58" t="n">
        <v>50</v>
      </c>
      <c r="J100" s="58" t="n">
        <f aca="false">ROUND(AVERAGE(H100:I100),1)</f>
        <v>35</v>
      </c>
      <c r="K100" s="59" t="n">
        <v>0.5</v>
      </c>
      <c r="L100" s="58" t="n">
        <f aca="false">J100+K100</f>
        <v>35.5</v>
      </c>
      <c r="M100" s="60" t="n">
        <f aca="false">IFERROR(INDEX(99_Listas!$C$2:$C$5,MATCH(G100,99_Listas!$B$2:$B$5,0)),0)</f>
        <v>0.09</v>
      </c>
      <c r="N100" s="58" t="n">
        <f aca="false">ROUND(J100*M100,2)</f>
        <v>3.15</v>
      </c>
      <c r="O100" s="58" t="n">
        <f aca="false">ROUND(J100-N100,2)</f>
        <v>31.85</v>
      </c>
      <c r="P100" s="55" t="s">
        <v>1103</v>
      </c>
      <c r="Q100" s="54" t="n">
        <v>1</v>
      </c>
      <c r="R100" s="55" t="s">
        <v>276</v>
      </c>
      <c r="S100" s="56" t="s">
        <v>228</v>
      </c>
      <c r="T100" s="56" t="s">
        <v>2265</v>
      </c>
      <c r="U100" s="56"/>
    </row>
    <row r="101" customFormat="false" ht="23.25" hidden="false" customHeight="true" outlineLevel="0" collapsed="false">
      <c r="A101" s="61" t="n">
        <v>100</v>
      </c>
      <c r="B101" s="62" t="s">
        <v>2278</v>
      </c>
      <c r="C101" s="63" t="s">
        <v>2411</v>
      </c>
      <c r="D101" s="63" t="s">
        <v>2412</v>
      </c>
      <c r="E101" s="57" t="s">
        <v>1146</v>
      </c>
      <c r="F101" s="62" t="s">
        <v>1016</v>
      </c>
      <c r="G101" s="62" t="s">
        <v>161</v>
      </c>
      <c r="H101" s="64" t="n">
        <v>35</v>
      </c>
      <c r="I101" s="64" t="n">
        <v>70</v>
      </c>
      <c r="J101" s="64" t="n">
        <f aca="false">ROUND(AVERAGE(H101:I101),1)</f>
        <v>52.5</v>
      </c>
      <c r="K101" s="59" t="n">
        <v>0.5</v>
      </c>
      <c r="L101" s="64" t="n">
        <f aca="false">J101+K101</f>
        <v>53</v>
      </c>
      <c r="M101" s="65" t="n">
        <f aca="false">IFERROR(INDEX(99_Listas!$C$2:$C$5,MATCH(G101,99_Listas!$B$2:$B$5,0)),0)</f>
        <v>0.09</v>
      </c>
      <c r="N101" s="64" t="n">
        <f aca="false">ROUND(J101*M101,2)</f>
        <v>4.73</v>
      </c>
      <c r="O101" s="64" t="n">
        <f aca="false">ROUND(J101-N101,2)</f>
        <v>47.77</v>
      </c>
      <c r="P101" s="62" t="s">
        <v>1103</v>
      </c>
      <c r="Q101" s="61" t="n">
        <v>6</v>
      </c>
      <c r="R101" s="62" t="s">
        <v>276</v>
      </c>
      <c r="S101" s="63" t="s">
        <v>228</v>
      </c>
      <c r="T101" s="63" t="s">
        <v>178</v>
      </c>
      <c r="U101" s="63"/>
    </row>
    <row r="102" customFormat="false" ht="15" hidden="false" customHeight="true" outlineLevel="0" collapsed="false">
      <c r="A102" s="54" t="n">
        <v>101</v>
      </c>
      <c r="B102" s="55" t="s">
        <v>2278</v>
      </c>
      <c r="C102" s="56" t="s">
        <v>2413</v>
      </c>
      <c r="D102" s="56" t="s">
        <v>2414</v>
      </c>
      <c r="E102" s="57" t="s">
        <v>2415</v>
      </c>
      <c r="F102" s="55" t="s">
        <v>1016</v>
      </c>
      <c r="G102" s="55" t="s">
        <v>165</v>
      </c>
      <c r="H102" s="58" t="n">
        <v>40</v>
      </c>
      <c r="I102" s="58" t="n">
        <v>85</v>
      </c>
      <c r="J102" s="58" t="n">
        <f aca="false">ROUND(AVERAGE(H102:I102),1)</f>
        <v>62.5</v>
      </c>
      <c r="K102" s="59" t="n">
        <v>0.5</v>
      </c>
      <c r="L102" s="58" t="n">
        <f aca="false">J102+K102</f>
        <v>63</v>
      </c>
      <c r="M102" s="60" t="n">
        <f aca="false">IFERROR(INDEX(99_Listas!$C$2:$C$5,MATCH(G102,99_Listas!$B$2:$B$5,0)),0)</f>
        <v>0.11</v>
      </c>
      <c r="N102" s="58" t="n">
        <f aca="false">ROUND(J102*M102,2)</f>
        <v>6.88</v>
      </c>
      <c r="O102" s="58" t="n">
        <f aca="false">ROUND(J102-N102,2)</f>
        <v>55.62</v>
      </c>
      <c r="P102" s="55" t="s">
        <v>1103</v>
      </c>
      <c r="Q102" s="54" t="n">
        <v>6</v>
      </c>
      <c r="R102" s="55" t="s">
        <v>276</v>
      </c>
      <c r="S102" s="56" t="s">
        <v>228</v>
      </c>
      <c r="T102" s="56" t="s">
        <v>178</v>
      </c>
      <c r="U102" s="56"/>
    </row>
    <row r="103" customFormat="false" ht="23.25" hidden="false" customHeight="true" outlineLevel="0" collapsed="false">
      <c r="A103" s="61" t="n">
        <v>102</v>
      </c>
      <c r="B103" s="62" t="s">
        <v>2278</v>
      </c>
      <c r="C103" s="63" t="s">
        <v>2416</v>
      </c>
      <c r="D103" s="63" t="s">
        <v>2417</v>
      </c>
      <c r="E103" s="57" t="s">
        <v>1098</v>
      </c>
      <c r="F103" s="62" t="s">
        <v>1016</v>
      </c>
      <c r="G103" s="62" t="s">
        <v>169</v>
      </c>
      <c r="H103" s="64" t="n">
        <v>80</v>
      </c>
      <c r="I103" s="64" t="n">
        <v>160</v>
      </c>
      <c r="J103" s="64" t="n">
        <f aca="false">ROUND(AVERAGE(H103:I103),1)</f>
        <v>120</v>
      </c>
      <c r="K103" s="59" t="n">
        <v>0.5</v>
      </c>
      <c r="L103" s="64" t="n">
        <f aca="false">J103+K103</f>
        <v>120.5</v>
      </c>
      <c r="M103" s="65" t="n">
        <f aca="false">IFERROR(INDEX(99_Listas!$C$2:$C$5,MATCH(G103,99_Listas!$B$2:$B$5,0)),0)</f>
        <v>0.13</v>
      </c>
      <c r="N103" s="64" t="n">
        <f aca="false">ROUND(J103*M103,2)</f>
        <v>15.6</v>
      </c>
      <c r="O103" s="64" t="n">
        <f aca="false">ROUND(J103-N103,2)</f>
        <v>104.4</v>
      </c>
      <c r="P103" s="62" t="s">
        <v>1103</v>
      </c>
      <c r="Q103" s="61" t="n">
        <v>6</v>
      </c>
      <c r="R103" s="62" t="s">
        <v>165</v>
      </c>
      <c r="S103" s="63" t="s">
        <v>380</v>
      </c>
      <c r="T103" s="63" t="s">
        <v>178</v>
      </c>
      <c r="U103" s="63" t="s">
        <v>2418</v>
      </c>
    </row>
    <row r="104" customFormat="false" ht="23.25" hidden="false" customHeight="true" outlineLevel="0" collapsed="false">
      <c r="A104" s="54" t="n">
        <v>103</v>
      </c>
      <c r="B104" s="55" t="s">
        <v>2278</v>
      </c>
      <c r="C104" s="56" t="s">
        <v>2419</v>
      </c>
      <c r="D104" s="56" t="s">
        <v>2420</v>
      </c>
      <c r="E104" s="57" t="s">
        <v>1186</v>
      </c>
      <c r="F104" s="55" t="s">
        <v>1016</v>
      </c>
      <c r="G104" s="55" t="s">
        <v>169</v>
      </c>
      <c r="H104" s="58" t="n">
        <v>90</v>
      </c>
      <c r="I104" s="58" t="n">
        <v>180</v>
      </c>
      <c r="J104" s="58" t="n">
        <f aca="false">ROUND(AVERAGE(H104:I104),1)</f>
        <v>135</v>
      </c>
      <c r="K104" s="59" t="n">
        <v>0.5</v>
      </c>
      <c r="L104" s="58" t="n">
        <f aca="false">J104+K104</f>
        <v>135.5</v>
      </c>
      <c r="M104" s="60" t="n">
        <f aca="false">IFERROR(INDEX(99_Listas!$C$2:$C$5,MATCH(G104,99_Listas!$B$2:$B$5,0)),0)</f>
        <v>0.13</v>
      </c>
      <c r="N104" s="58" t="n">
        <f aca="false">ROUND(J104*M104,2)</f>
        <v>17.55</v>
      </c>
      <c r="O104" s="58" t="n">
        <f aca="false">ROUND(J104-N104,2)</f>
        <v>117.45</v>
      </c>
      <c r="P104" s="55" t="s">
        <v>2421</v>
      </c>
      <c r="Q104" s="54" t="n">
        <v>8</v>
      </c>
      <c r="R104" s="55" t="s">
        <v>165</v>
      </c>
      <c r="S104" s="56" t="s">
        <v>380</v>
      </c>
      <c r="T104" s="56" t="s">
        <v>2199</v>
      </c>
      <c r="U104" s="56" t="s">
        <v>2422</v>
      </c>
    </row>
    <row r="105" customFormat="false" ht="15" hidden="false" customHeight="true" outlineLevel="0" collapsed="false">
      <c r="A105" s="61" t="n">
        <v>104</v>
      </c>
      <c r="B105" s="62" t="s">
        <v>2278</v>
      </c>
      <c r="C105" s="63" t="s">
        <v>2423</v>
      </c>
      <c r="D105" s="63" t="s">
        <v>2293</v>
      </c>
      <c r="E105" s="57" t="s">
        <v>2424</v>
      </c>
      <c r="F105" s="62" t="s">
        <v>2294</v>
      </c>
      <c r="G105" s="62" t="s">
        <v>165</v>
      </c>
      <c r="H105" s="64" t="n">
        <v>30</v>
      </c>
      <c r="I105" s="64" t="n">
        <v>65</v>
      </c>
      <c r="J105" s="64" t="n">
        <f aca="false">ROUND(AVERAGE(H105:I105),1)</f>
        <v>47.5</v>
      </c>
      <c r="K105" s="59" t="n">
        <v>0.5</v>
      </c>
      <c r="L105" s="64" t="n">
        <f aca="false">J105+K105</f>
        <v>48</v>
      </c>
      <c r="M105" s="65" t="n">
        <f aca="false">IFERROR(INDEX(99_Listas!$C$2:$C$5,MATCH(G105,99_Listas!$B$2:$B$5,0)),0)</f>
        <v>0.11</v>
      </c>
      <c r="N105" s="64" t="n">
        <f aca="false">ROUND(J105*M105,2)</f>
        <v>5.23</v>
      </c>
      <c r="O105" s="64" t="n">
        <f aca="false">ROUND(J105-N105,2)</f>
        <v>42.27</v>
      </c>
      <c r="P105" s="62" t="s">
        <v>1103</v>
      </c>
      <c r="Q105" s="61" t="n">
        <v>8</v>
      </c>
      <c r="R105" s="62" t="s">
        <v>165</v>
      </c>
      <c r="S105" s="63" t="s">
        <v>380</v>
      </c>
      <c r="T105" s="63" t="s">
        <v>1236</v>
      </c>
      <c r="U105" s="63"/>
    </row>
    <row r="106" customFormat="false" ht="23.25" hidden="false" customHeight="true" outlineLevel="0" collapsed="false">
      <c r="A106" s="54" t="n">
        <v>105</v>
      </c>
      <c r="B106" s="55" t="s">
        <v>2278</v>
      </c>
      <c r="C106" s="56" t="s">
        <v>2425</v>
      </c>
      <c r="D106" s="56" t="s">
        <v>2426</v>
      </c>
      <c r="E106" s="57" t="s">
        <v>2257</v>
      </c>
      <c r="F106" s="55" t="s">
        <v>1016</v>
      </c>
      <c r="G106" s="55" t="s">
        <v>169</v>
      </c>
      <c r="H106" s="58" t="n">
        <v>60</v>
      </c>
      <c r="I106" s="58" t="n">
        <v>140</v>
      </c>
      <c r="J106" s="58" t="n">
        <f aca="false">ROUND(AVERAGE(H106:I106),1)</f>
        <v>100</v>
      </c>
      <c r="K106" s="59" t="n">
        <v>0.5</v>
      </c>
      <c r="L106" s="58" t="n">
        <f aca="false">J106+K106</f>
        <v>100.5</v>
      </c>
      <c r="M106" s="60" t="n">
        <f aca="false">IFERROR(INDEX(99_Listas!$C$2:$C$5,MATCH(G106,99_Listas!$B$2:$B$5,0)),0)</f>
        <v>0.13</v>
      </c>
      <c r="N106" s="58" t="n">
        <f aca="false">ROUND(J106*M106,2)</f>
        <v>13</v>
      </c>
      <c r="O106" s="58" t="n">
        <f aca="false">ROUND(J106-N106,2)</f>
        <v>87</v>
      </c>
      <c r="P106" s="55" t="s">
        <v>928</v>
      </c>
      <c r="Q106" s="54" t="n">
        <v>8</v>
      </c>
      <c r="R106" s="55" t="s">
        <v>165</v>
      </c>
      <c r="S106" s="56" t="s">
        <v>228</v>
      </c>
      <c r="T106" s="56" t="s">
        <v>178</v>
      </c>
      <c r="U106" s="56"/>
    </row>
    <row r="107" customFormat="false" ht="15" hidden="false" customHeight="true" outlineLevel="0" collapsed="false">
      <c r="A107" s="61" t="n">
        <v>106</v>
      </c>
      <c r="B107" s="62" t="s">
        <v>2296</v>
      </c>
      <c r="C107" s="63" t="s">
        <v>2427</v>
      </c>
      <c r="D107" s="63" t="s">
        <v>2428</v>
      </c>
      <c r="E107" s="57" t="s">
        <v>1186</v>
      </c>
      <c r="F107" s="62" t="s">
        <v>534</v>
      </c>
      <c r="G107" s="62" t="s">
        <v>157</v>
      </c>
      <c r="H107" s="64" t="n">
        <v>8</v>
      </c>
      <c r="I107" s="64" t="n">
        <v>18</v>
      </c>
      <c r="J107" s="64" t="n">
        <f aca="false">ROUND(AVERAGE(H107:I107),1)</f>
        <v>13</v>
      </c>
      <c r="K107" s="59" t="n">
        <v>0.5</v>
      </c>
      <c r="L107" s="64" t="n">
        <f aca="false">J107+K107</f>
        <v>13.5</v>
      </c>
      <c r="M107" s="65" t="n">
        <f aca="false">IFERROR(INDEX(99_Listas!$C$2:$C$5,MATCH(G107,99_Listas!$B$2:$B$5,0)),0)</f>
        <v>0.07</v>
      </c>
      <c r="N107" s="64" t="n">
        <f aca="false">ROUND(J107*M107,2)</f>
        <v>0.91</v>
      </c>
      <c r="O107" s="64" t="n">
        <f aca="false">ROUND(J107-N107,2)</f>
        <v>12.09</v>
      </c>
      <c r="P107" s="62" t="s">
        <v>2429</v>
      </c>
      <c r="Q107" s="61" t="n">
        <v>1</v>
      </c>
      <c r="R107" s="62" t="s">
        <v>276</v>
      </c>
      <c r="S107" s="63" t="s">
        <v>380</v>
      </c>
      <c r="T107" s="63" t="s">
        <v>2430</v>
      </c>
      <c r="U107" s="63"/>
    </row>
    <row r="108" customFormat="false" ht="15" hidden="false" customHeight="true" outlineLevel="0" collapsed="false">
      <c r="A108" s="54" t="n">
        <v>107</v>
      </c>
      <c r="B108" s="55" t="s">
        <v>2296</v>
      </c>
      <c r="C108" s="56" t="s">
        <v>2431</v>
      </c>
      <c r="D108" s="56" t="s">
        <v>2432</v>
      </c>
      <c r="E108" s="57" t="s">
        <v>2433</v>
      </c>
      <c r="F108" s="55" t="s">
        <v>534</v>
      </c>
      <c r="G108" s="55" t="s">
        <v>157</v>
      </c>
      <c r="H108" s="58" t="n">
        <v>3</v>
      </c>
      <c r="I108" s="58" t="n">
        <v>8</v>
      </c>
      <c r="J108" s="58" t="n">
        <f aca="false">ROUND(AVERAGE(H108:I108),1)</f>
        <v>5.5</v>
      </c>
      <c r="K108" s="59" t="n">
        <v>0.5</v>
      </c>
      <c r="L108" s="58" t="n">
        <f aca="false">J108+K108</f>
        <v>6</v>
      </c>
      <c r="M108" s="60" t="n">
        <f aca="false">IFERROR(INDEX(99_Listas!$C$2:$C$5,MATCH(G108,99_Listas!$B$2:$B$5,0)),0)</f>
        <v>0.07</v>
      </c>
      <c r="N108" s="58" t="n">
        <f aca="false">ROUND(J108*M108,2)</f>
        <v>0.39</v>
      </c>
      <c r="O108" s="58" t="n">
        <f aca="false">ROUND(J108-N108,2)</f>
        <v>5.11</v>
      </c>
      <c r="P108" s="55" t="s">
        <v>928</v>
      </c>
      <c r="Q108" s="54" t="n">
        <v>1</v>
      </c>
      <c r="R108" s="55" t="s">
        <v>276</v>
      </c>
      <c r="S108" s="56" t="s">
        <v>228</v>
      </c>
      <c r="T108" s="56" t="s">
        <v>198</v>
      </c>
      <c r="U108" s="56"/>
    </row>
    <row r="109" customFormat="false" ht="15" hidden="false" customHeight="true" outlineLevel="0" collapsed="false">
      <c r="A109" s="61" t="n">
        <v>108</v>
      </c>
      <c r="B109" s="62" t="s">
        <v>2296</v>
      </c>
      <c r="C109" s="63" t="s">
        <v>2434</v>
      </c>
      <c r="D109" s="63" t="s">
        <v>2435</v>
      </c>
      <c r="E109" s="57" t="s">
        <v>2308</v>
      </c>
      <c r="F109" s="62" t="s">
        <v>1766</v>
      </c>
      <c r="G109" s="62" t="s">
        <v>157</v>
      </c>
      <c r="H109" s="64" t="n">
        <v>6</v>
      </c>
      <c r="I109" s="64" t="n">
        <v>15</v>
      </c>
      <c r="J109" s="64" t="n">
        <f aca="false">ROUND(AVERAGE(H109:I109),1)</f>
        <v>10.5</v>
      </c>
      <c r="K109" s="59" t="n">
        <v>0.5</v>
      </c>
      <c r="L109" s="64" t="n">
        <f aca="false">J109+K109</f>
        <v>11</v>
      </c>
      <c r="M109" s="65" t="n">
        <f aca="false">IFERROR(INDEX(99_Listas!$C$2:$C$5,MATCH(G109,99_Listas!$B$2:$B$5,0)),0)</f>
        <v>0.07</v>
      </c>
      <c r="N109" s="64" t="n">
        <f aca="false">ROUND(J109*M109,2)</f>
        <v>0.74</v>
      </c>
      <c r="O109" s="64" t="n">
        <f aca="false">ROUND(J109-N109,2)</f>
        <v>9.76</v>
      </c>
      <c r="P109" s="62" t="s">
        <v>1103</v>
      </c>
      <c r="Q109" s="61" t="n">
        <v>1</v>
      </c>
      <c r="R109" s="62" t="s">
        <v>276</v>
      </c>
      <c r="S109" s="63" t="s">
        <v>228</v>
      </c>
      <c r="T109" s="63" t="s">
        <v>178</v>
      </c>
      <c r="U109" s="63"/>
    </row>
    <row r="110" customFormat="false" ht="15" hidden="false" customHeight="true" outlineLevel="0" collapsed="false">
      <c r="A110" s="54" t="n">
        <v>109</v>
      </c>
      <c r="B110" s="55" t="s">
        <v>2296</v>
      </c>
      <c r="C110" s="56" t="s">
        <v>2436</v>
      </c>
      <c r="D110" s="56" t="s">
        <v>1661</v>
      </c>
      <c r="E110" s="57" t="s">
        <v>2310</v>
      </c>
      <c r="F110" s="55" t="s">
        <v>1661</v>
      </c>
      <c r="G110" s="55" t="s">
        <v>157</v>
      </c>
      <c r="H110" s="58" t="n">
        <v>5</v>
      </c>
      <c r="I110" s="58" t="n">
        <v>14</v>
      </c>
      <c r="J110" s="58" t="n">
        <f aca="false">ROUND(AVERAGE(H110:I110),1)</f>
        <v>9.5</v>
      </c>
      <c r="K110" s="59" t="n">
        <v>0.5</v>
      </c>
      <c r="L110" s="58" t="n">
        <f aca="false">J110+K110</f>
        <v>10</v>
      </c>
      <c r="M110" s="60" t="n">
        <f aca="false">IFERROR(INDEX(99_Listas!$C$2:$C$5,MATCH(G110,99_Listas!$B$2:$B$5,0)),0)</f>
        <v>0.07</v>
      </c>
      <c r="N110" s="58" t="n">
        <f aca="false">ROUND(J110*M110,2)</f>
        <v>0.67</v>
      </c>
      <c r="O110" s="58" t="n">
        <f aca="false">ROUND(J110-N110,2)</f>
        <v>8.83</v>
      </c>
      <c r="P110" s="55" t="s">
        <v>1103</v>
      </c>
      <c r="Q110" s="54" t="n">
        <v>1</v>
      </c>
      <c r="R110" s="55" t="s">
        <v>276</v>
      </c>
      <c r="S110" s="56" t="s">
        <v>380</v>
      </c>
      <c r="T110" s="56" t="s">
        <v>198</v>
      </c>
      <c r="U110" s="56"/>
    </row>
    <row r="111" customFormat="false" ht="15" hidden="false" customHeight="true" outlineLevel="0" collapsed="false">
      <c r="A111" s="61" t="n">
        <v>110</v>
      </c>
      <c r="B111" s="62" t="s">
        <v>2296</v>
      </c>
      <c r="C111" s="63" t="s">
        <v>2437</v>
      </c>
      <c r="D111" s="63" t="s">
        <v>534</v>
      </c>
      <c r="E111" s="57" t="s">
        <v>2299</v>
      </c>
      <c r="F111" s="62" t="s">
        <v>534</v>
      </c>
      <c r="G111" s="62" t="s">
        <v>157</v>
      </c>
      <c r="H111" s="64" t="n">
        <v>4</v>
      </c>
      <c r="I111" s="64" t="n">
        <v>10</v>
      </c>
      <c r="J111" s="64" t="n">
        <f aca="false">ROUND(AVERAGE(H111:I111),1)</f>
        <v>7</v>
      </c>
      <c r="K111" s="59" t="n">
        <v>0.5</v>
      </c>
      <c r="L111" s="64" t="n">
        <f aca="false">J111+K111</f>
        <v>7.5</v>
      </c>
      <c r="M111" s="65" t="n">
        <f aca="false">IFERROR(INDEX(99_Listas!$C$2:$C$5,MATCH(G111,99_Listas!$B$2:$B$5,0)),0)</f>
        <v>0.07</v>
      </c>
      <c r="N111" s="64" t="n">
        <f aca="false">ROUND(J111*M111,2)</f>
        <v>0.49</v>
      </c>
      <c r="O111" s="64" t="n">
        <f aca="false">ROUND(J111-N111,2)</f>
        <v>6.51</v>
      </c>
      <c r="P111" s="62" t="s">
        <v>1103</v>
      </c>
      <c r="Q111" s="61" t="n">
        <v>1</v>
      </c>
      <c r="R111" s="62" t="s">
        <v>258</v>
      </c>
      <c r="S111" s="63" t="s">
        <v>1830</v>
      </c>
      <c r="T111" s="63" t="s">
        <v>178</v>
      </c>
      <c r="U111" s="63" t="s">
        <v>2438</v>
      </c>
    </row>
    <row r="112" customFormat="false" ht="15" hidden="false" customHeight="true" outlineLevel="0" collapsed="false">
      <c r="A112" s="54" t="n">
        <v>111</v>
      </c>
      <c r="B112" s="55" t="s">
        <v>2296</v>
      </c>
      <c r="C112" s="56" t="s">
        <v>2439</v>
      </c>
      <c r="D112" s="56" t="s">
        <v>1766</v>
      </c>
      <c r="E112" s="57" t="s">
        <v>1098</v>
      </c>
      <c r="F112" s="55" t="s">
        <v>1766</v>
      </c>
      <c r="G112" s="55" t="s">
        <v>157</v>
      </c>
      <c r="H112" s="58" t="n">
        <v>4</v>
      </c>
      <c r="I112" s="58" t="n">
        <v>9</v>
      </c>
      <c r="J112" s="58" t="n">
        <f aca="false">ROUND(AVERAGE(H112:I112),1)</f>
        <v>6.5</v>
      </c>
      <c r="K112" s="59" t="n">
        <v>0.5</v>
      </c>
      <c r="L112" s="58" t="n">
        <f aca="false">J112+K112</f>
        <v>7</v>
      </c>
      <c r="M112" s="60" t="n">
        <f aca="false">IFERROR(INDEX(99_Listas!$C$2:$C$5,MATCH(G112,99_Listas!$B$2:$B$5,0)),0)</f>
        <v>0.07</v>
      </c>
      <c r="N112" s="58" t="n">
        <f aca="false">ROUND(J112*M112,2)</f>
        <v>0.46</v>
      </c>
      <c r="O112" s="58" t="n">
        <f aca="false">ROUND(J112-N112,2)</f>
        <v>6.04</v>
      </c>
      <c r="P112" s="55" t="s">
        <v>928</v>
      </c>
      <c r="Q112" s="54" t="n">
        <v>1</v>
      </c>
      <c r="R112" s="55" t="s">
        <v>276</v>
      </c>
      <c r="S112" s="56" t="s">
        <v>228</v>
      </c>
      <c r="T112" s="56" t="s">
        <v>2199</v>
      </c>
      <c r="U112" s="56"/>
    </row>
    <row r="113" customFormat="false" ht="15" hidden="false" customHeight="true" outlineLevel="0" collapsed="false">
      <c r="A113" s="61" t="n">
        <v>112</v>
      </c>
      <c r="B113" s="62" t="s">
        <v>2296</v>
      </c>
      <c r="C113" s="63" t="s">
        <v>2440</v>
      </c>
      <c r="D113" s="63" t="s">
        <v>2441</v>
      </c>
      <c r="E113" s="57" t="s">
        <v>1235</v>
      </c>
      <c r="F113" s="62" t="s">
        <v>2355</v>
      </c>
      <c r="G113" s="62" t="s">
        <v>157</v>
      </c>
      <c r="H113" s="64" t="n">
        <v>6</v>
      </c>
      <c r="I113" s="64" t="n">
        <v>15</v>
      </c>
      <c r="J113" s="64" t="n">
        <f aca="false">ROUND(AVERAGE(H113:I113),1)</f>
        <v>10.5</v>
      </c>
      <c r="K113" s="59" t="n">
        <v>0.5</v>
      </c>
      <c r="L113" s="64" t="n">
        <f aca="false">J113+K113</f>
        <v>11</v>
      </c>
      <c r="M113" s="65" t="n">
        <f aca="false">IFERROR(INDEX(99_Listas!$C$2:$C$5,MATCH(G113,99_Listas!$B$2:$B$5,0)),0)</f>
        <v>0.07</v>
      </c>
      <c r="N113" s="64" t="n">
        <f aca="false">ROUND(J113*M113,2)</f>
        <v>0.74</v>
      </c>
      <c r="O113" s="64" t="n">
        <f aca="false">ROUND(J113-N113,2)</f>
        <v>9.76</v>
      </c>
      <c r="P113" s="62" t="s">
        <v>1103</v>
      </c>
      <c r="Q113" s="61" t="n">
        <v>2</v>
      </c>
      <c r="R113" s="62" t="s">
        <v>276</v>
      </c>
      <c r="S113" s="63" t="s">
        <v>228</v>
      </c>
      <c r="T113" s="63" t="s">
        <v>2199</v>
      </c>
      <c r="U113" s="63"/>
    </row>
    <row r="115" customFormat="false" ht="15" hidden="false" customHeight="true" outlineLevel="0" collapsed="false">
      <c r="B115" s="8" t="s">
        <v>1394</v>
      </c>
    </row>
    <row r="116" customFormat="false" ht="15" hidden="false" customHeight="true" outlineLevel="0" collapsed="false">
      <c r="B116" s="8" t="s">
        <v>561</v>
      </c>
    </row>
    <row r="117" customFormat="false" ht="15" hidden="false" customHeight="true" outlineLevel="0" collapsed="false">
      <c r="B117" s="66" t="s">
        <v>2442</v>
      </c>
    </row>
    <row r="118" customFormat="false" ht="15" hidden="false" customHeight="true" outlineLevel="0" collapsed="false">
      <c r="B118" s="8" t="s">
        <v>2443</v>
      </c>
    </row>
  </sheetData>
  <autoFilter ref="A1:U113"/>
  <dataValidations count="2">
    <dataValidation allowBlank="true" errorStyle="stop" operator="between" showDropDown="false" showErrorMessage="false" showInputMessage="false" sqref="G2:G113" type="list">
      <formula1>99_Listas!$B$2:$B$5</formula1>
      <formula2>0</formula2>
    </dataValidation>
    <dataValidation allowBlank="true" errorStyle="stop" operator="between" showDropDown="false" showErrorMessage="false" showInputMessage="false" sqref="R2:R113" type="list">
      <formula1>"Alto,Medio,Bajo"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7" min="6" style="0" width="30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2" min="11" style="0" width="24"/>
    <col collapsed="false" customWidth="true" hidden="false" outlineLevel="0" max="13" min="13" style="0" width="30"/>
    <col collapsed="false" customWidth="true" hidden="false" outlineLevel="0" max="14" min="14" style="0" width="26"/>
    <col collapsed="false" customWidth="true" hidden="false" outlineLevel="0" max="15" min="15" style="0" width="24"/>
    <col collapsed="false" customWidth="true" hidden="false" outlineLevel="0" max="17" min="16" style="0" width="10"/>
    <col collapsed="false" customWidth="true" hidden="false" outlineLevel="0" max="18" min="18" style="0" width="13"/>
    <col collapsed="false" customWidth="true" hidden="false" outlineLevel="0" max="20" min="19" style="0" width="11"/>
    <col collapsed="false" customWidth="true" hidden="false" outlineLevel="0" max="22" min="21" style="0" width="13"/>
    <col collapsed="false" customWidth="true" hidden="false" outlineLevel="0" max="23" min="23" style="0" width="26"/>
    <col collapsed="false" customWidth="true" hidden="false" outlineLevel="0" max="24" min="24" style="0" width="14"/>
    <col collapsed="false" customWidth="true" hidden="false" outlineLevel="0" max="25" min="25" style="0" width="12"/>
    <col collapsed="false" customWidth="true" hidden="false" outlineLevel="0" max="26" min="26" style="0" width="30"/>
    <col collapsed="false" customWidth="true" hidden="false" outlineLevel="0" max="28" min="27" style="0" width="11"/>
    <col collapsed="false" customWidth="true" hidden="false" outlineLevel="0" max="29" min="29" style="0" width="13"/>
    <col collapsed="false" customWidth="true" hidden="false" outlineLevel="0" max="30" min="30" style="0" width="15"/>
    <col collapsed="false" customWidth="true" hidden="false" outlineLevel="0" max="31" min="31" style="0" width="12"/>
    <col collapsed="false" customWidth="true" hidden="false" outlineLevel="0" max="32" min="32" style="0" width="18"/>
    <col collapsed="false" customWidth="true" hidden="false" outlineLevel="0" max="33" min="33" style="0" width="12"/>
    <col collapsed="false" customWidth="true" hidden="false" outlineLevel="0" max="34" min="34" style="0" width="17"/>
    <col collapsed="false" customWidth="true" hidden="false" outlineLevel="0" max="35" min="35" style="0" width="14"/>
    <col collapsed="false" customWidth="true" hidden="false" outlineLevel="0" max="36" min="36" style="0" width="60"/>
    <col collapsed="false" customWidth="true" hidden="false" outlineLevel="0" max="37" min="37" style="0" width="16"/>
  </cols>
  <sheetData>
    <row r="1" customFormat="false" ht="19.5" hidden="false" customHeight="true" outlineLevel="0" collapsed="false">
      <c r="A1" s="69" t="s">
        <v>2444</v>
      </c>
      <c r="B1" s="69"/>
      <c r="C1" s="69"/>
      <c r="D1" s="69"/>
      <c r="E1" s="69" t="s">
        <v>2445</v>
      </c>
      <c r="F1" s="69"/>
      <c r="G1" s="69"/>
      <c r="H1" s="69"/>
      <c r="I1" s="69" t="s">
        <v>2446</v>
      </c>
      <c r="J1" s="69"/>
      <c r="K1" s="69"/>
      <c r="L1" s="69"/>
      <c r="M1" s="69" t="s">
        <v>2447</v>
      </c>
      <c r="N1" s="69"/>
      <c r="O1" s="69"/>
      <c r="P1" s="69"/>
      <c r="Q1" s="69"/>
      <c r="R1" s="69"/>
      <c r="S1" s="69"/>
      <c r="T1" s="69"/>
      <c r="U1" s="70" t="s">
        <v>2448</v>
      </c>
      <c r="V1" s="70"/>
      <c r="W1" s="70"/>
      <c r="X1" s="70"/>
      <c r="Y1" s="69" t="s">
        <v>2449</v>
      </c>
      <c r="Z1" s="69"/>
      <c r="AA1" s="69"/>
      <c r="AB1" s="69"/>
      <c r="AC1" s="69"/>
      <c r="AD1" s="69"/>
      <c r="AE1" s="69" t="s">
        <v>2450</v>
      </c>
      <c r="AF1" s="69"/>
      <c r="AG1" s="69"/>
      <c r="AH1" s="69"/>
      <c r="AI1" s="69"/>
      <c r="AJ1" s="69"/>
      <c r="AK1" s="69" t="s">
        <v>2451</v>
      </c>
    </row>
    <row r="2" customFormat="false" ht="36" hidden="false" customHeight="true" outlineLevel="0" collapsed="false">
      <c r="A2" s="13" t="s">
        <v>206</v>
      </c>
      <c r="B2" s="13" t="s">
        <v>2452</v>
      </c>
      <c r="C2" s="13" t="s">
        <v>155</v>
      </c>
      <c r="D2" s="13" t="s">
        <v>2453</v>
      </c>
      <c r="E2" s="13" t="s">
        <v>2454</v>
      </c>
      <c r="F2" s="13" t="s">
        <v>2455</v>
      </c>
      <c r="G2" s="13" t="s">
        <v>2456</v>
      </c>
      <c r="H2" s="13" t="s">
        <v>2457</v>
      </c>
      <c r="I2" s="13" t="s">
        <v>2458</v>
      </c>
      <c r="J2" s="13" t="s">
        <v>2459</v>
      </c>
      <c r="K2" s="13" t="s">
        <v>2460</v>
      </c>
      <c r="L2" s="13" t="s">
        <v>2461</v>
      </c>
      <c r="M2" s="13" t="s">
        <v>2462</v>
      </c>
      <c r="N2" s="13" t="s">
        <v>2463</v>
      </c>
      <c r="O2" s="13" t="s">
        <v>2464</v>
      </c>
      <c r="P2" s="13" t="s">
        <v>2465</v>
      </c>
      <c r="Q2" s="13" t="s">
        <v>2466</v>
      </c>
      <c r="R2" s="13" t="s">
        <v>2467</v>
      </c>
      <c r="S2" s="13" t="s">
        <v>2468</v>
      </c>
      <c r="T2" s="13" t="s">
        <v>2469</v>
      </c>
      <c r="U2" s="13" t="s">
        <v>2470</v>
      </c>
      <c r="V2" s="13" t="s">
        <v>2471</v>
      </c>
      <c r="W2" s="13" t="s">
        <v>2472</v>
      </c>
      <c r="X2" s="13" t="s">
        <v>2473</v>
      </c>
      <c r="Y2" s="13" t="s">
        <v>72</v>
      </c>
      <c r="Z2" s="13" t="s">
        <v>2474</v>
      </c>
      <c r="AA2" s="13" t="s">
        <v>2475</v>
      </c>
      <c r="AB2" s="13" t="s">
        <v>2476</v>
      </c>
      <c r="AC2" s="13" t="s">
        <v>2477</v>
      </c>
      <c r="AD2" s="13" t="s">
        <v>2478</v>
      </c>
      <c r="AE2" s="13" t="s">
        <v>2479</v>
      </c>
      <c r="AF2" s="13" t="s">
        <v>2480</v>
      </c>
      <c r="AG2" s="13" t="s">
        <v>2481</v>
      </c>
      <c r="AH2" s="13" t="s">
        <v>2482</v>
      </c>
      <c r="AI2" s="13" t="s">
        <v>2483</v>
      </c>
      <c r="AJ2" s="13" t="s">
        <v>2484</v>
      </c>
      <c r="AK2" s="13" t="s">
        <v>2485</v>
      </c>
    </row>
    <row r="3" customFormat="false" ht="23.85" hidden="false" customHeight="false" outlineLevel="0" collapsed="false">
      <c r="A3" s="55" t="n">
        <v>1</v>
      </c>
      <c r="B3" s="56" t="s">
        <v>109</v>
      </c>
      <c r="C3" s="55" t="s">
        <v>163</v>
      </c>
      <c r="D3" s="56" t="s">
        <v>2486</v>
      </c>
      <c r="E3" s="71"/>
      <c r="F3" s="57"/>
      <c r="G3" s="57"/>
      <c r="H3" s="72"/>
      <c r="I3" s="55" t="s">
        <v>2487</v>
      </c>
      <c r="J3" s="72"/>
      <c r="K3" s="72"/>
      <c r="L3" s="72"/>
      <c r="M3" s="56" t="s">
        <v>2488</v>
      </c>
      <c r="N3" s="57"/>
      <c r="O3" s="55" t="s">
        <v>158</v>
      </c>
      <c r="P3" s="73" t="s">
        <v>2489</v>
      </c>
      <c r="Q3" s="73" t="s">
        <v>2490</v>
      </c>
      <c r="R3" s="55" t="s">
        <v>2491</v>
      </c>
      <c r="S3" s="55" t="s">
        <v>2491</v>
      </c>
      <c r="T3" s="55" t="s">
        <v>2491</v>
      </c>
      <c r="U3" s="74" t="n">
        <v>-15.8405096</v>
      </c>
      <c r="V3" s="74" t="n">
        <v>-70.0275175</v>
      </c>
      <c r="W3" s="75" t="s">
        <v>2492</v>
      </c>
      <c r="X3" s="76" t="str">
        <f aca="false">HYPERLINK(IF(AND(ISNUMBER(U3),ISNUMBER(V3)),"https://www.google.com/maps/search/?api=1&amp;query="&amp;U3&amp;","&amp;V3,"https://www.google.com/maps/search/?api=1&amp;query="&amp;SUBSTITUTE(SUBSTITUTE(SUBSTITUTE(B3&amp;", "&amp;M3&amp;", Puno, Peru"," ","+"),"&amp;","y"),"#","")),"Ver en mapa")</f>
        <v>Ver en mapa</v>
      </c>
      <c r="Y3" s="55" t="s">
        <v>165</v>
      </c>
      <c r="Z3" s="56" t="s">
        <v>2493</v>
      </c>
      <c r="AA3" s="72"/>
      <c r="AB3" s="59"/>
      <c r="AC3" s="59"/>
      <c r="AD3" s="72"/>
      <c r="AE3" s="72"/>
      <c r="AF3" s="72"/>
      <c r="AG3" s="72"/>
      <c r="AH3" s="55" t="s">
        <v>2494</v>
      </c>
      <c r="AI3" s="72"/>
      <c r="AJ3" s="56" t="s">
        <v>2495</v>
      </c>
      <c r="AK3" s="77" t="n">
        <f aca="false">IF(AND(ISNUMBER(U3),ISNUMBER(V3),ISNUMBER(14_Cercania!$C$13),ISNUMBER(14_Cercania!$C$14)),6371*2*ASIN(SQRT(SIN(RADIANS(14_Cercania!$C$13-U3)/2)^2+COS(RADIANS(U3))*COS(RADIANS(14_Cercania!$C$13))*SIN(RADIANS(14_Cercania!$C$14-V3)/2)^2))+ROW()*0.000000001,"")</f>
        <v>0.896919555438331</v>
      </c>
    </row>
    <row r="4" customFormat="false" ht="23.85" hidden="false" customHeight="false" outlineLevel="0" collapsed="false">
      <c r="A4" s="62" t="n">
        <v>2</v>
      </c>
      <c r="B4" s="63" t="s">
        <v>2496</v>
      </c>
      <c r="C4" s="62" t="s">
        <v>163</v>
      </c>
      <c r="D4" s="63" t="s">
        <v>2497</v>
      </c>
      <c r="E4" s="71"/>
      <c r="F4" s="57"/>
      <c r="G4" s="57"/>
      <c r="H4" s="72"/>
      <c r="I4" s="72"/>
      <c r="J4" s="62" t="s">
        <v>2498</v>
      </c>
      <c r="K4" s="72"/>
      <c r="L4" s="72"/>
      <c r="M4" s="63" t="s">
        <v>2499</v>
      </c>
      <c r="N4" s="57"/>
      <c r="O4" s="62" t="s">
        <v>158</v>
      </c>
      <c r="P4" s="78" t="s">
        <v>2489</v>
      </c>
      <c r="Q4" s="78" t="s">
        <v>2490</v>
      </c>
      <c r="R4" s="62" t="s">
        <v>2491</v>
      </c>
      <c r="S4" s="62" t="s">
        <v>2491</v>
      </c>
      <c r="T4" s="62" t="s">
        <v>2491</v>
      </c>
      <c r="U4" s="79" t="n">
        <v>-15.8391009</v>
      </c>
      <c r="V4" s="79" t="n">
        <v>-70.0279486</v>
      </c>
      <c r="W4" s="75" t="s">
        <v>2492</v>
      </c>
      <c r="X4" s="80" t="str">
        <f aca="false">HYPERLINK(IF(AND(ISNUMBER(U4),ISNUMBER(V4)),"https://www.google.com/maps/search/?api=1&amp;query="&amp;U4&amp;","&amp;V4,"https://www.google.com/maps/search/?api=1&amp;query="&amp;SUBSTITUTE(SUBSTITUTE(SUBSTITUTE(B4&amp;", "&amp;M4&amp;", Puno, Peru"," ","+"),"&amp;","y"),"#","")),"Ver en mapa")</f>
        <v>Ver en mapa</v>
      </c>
      <c r="Y4" s="62" t="s">
        <v>165</v>
      </c>
      <c r="Z4" s="63" t="s">
        <v>2500</v>
      </c>
      <c r="AA4" s="72"/>
      <c r="AB4" s="59"/>
      <c r="AC4" s="59"/>
      <c r="AD4" s="72"/>
      <c r="AE4" s="72"/>
      <c r="AF4" s="72"/>
      <c r="AG4" s="72"/>
      <c r="AH4" s="62" t="s">
        <v>2494</v>
      </c>
      <c r="AI4" s="72"/>
      <c r="AJ4" s="63" t="s">
        <v>2501</v>
      </c>
      <c r="AK4" s="81" t="n">
        <f aca="false">IF(AND(ISNUMBER(U4),ISNUMBER(V4),ISNUMBER(14_Cercania!$C$13),ISNUMBER(14_Cercania!$C$14)),6371*2*ASIN(SQRT(SIN(RADIANS(14_Cercania!$C$13-U4)/2)^2+COS(RADIANS(U4))*COS(RADIANS(14_Cercania!$C$13))*SIN(RADIANS(14_Cercania!$C$14-V4)/2)^2))+ROW()*0.000000001,"")</f>
        <v>0.791122818222735</v>
      </c>
    </row>
    <row r="5" customFormat="false" ht="23.85" hidden="false" customHeight="false" outlineLevel="0" collapsed="false">
      <c r="A5" s="55" t="n">
        <v>3</v>
      </c>
      <c r="B5" s="56" t="s">
        <v>2502</v>
      </c>
      <c r="C5" s="55" t="s">
        <v>163</v>
      </c>
      <c r="D5" s="56" t="s">
        <v>2503</v>
      </c>
      <c r="E5" s="71"/>
      <c r="F5" s="57"/>
      <c r="G5" s="57"/>
      <c r="H5" s="72"/>
      <c r="I5" s="72"/>
      <c r="J5" s="55" t="s">
        <v>2504</v>
      </c>
      <c r="K5" s="72"/>
      <c r="L5" s="72"/>
      <c r="M5" s="56" t="s">
        <v>2505</v>
      </c>
      <c r="N5" s="57"/>
      <c r="O5" s="55" t="s">
        <v>158</v>
      </c>
      <c r="P5" s="73" t="s">
        <v>2489</v>
      </c>
      <c r="Q5" s="73" t="s">
        <v>2490</v>
      </c>
      <c r="R5" s="55" t="s">
        <v>2491</v>
      </c>
      <c r="S5" s="55" t="s">
        <v>2491</v>
      </c>
      <c r="T5" s="55" t="s">
        <v>2491</v>
      </c>
      <c r="U5" s="74" t="n">
        <v>-15.8388064</v>
      </c>
      <c r="V5" s="74" t="n">
        <v>-70.028148</v>
      </c>
      <c r="W5" s="75" t="s">
        <v>2492</v>
      </c>
      <c r="X5" s="76" t="str">
        <f aca="false">HYPERLINK(IF(AND(ISNUMBER(U5),ISNUMBER(V5)),"https://www.google.com/maps/search/?api=1&amp;query="&amp;U5&amp;","&amp;V5,"https://www.google.com/maps/search/?api=1&amp;query="&amp;SUBSTITUTE(SUBSTITUTE(SUBSTITUTE(B5&amp;", "&amp;M5&amp;", Puno, Peru"," ","+"),"&amp;","y"),"#","")),"Ver en mapa")</f>
        <v>Ver en mapa</v>
      </c>
      <c r="Y5" s="55" t="s">
        <v>165</v>
      </c>
      <c r="Z5" s="56" t="s">
        <v>2493</v>
      </c>
      <c r="AA5" s="72"/>
      <c r="AB5" s="59"/>
      <c r="AC5" s="59"/>
      <c r="AD5" s="72"/>
      <c r="AE5" s="72"/>
      <c r="AF5" s="72"/>
      <c r="AG5" s="72"/>
      <c r="AH5" s="55" t="s">
        <v>2494</v>
      </c>
      <c r="AI5" s="72"/>
      <c r="AJ5" s="56" t="s">
        <v>2506</v>
      </c>
      <c r="AK5" s="77" t="n">
        <f aca="false">IF(AND(ISNUMBER(U5),ISNUMBER(V5),ISNUMBER(14_Cercania!$C$13),ISNUMBER(14_Cercania!$C$14)),6371*2*ASIN(SQRT(SIN(RADIANS(14_Cercania!$C$13-U5)/2)^2+COS(RADIANS(U5))*COS(RADIANS(14_Cercania!$C$13))*SIN(RADIANS(14_Cercania!$C$14-V5)/2)^2))+ROW()*0.000000001,"")</f>
        <v>0.779051058990242</v>
      </c>
    </row>
    <row r="6" customFormat="false" ht="35.05" hidden="false" customHeight="false" outlineLevel="0" collapsed="false">
      <c r="A6" s="62" t="n">
        <v>4</v>
      </c>
      <c r="B6" s="63" t="s">
        <v>2507</v>
      </c>
      <c r="C6" s="62" t="s">
        <v>163</v>
      </c>
      <c r="D6" s="63" t="s">
        <v>2508</v>
      </c>
      <c r="E6" s="71"/>
      <c r="F6" s="57"/>
      <c r="G6" s="57"/>
      <c r="H6" s="72"/>
      <c r="I6" s="72"/>
      <c r="J6" s="62" t="s">
        <v>2509</v>
      </c>
      <c r="K6" s="72"/>
      <c r="L6" s="72"/>
      <c r="M6" s="63" t="s">
        <v>2510</v>
      </c>
      <c r="N6" s="57"/>
      <c r="O6" s="62" t="s">
        <v>158</v>
      </c>
      <c r="P6" s="78" t="s">
        <v>2489</v>
      </c>
      <c r="Q6" s="78" t="s">
        <v>2490</v>
      </c>
      <c r="R6" s="62" t="s">
        <v>2491</v>
      </c>
      <c r="S6" s="62" t="s">
        <v>2491</v>
      </c>
      <c r="T6" s="62" t="s">
        <v>2491</v>
      </c>
      <c r="U6" s="79" t="n">
        <v>-15.8391474</v>
      </c>
      <c r="V6" s="79" t="n">
        <v>-70.0279344</v>
      </c>
      <c r="W6" s="82" t="s">
        <v>2511</v>
      </c>
      <c r="X6" s="80" t="str">
        <f aca="false">HYPERLINK(IF(AND(ISNUMBER(U6),ISNUMBER(V6)),"https://www.google.com/maps/search/?api=1&amp;query="&amp;U6&amp;","&amp;V6,"https://www.google.com/maps/search/?api=1&amp;query="&amp;SUBSTITUTE(SUBSTITUTE(SUBSTITUTE(B6&amp;", "&amp;M6&amp;", Puno, Peru"," ","+"),"&amp;","y"),"#","")),"Ver en mapa")</f>
        <v>Ver en mapa</v>
      </c>
      <c r="Y6" s="62" t="s">
        <v>165</v>
      </c>
      <c r="Z6" s="63" t="s">
        <v>2493</v>
      </c>
      <c r="AA6" s="72"/>
      <c r="AB6" s="59"/>
      <c r="AC6" s="59"/>
      <c r="AD6" s="72"/>
      <c r="AE6" s="72"/>
      <c r="AF6" s="72"/>
      <c r="AG6" s="72"/>
      <c r="AH6" s="62" t="s">
        <v>2494</v>
      </c>
      <c r="AI6" s="72"/>
      <c r="AJ6" s="63" t="s">
        <v>2512</v>
      </c>
      <c r="AK6" s="81" t="n">
        <f aca="false">IF(AND(ISNUMBER(U6),ISNUMBER(V6),ISNUMBER(14_Cercania!$C$13),ISNUMBER(14_Cercania!$C$14)),6371*2*ASIN(SQRT(SIN(RADIANS(14_Cercania!$C$13-U6)/2)^2+COS(RADIANS(U6))*COS(RADIANS(14_Cercania!$C$13))*SIN(RADIANS(14_Cercania!$C$14-V6)/2)^2))+ROW()*0.000000001,"")</f>
        <v>0.794306260496171</v>
      </c>
    </row>
    <row r="7" customFormat="false" ht="23.85" hidden="false" customHeight="false" outlineLevel="0" collapsed="false">
      <c r="A7" s="55" t="n">
        <v>5</v>
      </c>
      <c r="B7" s="56" t="s">
        <v>2513</v>
      </c>
      <c r="C7" s="55" t="s">
        <v>163</v>
      </c>
      <c r="D7" s="56" t="s">
        <v>2514</v>
      </c>
      <c r="E7" s="71"/>
      <c r="F7" s="57"/>
      <c r="G7" s="57"/>
      <c r="H7" s="72"/>
      <c r="I7" s="55" t="s">
        <v>2515</v>
      </c>
      <c r="J7" s="72"/>
      <c r="K7" s="72"/>
      <c r="L7" s="72"/>
      <c r="M7" s="56" t="s">
        <v>2516</v>
      </c>
      <c r="N7" s="57"/>
      <c r="O7" s="55" t="s">
        <v>158</v>
      </c>
      <c r="P7" s="73" t="s">
        <v>2489</v>
      </c>
      <c r="Q7" s="73" t="s">
        <v>2490</v>
      </c>
      <c r="R7" s="55" t="s">
        <v>2491</v>
      </c>
      <c r="S7" s="55" t="s">
        <v>2491</v>
      </c>
      <c r="T7" s="55" t="s">
        <v>2491</v>
      </c>
      <c r="U7" s="74" t="n">
        <v>-15.8392502</v>
      </c>
      <c r="V7" s="74" t="n">
        <v>-70.028067</v>
      </c>
      <c r="W7" s="75" t="s">
        <v>2492</v>
      </c>
      <c r="X7" s="76" t="str">
        <f aca="false">HYPERLINK(IF(AND(ISNUMBER(U7),ISNUMBER(V7)),"https://www.google.com/maps/search/?api=1&amp;query="&amp;U7&amp;","&amp;V7,"https://www.google.com/maps/search/?api=1&amp;query="&amp;SUBSTITUTE(SUBSTITUTE(SUBSTITUTE(B7&amp;", "&amp;M7&amp;", Puno, Peru"," ","+"),"&amp;","y"),"#","")),"Ver en mapa")</f>
        <v>Ver en mapa</v>
      </c>
      <c r="Y7" s="55" t="s">
        <v>165</v>
      </c>
      <c r="Z7" s="56" t="s">
        <v>2500</v>
      </c>
      <c r="AA7" s="72"/>
      <c r="AB7" s="59"/>
      <c r="AC7" s="59"/>
      <c r="AD7" s="72"/>
      <c r="AE7" s="72"/>
      <c r="AF7" s="72"/>
      <c r="AG7" s="72"/>
      <c r="AH7" s="55" t="s">
        <v>2494</v>
      </c>
      <c r="AI7" s="72"/>
      <c r="AJ7" s="56" t="s">
        <v>2506</v>
      </c>
      <c r="AK7" s="77" t="n">
        <f aca="false">IF(AND(ISNUMBER(U7),ISNUMBER(V7),ISNUMBER(14_Cercania!$C$13),ISNUMBER(14_Cercania!$C$14)),6371*2*ASIN(SQRT(SIN(RADIANS(14_Cercania!$C$13-U7)/2)^2+COS(RADIANS(U7))*COS(RADIANS(14_Cercania!$C$13))*SIN(RADIANS(14_Cercania!$C$14-V7)/2)^2))+ROW()*0.000000001,"")</f>
        <v>0.812003839788887</v>
      </c>
    </row>
    <row r="8" customFormat="false" ht="35.05" hidden="false" customHeight="false" outlineLevel="0" collapsed="false">
      <c r="A8" s="62" t="n">
        <v>6</v>
      </c>
      <c r="B8" s="63" t="s">
        <v>2517</v>
      </c>
      <c r="C8" s="62" t="s">
        <v>163</v>
      </c>
      <c r="D8" s="63" t="s">
        <v>2518</v>
      </c>
      <c r="E8" s="71"/>
      <c r="F8" s="57"/>
      <c r="G8" s="57"/>
      <c r="H8" s="72"/>
      <c r="I8" s="72"/>
      <c r="J8" s="72"/>
      <c r="K8" s="72"/>
      <c r="L8" s="72"/>
      <c r="M8" s="63" t="s">
        <v>2519</v>
      </c>
      <c r="N8" s="57"/>
      <c r="O8" s="62" t="s">
        <v>158</v>
      </c>
      <c r="P8" s="78" t="s">
        <v>2489</v>
      </c>
      <c r="Q8" s="78" t="s">
        <v>2490</v>
      </c>
      <c r="R8" s="62" t="s">
        <v>2491</v>
      </c>
      <c r="S8" s="62" t="s">
        <v>2491</v>
      </c>
      <c r="T8" s="62" t="s">
        <v>2491</v>
      </c>
      <c r="U8" s="79" t="n">
        <v>-15.8384662</v>
      </c>
      <c r="V8" s="79" t="n">
        <v>-70.0281437</v>
      </c>
      <c r="W8" s="82" t="s">
        <v>2511</v>
      </c>
      <c r="X8" s="80" t="str">
        <f aca="false">HYPERLINK(IF(AND(ISNUMBER(U8),ISNUMBER(V8)),"https://www.google.com/maps/search/?api=1&amp;query="&amp;U8&amp;","&amp;V8,"https://www.google.com/maps/search/?api=1&amp;query="&amp;SUBSTITUTE(SUBSTITUTE(SUBSTITUTE(B8&amp;", "&amp;M8&amp;", Puno, Peru"," ","+"),"&amp;","y"),"#","")),"Ver en mapa")</f>
        <v>Ver en mapa</v>
      </c>
      <c r="Y8" s="62" t="s">
        <v>165</v>
      </c>
      <c r="Z8" s="63" t="s">
        <v>2493</v>
      </c>
      <c r="AA8" s="72"/>
      <c r="AB8" s="59"/>
      <c r="AC8" s="59"/>
      <c r="AD8" s="72"/>
      <c r="AE8" s="72"/>
      <c r="AF8" s="72"/>
      <c r="AG8" s="72"/>
      <c r="AH8" s="62" t="s">
        <v>2494</v>
      </c>
      <c r="AI8" s="72"/>
      <c r="AJ8" s="63" t="s">
        <v>2520</v>
      </c>
      <c r="AK8" s="81" t="n">
        <f aca="false">IF(AND(ISNUMBER(U8),ISNUMBER(V8),ISNUMBER(14_Cercania!$C$13),ISNUMBER(14_Cercania!$C$14)),6371*2*ASIN(SQRT(SIN(RADIANS(14_Cercania!$C$13-U8)/2)^2+COS(RADIANS(U8))*COS(RADIANS(14_Cercania!$C$13))*SIN(RADIANS(14_Cercania!$C$14-V8)/2)^2))+ROW()*0.000000001,"")</f>
        <v>0.750286408540146</v>
      </c>
    </row>
    <row r="9" customFormat="false" ht="35.05" hidden="false" customHeight="false" outlineLevel="0" collapsed="false">
      <c r="A9" s="55" t="n">
        <v>7</v>
      </c>
      <c r="B9" s="56" t="s">
        <v>2521</v>
      </c>
      <c r="C9" s="55" t="s">
        <v>163</v>
      </c>
      <c r="D9" s="56" t="s">
        <v>2522</v>
      </c>
      <c r="E9" s="71"/>
      <c r="F9" s="57"/>
      <c r="G9" s="57"/>
      <c r="H9" s="72"/>
      <c r="I9" s="72"/>
      <c r="J9" s="55" t="s">
        <v>2523</v>
      </c>
      <c r="K9" s="72"/>
      <c r="L9" s="72"/>
      <c r="M9" s="56" t="s">
        <v>2524</v>
      </c>
      <c r="N9" s="57"/>
      <c r="O9" s="55" t="s">
        <v>158</v>
      </c>
      <c r="P9" s="73" t="s">
        <v>2525</v>
      </c>
      <c r="Q9" s="73" t="s">
        <v>2490</v>
      </c>
      <c r="R9" s="55" t="s">
        <v>2491</v>
      </c>
      <c r="S9" s="55" t="s">
        <v>2491</v>
      </c>
      <c r="T9" s="55" t="s">
        <v>2491</v>
      </c>
      <c r="U9" s="74" t="n">
        <v>-15.8387404</v>
      </c>
      <c r="V9" s="74" t="n">
        <v>-70.0269869</v>
      </c>
      <c r="W9" s="82" t="s">
        <v>2511</v>
      </c>
      <c r="X9" s="76" t="str">
        <f aca="false">HYPERLINK(IF(AND(ISNUMBER(U9),ISNUMBER(V9)),"https://www.google.com/maps/search/?api=1&amp;query="&amp;U9&amp;","&amp;V9,"https://www.google.com/maps/search/?api=1&amp;query="&amp;SUBSTITUTE(SUBSTITUTE(SUBSTITUTE(B9&amp;", "&amp;M9&amp;", Puno, Peru"," ","+"),"&amp;","y"),"#","")),"Ver en mapa")</f>
        <v>Ver en mapa</v>
      </c>
      <c r="Y9" s="55" t="s">
        <v>165</v>
      </c>
      <c r="Z9" s="56" t="s">
        <v>2493</v>
      </c>
      <c r="AA9" s="72"/>
      <c r="AB9" s="59"/>
      <c r="AC9" s="59"/>
      <c r="AD9" s="72"/>
      <c r="AE9" s="72"/>
      <c r="AF9" s="72"/>
      <c r="AG9" s="72"/>
      <c r="AH9" s="55" t="s">
        <v>2494</v>
      </c>
      <c r="AI9" s="72"/>
      <c r="AJ9" s="56" t="s">
        <v>2526</v>
      </c>
      <c r="AK9" s="77" t="n">
        <f aca="false">IF(AND(ISNUMBER(U9),ISNUMBER(V9),ISNUMBER(14_Cercania!$C$13),ISNUMBER(14_Cercania!$C$14)),6371*2*ASIN(SQRT(SIN(RADIANS(14_Cercania!$C$13-U9)/2)^2+COS(RADIANS(U9))*COS(RADIANS(14_Cercania!$C$13))*SIN(RADIANS(14_Cercania!$C$14-V9)/2)^2))+ROW()*0.000000001,"")</f>
        <v>0.69895188772213</v>
      </c>
    </row>
    <row r="10" customFormat="false" ht="23.85" hidden="false" customHeight="false" outlineLevel="0" collapsed="false">
      <c r="A10" s="62" t="n">
        <v>8</v>
      </c>
      <c r="B10" s="63" t="s">
        <v>2527</v>
      </c>
      <c r="C10" s="62" t="s">
        <v>163</v>
      </c>
      <c r="D10" s="63" t="s">
        <v>2528</v>
      </c>
      <c r="E10" s="71"/>
      <c r="F10" s="57"/>
      <c r="G10" s="57"/>
      <c r="H10" s="72"/>
      <c r="I10" s="72"/>
      <c r="J10" s="72"/>
      <c r="K10" s="72"/>
      <c r="L10" s="72"/>
      <c r="M10" s="63" t="s">
        <v>2529</v>
      </c>
      <c r="N10" s="57"/>
      <c r="O10" s="62" t="s">
        <v>158</v>
      </c>
      <c r="P10" s="78" t="s">
        <v>2489</v>
      </c>
      <c r="Q10" s="78" t="s">
        <v>2490</v>
      </c>
      <c r="R10" s="62" t="s">
        <v>2491</v>
      </c>
      <c r="S10" s="62" t="s">
        <v>2491</v>
      </c>
      <c r="T10" s="62" t="s">
        <v>2491</v>
      </c>
      <c r="U10" s="79" t="n">
        <v>-15.8389206</v>
      </c>
      <c r="V10" s="79" t="n">
        <v>-70.0278322</v>
      </c>
      <c r="W10" s="75" t="s">
        <v>2492</v>
      </c>
      <c r="X10" s="80" t="str">
        <f aca="false">HYPERLINK(IF(AND(ISNUMBER(U10),ISNUMBER(V10)),"https://www.google.com/maps/search/?api=1&amp;query="&amp;U10&amp;","&amp;V10,"https://www.google.com/maps/search/?api=1&amp;query="&amp;SUBSTITUTE(SUBSTITUTE(SUBSTITUTE(B10&amp;", "&amp;M10&amp;", Puno, Peru"," ","+"),"&amp;","y"),"#","")),"Ver en mapa")</f>
        <v>Ver en mapa</v>
      </c>
      <c r="Y10" s="62" t="s">
        <v>165</v>
      </c>
      <c r="Z10" s="63" t="s">
        <v>2530</v>
      </c>
      <c r="AA10" s="72"/>
      <c r="AB10" s="59"/>
      <c r="AC10" s="59"/>
      <c r="AD10" s="72"/>
      <c r="AE10" s="72"/>
      <c r="AF10" s="72"/>
      <c r="AG10" s="72"/>
      <c r="AH10" s="62" t="s">
        <v>2494</v>
      </c>
      <c r="AI10" s="72"/>
      <c r="AJ10" s="63" t="s">
        <v>2531</v>
      </c>
      <c r="AK10" s="81" t="n">
        <f aca="false">IF(AND(ISNUMBER(U10),ISNUMBER(V10),ISNUMBER(14_Cercania!$C$13),ISNUMBER(14_Cercania!$C$14)),6371*2*ASIN(SQRT(SIN(RADIANS(14_Cercania!$C$13-U10)/2)^2+COS(RADIANS(U10))*COS(RADIANS(14_Cercania!$C$13))*SIN(RADIANS(14_Cercania!$C$14-V10)/2)^2))+ROW()*0.000000001,"")</f>
        <v>0.767644005850815</v>
      </c>
    </row>
    <row r="11" customFormat="false" ht="23.85" hidden="false" customHeight="false" outlineLevel="0" collapsed="false">
      <c r="A11" s="55" t="n">
        <v>9</v>
      </c>
      <c r="B11" s="56" t="s">
        <v>2532</v>
      </c>
      <c r="C11" s="55" t="s">
        <v>196</v>
      </c>
      <c r="D11" s="56" t="s">
        <v>2533</v>
      </c>
      <c r="E11" s="71"/>
      <c r="F11" s="57"/>
      <c r="G11" s="57"/>
      <c r="H11" s="72"/>
      <c r="I11" s="72"/>
      <c r="J11" s="72"/>
      <c r="K11" s="72"/>
      <c r="L11" s="72"/>
      <c r="M11" s="56" t="s">
        <v>2534</v>
      </c>
      <c r="N11" s="57"/>
      <c r="O11" s="55" t="s">
        <v>158</v>
      </c>
      <c r="P11" s="73" t="s">
        <v>2489</v>
      </c>
      <c r="Q11" s="73" t="s">
        <v>2490</v>
      </c>
      <c r="R11" s="55" t="s">
        <v>2491</v>
      </c>
      <c r="S11" s="55" t="s">
        <v>2491</v>
      </c>
      <c r="T11" s="55" t="s">
        <v>2491</v>
      </c>
      <c r="U11" s="74" t="n">
        <v>-15.8386846</v>
      </c>
      <c r="V11" s="74" t="n">
        <v>-70.0262456</v>
      </c>
      <c r="W11" s="75" t="s">
        <v>2492</v>
      </c>
      <c r="X11" s="76" t="str">
        <f aca="false">HYPERLINK(IF(AND(ISNUMBER(U11),ISNUMBER(V11)),"https://www.google.com/maps/search/?api=1&amp;query="&amp;U11&amp;","&amp;V11,"https://www.google.com/maps/search/?api=1&amp;query="&amp;SUBSTITUTE(SUBSTITUTE(SUBSTITUTE(B11&amp;", "&amp;M11&amp;", Puno, Peru"," ","+"),"&amp;","y"),"#","")),"Ver en mapa")</f>
        <v>Ver en mapa</v>
      </c>
      <c r="Y11" s="55" t="s">
        <v>165</v>
      </c>
      <c r="Z11" s="56" t="s">
        <v>2530</v>
      </c>
      <c r="AA11" s="72"/>
      <c r="AB11" s="59"/>
      <c r="AC11" s="59"/>
      <c r="AD11" s="72"/>
      <c r="AE11" s="72"/>
      <c r="AF11" s="72"/>
      <c r="AG11" s="72"/>
      <c r="AH11" s="55" t="s">
        <v>2494</v>
      </c>
      <c r="AI11" s="72"/>
      <c r="AJ11" s="56" t="s">
        <v>2531</v>
      </c>
      <c r="AK11" s="77" t="n">
        <f aca="false">IF(AND(ISNUMBER(U11),ISNUMBER(V11),ISNUMBER(14_Cercania!$C$13),ISNUMBER(14_Cercania!$C$14)),6371*2*ASIN(SQRT(SIN(RADIANS(14_Cercania!$C$13-U11)/2)^2+COS(RADIANS(U11))*COS(RADIANS(14_Cercania!$C$13))*SIN(RADIANS(14_Cercania!$C$14-V11)/2)^2))+ROW()*0.000000001,"")</f>
        <v>0.653741538697129</v>
      </c>
    </row>
    <row r="12" customFormat="false" ht="15" hidden="false" customHeight="false" outlineLevel="0" collapsed="false">
      <c r="A12" s="62" t="n">
        <v>10</v>
      </c>
      <c r="B12" s="63" t="s">
        <v>2535</v>
      </c>
      <c r="C12" s="62" t="s">
        <v>163</v>
      </c>
      <c r="D12" s="63" t="s">
        <v>2536</v>
      </c>
      <c r="E12" s="71"/>
      <c r="F12" s="57"/>
      <c r="G12" s="57"/>
      <c r="H12" s="72"/>
      <c r="I12" s="72"/>
      <c r="J12" s="72"/>
      <c r="K12" s="72"/>
      <c r="L12" s="72"/>
      <c r="M12" s="63" t="s">
        <v>2537</v>
      </c>
      <c r="N12" s="57"/>
      <c r="O12" s="62" t="s">
        <v>183</v>
      </c>
      <c r="P12" s="78" t="s">
        <v>2489</v>
      </c>
      <c r="Q12" s="78" t="s">
        <v>2490</v>
      </c>
      <c r="R12" s="62" t="s">
        <v>2491</v>
      </c>
      <c r="S12" s="62" t="s">
        <v>2491</v>
      </c>
      <c r="T12" s="62" t="s">
        <v>2491</v>
      </c>
      <c r="U12" s="83"/>
      <c r="V12" s="83"/>
      <c r="W12" s="57" t="s">
        <v>2538</v>
      </c>
      <c r="X12" s="80" t="str">
        <f aca="false">HYPERLINK(IF(AND(ISNUMBER(U12),ISNUMBER(V12)),"https://www.google.com/maps/search/?api=1&amp;query="&amp;U12&amp;","&amp;V12,"https://www.google.com/maps/search/?api=1&amp;query="&amp;SUBSTITUTE(SUBSTITUTE(SUBSTITUTE(B12&amp;", "&amp;M12&amp;", Puno, Peru"," ","+"),"&amp;","y"),"#","")),"Ver en mapa")</f>
        <v>Ver en mapa</v>
      </c>
      <c r="Y12" s="62" t="s">
        <v>169</v>
      </c>
      <c r="Z12" s="63" t="s">
        <v>2530</v>
      </c>
      <c r="AA12" s="72"/>
      <c r="AB12" s="59"/>
      <c r="AC12" s="59"/>
      <c r="AD12" s="72"/>
      <c r="AE12" s="72"/>
      <c r="AF12" s="72"/>
      <c r="AG12" s="72"/>
      <c r="AH12" s="62" t="s">
        <v>2494</v>
      </c>
      <c r="AI12" s="72"/>
      <c r="AJ12" s="63" t="s">
        <v>2539</v>
      </c>
      <c r="AK12" s="81" t="str">
        <f aca="false">IF(AND(ISNUMBER(U12),ISNUMBER(V12),ISNUMBER(14_Cercania!$C$13),ISNUMBER(14_Cercania!$C$14)),6371*2*ASIN(SQRT(SIN(RADIANS(14_Cercania!$C$13-U12)/2)^2+COS(RADIANS(U12))*COS(RADIANS(14_Cercania!$C$13))*SIN(RADIANS(14_Cercania!$C$14-V12)/2)^2))+ROW()*0.000000001,"")</f>
        <v/>
      </c>
    </row>
    <row r="13" customFormat="false" ht="35.05" hidden="false" customHeight="false" outlineLevel="0" collapsed="false">
      <c r="A13" s="55" t="n">
        <v>11</v>
      </c>
      <c r="B13" s="56" t="s">
        <v>2540</v>
      </c>
      <c r="C13" s="55" t="s">
        <v>163</v>
      </c>
      <c r="D13" s="56" t="s">
        <v>2541</v>
      </c>
      <c r="E13" s="71"/>
      <c r="F13" s="57"/>
      <c r="G13" s="57"/>
      <c r="H13" s="72"/>
      <c r="I13" s="72"/>
      <c r="J13" s="72"/>
      <c r="K13" s="72"/>
      <c r="L13" s="72"/>
      <c r="M13" s="56" t="s">
        <v>2542</v>
      </c>
      <c r="N13" s="57"/>
      <c r="O13" s="55" t="s">
        <v>158</v>
      </c>
      <c r="P13" s="73" t="s">
        <v>2489</v>
      </c>
      <c r="Q13" s="73" t="s">
        <v>2490</v>
      </c>
      <c r="R13" s="55" t="s">
        <v>2491</v>
      </c>
      <c r="S13" s="55" t="s">
        <v>2491</v>
      </c>
      <c r="T13" s="55" t="s">
        <v>2491</v>
      </c>
      <c r="U13" s="74" t="n">
        <v>-15.8420245</v>
      </c>
      <c r="V13" s="74" t="n">
        <v>-70.0284314</v>
      </c>
      <c r="W13" s="82" t="s">
        <v>2543</v>
      </c>
      <c r="X13" s="76" t="str">
        <f aca="false">HYPERLINK(IF(AND(ISNUMBER(U13),ISNUMBER(V13)),"https://www.google.com/maps/search/?api=1&amp;query="&amp;U13&amp;","&amp;V13,"https://www.google.com/maps/search/?api=1&amp;query="&amp;SUBSTITUTE(SUBSTITUTE(SUBSTITUTE(B13&amp;", "&amp;M13&amp;", Puno, Peru"," ","+"),"&amp;","y"),"#","")),"Ver en mapa")</f>
        <v>Ver en mapa</v>
      </c>
      <c r="Y13" s="55" t="s">
        <v>169</v>
      </c>
      <c r="Z13" s="56" t="s">
        <v>2530</v>
      </c>
      <c r="AA13" s="72"/>
      <c r="AB13" s="59"/>
      <c r="AC13" s="59"/>
      <c r="AD13" s="72"/>
      <c r="AE13" s="72"/>
      <c r="AF13" s="72"/>
      <c r="AG13" s="72"/>
      <c r="AH13" s="55" t="s">
        <v>2494</v>
      </c>
      <c r="AI13" s="72"/>
      <c r="AJ13" s="56" t="s">
        <v>2544</v>
      </c>
      <c r="AK13" s="77" t="n">
        <f aca="false">IF(AND(ISNUMBER(U13),ISNUMBER(V13),ISNUMBER(14_Cercania!$C$13),ISNUMBER(14_Cercania!$C$14)),6371*2*ASIN(SQRT(SIN(RADIANS(14_Cercania!$C$13-U13)/2)^2+COS(RADIANS(U13))*COS(RADIANS(14_Cercania!$C$13))*SIN(RADIANS(14_Cercania!$C$14-V13)/2)^2))+ROW()*0.000000001,"")</f>
        <v>1.09165682601011</v>
      </c>
    </row>
    <row r="14" customFormat="false" ht="23.85" hidden="false" customHeight="false" outlineLevel="0" collapsed="false">
      <c r="A14" s="62" t="n">
        <v>12</v>
      </c>
      <c r="B14" s="63" t="s">
        <v>2545</v>
      </c>
      <c r="C14" s="62" t="s">
        <v>163</v>
      </c>
      <c r="D14" s="63" t="s">
        <v>2546</v>
      </c>
      <c r="E14" s="71"/>
      <c r="F14" s="57"/>
      <c r="G14" s="57"/>
      <c r="H14" s="72"/>
      <c r="I14" s="72"/>
      <c r="J14" s="72"/>
      <c r="K14" s="72"/>
      <c r="L14" s="72"/>
      <c r="M14" s="63" t="s">
        <v>2547</v>
      </c>
      <c r="N14" s="57"/>
      <c r="O14" s="62" t="s">
        <v>158</v>
      </c>
      <c r="P14" s="78" t="s">
        <v>2489</v>
      </c>
      <c r="Q14" s="78" t="s">
        <v>2490</v>
      </c>
      <c r="R14" s="62" t="s">
        <v>2491</v>
      </c>
      <c r="S14" s="62" t="s">
        <v>2491</v>
      </c>
      <c r="T14" s="62" t="s">
        <v>2491</v>
      </c>
      <c r="U14" s="79" t="n">
        <v>-15.8384454</v>
      </c>
      <c r="V14" s="79" t="n">
        <v>-70.0281434</v>
      </c>
      <c r="W14" s="75" t="s">
        <v>2492</v>
      </c>
      <c r="X14" s="80" t="str">
        <f aca="false">HYPERLINK(IF(AND(ISNUMBER(U14),ISNUMBER(V14)),"https://www.google.com/maps/search/?api=1&amp;query="&amp;U14&amp;","&amp;V14,"https://www.google.com/maps/search/?api=1&amp;query="&amp;SUBSTITUTE(SUBSTITUTE(SUBSTITUTE(B14&amp;", "&amp;M14&amp;", Puno, Peru"," ","+"),"&amp;","y"),"#","")),"Ver en mapa")</f>
        <v>Ver en mapa</v>
      </c>
      <c r="Y14" s="62" t="s">
        <v>165</v>
      </c>
      <c r="Z14" s="63" t="s">
        <v>2493</v>
      </c>
      <c r="AA14" s="72"/>
      <c r="AB14" s="59"/>
      <c r="AC14" s="59"/>
      <c r="AD14" s="72"/>
      <c r="AE14" s="72"/>
      <c r="AF14" s="72"/>
      <c r="AG14" s="72"/>
      <c r="AH14" s="62" t="s">
        <v>2494</v>
      </c>
      <c r="AI14" s="72"/>
      <c r="AJ14" s="63" t="s">
        <v>2548</v>
      </c>
      <c r="AK14" s="81" t="n">
        <f aca="false">IF(AND(ISNUMBER(U14),ISNUMBER(V14),ISNUMBER(14_Cercania!$C$13),ISNUMBER(14_Cercania!$C$14)),6371*2*ASIN(SQRT(SIN(RADIANS(14_Cercania!$C$13-U14)/2)^2+COS(RADIANS(U14))*COS(RADIANS(14_Cercania!$C$13))*SIN(RADIANS(14_Cercania!$C$14-V14)/2)^2))+ROW()*0.000000001,"")</f>
        <v>0.748551227827976</v>
      </c>
    </row>
    <row r="15" customFormat="false" ht="35.05" hidden="false" customHeight="false" outlineLevel="0" collapsed="false">
      <c r="A15" s="55" t="n">
        <v>13</v>
      </c>
      <c r="B15" s="56" t="s">
        <v>2549</v>
      </c>
      <c r="C15" s="55" t="s">
        <v>163</v>
      </c>
      <c r="D15" s="56" t="s">
        <v>2550</v>
      </c>
      <c r="E15" s="71"/>
      <c r="F15" s="57"/>
      <c r="G15" s="57"/>
      <c r="H15" s="72"/>
      <c r="I15" s="72"/>
      <c r="J15" s="72"/>
      <c r="K15" s="72"/>
      <c r="L15" s="72"/>
      <c r="M15" s="56" t="s">
        <v>2551</v>
      </c>
      <c r="N15" s="57"/>
      <c r="O15" s="55" t="s">
        <v>158</v>
      </c>
      <c r="P15" s="73" t="s">
        <v>2489</v>
      </c>
      <c r="Q15" s="73" t="s">
        <v>2490</v>
      </c>
      <c r="R15" s="55" t="s">
        <v>2491</v>
      </c>
      <c r="S15" s="55" t="s">
        <v>2491</v>
      </c>
      <c r="T15" s="55" t="s">
        <v>2491</v>
      </c>
      <c r="U15" s="74" t="n">
        <v>-15.8386328</v>
      </c>
      <c r="V15" s="74" t="n">
        <v>-70.0281458</v>
      </c>
      <c r="W15" s="82" t="s">
        <v>2511</v>
      </c>
      <c r="X15" s="76" t="str">
        <f aca="false">HYPERLINK(IF(AND(ISNUMBER(U15),ISNUMBER(V15)),"https://www.google.com/maps/search/?api=1&amp;query="&amp;U15&amp;","&amp;V15,"https://www.google.com/maps/search/?api=1&amp;query="&amp;SUBSTITUTE(SUBSTITUTE(SUBSTITUTE(B15&amp;", "&amp;M15&amp;", Puno, Peru"," ","+"),"&amp;","y"),"#","")),"Ver en mapa")</f>
        <v>Ver en mapa</v>
      </c>
      <c r="Y15" s="55" t="s">
        <v>165</v>
      </c>
      <c r="Z15" s="56" t="s">
        <v>2493</v>
      </c>
      <c r="AA15" s="72"/>
      <c r="AB15" s="59"/>
      <c r="AC15" s="59"/>
      <c r="AD15" s="72"/>
      <c r="AE15" s="72"/>
      <c r="AF15" s="72"/>
      <c r="AG15" s="72"/>
      <c r="AH15" s="55" t="s">
        <v>2494</v>
      </c>
      <c r="AI15" s="72"/>
      <c r="AJ15" s="56" t="s">
        <v>2552</v>
      </c>
      <c r="AK15" s="77" t="n">
        <f aca="false">IF(AND(ISNUMBER(U15),ISNUMBER(V15),ISNUMBER(14_Cercania!$C$13),ISNUMBER(14_Cercania!$C$14)),6371*2*ASIN(SQRT(SIN(RADIANS(14_Cercania!$C$13-U15)/2)^2+COS(RADIANS(U15))*COS(RADIANS(14_Cercania!$C$13))*SIN(RADIANS(14_Cercania!$C$14-V15)/2)^2))+ROW()*0.000000001,"")</f>
        <v>0.76427369757758</v>
      </c>
    </row>
    <row r="16" customFormat="false" ht="23.85" hidden="false" customHeight="false" outlineLevel="0" collapsed="false">
      <c r="A16" s="62" t="n">
        <v>14</v>
      </c>
      <c r="B16" s="63" t="s">
        <v>2553</v>
      </c>
      <c r="C16" s="62" t="s">
        <v>163</v>
      </c>
      <c r="D16" s="63" t="s">
        <v>2554</v>
      </c>
      <c r="E16" s="71"/>
      <c r="F16" s="57"/>
      <c r="G16" s="57"/>
      <c r="H16" s="72"/>
      <c r="I16" s="72"/>
      <c r="J16" s="72"/>
      <c r="K16" s="72"/>
      <c r="L16" s="72"/>
      <c r="M16" s="63" t="s">
        <v>2555</v>
      </c>
      <c r="N16" s="57"/>
      <c r="O16" s="62" t="s">
        <v>158</v>
      </c>
      <c r="P16" s="78" t="s">
        <v>2489</v>
      </c>
      <c r="Q16" s="78" t="s">
        <v>2490</v>
      </c>
      <c r="R16" s="62" t="s">
        <v>2491</v>
      </c>
      <c r="S16" s="62" t="s">
        <v>2491</v>
      </c>
      <c r="T16" s="62" t="s">
        <v>2491</v>
      </c>
      <c r="U16" s="79" t="n">
        <v>-15.841111</v>
      </c>
      <c r="V16" s="79" t="n">
        <v>-70.0283803</v>
      </c>
      <c r="W16" s="75" t="s">
        <v>2492</v>
      </c>
      <c r="X16" s="80" t="str">
        <f aca="false">HYPERLINK(IF(AND(ISNUMBER(U16),ISNUMBER(V16)),"https://www.google.com/maps/search/?api=1&amp;query="&amp;U16&amp;","&amp;V16,"https://www.google.com/maps/search/?api=1&amp;query="&amp;SUBSTITUTE(SUBSTITUTE(SUBSTITUTE(B16&amp;", "&amp;M16&amp;", Puno, Peru"," ","+"),"&amp;","y"),"#","")),"Ver en mapa")</f>
        <v>Ver en mapa</v>
      </c>
      <c r="Y16" s="62" t="s">
        <v>165</v>
      </c>
      <c r="Z16" s="63" t="s">
        <v>2556</v>
      </c>
      <c r="AA16" s="72"/>
      <c r="AB16" s="59"/>
      <c r="AC16" s="59"/>
      <c r="AD16" s="72"/>
      <c r="AE16" s="72"/>
      <c r="AF16" s="72"/>
      <c r="AG16" s="72"/>
      <c r="AH16" s="62" t="s">
        <v>2494</v>
      </c>
      <c r="AI16" s="72"/>
      <c r="AJ16" s="63" t="s">
        <v>2531</v>
      </c>
      <c r="AK16" s="81" t="n">
        <f aca="false">IF(AND(ISNUMBER(U16),ISNUMBER(V16),ISNUMBER(14_Cercania!$C$13),ISNUMBER(14_Cercania!$C$14)),6371*2*ASIN(SQRT(SIN(RADIANS(14_Cercania!$C$13-U16)/2)^2+COS(RADIANS(U16))*COS(RADIANS(14_Cercania!$C$13))*SIN(RADIANS(14_Cercania!$C$14-V16)/2)^2))+ROW()*0.000000001,"")</f>
        <v>1.00140183076141</v>
      </c>
    </row>
    <row r="17" customFormat="false" ht="15" hidden="false" customHeight="false" outlineLevel="0" collapsed="false">
      <c r="A17" s="55" t="n">
        <v>15</v>
      </c>
      <c r="B17" s="56" t="s">
        <v>2557</v>
      </c>
      <c r="C17" s="55" t="s">
        <v>163</v>
      </c>
      <c r="D17" s="56" t="s">
        <v>2558</v>
      </c>
      <c r="E17" s="71"/>
      <c r="F17" s="57"/>
      <c r="G17" s="57"/>
      <c r="H17" s="72"/>
      <c r="I17" s="72"/>
      <c r="J17" s="72"/>
      <c r="K17" s="72"/>
      <c r="L17" s="72"/>
      <c r="M17" s="56" t="s">
        <v>2559</v>
      </c>
      <c r="N17" s="57"/>
      <c r="O17" s="55" t="s">
        <v>158</v>
      </c>
      <c r="P17" s="73" t="s">
        <v>2489</v>
      </c>
      <c r="Q17" s="73" t="s">
        <v>2490</v>
      </c>
      <c r="R17" s="55" t="s">
        <v>2491</v>
      </c>
      <c r="S17" s="55" t="s">
        <v>2491</v>
      </c>
      <c r="T17" s="55" t="s">
        <v>2491</v>
      </c>
      <c r="U17" s="83"/>
      <c r="V17" s="83"/>
      <c r="W17" s="57" t="s">
        <v>2538</v>
      </c>
      <c r="X17" s="76" t="str">
        <f aca="false">HYPERLINK(IF(AND(ISNUMBER(U17),ISNUMBER(V17)),"https://www.google.com/maps/search/?api=1&amp;query="&amp;U17&amp;","&amp;V17,"https://www.google.com/maps/search/?api=1&amp;query="&amp;SUBSTITUTE(SUBSTITUTE(SUBSTITUTE(B17&amp;", "&amp;M17&amp;", Puno, Peru"," ","+"),"&amp;","y"),"#","")),"Ver en mapa")</f>
        <v>Ver en mapa</v>
      </c>
      <c r="Y17" s="55" t="s">
        <v>165</v>
      </c>
      <c r="Z17" s="56" t="s">
        <v>2560</v>
      </c>
      <c r="AA17" s="72"/>
      <c r="AB17" s="59"/>
      <c r="AC17" s="59"/>
      <c r="AD17" s="72"/>
      <c r="AE17" s="72"/>
      <c r="AF17" s="72"/>
      <c r="AG17" s="72"/>
      <c r="AH17" s="55" t="s">
        <v>2494</v>
      </c>
      <c r="AI17" s="72"/>
      <c r="AJ17" s="56" t="s">
        <v>2539</v>
      </c>
      <c r="AK17" s="77" t="str">
        <f aca="false">IF(AND(ISNUMBER(U17),ISNUMBER(V17),ISNUMBER(14_Cercania!$C$13),ISNUMBER(14_Cercania!$C$14)),6371*2*ASIN(SQRT(SIN(RADIANS(14_Cercania!$C$13-U17)/2)^2+COS(RADIANS(U17))*COS(RADIANS(14_Cercania!$C$13))*SIN(RADIANS(14_Cercania!$C$14-V17)/2)^2))+ROW()*0.000000001,"")</f>
        <v/>
      </c>
    </row>
    <row r="18" customFormat="false" ht="15" hidden="false" customHeight="false" outlineLevel="0" collapsed="false">
      <c r="A18" s="62" t="n">
        <v>16</v>
      </c>
      <c r="B18" s="63" t="s">
        <v>2561</v>
      </c>
      <c r="C18" s="62" t="s">
        <v>174</v>
      </c>
      <c r="D18" s="63" t="s">
        <v>2562</v>
      </c>
      <c r="E18" s="71"/>
      <c r="F18" s="57"/>
      <c r="G18" s="57"/>
      <c r="H18" s="72"/>
      <c r="I18" s="72"/>
      <c r="J18" s="72"/>
      <c r="K18" s="72"/>
      <c r="L18" s="72"/>
      <c r="M18" s="63" t="s">
        <v>2563</v>
      </c>
      <c r="N18" s="57"/>
      <c r="O18" s="62" t="s">
        <v>158</v>
      </c>
      <c r="P18" s="78" t="s">
        <v>2489</v>
      </c>
      <c r="Q18" s="78" t="s">
        <v>2490</v>
      </c>
      <c r="R18" s="62" t="s">
        <v>2491</v>
      </c>
      <c r="S18" s="62" t="s">
        <v>2491</v>
      </c>
      <c r="T18" s="62" t="s">
        <v>2491</v>
      </c>
      <c r="U18" s="83"/>
      <c r="V18" s="83"/>
      <c r="W18" s="57" t="s">
        <v>2538</v>
      </c>
      <c r="X18" s="80" t="str">
        <f aca="false">HYPERLINK(IF(AND(ISNUMBER(U18),ISNUMBER(V18)),"https://www.google.com/maps/search/?api=1&amp;query="&amp;U18&amp;","&amp;V18,"https://www.google.com/maps/search/?api=1&amp;query="&amp;SUBSTITUTE(SUBSTITUTE(SUBSTITUTE(B18&amp;", "&amp;M18&amp;", Puno, Peru"," ","+"),"&amp;","y"),"#","")),"Ver en mapa")</f>
        <v>Ver en mapa</v>
      </c>
      <c r="Y18" s="62" t="s">
        <v>161</v>
      </c>
      <c r="Z18" s="63" t="s">
        <v>2493</v>
      </c>
      <c r="AA18" s="72"/>
      <c r="AB18" s="59"/>
      <c r="AC18" s="59"/>
      <c r="AD18" s="72"/>
      <c r="AE18" s="72"/>
      <c r="AF18" s="72"/>
      <c r="AG18" s="72"/>
      <c r="AH18" s="62" t="s">
        <v>2494</v>
      </c>
      <c r="AI18" s="72"/>
      <c r="AJ18" s="63" t="s">
        <v>2539</v>
      </c>
      <c r="AK18" s="81" t="str">
        <f aca="false">IF(AND(ISNUMBER(U18),ISNUMBER(V18),ISNUMBER(14_Cercania!$C$13),ISNUMBER(14_Cercania!$C$14)),6371*2*ASIN(SQRT(SIN(RADIANS(14_Cercania!$C$13-U18)/2)^2+COS(RADIANS(U18))*COS(RADIANS(14_Cercania!$C$13))*SIN(RADIANS(14_Cercania!$C$14-V18)/2)^2))+ROW()*0.000000001,"")</f>
        <v/>
      </c>
    </row>
    <row r="19" customFormat="false" ht="15" hidden="false" customHeight="false" outlineLevel="0" collapsed="false">
      <c r="A19" s="55" t="n">
        <v>17</v>
      </c>
      <c r="B19" s="56" t="s">
        <v>2564</v>
      </c>
      <c r="C19" s="55" t="s">
        <v>163</v>
      </c>
      <c r="D19" s="56" t="s">
        <v>2522</v>
      </c>
      <c r="E19" s="71"/>
      <c r="F19" s="57"/>
      <c r="G19" s="57"/>
      <c r="H19" s="72"/>
      <c r="I19" s="72"/>
      <c r="J19" s="72"/>
      <c r="K19" s="72"/>
      <c r="L19" s="72"/>
      <c r="M19" s="56" t="s">
        <v>2565</v>
      </c>
      <c r="N19" s="57"/>
      <c r="O19" s="55" t="s">
        <v>195</v>
      </c>
      <c r="P19" s="73" t="s">
        <v>2489</v>
      </c>
      <c r="Q19" s="73" t="s">
        <v>2490</v>
      </c>
      <c r="R19" s="55" t="s">
        <v>2491</v>
      </c>
      <c r="S19" s="55" t="s">
        <v>2491</v>
      </c>
      <c r="T19" s="55" t="s">
        <v>2491</v>
      </c>
      <c r="U19" s="83"/>
      <c r="V19" s="83"/>
      <c r="W19" s="57" t="s">
        <v>2538</v>
      </c>
      <c r="X19" s="76" t="str">
        <f aca="false">HYPERLINK(IF(AND(ISNUMBER(U19),ISNUMBER(V19)),"https://www.google.com/maps/search/?api=1&amp;query="&amp;U19&amp;","&amp;V19,"https://www.google.com/maps/search/?api=1&amp;query="&amp;SUBSTITUTE(SUBSTITUTE(SUBSTITUTE(B19&amp;", "&amp;M19&amp;", Puno, Peru"," ","+"),"&amp;","y"),"#","")),"Ver en mapa")</f>
        <v>Ver en mapa</v>
      </c>
      <c r="Y19" s="55" t="s">
        <v>169</v>
      </c>
      <c r="Z19" s="56" t="s">
        <v>2560</v>
      </c>
      <c r="AA19" s="72"/>
      <c r="AB19" s="59"/>
      <c r="AC19" s="59"/>
      <c r="AD19" s="72"/>
      <c r="AE19" s="72"/>
      <c r="AF19" s="72"/>
      <c r="AG19" s="72"/>
      <c r="AH19" s="55" t="s">
        <v>2494</v>
      </c>
      <c r="AI19" s="72"/>
      <c r="AJ19" s="56" t="s">
        <v>2566</v>
      </c>
      <c r="AK19" s="77" t="str">
        <f aca="false">IF(AND(ISNUMBER(U19),ISNUMBER(V19),ISNUMBER(14_Cercania!$C$13),ISNUMBER(14_Cercania!$C$14)),6371*2*ASIN(SQRT(SIN(RADIANS(14_Cercania!$C$13-U19)/2)^2+COS(RADIANS(U19))*COS(RADIANS(14_Cercania!$C$13))*SIN(RADIANS(14_Cercania!$C$14-V19)/2)^2))+ROW()*0.000000001,"")</f>
        <v/>
      </c>
    </row>
    <row r="20" customFormat="false" ht="23.85" hidden="false" customHeight="false" outlineLevel="0" collapsed="false">
      <c r="A20" s="62" t="n">
        <v>18</v>
      </c>
      <c r="B20" s="63" t="s">
        <v>2567</v>
      </c>
      <c r="C20" s="62" t="s">
        <v>163</v>
      </c>
      <c r="D20" s="63" t="s">
        <v>2522</v>
      </c>
      <c r="E20" s="71"/>
      <c r="F20" s="57"/>
      <c r="G20" s="57"/>
      <c r="H20" s="72"/>
      <c r="I20" s="72"/>
      <c r="J20" s="62" t="s">
        <v>2568</v>
      </c>
      <c r="K20" s="72"/>
      <c r="L20" s="72"/>
      <c r="M20" s="63" t="s">
        <v>2569</v>
      </c>
      <c r="N20" s="57"/>
      <c r="O20" s="62" t="s">
        <v>158</v>
      </c>
      <c r="P20" s="78" t="s">
        <v>2489</v>
      </c>
      <c r="Q20" s="78" t="s">
        <v>2490</v>
      </c>
      <c r="R20" s="62" t="s">
        <v>2491</v>
      </c>
      <c r="S20" s="62" t="s">
        <v>2491</v>
      </c>
      <c r="T20" s="62" t="s">
        <v>2491</v>
      </c>
      <c r="U20" s="79" t="n">
        <v>-15.8395865</v>
      </c>
      <c r="V20" s="79" t="n">
        <v>-70.0277146</v>
      </c>
      <c r="W20" s="75" t="s">
        <v>2492</v>
      </c>
      <c r="X20" s="80" t="str">
        <f aca="false">HYPERLINK(IF(AND(ISNUMBER(U20),ISNUMBER(V20)),"https://www.google.com/maps/search/?api=1&amp;query="&amp;U20&amp;","&amp;V20,"https://www.google.com/maps/search/?api=1&amp;query="&amp;SUBSTITUTE(SUBSTITUTE(SUBSTITUTE(B20&amp;", "&amp;M20&amp;", Puno, Peru"," ","+"),"&amp;","y"),"#","")),"Ver en mapa")</f>
        <v>Ver en mapa</v>
      </c>
      <c r="Y20" s="62" t="s">
        <v>165</v>
      </c>
      <c r="Z20" s="63" t="s">
        <v>2493</v>
      </c>
      <c r="AA20" s="72"/>
      <c r="AB20" s="59"/>
      <c r="AC20" s="59"/>
      <c r="AD20" s="72"/>
      <c r="AE20" s="72"/>
      <c r="AF20" s="72"/>
      <c r="AG20" s="72"/>
      <c r="AH20" s="62" t="s">
        <v>2494</v>
      </c>
      <c r="AI20" s="72"/>
      <c r="AJ20" s="63" t="s">
        <v>2506</v>
      </c>
      <c r="AK20" s="81" t="n">
        <f aca="false">IF(AND(ISNUMBER(U20),ISNUMBER(V20),ISNUMBER(14_Cercania!$C$13),ISNUMBER(14_Cercania!$C$14)),6371*2*ASIN(SQRT(SIN(RADIANS(14_Cercania!$C$13-U20)/2)^2+COS(RADIANS(U20))*COS(RADIANS(14_Cercania!$C$13))*SIN(RADIANS(14_Cercania!$C$14-V20)/2)^2))+ROW()*0.000000001,"")</f>
        <v>0.820350309755198</v>
      </c>
    </row>
    <row r="21" customFormat="false" ht="23.85" hidden="false" customHeight="false" outlineLevel="0" collapsed="false">
      <c r="A21" s="55" t="n">
        <v>19</v>
      </c>
      <c r="B21" s="56" t="s">
        <v>2570</v>
      </c>
      <c r="C21" s="55" t="s">
        <v>203</v>
      </c>
      <c r="D21" s="56" t="s">
        <v>2571</v>
      </c>
      <c r="E21" s="71"/>
      <c r="F21" s="57"/>
      <c r="G21" s="57"/>
      <c r="H21" s="72"/>
      <c r="I21" s="55" t="s">
        <v>2572</v>
      </c>
      <c r="J21" s="72"/>
      <c r="K21" s="72"/>
      <c r="L21" s="72"/>
      <c r="M21" s="56" t="s">
        <v>2573</v>
      </c>
      <c r="N21" s="57"/>
      <c r="O21" s="55" t="s">
        <v>158</v>
      </c>
      <c r="P21" s="73" t="s">
        <v>2489</v>
      </c>
      <c r="Q21" s="73" t="s">
        <v>2490</v>
      </c>
      <c r="R21" s="55" t="s">
        <v>2491</v>
      </c>
      <c r="S21" s="55" t="s">
        <v>2491</v>
      </c>
      <c r="T21" s="55" t="s">
        <v>2491</v>
      </c>
      <c r="U21" s="74" t="n">
        <v>-15.839873</v>
      </c>
      <c r="V21" s="74" t="n">
        <v>-70.0267102</v>
      </c>
      <c r="W21" s="75" t="s">
        <v>2492</v>
      </c>
      <c r="X21" s="76" t="str">
        <f aca="false">HYPERLINK(IF(AND(ISNUMBER(U21),ISNUMBER(V21)),"https://www.google.com/maps/search/?api=1&amp;query="&amp;U21&amp;","&amp;V21,"https://www.google.com/maps/search/?api=1&amp;query="&amp;SUBSTITUTE(SUBSTITUTE(SUBSTITUTE(B21&amp;", "&amp;M21&amp;", Puno, Peru"," ","+"),"&amp;","y"),"#","")),"Ver en mapa")</f>
        <v>Ver en mapa</v>
      </c>
      <c r="Y21" s="55" t="s">
        <v>161</v>
      </c>
      <c r="Z21" s="56" t="s">
        <v>2493</v>
      </c>
      <c r="AA21" s="72"/>
      <c r="AB21" s="59"/>
      <c r="AC21" s="59"/>
      <c r="AD21" s="72"/>
      <c r="AE21" s="72"/>
      <c r="AF21" s="72"/>
      <c r="AG21" s="72"/>
      <c r="AH21" s="55" t="s">
        <v>2494</v>
      </c>
      <c r="AI21" s="72"/>
      <c r="AJ21" s="56" t="s">
        <v>2506</v>
      </c>
      <c r="AK21" s="77" t="n">
        <f aca="false">IF(AND(ISNUMBER(U21),ISNUMBER(V21),ISNUMBER(14_Cercania!$C$13),ISNUMBER(14_Cercania!$C$14)),6371*2*ASIN(SQRT(SIN(RADIANS(14_Cercania!$C$13-U21)/2)^2+COS(RADIANS(U21))*COS(RADIANS(14_Cercania!$C$13))*SIN(RADIANS(14_Cercania!$C$14-V21)/2)^2))+ROW()*0.000000001,"")</f>
        <v>0.794121881732096</v>
      </c>
    </row>
    <row r="22" customFormat="false" ht="23.85" hidden="false" customHeight="false" outlineLevel="0" collapsed="false">
      <c r="A22" s="62" t="n">
        <v>20</v>
      </c>
      <c r="B22" s="63" t="s">
        <v>2574</v>
      </c>
      <c r="C22" s="62" t="s">
        <v>203</v>
      </c>
      <c r="D22" s="63" t="s">
        <v>2522</v>
      </c>
      <c r="E22" s="71"/>
      <c r="F22" s="57"/>
      <c r="G22" s="57"/>
      <c r="H22" s="72"/>
      <c r="I22" s="62" t="s">
        <v>2575</v>
      </c>
      <c r="J22" s="72"/>
      <c r="K22" s="72"/>
      <c r="L22" s="72"/>
      <c r="M22" s="63" t="s">
        <v>2576</v>
      </c>
      <c r="N22" s="57"/>
      <c r="O22" s="62" t="s">
        <v>183</v>
      </c>
      <c r="P22" s="78" t="s">
        <v>2489</v>
      </c>
      <c r="Q22" s="78" t="s">
        <v>2490</v>
      </c>
      <c r="R22" s="62" t="s">
        <v>2491</v>
      </c>
      <c r="S22" s="62" t="s">
        <v>2491</v>
      </c>
      <c r="T22" s="62" t="s">
        <v>2491</v>
      </c>
      <c r="U22" s="79" t="n">
        <v>-15.8235198</v>
      </c>
      <c r="V22" s="79" t="n">
        <v>-70.0015418</v>
      </c>
      <c r="W22" s="75" t="s">
        <v>2492</v>
      </c>
      <c r="X22" s="80" t="str">
        <f aca="false">HYPERLINK(IF(AND(ISNUMBER(U22),ISNUMBER(V22)),"https://www.google.com/maps/search/?api=1&amp;query="&amp;U22&amp;","&amp;V22,"https://www.google.com/maps/search/?api=1&amp;query="&amp;SUBSTITUTE(SUBSTITUTE(SUBSTITUTE(B22&amp;", "&amp;M22&amp;", Puno, Peru"," ","+"),"&amp;","y"),"#","")),"Ver en mapa")</f>
        <v>Ver en mapa</v>
      </c>
      <c r="Y22" s="62" t="s">
        <v>161</v>
      </c>
      <c r="Z22" s="63" t="s">
        <v>160</v>
      </c>
      <c r="AA22" s="72"/>
      <c r="AB22" s="59"/>
      <c r="AC22" s="59"/>
      <c r="AD22" s="72"/>
      <c r="AE22" s="72"/>
      <c r="AF22" s="72"/>
      <c r="AG22" s="72"/>
      <c r="AH22" s="62" t="s">
        <v>2494</v>
      </c>
      <c r="AI22" s="72"/>
      <c r="AJ22" s="63" t="s">
        <v>2506</v>
      </c>
      <c r="AK22" s="81" t="n">
        <f aca="false">IF(AND(ISNUMBER(U22),ISNUMBER(V22),ISNUMBER(14_Cercania!$C$13),ISNUMBER(14_Cercania!$C$14)),6371*2*ASIN(SQRT(SIN(RADIANS(14_Cercania!$C$13-U22)/2)^2+COS(RADIANS(U22))*COS(RADIANS(14_Cercania!$C$13))*SIN(RADIANS(14_Cercania!$C$14-V22)/2)^2))+ROW()*0.000000001,"")</f>
        <v>2.5902785151458</v>
      </c>
    </row>
    <row r="23" customFormat="false" ht="35.05" hidden="false" customHeight="false" outlineLevel="0" collapsed="false">
      <c r="A23" s="55" t="n">
        <v>21</v>
      </c>
      <c r="B23" s="56" t="s">
        <v>2577</v>
      </c>
      <c r="C23" s="55" t="s">
        <v>203</v>
      </c>
      <c r="D23" s="56" t="s">
        <v>2578</v>
      </c>
      <c r="E23" s="71"/>
      <c r="F23" s="57"/>
      <c r="G23" s="57"/>
      <c r="H23" s="72"/>
      <c r="I23" s="55" t="s">
        <v>2579</v>
      </c>
      <c r="J23" s="72"/>
      <c r="K23" s="72"/>
      <c r="L23" s="72"/>
      <c r="M23" s="56" t="s">
        <v>2580</v>
      </c>
      <c r="N23" s="57"/>
      <c r="O23" s="55" t="s">
        <v>183</v>
      </c>
      <c r="P23" s="73" t="s">
        <v>2489</v>
      </c>
      <c r="Q23" s="73" t="s">
        <v>2490</v>
      </c>
      <c r="R23" s="55" t="s">
        <v>2491</v>
      </c>
      <c r="S23" s="55" t="s">
        <v>2491</v>
      </c>
      <c r="T23" s="55" t="s">
        <v>2491</v>
      </c>
      <c r="U23" s="74" t="n">
        <v>-15.8235198</v>
      </c>
      <c r="V23" s="74" t="n">
        <v>-70.0015418</v>
      </c>
      <c r="W23" s="82" t="s">
        <v>2543</v>
      </c>
      <c r="X23" s="76" t="str">
        <f aca="false">HYPERLINK(IF(AND(ISNUMBER(U23),ISNUMBER(V23)),"https://www.google.com/maps/search/?api=1&amp;query="&amp;U23&amp;","&amp;V23,"https://www.google.com/maps/search/?api=1&amp;query="&amp;SUBSTITUTE(SUBSTITUTE(SUBSTITUTE(B23&amp;", "&amp;M23&amp;", Puno, Peru"," ","+"),"&amp;","y"),"#","")),"Ver en mapa")</f>
        <v>Ver en mapa</v>
      </c>
      <c r="Y23" s="55" t="s">
        <v>161</v>
      </c>
      <c r="Z23" s="56" t="s">
        <v>160</v>
      </c>
      <c r="AA23" s="72"/>
      <c r="AB23" s="59"/>
      <c r="AC23" s="59"/>
      <c r="AD23" s="72"/>
      <c r="AE23" s="72"/>
      <c r="AF23" s="72"/>
      <c r="AG23" s="72"/>
      <c r="AH23" s="55" t="s">
        <v>2494</v>
      </c>
      <c r="AI23" s="72"/>
      <c r="AJ23" s="56" t="s">
        <v>2581</v>
      </c>
      <c r="AK23" s="77" t="n">
        <f aca="false">IF(AND(ISNUMBER(U23),ISNUMBER(V23),ISNUMBER(14_Cercania!$C$13),ISNUMBER(14_Cercania!$C$14)),6371*2*ASIN(SQRT(SIN(RADIANS(14_Cercania!$C$13-U23)/2)^2+COS(RADIANS(U23))*COS(RADIANS(14_Cercania!$C$13))*SIN(RADIANS(14_Cercania!$C$14-V23)/2)^2))+ROW()*0.000000001,"")</f>
        <v>2.5902785161458</v>
      </c>
    </row>
    <row r="24" customFormat="false" ht="15" hidden="false" customHeight="false" outlineLevel="0" collapsed="false">
      <c r="A24" s="62" t="n">
        <v>22</v>
      </c>
      <c r="B24" s="63" t="s">
        <v>2582</v>
      </c>
      <c r="C24" s="62" t="s">
        <v>199</v>
      </c>
      <c r="D24" s="63" t="s">
        <v>2583</v>
      </c>
      <c r="E24" s="71"/>
      <c r="F24" s="57"/>
      <c r="G24" s="57"/>
      <c r="H24" s="72"/>
      <c r="I24" s="62" t="s">
        <v>2584</v>
      </c>
      <c r="J24" s="72"/>
      <c r="K24" s="72"/>
      <c r="L24" s="72"/>
      <c r="M24" s="63" t="s">
        <v>2585</v>
      </c>
      <c r="N24" s="57"/>
      <c r="O24" s="62" t="s">
        <v>183</v>
      </c>
      <c r="P24" s="78" t="s">
        <v>2489</v>
      </c>
      <c r="Q24" s="78" t="s">
        <v>2490</v>
      </c>
      <c r="R24" s="62" t="s">
        <v>2491</v>
      </c>
      <c r="S24" s="62" t="s">
        <v>2491</v>
      </c>
      <c r="T24" s="62" t="s">
        <v>2491</v>
      </c>
      <c r="U24" s="83"/>
      <c r="V24" s="83"/>
      <c r="W24" s="57" t="s">
        <v>2538</v>
      </c>
      <c r="X24" s="80" t="str">
        <f aca="false">HYPERLINK(IF(AND(ISNUMBER(U24),ISNUMBER(V24)),"https://www.google.com/maps/search/?api=1&amp;query="&amp;U24&amp;","&amp;V24,"https://www.google.com/maps/search/?api=1&amp;query="&amp;SUBSTITUTE(SUBSTITUTE(SUBSTITUTE(B24&amp;", "&amp;M24&amp;", Puno, Peru"," ","+"),"&amp;","y"),"#","")),"Ver en mapa")</f>
        <v>Ver en mapa</v>
      </c>
      <c r="Y24" s="62" t="s">
        <v>165</v>
      </c>
      <c r="Z24" s="63" t="s">
        <v>2560</v>
      </c>
      <c r="AA24" s="72"/>
      <c r="AB24" s="59"/>
      <c r="AC24" s="59"/>
      <c r="AD24" s="72"/>
      <c r="AE24" s="72"/>
      <c r="AF24" s="72"/>
      <c r="AG24" s="72"/>
      <c r="AH24" s="62" t="s">
        <v>2494</v>
      </c>
      <c r="AI24" s="72"/>
      <c r="AJ24" s="63" t="s">
        <v>2586</v>
      </c>
      <c r="AK24" s="81" t="str">
        <f aca="false">IF(AND(ISNUMBER(U24),ISNUMBER(V24),ISNUMBER(14_Cercania!$C$13),ISNUMBER(14_Cercania!$C$14)),6371*2*ASIN(SQRT(SIN(RADIANS(14_Cercania!$C$13-U24)/2)^2+COS(RADIANS(U24))*COS(RADIANS(14_Cercania!$C$13))*SIN(RADIANS(14_Cercania!$C$14-V24)/2)^2))+ROW()*0.000000001,"")</f>
        <v/>
      </c>
    </row>
    <row r="25" customFormat="false" ht="15" hidden="false" customHeight="false" outlineLevel="0" collapsed="false">
      <c r="A25" s="55" t="n">
        <v>23</v>
      </c>
      <c r="B25" s="56" t="s">
        <v>2587</v>
      </c>
      <c r="C25" s="55" t="s">
        <v>199</v>
      </c>
      <c r="D25" s="56" t="s">
        <v>2588</v>
      </c>
      <c r="E25" s="71"/>
      <c r="F25" s="57"/>
      <c r="G25" s="57"/>
      <c r="H25" s="72"/>
      <c r="I25" s="72"/>
      <c r="J25" s="55" t="s">
        <v>2589</v>
      </c>
      <c r="K25" s="72"/>
      <c r="L25" s="72"/>
      <c r="M25" s="56" t="s">
        <v>2590</v>
      </c>
      <c r="N25" s="57"/>
      <c r="O25" s="55" t="s">
        <v>183</v>
      </c>
      <c r="P25" s="73" t="s">
        <v>2489</v>
      </c>
      <c r="Q25" s="73" t="s">
        <v>2490</v>
      </c>
      <c r="R25" s="55" t="s">
        <v>2491</v>
      </c>
      <c r="S25" s="55" t="s">
        <v>2491</v>
      </c>
      <c r="T25" s="55" t="s">
        <v>2491</v>
      </c>
      <c r="U25" s="83"/>
      <c r="V25" s="83"/>
      <c r="W25" s="57" t="s">
        <v>2538</v>
      </c>
      <c r="X25" s="76" t="str">
        <f aca="false">HYPERLINK(IF(AND(ISNUMBER(U25),ISNUMBER(V25)),"https://www.google.com/maps/search/?api=1&amp;query="&amp;U25&amp;","&amp;V25,"https://www.google.com/maps/search/?api=1&amp;query="&amp;SUBSTITUTE(SUBSTITUTE(SUBSTITUTE(B25&amp;", "&amp;M25&amp;", Puno, Peru"," ","+"),"&amp;","y"),"#","")),"Ver en mapa")</f>
        <v>Ver en mapa</v>
      </c>
      <c r="Y25" s="55" t="s">
        <v>165</v>
      </c>
      <c r="Z25" s="56" t="s">
        <v>2560</v>
      </c>
      <c r="AA25" s="72"/>
      <c r="AB25" s="59"/>
      <c r="AC25" s="59"/>
      <c r="AD25" s="72"/>
      <c r="AE25" s="72"/>
      <c r="AF25" s="72"/>
      <c r="AG25" s="72"/>
      <c r="AH25" s="55" t="s">
        <v>2494</v>
      </c>
      <c r="AI25" s="72"/>
      <c r="AJ25" s="56" t="s">
        <v>2586</v>
      </c>
      <c r="AK25" s="77" t="str">
        <f aca="false">IF(AND(ISNUMBER(U25),ISNUMBER(V25),ISNUMBER(14_Cercania!$C$13),ISNUMBER(14_Cercania!$C$14)),6371*2*ASIN(SQRT(SIN(RADIANS(14_Cercania!$C$13-U25)/2)^2+COS(RADIANS(U25))*COS(RADIANS(14_Cercania!$C$13))*SIN(RADIANS(14_Cercania!$C$14-V25)/2)^2))+ROW()*0.000000001,"")</f>
        <v/>
      </c>
    </row>
    <row r="26" customFormat="false" ht="15" hidden="false" customHeight="false" outlineLevel="0" collapsed="false">
      <c r="A26" s="62" t="n">
        <v>24</v>
      </c>
      <c r="B26" s="63" t="s">
        <v>2591</v>
      </c>
      <c r="C26" s="62" t="s">
        <v>203</v>
      </c>
      <c r="D26" s="63" t="s">
        <v>2592</v>
      </c>
      <c r="E26" s="71"/>
      <c r="F26" s="57"/>
      <c r="G26" s="57"/>
      <c r="H26" s="72"/>
      <c r="I26" s="62" t="s">
        <v>2593</v>
      </c>
      <c r="J26" s="72"/>
      <c r="K26" s="72"/>
      <c r="L26" s="72"/>
      <c r="M26" s="63" t="s">
        <v>2594</v>
      </c>
      <c r="N26" s="57"/>
      <c r="O26" s="62" t="s">
        <v>179</v>
      </c>
      <c r="P26" s="78" t="s">
        <v>2489</v>
      </c>
      <c r="Q26" s="78" t="s">
        <v>2490</v>
      </c>
      <c r="R26" s="62" t="s">
        <v>2491</v>
      </c>
      <c r="S26" s="62" t="s">
        <v>2491</v>
      </c>
      <c r="T26" s="62" t="s">
        <v>2491</v>
      </c>
      <c r="U26" s="83"/>
      <c r="V26" s="83"/>
      <c r="W26" s="57" t="s">
        <v>2538</v>
      </c>
      <c r="X26" s="80" t="str">
        <f aca="false">HYPERLINK(IF(AND(ISNUMBER(U26),ISNUMBER(V26)),"https://www.google.com/maps/search/?api=1&amp;query="&amp;U26&amp;","&amp;V26,"https://www.google.com/maps/search/?api=1&amp;query="&amp;SUBSTITUTE(SUBSTITUTE(SUBSTITUTE(B26&amp;", "&amp;M26&amp;", Puno, Peru"," ","+"),"&amp;","y"),"#","")),"Ver en mapa")</f>
        <v>Ver en mapa</v>
      </c>
      <c r="Y26" s="62" t="s">
        <v>161</v>
      </c>
      <c r="Z26" s="63" t="s">
        <v>2560</v>
      </c>
      <c r="AA26" s="72"/>
      <c r="AB26" s="59"/>
      <c r="AC26" s="59"/>
      <c r="AD26" s="72"/>
      <c r="AE26" s="72"/>
      <c r="AF26" s="72"/>
      <c r="AG26" s="72"/>
      <c r="AH26" s="62" t="s">
        <v>2494</v>
      </c>
      <c r="AI26" s="72"/>
      <c r="AJ26" s="63" t="s">
        <v>2586</v>
      </c>
      <c r="AK26" s="81" t="str">
        <f aca="false">IF(AND(ISNUMBER(U26),ISNUMBER(V26),ISNUMBER(14_Cercania!$C$13),ISNUMBER(14_Cercania!$C$14)),6371*2*ASIN(SQRT(SIN(RADIANS(14_Cercania!$C$13-U26)/2)^2+COS(RADIANS(U26))*COS(RADIANS(14_Cercania!$C$13))*SIN(RADIANS(14_Cercania!$C$14-V26)/2)^2))+ROW()*0.000000001,"")</f>
        <v/>
      </c>
    </row>
    <row r="27" customFormat="false" ht="15" hidden="false" customHeight="false" outlineLevel="0" collapsed="false">
      <c r="A27" s="55" t="n">
        <v>25</v>
      </c>
      <c r="B27" s="56" t="s">
        <v>2595</v>
      </c>
      <c r="C27" s="55" t="s">
        <v>159</v>
      </c>
      <c r="D27" s="56" t="s">
        <v>2596</v>
      </c>
      <c r="E27" s="71"/>
      <c r="F27" s="57"/>
      <c r="G27" s="57"/>
      <c r="H27" s="72"/>
      <c r="I27" s="72"/>
      <c r="J27" s="55" t="s">
        <v>2597</v>
      </c>
      <c r="K27" s="72"/>
      <c r="L27" s="72"/>
      <c r="M27" s="56" t="s">
        <v>2598</v>
      </c>
      <c r="N27" s="57"/>
      <c r="O27" s="55" t="s">
        <v>158</v>
      </c>
      <c r="P27" s="73" t="s">
        <v>2489</v>
      </c>
      <c r="Q27" s="73" t="s">
        <v>2490</v>
      </c>
      <c r="R27" s="55" t="s">
        <v>2491</v>
      </c>
      <c r="S27" s="55" t="s">
        <v>2491</v>
      </c>
      <c r="T27" s="55" t="s">
        <v>2491</v>
      </c>
      <c r="U27" s="83"/>
      <c r="V27" s="83"/>
      <c r="W27" s="57" t="s">
        <v>2538</v>
      </c>
      <c r="X27" s="76" t="str">
        <f aca="false">HYPERLINK(IF(AND(ISNUMBER(U27),ISNUMBER(V27)),"https://www.google.com/maps/search/?api=1&amp;query="&amp;U27&amp;","&amp;V27,"https://www.google.com/maps/search/?api=1&amp;query="&amp;SUBSTITUTE(SUBSTITUTE(SUBSTITUTE(B27&amp;", "&amp;M27&amp;", Puno, Peru"," ","+"),"&amp;","y"),"#","")),"Ver en mapa")</f>
        <v>Ver en mapa</v>
      </c>
      <c r="Y27" s="55" t="s">
        <v>161</v>
      </c>
      <c r="Z27" s="56" t="s">
        <v>160</v>
      </c>
      <c r="AA27" s="72"/>
      <c r="AB27" s="59"/>
      <c r="AC27" s="59"/>
      <c r="AD27" s="72"/>
      <c r="AE27" s="72"/>
      <c r="AF27" s="72"/>
      <c r="AG27" s="72"/>
      <c r="AH27" s="55" t="s">
        <v>2494</v>
      </c>
      <c r="AI27" s="72"/>
      <c r="AJ27" s="56" t="s">
        <v>2586</v>
      </c>
      <c r="AK27" s="77" t="str">
        <f aca="false">IF(AND(ISNUMBER(U27),ISNUMBER(V27),ISNUMBER(14_Cercania!$C$13),ISNUMBER(14_Cercania!$C$14)),6371*2*ASIN(SQRT(SIN(RADIANS(14_Cercania!$C$13-U27)/2)^2+COS(RADIANS(U27))*COS(RADIANS(14_Cercania!$C$13))*SIN(RADIANS(14_Cercania!$C$14-V27)/2)^2))+ROW()*0.000000001,"")</f>
        <v/>
      </c>
    </row>
    <row r="28" customFormat="false" ht="15" hidden="false" customHeight="false" outlineLevel="0" collapsed="false">
      <c r="A28" s="62" t="n">
        <v>26</v>
      </c>
      <c r="B28" s="63" t="s">
        <v>2599</v>
      </c>
      <c r="C28" s="62" t="s">
        <v>203</v>
      </c>
      <c r="D28" s="63" t="s">
        <v>2508</v>
      </c>
      <c r="E28" s="71"/>
      <c r="F28" s="57"/>
      <c r="G28" s="57"/>
      <c r="H28" s="72"/>
      <c r="I28" s="62" t="s">
        <v>2600</v>
      </c>
      <c r="J28" s="72"/>
      <c r="K28" s="72"/>
      <c r="L28" s="72"/>
      <c r="M28" s="63" t="s">
        <v>2601</v>
      </c>
      <c r="N28" s="57"/>
      <c r="O28" s="62" t="s">
        <v>158</v>
      </c>
      <c r="P28" s="78" t="s">
        <v>2489</v>
      </c>
      <c r="Q28" s="78" t="s">
        <v>2490</v>
      </c>
      <c r="R28" s="62" t="s">
        <v>2491</v>
      </c>
      <c r="S28" s="62" t="s">
        <v>2491</v>
      </c>
      <c r="T28" s="62" t="s">
        <v>2491</v>
      </c>
      <c r="U28" s="83"/>
      <c r="V28" s="83"/>
      <c r="W28" s="57" t="s">
        <v>2538</v>
      </c>
      <c r="X28" s="80" t="str">
        <f aca="false">HYPERLINK(IF(AND(ISNUMBER(U28),ISNUMBER(V28)),"https://www.google.com/maps/search/?api=1&amp;query="&amp;U28&amp;","&amp;V28,"https://www.google.com/maps/search/?api=1&amp;query="&amp;SUBSTITUTE(SUBSTITUTE(SUBSTITUTE(B28&amp;", "&amp;M28&amp;", Puno, Peru"," ","+"),"&amp;","y"),"#","")),"Ver en mapa")</f>
        <v>Ver en mapa</v>
      </c>
      <c r="Y28" s="62" t="s">
        <v>161</v>
      </c>
      <c r="Z28" s="63" t="s">
        <v>2493</v>
      </c>
      <c r="AA28" s="72"/>
      <c r="AB28" s="59"/>
      <c r="AC28" s="59"/>
      <c r="AD28" s="72"/>
      <c r="AE28" s="72"/>
      <c r="AF28" s="72"/>
      <c r="AG28" s="72"/>
      <c r="AH28" s="62" t="s">
        <v>2494</v>
      </c>
      <c r="AI28" s="72"/>
      <c r="AJ28" s="63" t="s">
        <v>2586</v>
      </c>
      <c r="AK28" s="81" t="str">
        <f aca="false">IF(AND(ISNUMBER(U28),ISNUMBER(V28),ISNUMBER(14_Cercania!$C$13),ISNUMBER(14_Cercania!$C$14)),6371*2*ASIN(SQRT(SIN(RADIANS(14_Cercania!$C$13-U28)/2)^2+COS(RADIANS(U28))*COS(RADIANS(14_Cercania!$C$13))*SIN(RADIANS(14_Cercania!$C$14-V28)/2)^2))+ROW()*0.000000001,"")</f>
        <v/>
      </c>
    </row>
    <row r="29" customFormat="false" ht="15" hidden="false" customHeight="false" outlineLevel="0" collapsed="false">
      <c r="A29" s="55" t="n">
        <v>27</v>
      </c>
      <c r="B29" s="56" t="s">
        <v>2602</v>
      </c>
      <c r="C29" s="55" t="s">
        <v>203</v>
      </c>
      <c r="D29" s="56" t="s">
        <v>2603</v>
      </c>
      <c r="E29" s="71"/>
      <c r="F29" s="57"/>
      <c r="G29" s="57"/>
      <c r="H29" s="72"/>
      <c r="I29" s="72"/>
      <c r="J29" s="55" t="s">
        <v>2604</v>
      </c>
      <c r="K29" s="72"/>
      <c r="L29" s="72"/>
      <c r="M29" s="56" t="s">
        <v>2605</v>
      </c>
      <c r="N29" s="57"/>
      <c r="O29" s="55" t="s">
        <v>197</v>
      </c>
      <c r="P29" s="73" t="s">
        <v>2606</v>
      </c>
      <c r="Q29" s="73" t="s">
        <v>2490</v>
      </c>
      <c r="R29" s="55" t="s">
        <v>2491</v>
      </c>
      <c r="S29" s="55" t="s">
        <v>2491</v>
      </c>
      <c r="T29" s="55" t="s">
        <v>2491</v>
      </c>
      <c r="U29" s="83"/>
      <c r="V29" s="83"/>
      <c r="W29" s="57" t="s">
        <v>2538</v>
      </c>
      <c r="X29" s="76" t="str">
        <f aca="false">HYPERLINK(IF(AND(ISNUMBER(U29),ISNUMBER(V29)),"https://www.google.com/maps/search/?api=1&amp;query="&amp;U29&amp;","&amp;V29,"https://www.google.com/maps/search/?api=1&amp;query="&amp;SUBSTITUTE(SUBSTITUTE(SUBSTITUTE(B29&amp;", "&amp;M29&amp;", Puno, Peru"," ","+"),"&amp;","y"),"#","")),"Ver en mapa")</f>
        <v>Ver en mapa</v>
      </c>
      <c r="Y29" s="55" t="s">
        <v>161</v>
      </c>
      <c r="Z29" s="56" t="s">
        <v>2493</v>
      </c>
      <c r="AA29" s="72"/>
      <c r="AB29" s="59"/>
      <c r="AC29" s="59"/>
      <c r="AD29" s="72"/>
      <c r="AE29" s="72"/>
      <c r="AF29" s="72"/>
      <c r="AG29" s="72"/>
      <c r="AH29" s="55" t="s">
        <v>2494</v>
      </c>
      <c r="AI29" s="72"/>
      <c r="AJ29" s="56" t="s">
        <v>2586</v>
      </c>
      <c r="AK29" s="77" t="str">
        <f aca="false">IF(AND(ISNUMBER(U29),ISNUMBER(V29),ISNUMBER(14_Cercania!$C$13),ISNUMBER(14_Cercania!$C$14)),6371*2*ASIN(SQRT(SIN(RADIANS(14_Cercania!$C$13-U29)/2)^2+COS(RADIANS(U29))*COS(RADIANS(14_Cercania!$C$13))*SIN(RADIANS(14_Cercania!$C$14-V29)/2)^2))+ROW()*0.000000001,"")</f>
        <v/>
      </c>
    </row>
    <row r="30" customFormat="false" ht="23.85" hidden="false" customHeight="false" outlineLevel="0" collapsed="false">
      <c r="A30" s="62" t="n">
        <v>28</v>
      </c>
      <c r="B30" s="63" t="s">
        <v>2607</v>
      </c>
      <c r="C30" s="62" t="s">
        <v>203</v>
      </c>
      <c r="D30" s="63" t="s">
        <v>2522</v>
      </c>
      <c r="E30" s="71"/>
      <c r="F30" s="57"/>
      <c r="G30" s="57"/>
      <c r="H30" s="72"/>
      <c r="I30" s="72"/>
      <c r="J30" s="62" t="s">
        <v>2608</v>
      </c>
      <c r="K30" s="72"/>
      <c r="L30" s="72"/>
      <c r="M30" s="63" t="s">
        <v>2609</v>
      </c>
      <c r="N30" s="57"/>
      <c r="O30" s="62" t="s">
        <v>197</v>
      </c>
      <c r="P30" s="78" t="s">
        <v>2489</v>
      </c>
      <c r="Q30" s="78" t="s">
        <v>2490</v>
      </c>
      <c r="R30" s="62" t="s">
        <v>2491</v>
      </c>
      <c r="S30" s="62" t="s">
        <v>2491</v>
      </c>
      <c r="T30" s="62" t="s">
        <v>2491</v>
      </c>
      <c r="U30" s="79" t="n">
        <v>-15.8466112</v>
      </c>
      <c r="V30" s="79" t="n">
        <v>-70.019652</v>
      </c>
      <c r="W30" s="75" t="s">
        <v>2492</v>
      </c>
      <c r="X30" s="80" t="str">
        <f aca="false">HYPERLINK(IF(AND(ISNUMBER(U30),ISNUMBER(V30)),"https://www.google.com/maps/search/?api=1&amp;query="&amp;U30&amp;","&amp;V30,"https://www.google.com/maps/search/?api=1&amp;query="&amp;SUBSTITUTE(SUBSTITUTE(SUBSTITUTE(B30&amp;", "&amp;M30&amp;", Puno, Peru"," ","+"),"&amp;","y"),"#","")),"Ver en mapa")</f>
        <v>Ver en mapa</v>
      </c>
      <c r="Y30" s="62" t="s">
        <v>161</v>
      </c>
      <c r="Z30" s="63" t="s">
        <v>160</v>
      </c>
      <c r="AA30" s="72"/>
      <c r="AB30" s="59"/>
      <c r="AC30" s="59"/>
      <c r="AD30" s="72"/>
      <c r="AE30" s="72"/>
      <c r="AF30" s="72"/>
      <c r="AG30" s="72"/>
      <c r="AH30" s="62" t="s">
        <v>2494</v>
      </c>
      <c r="AI30" s="72"/>
      <c r="AJ30" s="63" t="s">
        <v>2506</v>
      </c>
      <c r="AK30" s="81" t="n">
        <f aca="false">IF(AND(ISNUMBER(U30),ISNUMBER(V30),ISNUMBER(14_Cercania!$C$13),ISNUMBER(14_Cercania!$C$14)),6371*2*ASIN(SQRT(SIN(RADIANS(14_Cercania!$C$13-U30)/2)^2+COS(RADIANS(U30))*COS(RADIANS(14_Cercania!$C$13))*SIN(RADIANS(14_Cercania!$C$14-V30)/2)^2))+ROW()*0.000000001,"")</f>
        <v>1.51717724560754</v>
      </c>
    </row>
    <row r="31" customFormat="false" ht="15" hidden="false" customHeight="false" outlineLevel="0" collapsed="false">
      <c r="A31" s="55" t="n">
        <v>29</v>
      </c>
      <c r="B31" s="56" t="s">
        <v>2610</v>
      </c>
      <c r="C31" s="55" t="s">
        <v>203</v>
      </c>
      <c r="D31" s="56" t="s">
        <v>2522</v>
      </c>
      <c r="E31" s="71"/>
      <c r="F31" s="57"/>
      <c r="G31" s="57"/>
      <c r="H31" s="72"/>
      <c r="I31" s="72"/>
      <c r="J31" s="55" t="s">
        <v>2611</v>
      </c>
      <c r="K31" s="72"/>
      <c r="L31" s="72"/>
      <c r="M31" s="56" t="s">
        <v>2612</v>
      </c>
      <c r="N31" s="57"/>
      <c r="O31" s="55" t="s">
        <v>197</v>
      </c>
      <c r="P31" s="73" t="s">
        <v>2489</v>
      </c>
      <c r="Q31" s="73" t="s">
        <v>2490</v>
      </c>
      <c r="R31" s="55" t="s">
        <v>2491</v>
      </c>
      <c r="S31" s="55" t="s">
        <v>2491</v>
      </c>
      <c r="T31" s="55" t="s">
        <v>2491</v>
      </c>
      <c r="U31" s="83"/>
      <c r="V31" s="83"/>
      <c r="W31" s="57" t="s">
        <v>2538</v>
      </c>
      <c r="X31" s="76" t="str">
        <f aca="false">HYPERLINK(IF(AND(ISNUMBER(U31),ISNUMBER(V31)),"https://www.google.com/maps/search/?api=1&amp;query="&amp;U31&amp;","&amp;V31,"https://www.google.com/maps/search/?api=1&amp;query="&amp;SUBSTITUTE(SUBSTITUTE(SUBSTITUTE(B31&amp;", "&amp;M31&amp;", Puno, Peru"," ","+"),"&amp;","y"),"#","")),"Ver en mapa")</f>
        <v>Ver en mapa</v>
      </c>
      <c r="Y31" s="55" t="s">
        <v>161</v>
      </c>
      <c r="Z31" s="56" t="s">
        <v>160</v>
      </c>
      <c r="AA31" s="72"/>
      <c r="AB31" s="59"/>
      <c r="AC31" s="59"/>
      <c r="AD31" s="72"/>
      <c r="AE31" s="72"/>
      <c r="AF31" s="72"/>
      <c r="AG31" s="72"/>
      <c r="AH31" s="55" t="s">
        <v>2494</v>
      </c>
      <c r="AI31" s="72"/>
      <c r="AJ31" s="56" t="s">
        <v>2586</v>
      </c>
      <c r="AK31" s="77" t="str">
        <f aca="false">IF(AND(ISNUMBER(U31),ISNUMBER(V31),ISNUMBER(14_Cercania!$C$13),ISNUMBER(14_Cercania!$C$14)),6371*2*ASIN(SQRT(SIN(RADIANS(14_Cercania!$C$13-U31)/2)^2+COS(RADIANS(U31))*COS(RADIANS(14_Cercania!$C$13))*SIN(RADIANS(14_Cercania!$C$14-V31)/2)^2))+ROW()*0.000000001,"")</f>
        <v/>
      </c>
    </row>
    <row r="32" customFormat="false" ht="23.85" hidden="false" customHeight="false" outlineLevel="0" collapsed="false">
      <c r="A32" s="62" t="n">
        <v>30</v>
      </c>
      <c r="B32" s="63" t="s">
        <v>2613</v>
      </c>
      <c r="C32" s="62" t="s">
        <v>203</v>
      </c>
      <c r="D32" s="63" t="s">
        <v>2522</v>
      </c>
      <c r="E32" s="71"/>
      <c r="F32" s="57"/>
      <c r="G32" s="57"/>
      <c r="H32" s="72"/>
      <c r="I32" s="72"/>
      <c r="J32" s="62" t="s">
        <v>2614</v>
      </c>
      <c r="K32" s="72"/>
      <c r="L32" s="72"/>
      <c r="M32" s="63" t="s">
        <v>2615</v>
      </c>
      <c r="N32" s="57"/>
      <c r="O32" s="62" t="s">
        <v>197</v>
      </c>
      <c r="P32" s="78" t="s">
        <v>2489</v>
      </c>
      <c r="Q32" s="78" t="s">
        <v>2490</v>
      </c>
      <c r="R32" s="62" t="s">
        <v>2491</v>
      </c>
      <c r="S32" s="62" t="s">
        <v>2491</v>
      </c>
      <c r="T32" s="62" t="s">
        <v>2491</v>
      </c>
      <c r="U32" s="79" t="n">
        <v>-15.8416547</v>
      </c>
      <c r="V32" s="79" t="n">
        <v>-70.0266023</v>
      </c>
      <c r="W32" s="75" t="s">
        <v>2492</v>
      </c>
      <c r="X32" s="80" t="str">
        <f aca="false">HYPERLINK(IF(AND(ISNUMBER(U32),ISNUMBER(V32)),"https://www.google.com/maps/search/?api=1&amp;query="&amp;U32&amp;","&amp;V32,"https://www.google.com/maps/search/?api=1&amp;query="&amp;SUBSTITUTE(SUBSTITUTE(SUBSTITUTE(B32&amp;", "&amp;M32&amp;", Puno, Peru"," ","+"),"&amp;","y"),"#","")),"Ver en mapa")</f>
        <v>Ver en mapa</v>
      </c>
      <c r="Y32" s="62" t="s">
        <v>161</v>
      </c>
      <c r="Z32" s="63" t="s">
        <v>160</v>
      </c>
      <c r="AA32" s="72"/>
      <c r="AB32" s="59"/>
      <c r="AC32" s="59"/>
      <c r="AD32" s="72"/>
      <c r="AE32" s="72"/>
      <c r="AF32" s="72"/>
      <c r="AG32" s="72"/>
      <c r="AH32" s="62" t="s">
        <v>2494</v>
      </c>
      <c r="AI32" s="72"/>
      <c r="AJ32" s="63" t="s">
        <v>2506</v>
      </c>
      <c r="AK32" s="81" t="n">
        <f aca="false">IF(AND(ISNUMBER(U32),ISNUMBER(V32),ISNUMBER(14_Cercania!$C$13),ISNUMBER(14_Cercania!$C$14)),6371*2*ASIN(SQRT(SIN(RADIANS(14_Cercania!$C$13-U32)/2)^2+COS(RADIANS(U32))*COS(RADIANS(14_Cercania!$C$13))*SIN(RADIANS(14_Cercania!$C$14-V32)/2)^2))+ROW()*0.000000001,"")</f>
        <v>0.971795308116689</v>
      </c>
    </row>
    <row r="33" customFormat="false" ht="15" hidden="false" customHeight="false" outlineLevel="0" collapsed="false">
      <c r="A33" s="55" t="n">
        <v>31</v>
      </c>
      <c r="B33" s="56" t="s">
        <v>2616</v>
      </c>
      <c r="C33" s="55" t="s">
        <v>159</v>
      </c>
      <c r="D33" s="56" t="s">
        <v>2617</v>
      </c>
      <c r="E33" s="71"/>
      <c r="F33" s="57"/>
      <c r="G33" s="57"/>
      <c r="H33" s="72"/>
      <c r="I33" s="72"/>
      <c r="J33" s="72"/>
      <c r="K33" s="72"/>
      <c r="L33" s="72"/>
      <c r="M33" s="56" t="s">
        <v>2491</v>
      </c>
      <c r="N33" s="57"/>
      <c r="O33" s="55" t="s">
        <v>197</v>
      </c>
      <c r="P33" s="73" t="s">
        <v>2489</v>
      </c>
      <c r="Q33" s="73" t="s">
        <v>2490</v>
      </c>
      <c r="R33" s="55" t="s">
        <v>2491</v>
      </c>
      <c r="S33" s="55" t="s">
        <v>2491</v>
      </c>
      <c r="T33" s="55" t="s">
        <v>2491</v>
      </c>
      <c r="U33" s="83"/>
      <c r="V33" s="83"/>
      <c r="W33" s="57" t="s">
        <v>2538</v>
      </c>
      <c r="X33" s="76" t="str">
        <f aca="false">HYPERLINK(IF(AND(ISNUMBER(U33),ISNUMBER(V33)),"https://www.google.com/maps/search/?api=1&amp;query="&amp;U33&amp;","&amp;V33,"https://www.google.com/maps/search/?api=1&amp;query="&amp;SUBSTITUTE(SUBSTITUTE(SUBSTITUTE(B33&amp;", "&amp;M33&amp;", Puno, Peru"," ","+"),"&amp;","y"),"#","")),"Ver en mapa")</f>
        <v>Ver en mapa</v>
      </c>
      <c r="Y33" s="55" t="s">
        <v>161</v>
      </c>
      <c r="Z33" s="56" t="s">
        <v>160</v>
      </c>
      <c r="AA33" s="72"/>
      <c r="AB33" s="59"/>
      <c r="AC33" s="59"/>
      <c r="AD33" s="72"/>
      <c r="AE33" s="72"/>
      <c r="AF33" s="72"/>
      <c r="AG33" s="72"/>
      <c r="AH33" s="55" t="s">
        <v>2494</v>
      </c>
      <c r="AI33" s="72"/>
      <c r="AJ33" s="56" t="s">
        <v>2618</v>
      </c>
      <c r="AK33" s="77" t="str">
        <f aca="false">IF(AND(ISNUMBER(U33),ISNUMBER(V33),ISNUMBER(14_Cercania!$C$13),ISNUMBER(14_Cercania!$C$14)),6371*2*ASIN(SQRT(SIN(RADIANS(14_Cercania!$C$13-U33)/2)^2+COS(RADIANS(U33))*COS(RADIANS(14_Cercania!$C$13))*SIN(RADIANS(14_Cercania!$C$14-V33)/2)^2))+ROW()*0.000000001,"")</f>
        <v/>
      </c>
    </row>
    <row r="34" customFormat="false" ht="23.85" hidden="false" customHeight="false" outlineLevel="0" collapsed="false">
      <c r="A34" s="62" t="n">
        <v>32</v>
      </c>
      <c r="B34" s="63" t="s">
        <v>2619</v>
      </c>
      <c r="C34" s="62" t="s">
        <v>196</v>
      </c>
      <c r="D34" s="63" t="s">
        <v>2620</v>
      </c>
      <c r="E34" s="71"/>
      <c r="F34" s="57"/>
      <c r="G34" s="57"/>
      <c r="H34" s="72"/>
      <c r="I34" s="72"/>
      <c r="J34" s="62" t="s">
        <v>2621</v>
      </c>
      <c r="K34" s="72"/>
      <c r="L34" s="72"/>
      <c r="M34" s="63" t="s">
        <v>2622</v>
      </c>
      <c r="N34" s="57"/>
      <c r="O34" s="62" t="s">
        <v>158</v>
      </c>
      <c r="P34" s="78" t="s">
        <v>2489</v>
      </c>
      <c r="Q34" s="78" t="s">
        <v>2490</v>
      </c>
      <c r="R34" s="62" t="s">
        <v>2491</v>
      </c>
      <c r="S34" s="62" t="s">
        <v>2491</v>
      </c>
      <c r="T34" s="62" t="s">
        <v>2491</v>
      </c>
      <c r="U34" s="79" t="n">
        <v>-15.839824</v>
      </c>
      <c r="V34" s="79" t="n">
        <v>-70.0263406</v>
      </c>
      <c r="W34" s="75" t="s">
        <v>2492</v>
      </c>
      <c r="X34" s="80" t="str">
        <f aca="false">HYPERLINK(IF(AND(ISNUMBER(U34),ISNUMBER(V34)),"https://www.google.com/maps/search/?api=1&amp;query="&amp;U34&amp;","&amp;V34,"https://www.google.com/maps/search/?api=1&amp;query="&amp;SUBSTITUTE(SUBSTITUTE(SUBSTITUTE(B34&amp;", "&amp;M34&amp;", Puno, Peru"," ","+"),"&amp;","y"),"#","")),"Ver en mapa")</f>
        <v>Ver en mapa</v>
      </c>
      <c r="Y34" s="62" t="s">
        <v>165</v>
      </c>
      <c r="Z34" s="63" t="s">
        <v>2530</v>
      </c>
      <c r="AA34" s="72"/>
      <c r="AB34" s="59"/>
      <c r="AC34" s="59"/>
      <c r="AD34" s="72"/>
      <c r="AE34" s="72"/>
      <c r="AF34" s="72"/>
      <c r="AG34" s="72"/>
      <c r="AH34" s="62" t="s">
        <v>2494</v>
      </c>
      <c r="AI34" s="72"/>
      <c r="AJ34" s="63" t="s">
        <v>2495</v>
      </c>
      <c r="AK34" s="81" t="n">
        <f aca="false">IF(AND(ISNUMBER(U34),ISNUMBER(V34),ISNUMBER(14_Cercania!$C$13),ISNUMBER(14_Cercania!$C$14)),6371*2*ASIN(SQRT(SIN(RADIANS(14_Cercania!$C$13-U34)/2)^2+COS(RADIANS(U34))*COS(RADIANS(14_Cercania!$C$13))*SIN(RADIANS(14_Cercania!$C$14-V34)/2)^2))+ROW()*0.000000001,"")</f>
        <v>0.77251587281425</v>
      </c>
    </row>
    <row r="35" customFormat="false" ht="23.85" hidden="false" customHeight="false" outlineLevel="0" collapsed="false">
      <c r="A35" s="55" t="n">
        <v>33</v>
      </c>
      <c r="B35" s="56" t="s">
        <v>2623</v>
      </c>
      <c r="C35" s="55" t="s">
        <v>199</v>
      </c>
      <c r="D35" s="56" t="s">
        <v>2624</v>
      </c>
      <c r="E35" s="71"/>
      <c r="F35" s="57"/>
      <c r="G35" s="57"/>
      <c r="H35" s="72"/>
      <c r="I35" s="72"/>
      <c r="J35" s="55" t="s">
        <v>2625</v>
      </c>
      <c r="K35" s="72"/>
      <c r="L35" s="72"/>
      <c r="M35" s="56" t="s">
        <v>2626</v>
      </c>
      <c r="N35" s="57"/>
      <c r="O35" s="55" t="s">
        <v>158</v>
      </c>
      <c r="P35" s="73" t="s">
        <v>2489</v>
      </c>
      <c r="Q35" s="73" t="s">
        <v>2490</v>
      </c>
      <c r="R35" s="55" t="s">
        <v>2491</v>
      </c>
      <c r="S35" s="55" t="s">
        <v>2491</v>
      </c>
      <c r="T35" s="55" t="s">
        <v>2491</v>
      </c>
      <c r="U35" s="74" t="n">
        <v>-15.8385829</v>
      </c>
      <c r="V35" s="74" t="n">
        <v>-70.0312491</v>
      </c>
      <c r="W35" s="75" t="s">
        <v>2492</v>
      </c>
      <c r="X35" s="76" t="str">
        <f aca="false">HYPERLINK(IF(AND(ISNUMBER(U35),ISNUMBER(V35)),"https://www.google.com/maps/search/?api=1&amp;query="&amp;U35&amp;","&amp;V35,"https://www.google.com/maps/search/?api=1&amp;query="&amp;SUBSTITUTE(SUBSTITUTE(SUBSTITUTE(B35&amp;", "&amp;M35&amp;", Puno, Peru"," ","+"),"&amp;","y"),"#","")),"Ver en mapa")</f>
        <v>Ver en mapa</v>
      </c>
      <c r="Y35" s="55" t="s">
        <v>161</v>
      </c>
      <c r="Z35" s="56" t="s">
        <v>2627</v>
      </c>
      <c r="AA35" s="72"/>
      <c r="AB35" s="59"/>
      <c r="AC35" s="59"/>
      <c r="AD35" s="72"/>
      <c r="AE35" s="72"/>
      <c r="AF35" s="72"/>
      <c r="AG35" s="72"/>
      <c r="AH35" s="55" t="s">
        <v>2494</v>
      </c>
      <c r="AI35" s="72"/>
      <c r="AJ35" s="56" t="s">
        <v>2506</v>
      </c>
      <c r="AK35" s="77" t="n">
        <f aca="false">IF(AND(ISNUMBER(U35),ISNUMBER(V35),ISNUMBER(14_Cercania!$C$13),ISNUMBER(14_Cercania!$C$14)),6371*2*ASIN(SQRT(SIN(RADIANS(14_Cercania!$C$13-U35)/2)^2+COS(RADIANS(U35))*COS(RADIANS(14_Cercania!$C$13))*SIN(RADIANS(14_Cercania!$C$14-V35)/2)^2))+ROW()*0.000000001,"")</f>
        <v>1.01108723690958</v>
      </c>
    </row>
    <row r="36" customFormat="false" ht="15" hidden="false" customHeight="false" outlineLevel="0" collapsed="false">
      <c r="A36" s="62" t="n">
        <v>34</v>
      </c>
      <c r="B36" s="63" t="s">
        <v>2628</v>
      </c>
      <c r="C36" s="62" t="s">
        <v>171</v>
      </c>
      <c r="D36" s="63" t="s">
        <v>2629</v>
      </c>
      <c r="E36" s="71"/>
      <c r="F36" s="57"/>
      <c r="G36" s="57"/>
      <c r="H36" s="72"/>
      <c r="I36" s="72"/>
      <c r="J36" s="62" t="s">
        <v>2630</v>
      </c>
      <c r="K36" s="72"/>
      <c r="L36" s="72"/>
      <c r="M36" s="63" t="s">
        <v>2598</v>
      </c>
      <c r="N36" s="57"/>
      <c r="O36" s="62" t="s">
        <v>158</v>
      </c>
      <c r="P36" s="78" t="s">
        <v>2489</v>
      </c>
      <c r="Q36" s="78" t="s">
        <v>2490</v>
      </c>
      <c r="R36" s="62" t="s">
        <v>2491</v>
      </c>
      <c r="S36" s="62" t="s">
        <v>2491</v>
      </c>
      <c r="T36" s="62" t="s">
        <v>2491</v>
      </c>
      <c r="U36" s="83"/>
      <c r="V36" s="83"/>
      <c r="W36" s="57" t="s">
        <v>2538</v>
      </c>
      <c r="X36" s="80" t="str">
        <f aca="false">HYPERLINK(IF(AND(ISNUMBER(U36),ISNUMBER(V36)),"https://www.google.com/maps/search/?api=1&amp;query="&amp;U36&amp;","&amp;V36,"https://www.google.com/maps/search/?api=1&amp;query="&amp;SUBSTITUTE(SUBSTITUTE(SUBSTITUTE(B36&amp;", "&amp;M36&amp;", Puno, Peru"," ","+"),"&amp;","y"),"#","")),"Ver en mapa")</f>
        <v>Ver en mapa</v>
      </c>
      <c r="Y36" s="62" t="s">
        <v>161</v>
      </c>
      <c r="Z36" s="63" t="s">
        <v>2631</v>
      </c>
      <c r="AA36" s="72"/>
      <c r="AB36" s="59"/>
      <c r="AC36" s="59"/>
      <c r="AD36" s="72"/>
      <c r="AE36" s="72"/>
      <c r="AF36" s="72"/>
      <c r="AG36" s="72"/>
      <c r="AH36" s="62" t="s">
        <v>2494</v>
      </c>
      <c r="AI36" s="72"/>
      <c r="AJ36" s="63" t="s">
        <v>2632</v>
      </c>
      <c r="AK36" s="81" t="str">
        <f aca="false">IF(AND(ISNUMBER(U36),ISNUMBER(V36),ISNUMBER(14_Cercania!$C$13),ISNUMBER(14_Cercania!$C$14)),6371*2*ASIN(SQRT(SIN(RADIANS(14_Cercania!$C$13-U36)/2)^2+COS(RADIANS(U36))*COS(RADIANS(14_Cercania!$C$13))*SIN(RADIANS(14_Cercania!$C$14-V36)/2)^2))+ROW()*0.000000001,"")</f>
        <v/>
      </c>
    </row>
    <row r="37" customFormat="false" ht="15" hidden="false" customHeight="false" outlineLevel="0" collapsed="false">
      <c r="A37" s="55" t="n">
        <v>35</v>
      </c>
      <c r="B37" s="56" t="s">
        <v>2633</v>
      </c>
      <c r="C37" s="55" t="s">
        <v>174</v>
      </c>
      <c r="D37" s="56" t="s">
        <v>174</v>
      </c>
      <c r="E37" s="71"/>
      <c r="F37" s="57"/>
      <c r="G37" s="57"/>
      <c r="H37" s="72"/>
      <c r="I37" s="72"/>
      <c r="J37" s="55" t="s">
        <v>2634</v>
      </c>
      <c r="K37" s="72"/>
      <c r="L37" s="72"/>
      <c r="M37" s="56" t="s">
        <v>2635</v>
      </c>
      <c r="N37" s="57"/>
      <c r="O37" s="55" t="s">
        <v>158</v>
      </c>
      <c r="P37" s="73" t="s">
        <v>2489</v>
      </c>
      <c r="Q37" s="73" t="s">
        <v>2490</v>
      </c>
      <c r="R37" s="55" t="s">
        <v>2491</v>
      </c>
      <c r="S37" s="55" t="s">
        <v>2491</v>
      </c>
      <c r="T37" s="55" t="s">
        <v>2491</v>
      </c>
      <c r="U37" s="83"/>
      <c r="V37" s="83"/>
      <c r="W37" s="57" t="s">
        <v>2538</v>
      </c>
      <c r="X37" s="76" t="str">
        <f aca="false">HYPERLINK(IF(AND(ISNUMBER(U37),ISNUMBER(V37)),"https://www.google.com/maps/search/?api=1&amp;query="&amp;U37&amp;","&amp;V37,"https://www.google.com/maps/search/?api=1&amp;query="&amp;SUBSTITUTE(SUBSTITUTE(SUBSTITUTE(B37&amp;", "&amp;M37&amp;", Puno, Peru"," ","+"),"&amp;","y"),"#","")),"Ver en mapa")</f>
        <v>Ver en mapa</v>
      </c>
      <c r="Y37" s="55" t="s">
        <v>161</v>
      </c>
      <c r="Z37" s="56" t="s">
        <v>2493</v>
      </c>
      <c r="AA37" s="72"/>
      <c r="AB37" s="59"/>
      <c r="AC37" s="59"/>
      <c r="AD37" s="72"/>
      <c r="AE37" s="72"/>
      <c r="AF37" s="72"/>
      <c r="AG37" s="72"/>
      <c r="AH37" s="55" t="s">
        <v>2494</v>
      </c>
      <c r="AI37" s="72"/>
      <c r="AJ37" s="56" t="s">
        <v>2636</v>
      </c>
      <c r="AK37" s="77" t="str">
        <f aca="false">IF(AND(ISNUMBER(U37),ISNUMBER(V37),ISNUMBER(14_Cercania!$C$13),ISNUMBER(14_Cercania!$C$14)),6371*2*ASIN(SQRT(SIN(RADIANS(14_Cercania!$C$13-U37)/2)^2+COS(RADIANS(U37))*COS(RADIANS(14_Cercania!$C$13))*SIN(RADIANS(14_Cercania!$C$14-V37)/2)^2))+ROW()*0.000000001,"")</f>
        <v/>
      </c>
    </row>
    <row r="38" customFormat="false" ht="35.05" hidden="false" customHeight="false" outlineLevel="0" collapsed="false">
      <c r="A38" s="62" t="n">
        <v>36</v>
      </c>
      <c r="B38" s="63" t="s">
        <v>2637</v>
      </c>
      <c r="C38" s="62" t="s">
        <v>174</v>
      </c>
      <c r="D38" s="63" t="s">
        <v>174</v>
      </c>
      <c r="E38" s="71"/>
      <c r="F38" s="57"/>
      <c r="G38" s="57"/>
      <c r="H38" s="72"/>
      <c r="I38" s="62" t="s">
        <v>2638</v>
      </c>
      <c r="J38" s="72"/>
      <c r="K38" s="72"/>
      <c r="L38" s="72"/>
      <c r="M38" s="63" t="s">
        <v>2639</v>
      </c>
      <c r="N38" s="57"/>
      <c r="O38" s="62" t="s">
        <v>176</v>
      </c>
      <c r="P38" s="78" t="s">
        <v>2489</v>
      </c>
      <c r="Q38" s="78" t="s">
        <v>2490</v>
      </c>
      <c r="R38" s="62" t="s">
        <v>2491</v>
      </c>
      <c r="S38" s="62" t="s">
        <v>2491</v>
      </c>
      <c r="T38" s="62" t="s">
        <v>2491</v>
      </c>
      <c r="U38" s="83"/>
      <c r="V38" s="83"/>
      <c r="W38" s="57" t="s">
        <v>2538</v>
      </c>
      <c r="X38" s="80" t="str">
        <f aca="false">HYPERLINK(IF(AND(ISNUMBER(U38),ISNUMBER(V38)),"https://www.google.com/maps/search/?api=1&amp;query="&amp;U38&amp;","&amp;V38,"https://www.google.com/maps/search/?api=1&amp;query="&amp;SUBSTITUTE(SUBSTITUTE(SUBSTITUTE(B38&amp;", "&amp;M38&amp;", Puno, Peru"," ","+"),"&amp;","y"),"#","")),"Ver en mapa")</f>
        <v>Ver en mapa</v>
      </c>
      <c r="Y38" s="62" t="s">
        <v>161</v>
      </c>
      <c r="Z38" s="63" t="s">
        <v>2493</v>
      </c>
      <c r="AA38" s="72"/>
      <c r="AB38" s="59"/>
      <c r="AC38" s="59"/>
      <c r="AD38" s="72"/>
      <c r="AE38" s="72"/>
      <c r="AF38" s="72"/>
      <c r="AG38" s="72"/>
      <c r="AH38" s="62" t="s">
        <v>2494</v>
      </c>
      <c r="AI38" s="72"/>
      <c r="AJ38" s="63" t="s">
        <v>2640</v>
      </c>
      <c r="AK38" s="81" t="str">
        <f aca="false">IF(AND(ISNUMBER(U38),ISNUMBER(V38),ISNUMBER(14_Cercania!$C$13),ISNUMBER(14_Cercania!$C$14)),6371*2*ASIN(SQRT(SIN(RADIANS(14_Cercania!$C$13-U38)/2)^2+COS(RADIANS(U38))*COS(RADIANS(14_Cercania!$C$13))*SIN(RADIANS(14_Cercania!$C$14-V38)/2)^2))+ROW()*0.000000001,"")</f>
        <v/>
      </c>
    </row>
    <row r="39" customFormat="false" ht="46.25" hidden="false" customHeight="false" outlineLevel="0" collapsed="false">
      <c r="A39" s="55" t="n">
        <v>37</v>
      </c>
      <c r="B39" s="56" t="s">
        <v>2641</v>
      </c>
      <c r="C39" s="55" t="s">
        <v>174</v>
      </c>
      <c r="D39" s="56" t="s">
        <v>174</v>
      </c>
      <c r="E39" s="71"/>
      <c r="F39" s="57"/>
      <c r="G39" s="57"/>
      <c r="H39" s="72"/>
      <c r="I39" s="55" t="s">
        <v>2642</v>
      </c>
      <c r="J39" s="72"/>
      <c r="K39" s="72"/>
      <c r="L39" s="72"/>
      <c r="M39" s="56" t="s">
        <v>2643</v>
      </c>
      <c r="N39" s="57"/>
      <c r="O39" s="55" t="s">
        <v>158</v>
      </c>
      <c r="P39" s="73" t="s">
        <v>2489</v>
      </c>
      <c r="Q39" s="73" t="s">
        <v>2490</v>
      </c>
      <c r="R39" s="55" t="s">
        <v>2491</v>
      </c>
      <c r="S39" s="55" t="s">
        <v>2491</v>
      </c>
      <c r="T39" s="55" t="s">
        <v>2491</v>
      </c>
      <c r="U39" s="83"/>
      <c r="V39" s="83"/>
      <c r="W39" s="57" t="s">
        <v>2538</v>
      </c>
      <c r="X39" s="76" t="str">
        <f aca="false">HYPERLINK(IF(AND(ISNUMBER(U39),ISNUMBER(V39)),"https://www.google.com/maps/search/?api=1&amp;query="&amp;U39&amp;","&amp;V39,"https://www.google.com/maps/search/?api=1&amp;query="&amp;SUBSTITUTE(SUBSTITUTE(SUBSTITUTE(B39&amp;", "&amp;M39&amp;", Puno, Peru"," ","+"),"&amp;","y"),"#","")),"Ver en mapa")</f>
        <v>Ver en mapa</v>
      </c>
      <c r="Y39" s="55" t="s">
        <v>161</v>
      </c>
      <c r="Z39" s="56" t="s">
        <v>2493</v>
      </c>
      <c r="AA39" s="72"/>
      <c r="AB39" s="59"/>
      <c r="AC39" s="59"/>
      <c r="AD39" s="72"/>
      <c r="AE39" s="72"/>
      <c r="AF39" s="72"/>
      <c r="AG39" s="72"/>
      <c r="AH39" s="55" t="s">
        <v>2494</v>
      </c>
      <c r="AI39" s="72"/>
      <c r="AJ39" s="56" t="s">
        <v>2644</v>
      </c>
      <c r="AK39" s="77" t="str">
        <f aca="false">IF(AND(ISNUMBER(U39),ISNUMBER(V39),ISNUMBER(14_Cercania!$C$13),ISNUMBER(14_Cercania!$C$14)),6371*2*ASIN(SQRT(SIN(RADIANS(14_Cercania!$C$13-U39)/2)^2+COS(RADIANS(U39))*COS(RADIANS(14_Cercania!$C$13))*SIN(RADIANS(14_Cercania!$C$14-V39)/2)^2))+ROW()*0.000000001,"")</f>
        <v/>
      </c>
    </row>
    <row r="40" customFormat="false" ht="23.85" hidden="false" customHeight="false" outlineLevel="0" collapsed="false">
      <c r="A40" s="62" t="n">
        <v>38</v>
      </c>
      <c r="B40" s="63" t="s">
        <v>2645</v>
      </c>
      <c r="C40" s="62" t="s">
        <v>174</v>
      </c>
      <c r="D40" s="63" t="s">
        <v>174</v>
      </c>
      <c r="E40" s="71"/>
      <c r="F40" s="57"/>
      <c r="G40" s="57"/>
      <c r="H40" s="72"/>
      <c r="I40" s="72"/>
      <c r="J40" s="62" t="s">
        <v>2646</v>
      </c>
      <c r="K40" s="72"/>
      <c r="L40" s="72"/>
      <c r="M40" s="63" t="s">
        <v>2647</v>
      </c>
      <c r="N40" s="57"/>
      <c r="O40" s="62" t="s">
        <v>158</v>
      </c>
      <c r="P40" s="78" t="s">
        <v>2489</v>
      </c>
      <c r="Q40" s="78" t="s">
        <v>2490</v>
      </c>
      <c r="R40" s="62" t="s">
        <v>2491</v>
      </c>
      <c r="S40" s="62" t="s">
        <v>2491</v>
      </c>
      <c r="T40" s="62" t="s">
        <v>2491</v>
      </c>
      <c r="U40" s="83"/>
      <c r="V40" s="83"/>
      <c r="W40" s="57" t="s">
        <v>2538</v>
      </c>
      <c r="X40" s="80" t="str">
        <f aca="false">HYPERLINK(IF(AND(ISNUMBER(U40),ISNUMBER(V40)),"https://www.google.com/maps/search/?api=1&amp;query="&amp;U40&amp;","&amp;V40,"https://www.google.com/maps/search/?api=1&amp;query="&amp;SUBSTITUTE(SUBSTITUTE(SUBSTITUTE(B40&amp;", "&amp;M40&amp;", Puno, Peru"," ","+"),"&amp;","y"),"#","")),"Ver en mapa")</f>
        <v>Ver en mapa</v>
      </c>
      <c r="Y40" s="62" t="s">
        <v>161</v>
      </c>
      <c r="Z40" s="63" t="s">
        <v>2493</v>
      </c>
      <c r="AA40" s="72"/>
      <c r="AB40" s="59"/>
      <c r="AC40" s="59"/>
      <c r="AD40" s="72"/>
      <c r="AE40" s="72"/>
      <c r="AF40" s="72"/>
      <c r="AG40" s="72"/>
      <c r="AH40" s="62" t="s">
        <v>2494</v>
      </c>
      <c r="AI40" s="72"/>
      <c r="AJ40" s="63" t="s">
        <v>2648</v>
      </c>
      <c r="AK40" s="81" t="str">
        <f aca="false">IF(AND(ISNUMBER(U40),ISNUMBER(V40),ISNUMBER(14_Cercania!$C$13),ISNUMBER(14_Cercania!$C$14)),6371*2*ASIN(SQRT(SIN(RADIANS(14_Cercania!$C$13-U40)/2)^2+COS(RADIANS(U40))*COS(RADIANS(14_Cercania!$C$13))*SIN(RADIANS(14_Cercania!$C$14-V40)/2)^2))+ROW()*0.000000001,"")</f>
        <v/>
      </c>
    </row>
    <row r="41" customFormat="false" ht="15" hidden="false" customHeight="false" outlineLevel="0" collapsed="false">
      <c r="A41" s="55" t="n">
        <v>39</v>
      </c>
      <c r="B41" s="56" t="s">
        <v>2649</v>
      </c>
      <c r="C41" s="55" t="s">
        <v>174</v>
      </c>
      <c r="D41" s="56" t="s">
        <v>174</v>
      </c>
      <c r="E41" s="71"/>
      <c r="F41" s="57"/>
      <c r="G41" s="57"/>
      <c r="H41" s="72"/>
      <c r="I41" s="72"/>
      <c r="J41" s="55" t="s">
        <v>2650</v>
      </c>
      <c r="K41" s="72"/>
      <c r="L41" s="72"/>
      <c r="M41" s="56" t="s">
        <v>2651</v>
      </c>
      <c r="N41" s="57"/>
      <c r="O41" s="55" t="s">
        <v>158</v>
      </c>
      <c r="P41" s="73" t="s">
        <v>2489</v>
      </c>
      <c r="Q41" s="73" t="s">
        <v>2490</v>
      </c>
      <c r="R41" s="55" t="s">
        <v>2491</v>
      </c>
      <c r="S41" s="55" t="s">
        <v>2491</v>
      </c>
      <c r="T41" s="55" t="s">
        <v>2491</v>
      </c>
      <c r="U41" s="83"/>
      <c r="V41" s="83"/>
      <c r="W41" s="57" t="s">
        <v>2538</v>
      </c>
      <c r="X41" s="76" t="str">
        <f aca="false">HYPERLINK(IF(AND(ISNUMBER(U41),ISNUMBER(V41)),"https://www.google.com/maps/search/?api=1&amp;query="&amp;U41&amp;","&amp;V41,"https://www.google.com/maps/search/?api=1&amp;query="&amp;SUBSTITUTE(SUBSTITUTE(SUBSTITUTE(B41&amp;", "&amp;M41&amp;", Puno, Peru"," ","+"),"&amp;","y"),"#","")),"Ver en mapa")</f>
        <v>Ver en mapa</v>
      </c>
      <c r="Y41" s="55" t="s">
        <v>161</v>
      </c>
      <c r="Z41" s="56" t="s">
        <v>2493</v>
      </c>
      <c r="AA41" s="72"/>
      <c r="AB41" s="59"/>
      <c r="AC41" s="59"/>
      <c r="AD41" s="72"/>
      <c r="AE41" s="72"/>
      <c r="AF41" s="72"/>
      <c r="AG41" s="72"/>
      <c r="AH41" s="55" t="s">
        <v>2494</v>
      </c>
      <c r="AI41" s="72"/>
      <c r="AJ41" s="56" t="s">
        <v>2652</v>
      </c>
      <c r="AK41" s="77" t="str">
        <f aca="false">IF(AND(ISNUMBER(U41),ISNUMBER(V41),ISNUMBER(14_Cercania!$C$13),ISNUMBER(14_Cercania!$C$14)),6371*2*ASIN(SQRT(SIN(RADIANS(14_Cercania!$C$13-U41)/2)^2+COS(RADIANS(U41))*COS(RADIANS(14_Cercania!$C$13))*SIN(RADIANS(14_Cercania!$C$14-V41)/2)^2))+ROW()*0.000000001,"")</f>
        <v/>
      </c>
    </row>
    <row r="42" customFormat="false" ht="15" hidden="false" customHeight="false" outlineLevel="0" collapsed="false">
      <c r="A42" s="62" t="n">
        <v>40</v>
      </c>
      <c r="B42" s="63" t="s">
        <v>2653</v>
      </c>
      <c r="C42" s="62" t="s">
        <v>174</v>
      </c>
      <c r="D42" s="63" t="s">
        <v>174</v>
      </c>
      <c r="E42" s="71"/>
      <c r="F42" s="57"/>
      <c r="G42" s="57"/>
      <c r="H42" s="72"/>
      <c r="I42" s="72"/>
      <c r="J42" s="62" t="s">
        <v>2654</v>
      </c>
      <c r="K42" s="72"/>
      <c r="L42" s="72"/>
      <c r="M42" s="63" t="s">
        <v>2655</v>
      </c>
      <c r="N42" s="57"/>
      <c r="O42" s="62" t="s">
        <v>158</v>
      </c>
      <c r="P42" s="78" t="s">
        <v>2489</v>
      </c>
      <c r="Q42" s="78" t="s">
        <v>2490</v>
      </c>
      <c r="R42" s="62" t="s">
        <v>2491</v>
      </c>
      <c r="S42" s="62" t="s">
        <v>2491</v>
      </c>
      <c r="T42" s="62" t="s">
        <v>2491</v>
      </c>
      <c r="U42" s="83"/>
      <c r="V42" s="83"/>
      <c r="W42" s="57" t="s">
        <v>2538</v>
      </c>
      <c r="X42" s="80" t="str">
        <f aca="false">HYPERLINK(IF(AND(ISNUMBER(U42),ISNUMBER(V42)),"https://www.google.com/maps/search/?api=1&amp;query="&amp;U42&amp;","&amp;V42,"https://www.google.com/maps/search/?api=1&amp;query="&amp;SUBSTITUTE(SUBSTITUTE(SUBSTITUTE(B42&amp;", "&amp;M42&amp;", Puno, Peru"," ","+"),"&amp;","y"),"#","")),"Ver en mapa")</f>
        <v>Ver en mapa</v>
      </c>
      <c r="Y42" s="62" t="s">
        <v>161</v>
      </c>
      <c r="Z42" s="63" t="s">
        <v>2493</v>
      </c>
      <c r="AA42" s="72"/>
      <c r="AB42" s="59"/>
      <c r="AC42" s="59"/>
      <c r="AD42" s="72"/>
      <c r="AE42" s="72"/>
      <c r="AF42" s="72"/>
      <c r="AG42" s="72"/>
      <c r="AH42" s="62" t="s">
        <v>2494</v>
      </c>
      <c r="AI42" s="72"/>
      <c r="AJ42" s="63" t="s">
        <v>2656</v>
      </c>
      <c r="AK42" s="81" t="str">
        <f aca="false">IF(AND(ISNUMBER(U42),ISNUMBER(V42),ISNUMBER(14_Cercania!$C$13),ISNUMBER(14_Cercania!$C$14)),6371*2*ASIN(SQRT(SIN(RADIANS(14_Cercania!$C$13-U42)/2)^2+COS(RADIANS(U42))*COS(RADIANS(14_Cercania!$C$13))*SIN(RADIANS(14_Cercania!$C$14-V42)/2)^2))+ROW()*0.000000001,"")</f>
        <v/>
      </c>
    </row>
    <row r="43" customFormat="false" ht="35.05" hidden="false" customHeight="false" outlineLevel="0" collapsed="false">
      <c r="A43" s="55" t="n">
        <v>41</v>
      </c>
      <c r="B43" s="56" t="s">
        <v>2657</v>
      </c>
      <c r="C43" s="55" t="s">
        <v>174</v>
      </c>
      <c r="D43" s="56" t="s">
        <v>174</v>
      </c>
      <c r="E43" s="71"/>
      <c r="F43" s="57"/>
      <c r="G43" s="57"/>
      <c r="H43" s="72"/>
      <c r="I43" s="72"/>
      <c r="J43" s="72"/>
      <c r="K43" s="72"/>
      <c r="L43" s="72"/>
      <c r="M43" s="56" t="s">
        <v>2658</v>
      </c>
      <c r="N43" s="57"/>
      <c r="O43" s="55" t="s">
        <v>158</v>
      </c>
      <c r="P43" s="73" t="s">
        <v>2489</v>
      </c>
      <c r="Q43" s="73" t="s">
        <v>2490</v>
      </c>
      <c r="R43" s="55" t="s">
        <v>2491</v>
      </c>
      <c r="S43" s="55" t="s">
        <v>2491</v>
      </c>
      <c r="T43" s="55" t="s">
        <v>2491</v>
      </c>
      <c r="U43" s="74" t="n">
        <v>-15.8386467</v>
      </c>
      <c r="V43" s="74" t="n">
        <v>-70.028146</v>
      </c>
      <c r="W43" s="82" t="s">
        <v>2511</v>
      </c>
      <c r="X43" s="76" t="str">
        <f aca="false">HYPERLINK(IF(AND(ISNUMBER(U43),ISNUMBER(V43)),"https://www.google.com/maps/search/?api=1&amp;query="&amp;U43&amp;","&amp;V43,"https://www.google.com/maps/search/?api=1&amp;query="&amp;SUBSTITUTE(SUBSTITUTE(SUBSTITUTE(B43&amp;", "&amp;M43&amp;", Puno, Peru"," ","+"),"&amp;","y"),"#","")),"Ver en mapa")</f>
        <v>Ver en mapa</v>
      </c>
      <c r="Y43" s="55" t="s">
        <v>161</v>
      </c>
      <c r="Z43" s="56" t="s">
        <v>2493</v>
      </c>
      <c r="AA43" s="72"/>
      <c r="AB43" s="59"/>
      <c r="AC43" s="59"/>
      <c r="AD43" s="72"/>
      <c r="AE43" s="72"/>
      <c r="AF43" s="72"/>
      <c r="AG43" s="72"/>
      <c r="AH43" s="55" t="s">
        <v>2494</v>
      </c>
      <c r="AI43" s="72"/>
      <c r="AJ43" s="56" t="s">
        <v>2659</v>
      </c>
      <c r="AK43" s="77" t="n">
        <f aca="false">IF(AND(ISNUMBER(U43),ISNUMBER(V43),ISNUMBER(14_Cercania!$C$13),ISNUMBER(14_Cercania!$C$14)),6371*2*ASIN(SQRT(SIN(RADIANS(14_Cercania!$C$13-U43)/2)^2+COS(RADIANS(U43))*COS(RADIANS(14_Cercania!$C$13))*SIN(RADIANS(14_Cercania!$C$14-V43)/2)^2))+ROW()*0.000000001,"")</f>
        <v>0.765451190714059</v>
      </c>
    </row>
    <row r="44" customFormat="false" ht="15" hidden="false" customHeight="false" outlineLevel="0" collapsed="false">
      <c r="A44" s="62" t="n">
        <v>42</v>
      </c>
      <c r="B44" s="63" t="s">
        <v>2660</v>
      </c>
      <c r="C44" s="62" t="s">
        <v>174</v>
      </c>
      <c r="D44" s="63" t="s">
        <v>174</v>
      </c>
      <c r="E44" s="71"/>
      <c r="F44" s="57"/>
      <c r="G44" s="57"/>
      <c r="H44" s="72"/>
      <c r="I44" s="72"/>
      <c r="J44" s="62" t="s">
        <v>2661</v>
      </c>
      <c r="K44" s="72"/>
      <c r="L44" s="72"/>
      <c r="M44" s="63" t="s">
        <v>2662</v>
      </c>
      <c r="N44" s="57"/>
      <c r="O44" s="62" t="s">
        <v>179</v>
      </c>
      <c r="P44" s="78" t="s">
        <v>2489</v>
      </c>
      <c r="Q44" s="78" t="s">
        <v>2490</v>
      </c>
      <c r="R44" s="62" t="s">
        <v>2491</v>
      </c>
      <c r="S44" s="62" t="s">
        <v>2491</v>
      </c>
      <c r="T44" s="62" t="s">
        <v>2491</v>
      </c>
      <c r="U44" s="83"/>
      <c r="V44" s="83"/>
      <c r="W44" s="57" t="s">
        <v>2538</v>
      </c>
      <c r="X44" s="80" t="str">
        <f aca="false">HYPERLINK(IF(AND(ISNUMBER(U44),ISNUMBER(V44)),"https://www.google.com/maps/search/?api=1&amp;query="&amp;U44&amp;","&amp;V44,"https://www.google.com/maps/search/?api=1&amp;query="&amp;SUBSTITUTE(SUBSTITUTE(SUBSTITUTE(B44&amp;", "&amp;M44&amp;", Puno, Peru"," ","+"),"&amp;","y"),"#","")),"Ver en mapa")</f>
        <v>Ver en mapa</v>
      </c>
      <c r="Y44" s="62" t="s">
        <v>161</v>
      </c>
      <c r="Z44" s="63" t="s">
        <v>2493</v>
      </c>
      <c r="AA44" s="72"/>
      <c r="AB44" s="59"/>
      <c r="AC44" s="59"/>
      <c r="AD44" s="72"/>
      <c r="AE44" s="72"/>
      <c r="AF44" s="72"/>
      <c r="AG44" s="72"/>
      <c r="AH44" s="62" t="s">
        <v>2494</v>
      </c>
      <c r="AI44" s="72"/>
      <c r="AJ44" s="63" t="s">
        <v>2652</v>
      </c>
      <c r="AK44" s="81" t="str">
        <f aca="false">IF(AND(ISNUMBER(U44),ISNUMBER(V44),ISNUMBER(14_Cercania!$C$13),ISNUMBER(14_Cercania!$C$14)),6371*2*ASIN(SQRT(SIN(RADIANS(14_Cercania!$C$13-U44)/2)^2+COS(RADIANS(U44))*COS(RADIANS(14_Cercania!$C$13))*SIN(RADIANS(14_Cercania!$C$14-V44)/2)^2))+ROW()*0.000000001,"")</f>
        <v/>
      </c>
    </row>
    <row r="45" customFormat="false" ht="15" hidden="false" customHeight="false" outlineLevel="0" collapsed="false">
      <c r="A45" s="55" t="n">
        <v>43</v>
      </c>
      <c r="B45" s="56" t="s">
        <v>2663</v>
      </c>
      <c r="C45" s="55" t="s">
        <v>174</v>
      </c>
      <c r="D45" s="56" t="s">
        <v>174</v>
      </c>
      <c r="E45" s="71"/>
      <c r="F45" s="57"/>
      <c r="G45" s="57"/>
      <c r="H45" s="72"/>
      <c r="I45" s="72"/>
      <c r="J45" s="55" t="s">
        <v>2664</v>
      </c>
      <c r="K45" s="72"/>
      <c r="L45" s="72"/>
      <c r="M45" s="56" t="s">
        <v>2647</v>
      </c>
      <c r="N45" s="57"/>
      <c r="O45" s="55" t="s">
        <v>158</v>
      </c>
      <c r="P45" s="73" t="s">
        <v>2489</v>
      </c>
      <c r="Q45" s="73" t="s">
        <v>2490</v>
      </c>
      <c r="R45" s="55" t="s">
        <v>2491</v>
      </c>
      <c r="S45" s="55" t="s">
        <v>2491</v>
      </c>
      <c r="T45" s="55" t="s">
        <v>2491</v>
      </c>
      <c r="U45" s="83"/>
      <c r="V45" s="83"/>
      <c r="W45" s="57" t="s">
        <v>2538</v>
      </c>
      <c r="X45" s="76" t="str">
        <f aca="false">HYPERLINK(IF(AND(ISNUMBER(U45),ISNUMBER(V45)),"https://www.google.com/maps/search/?api=1&amp;query="&amp;U45&amp;","&amp;V45,"https://www.google.com/maps/search/?api=1&amp;query="&amp;SUBSTITUTE(SUBSTITUTE(SUBSTITUTE(B45&amp;", "&amp;M45&amp;", Puno, Peru"," ","+"),"&amp;","y"),"#","")),"Ver en mapa")</f>
        <v>Ver en mapa</v>
      </c>
      <c r="Y45" s="55" t="s">
        <v>161</v>
      </c>
      <c r="Z45" s="56" t="s">
        <v>2493</v>
      </c>
      <c r="AA45" s="72"/>
      <c r="AB45" s="59"/>
      <c r="AC45" s="59"/>
      <c r="AD45" s="72"/>
      <c r="AE45" s="72"/>
      <c r="AF45" s="72"/>
      <c r="AG45" s="72"/>
      <c r="AH45" s="55" t="s">
        <v>2494</v>
      </c>
      <c r="AI45" s="72"/>
      <c r="AJ45" s="56" t="s">
        <v>2652</v>
      </c>
      <c r="AK45" s="77" t="str">
        <f aca="false">IF(AND(ISNUMBER(U45),ISNUMBER(V45),ISNUMBER(14_Cercania!$C$13),ISNUMBER(14_Cercania!$C$14)),6371*2*ASIN(SQRT(SIN(RADIANS(14_Cercania!$C$13-U45)/2)^2+COS(RADIANS(U45))*COS(RADIANS(14_Cercania!$C$13))*SIN(RADIANS(14_Cercania!$C$14-V45)/2)^2))+ROW()*0.000000001,"")</f>
        <v/>
      </c>
    </row>
    <row r="46" customFormat="false" ht="23.85" hidden="false" customHeight="false" outlineLevel="0" collapsed="false">
      <c r="A46" s="62" t="n">
        <v>44</v>
      </c>
      <c r="B46" s="63" t="s">
        <v>2665</v>
      </c>
      <c r="C46" s="62" t="s">
        <v>174</v>
      </c>
      <c r="D46" s="63" t="s">
        <v>174</v>
      </c>
      <c r="E46" s="71"/>
      <c r="F46" s="57"/>
      <c r="G46" s="57"/>
      <c r="H46" s="72"/>
      <c r="I46" s="72"/>
      <c r="J46" s="72"/>
      <c r="K46" s="72"/>
      <c r="L46" s="72"/>
      <c r="M46" s="63" t="s">
        <v>2666</v>
      </c>
      <c r="N46" s="57"/>
      <c r="O46" s="62" t="s">
        <v>158</v>
      </c>
      <c r="P46" s="78" t="s">
        <v>2489</v>
      </c>
      <c r="Q46" s="78" t="s">
        <v>2490</v>
      </c>
      <c r="R46" s="62" t="s">
        <v>2491</v>
      </c>
      <c r="S46" s="62" t="s">
        <v>2491</v>
      </c>
      <c r="T46" s="62" t="s">
        <v>2491</v>
      </c>
      <c r="U46" s="79" t="n">
        <v>-15.8377336</v>
      </c>
      <c r="V46" s="79" t="n">
        <v>-70.0264504</v>
      </c>
      <c r="W46" s="75" t="s">
        <v>2492</v>
      </c>
      <c r="X46" s="80" t="str">
        <f aca="false">HYPERLINK(IF(AND(ISNUMBER(U46),ISNUMBER(V46)),"https://www.google.com/maps/search/?api=1&amp;query="&amp;U46&amp;","&amp;V46,"https://www.google.com/maps/search/?api=1&amp;query="&amp;SUBSTITUTE(SUBSTITUTE(SUBSTITUTE(B46&amp;", "&amp;M46&amp;", Puno, Peru"," ","+"),"&amp;","y"),"#","")),"Ver en mapa")</f>
        <v>Ver en mapa</v>
      </c>
      <c r="Y46" s="62" t="s">
        <v>161</v>
      </c>
      <c r="Z46" s="63" t="s">
        <v>2493</v>
      </c>
      <c r="AA46" s="72"/>
      <c r="AB46" s="59"/>
      <c r="AC46" s="59"/>
      <c r="AD46" s="72"/>
      <c r="AE46" s="72"/>
      <c r="AF46" s="72"/>
      <c r="AG46" s="72"/>
      <c r="AH46" s="62" t="s">
        <v>2494</v>
      </c>
      <c r="AI46" s="72"/>
      <c r="AJ46" s="63" t="s">
        <v>2667</v>
      </c>
      <c r="AK46" s="81" t="n">
        <f aca="false">IF(AND(ISNUMBER(U46),ISNUMBER(V46),ISNUMBER(14_Cercania!$C$13),ISNUMBER(14_Cercania!$C$14)),6371*2*ASIN(SQRT(SIN(RADIANS(14_Cercania!$C$13-U46)/2)^2+COS(RADIANS(U46))*COS(RADIANS(14_Cercania!$C$13))*SIN(RADIANS(14_Cercania!$C$14-V46)/2)^2))+ROW()*0.000000001,"")</f>
        <v>0.57391880112545</v>
      </c>
    </row>
    <row r="47" customFormat="false" ht="15" hidden="false" customHeight="false" outlineLevel="0" collapsed="false">
      <c r="A47" s="55" t="n">
        <v>45</v>
      </c>
      <c r="B47" s="56" t="s">
        <v>2668</v>
      </c>
      <c r="C47" s="55" t="s">
        <v>174</v>
      </c>
      <c r="D47" s="56" t="s">
        <v>174</v>
      </c>
      <c r="E47" s="71"/>
      <c r="F47" s="57"/>
      <c r="G47" s="57"/>
      <c r="H47" s="72"/>
      <c r="I47" s="72"/>
      <c r="J47" s="72"/>
      <c r="K47" s="72"/>
      <c r="L47" s="72"/>
      <c r="M47" s="56" t="s">
        <v>2669</v>
      </c>
      <c r="N47" s="57"/>
      <c r="O47" s="55" t="s">
        <v>158</v>
      </c>
      <c r="P47" s="73" t="s">
        <v>2489</v>
      </c>
      <c r="Q47" s="73" t="s">
        <v>2490</v>
      </c>
      <c r="R47" s="55" t="s">
        <v>2491</v>
      </c>
      <c r="S47" s="55" t="s">
        <v>2491</v>
      </c>
      <c r="T47" s="55" t="s">
        <v>2491</v>
      </c>
      <c r="U47" s="83"/>
      <c r="V47" s="83"/>
      <c r="W47" s="57" t="s">
        <v>2538</v>
      </c>
      <c r="X47" s="76" t="str">
        <f aca="false">HYPERLINK(IF(AND(ISNUMBER(U47),ISNUMBER(V47)),"https://www.google.com/maps/search/?api=1&amp;query="&amp;U47&amp;","&amp;V47,"https://www.google.com/maps/search/?api=1&amp;query="&amp;SUBSTITUTE(SUBSTITUTE(SUBSTITUTE(B47&amp;", "&amp;M47&amp;", Puno, Peru"," ","+"),"&amp;","y"),"#","")),"Ver en mapa")</f>
        <v>Ver en mapa</v>
      </c>
      <c r="Y47" s="55" t="s">
        <v>161</v>
      </c>
      <c r="Z47" s="56" t="s">
        <v>2493</v>
      </c>
      <c r="AA47" s="72"/>
      <c r="AB47" s="59"/>
      <c r="AC47" s="59"/>
      <c r="AD47" s="72"/>
      <c r="AE47" s="72"/>
      <c r="AF47" s="72"/>
      <c r="AG47" s="72"/>
      <c r="AH47" s="55" t="s">
        <v>2494</v>
      </c>
      <c r="AI47" s="72"/>
      <c r="AJ47" s="56" t="s">
        <v>2670</v>
      </c>
      <c r="AK47" s="77" t="str">
        <f aca="false">IF(AND(ISNUMBER(U47),ISNUMBER(V47),ISNUMBER(14_Cercania!$C$13),ISNUMBER(14_Cercania!$C$14)),6371*2*ASIN(SQRT(SIN(RADIANS(14_Cercania!$C$13-U47)/2)^2+COS(RADIANS(U47))*COS(RADIANS(14_Cercania!$C$13))*SIN(RADIANS(14_Cercania!$C$14-V47)/2)^2))+ROW()*0.000000001,"")</f>
        <v/>
      </c>
    </row>
    <row r="48" customFormat="false" ht="46.25" hidden="false" customHeight="false" outlineLevel="0" collapsed="false">
      <c r="A48" s="62" t="n">
        <v>46</v>
      </c>
      <c r="B48" s="63" t="s">
        <v>2671</v>
      </c>
      <c r="C48" s="62" t="s">
        <v>167</v>
      </c>
      <c r="D48" s="63" t="s">
        <v>1083</v>
      </c>
      <c r="E48" s="71"/>
      <c r="F48" s="57"/>
      <c r="G48" s="57"/>
      <c r="H48" s="72"/>
      <c r="I48" s="72"/>
      <c r="J48" s="62" t="s">
        <v>2672</v>
      </c>
      <c r="K48" s="72"/>
      <c r="L48" s="72"/>
      <c r="M48" s="63" t="s">
        <v>2673</v>
      </c>
      <c r="N48" s="57"/>
      <c r="O48" s="62" t="s">
        <v>158</v>
      </c>
      <c r="P48" s="78" t="s">
        <v>2489</v>
      </c>
      <c r="Q48" s="78" t="s">
        <v>2490</v>
      </c>
      <c r="R48" s="62" t="s">
        <v>2491</v>
      </c>
      <c r="S48" s="62" t="s">
        <v>2491</v>
      </c>
      <c r="T48" s="62" t="s">
        <v>2491</v>
      </c>
      <c r="U48" s="83"/>
      <c r="V48" s="83"/>
      <c r="W48" s="57" t="s">
        <v>2538</v>
      </c>
      <c r="X48" s="80" t="str">
        <f aca="false">HYPERLINK(IF(AND(ISNUMBER(U48),ISNUMBER(V48)),"https://www.google.com/maps/search/?api=1&amp;query="&amp;U48&amp;","&amp;V48,"https://www.google.com/maps/search/?api=1&amp;query="&amp;SUBSTITUTE(SUBSTITUTE(SUBSTITUTE(B48&amp;", "&amp;M48&amp;", Puno, Peru"," ","+"),"&amp;","y"),"#","")),"Ver en mapa")</f>
        <v>Ver en mapa</v>
      </c>
      <c r="Y48" s="62" t="s">
        <v>161</v>
      </c>
      <c r="Z48" s="63" t="s">
        <v>2530</v>
      </c>
      <c r="AA48" s="72"/>
      <c r="AB48" s="59"/>
      <c r="AC48" s="59"/>
      <c r="AD48" s="72"/>
      <c r="AE48" s="72"/>
      <c r="AF48" s="72"/>
      <c r="AG48" s="72"/>
      <c r="AH48" s="62" t="s">
        <v>2494</v>
      </c>
      <c r="AI48" s="72"/>
      <c r="AJ48" s="63" t="s">
        <v>2674</v>
      </c>
      <c r="AK48" s="81" t="str">
        <f aca="false">IF(AND(ISNUMBER(U48),ISNUMBER(V48),ISNUMBER(14_Cercania!$C$13),ISNUMBER(14_Cercania!$C$14)),6371*2*ASIN(SQRT(SIN(RADIANS(14_Cercania!$C$13-U48)/2)^2+COS(RADIANS(U48))*COS(RADIANS(14_Cercania!$C$13))*SIN(RADIANS(14_Cercania!$C$14-V48)/2)^2))+ROW()*0.000000001,"")</f>
        <v/>
      </c>
    </row>
    <row r="49" customFormat="false" ht="46.25" hidden="false" customHeight="false" outlineLevel="0" collapsed="false">
      <c r="A49" s="55" t="n">
        <v>47</v>
      </c>
      <c r="B49" s="56" t="s">
        <v>2675</v>
      </c>
      <c r="C49" s="55" t="s">
        <v>167</v>
      </c>
      <c r="D49" s="56" t="s">
        <v>1083</v>
      </c>
      <c r="E49" s="71"/>
      <c r="F49" s="57"/>
      <c r="G49" s="57"/>
      <c r="H49" s="72"/>
      <c r="I49" s="72"/>
      <c r="J49" s="72"/>
      <c r="K49" s="72"/>
      <c r="L49" s="72"/>
      <c r="M49" s="56" t="s">
        <v>2676</v>
      </c>
      <c r="N49" s="57"/>
      <c r="O49" s="55" t="s">
        <v>197</v>
      </c>
      <c r="P49" s="73" t="s">
        <v>2606</v>
      </c>
      <c r="Q49" s="73" t="s">
        <v>2490</v>
      </c>
      <c r="R49" s="55" t="s">
        <v>2491</v>
      </c>
      <c r="S49" s="55" t="s">
        <v>2491</v>
      </c>
      <c r="T49" s="55" t="s">
        <v>2491</v>
      </c>
      <c r="U49" s="83"/>
      <c r="V49" s="83"/>
      <c r="W49" s="57" t="s">
        <v>2538</v>
      </c>
      <c r="X49" s="76" t="str">
        <f aca="false">HYPERLINK(IF(AND(ISNUMBER(U49),ISNUMBER(V49)),"https://www.google.com/maps/search/?api=1&amp;query="&amp;U49&amp;","&amp;V49,"https://www.google.com/maps/search/?api=1&amp;query="&amp;SUBSTITUTE(SUBSTITUTE(SUBSTITUTE(B49&amp;", "&amp;M49&amp;", Puno, Peru"," ","+"),"&amp;","y"),"#","")),"Ver en mapa")</f>
        <v>Ver en mapa</v>
      </c>
      <c r="Y49" s="55" t="s">
        <v>161</v>
      </c>
      <c r="Z49" s="56" t="s">
        <v>164</v>
      </c>
      <c r="AA49" s="72"/>
      <c r="AB49" s="59"/>
      <c r="AC49" s="59"/>
      <c r="AD49" s="72"/>
      <c r="AE49" s="72"/>
      <c r="AF49" s="72"/>
      <c r="AG49" s="72"/>
      <c r="AH49" s="55" t="s">
        <v>2494</v>
      </c>
      <c r="AI49" s="72"/>
      <c r="AJ49" s="56" t="s">
        <v>2677</v>
      </c>
      <c r="AK49" s="77" t="str">
        <f aca="false">IF(AND(ISNUMBER(U49),ISNUMBER(V49),ISNUMBER(14_Cercania!$C$13),ISNUMBER(14_Cercania!$C$14)),6371*2*ASIN(SQRT(SIN(RADIANS(14_Cercania!$C$13-U49)/2)^2+COS(RADIANS(U49))*COS(RADIANS(14_Cercania!$C$13))*SIN(RADIANS(14_Cercania!$C$14-V49)/2)^2))+ROW()*0.000000001,"")</f>
        <v/>
      </c>
    </row>
    <row r="50" customFormat="false" ht="15" hidden="false" customHeight="false" outlineLevel="0" collapsed="false">
      <c r="A50" s="62" t="n">
        <v>48</v>
      </c>
      <c r="B50" s="63" t="s">
        <v>2678</v>
      </c>
      <c r="C50" s="62" t="s">
        <v>167</v>
      </c>
      <c r="D50" s="63" t="s">
        <v>1083</v>
      </c>
      <c r="E50" s="71"/>
      <c r="F50" s="57"/>
      <c r="G50" s="57"/>
      <c r="H50" s="72"/>
      <c r="I50" s="62" t="s">
        <v>2679</v>
      </c>
      <c r="J50" s="72"/>
      <c r="K50" s="72"/>
      <c r="L50" s="72"/>
      <c r="M50" s="63" t="s">
        <v>2680</v>
      </c>
      <c r="N50" s="57"/>
      <c r="O50" s="62" t="s">
        <v>176</v>
      </c>
      <c r="P50" s="78" t="s">
        <v>2489</v>
      </c>
      <c r="Q50" s="78" t="s">
        <v>2490</v>
      </c>
      <c r="R50" s="62" t="s">
        <v>2491</v>
      </c>
      <c r="S50" s="62" t="s">
        <v>2491</v>
      </c>
      <c r="T50" s="62" t="s">
        <v>2491</v>
      </c>
      <c r="U50" s="83"/>
      <c r="V50" s="83"/>
      <c r="W50" s="57" t="s">
        <v>2538</v>
      </c>
      <c r="X50" s="80" t="str">
        <f aca="false">HYPERLINK(IF(AND(ISNUMBER(U50),ISNUMBER(V50)),"https://www.google.com/maps/search/?api=1&amp;query="&amp;U50&amp;","&amp;V50,"https://www.google.com/maps/search/?api=1&amp;query="&amp;SUBSTITUTE(SUBSTITUTE(SUBSTITUTE(B50&amp;", "&amp;M50&amp;", Puno, Peru"," ","+"),"&amp;","y"),"#","")),"Ver en mapa")</f>
        <v>Ver en mapa</v>
      </c>
      <c r="Y50" s="62" t="s">
        <v>161</v>
      </c>
      <c r="Z50" s="63" t="s">
        <v>164</v>
      </c>
      <c r="AA50" s="72"/>
      <c r="AB50" s="59"/>
      <c r="AC50" s="59"/>
      <c r="AD50" s="72"/>
      <c r="AE50" s="72"/>
      <c r="AF50" s="72"/>
      <c r="AG50" s="72"/>
      <c r="AH50" s="62" t="s">
        <v>2494</v>
      </c>
      <c r="AI50" s="72"/>
      <c r="AJ50" s="63" t="s">
        <v>2681</v>
      </c>
      <c r="AK50" s="81" t="str">
        <f aca="false">IF(AND(ISNUMBER(U50),ISNUMBER(V50),ISNUMBER(14_Cercania!$C$13),ISNUMBER(14_Cercania!$C$14)),6371*2*ASIN(SQRT(SIN(RADIANS(14_Cercania!$C$13-U50)/2)^2+COS(RADIANS(U50))*COS(RADIANS(14_Cercania!$C$13))*SIN(RADIANS(14_Cercania!$C$14-V50)/2)^2))+ROW()*0.000000001,"")</f>
        <v/>
      </c>
    </row>
    <row r="51" customFormat="false" ht="15" hidden="false" customHeight="false" outlineLevel="0" collapsed="false">
      <c r="A51" s="55" t="n">
        <v>49</v>
      </c>
      <c r="B51" s="56" t="s">
        <v>2682</v>
      </c>
      <c r="C51" s="55" t="s">
        <v>167</v>
      </c>
      <c r="D51" s="56" t="s">
        <v>1083</v>
      </c>
      <c r="E51" s="71"/>
      <c r="F51" s="57"/>
      <c r="G51" s="57"/>
      <c r="H51" s="72"/>
      <c r="I51" s="72"/>
      <c r="J51" s="55" t="s">
        <v>2683</v>
      </c>
      <c r="K51" s="72"/>
      <c r="L51" s="72"/>
      <c r="M51" s="56" t="s">
        <v>2684</v>
      </c>
      <c r="N51" s="57"/>
      <c r="O51" s="55" t="s">
        <v>173</v>
      </c>
      <c r="P51" s="73" t="s">
        <v>2489</v>
      </c>
      <c r="Q51" s="73" t="s">
        <v>2490</v>
      </c>
      <c r="R51" s="55" t="s">
        <v>2491</v>
      </c>
      <c r="S51" s="55" t="s">
        <v>2491</v>
      </c>
      <c r="T51" s="55" t="s">
        <v>2491</v>
      </c>
      <c r="U51" s="83"/>
      <c r="V51" s="83"/>
      <c r="W51" s="57" t="s">
        <v>2538</v>
      </c>
      <c r="X51" s="76" t="str">
        <f aca="false">HYPERLINK(IF(AND(ISNUMBER(U51),ISNUMBER(V51)),"https://www.google.com/maps/search/?api=1&amp;query="&amp;U51&amp;","&amp;V51,"https://www.google.com/maps/search/?api=1&amp;query="&amp;SUBSTITUTE(SUBSTITUTE(SUBSTITUTE(B51&amp;", "&amp;M51&amp;", Puno, Peru"," ","+"),"&amp;","y"),"#","")),"Ver en mapa")</f>
        <v>Ver en mapa</v>
      </c>
      <c r="Y51" s="55" t="s">
        <v>161</v>
      </c>
      <c r="Z51" s="56" t="s">
        <v>164</v>
      </c>
      <c r="AA51" s="72"/>
      <c r="AB51" s="59"/>
      <c r="AC51" s="59"/>
      <c r="AD51" s="72"/>
      <c r="AE51" s="72"/>
      <c r="AF51" s="72"/>
      <c r="AG51" s="72"/>
      <c r="AH51" s="55" t="s">
        <v>2494</v>
      </c>
      <c r="AI51" s="72"/>
      <c r="AJ51" s="56" t="s">
        <v>2681</v>
      </c>
      <c r="AK51" s="77" t="str">
        <f aca="false">IF(AND(ISNUMBER(U51),ISNUMBER(V51),ISNUMBER(14_Cercania!$C$13),ISNUMBER(14_Cercania!$C$14)),6371*2*ASIN(SQRT(SIN(RADIANS(14_Cercania!$C$13-U51)/2)^2+COS(RADIANS(U51))*COS(RADIANS(14_Cercania!$C$13))*SIN(RADIANS(14_Cercania!$C$14-V51)/2)^2))+ROW()*0.000000001,"")</f>
        <v/>
      </c>
    </row>
    <row r="52" customFormat="false" ht="23.85" hidden="false" customHeight="false" outlineLevel="0" collapsed="false">
      <c r="A52" s="62" t="n">
        <v>50</v>
      </c>
      <c r="B52" s="63" t="s">
        <v>2685</v>
      </c>
      <c r="C52" s="62" t="s">
        <v>167</v>
      </c>
      <c r="D52" s="63" t="s">
        <v>2686</v>
      </c>
      <c r="E52" s="71"/>
      <c r="F52" s="57"/>
      <c r="G52" s="57"/>
      <c r="H52" s="72"/>
      <c r="I52" s="72"/>
      <c r="J52" s="62" t="s">
        <v>2687</v>
      </c>
      <c r="K52" s="72"/>
      <c r="L52" s="72"/>
      <c r="M52" s="63" t="s">
        <v>2688</v>
      </c>
      <c r="N52" s="57"/>
      <c r="O52" s="62" t="s">
        <v>158</v>
      </c>
      <c r="P52" s="78" t="s">
        <v>2489</v>
      </c>
      <c r="Q52" s="78" t="s">
        <v>2490</v>
      </c>
      <c r="R52" s="62" t="s">
        <v>2491</v>
      </c>
      <c r="S52" s="62" t="s">
        <v>2491</v>
      </c>
      <c r="T52" s="62" t="s">
        <v>2491</v>
      </c>
      <c r="U52" s="79" t="n">
        <v>-15.8445074</v>
      </c>
      <c r="V52" s="79" t="n">
        <v>-70.0206924</v>
      </c>
      <c r="W52" s="75" t="s">
        <v>2492</v>
      </c>
      <c r="X52" s="80" t="str">
        <f aca="false">HYPERLINK(IF(AND(ISNUMBER(U52),ISNUMBER(V52)),"https://www.google.com/maps/search/?api=1&amp;query="&amp;U52&amp;","&amp;V52,"https://www.google.com/maps/search/?api=1&amp;query="&amp;SUBSTITUTE(SUBSTITUTE(SUBSTITUTE(B52&amp;", "&amp;M52&amp;", Puno, Peru"," ","+"),"&amp;","y"),"#","")),"Ver en mapa")</f>
        <v>Ver en mapa</v>
      </c>
      <c r="Y52" s="62" t="s">
        <v>161</v>
      </c>
      <c r="Z52" s="63" t="s">
        <v>164</v>
      </c>
      <c r="AA52" s="72"/>
      <c r="AB52" s="59"/>
      <c r="AC52" s="59"/>
      <c r="AD52" s="72"/>
      <c r="AE52" s="72"/>
      <c r="AF52" s="72"/>
      <c r="AG52" s="72"/>
      <c r="AH52" s="62" t="s">
        <v>2494</v>
      </c>
      <c r="AI52" s="72"/>
      <c r="AJ52" s="63" t="s">
        <v>2506</v>
      </c>
      <c r="AK52" s="81" t="n">
        <f aca="false">IF(AND(ISNUMBER(U52),ISNUMBER(V52),ISNUMBER(14_Cercania!$C$13),ISNUMBER(14_Cercania!$C$14)),6371*2*ASIN(SQRT(SIN(RADIANS(14_Cercania!$C$13-U52)/2)^2+COS(RADIANS(U52))*COS(RADIANS(14_Cercania!$C$13))*SIN(RADIANS(14_Cercania!$C$14-V52)/2)^2))+ROW()*0.000000001,"")</f>
        <v>1.26281790288087</v>
      </c>
    </row>
    <row r="53" customFormat="false" ht="57.45" hidden="false" customHeight="false" outlineLevel="0" collapsed="false">
      <c r="A53" s="55" t="n">
        <v>51</v>
      </c>
      <c r="B53" s="56" t="s">
        <v>2689</v>
      </c>
      <c r="C53" s="55" t="s">
        <v>167</v>
      </c>
      <c r="D53" s="56" t="s">
        <v>1083</v>
      </c>
      <c r="E53" s="71"/>
      <c r="F53" s="57"/>
      <c r="G53" s="57"/>
      <c r="H53" s="72"/>
      <c r="I53" s="55" t="s">
        <v>2690</v>
      </c>
      <c r="J53" s="72"/>
      <c r="K53" s="72"/>
      <c r="L53" s="72"/>
      <c r="M53" s="56" t="s">
        <v>2691</v>
      </c>
      <c r="N53" s="57"/>
      <c r="O53" s="55" t="s">
        <v>158</v>
      </c>
      <c r="P53" s="73" t="s">
        <v>2489</v>
      </c>
      <c r="Q53" s="73" t="s">
        <v>2490</v>
      </c>
      <c r="R53" s="55" t="s">
        <v>2491</v>
      </c>
      <c r="S53" s="55" t="s">
        <v>2491</v>
      </c>
      <c r="T53" s="55" t="s">
        <v>2491</v>
      </c>
      <c r="U53" s="74" t="n">
        <v>-15.8389104</v>
      </c>
      <c r="V53" s="74" t="n">
        <v>-70.0277505</v>
      </c>
      <c r="W53" s="75" t="s">
        <v>2492</v>
      </c>
      <c r="X53" s="76" t="str">
        <f aca="false">HYPERLINK(IF(AND(ISNUMBER(U53),ISNUMBER(V53)),"https://www.google.com/maps/search/?api=1&amp;query="&amp;U53&amp;","&amp;V53,"https://www.google.com/maps/search/?api=1&amp;query="&amp;SUBSTITUTE(SUBSTITUTE(SUBSTITUTE(B53&amp;", "&amp;M53&amp;", Puno, Peru"," ","+"),"&amp;","y"),"#","")),"Ver en mapa")</f>
        <v>Ver en mapa</v>
      </c>
      <c r="Y53" s="55" t="s">
        <v>161</v>
      </c>
      <c r="Z53" s="56" t="s">
        <v>2530</v>
      </c>
      <c r="AA53" s="72"/>
      <c r="AB53" s="59"/>
      <c r="AC53" s="59"/>
      <c r="AD53" s="72"/>
      <c r="AE53" s="72"/>
      <c r="AF53" s="72"/>
      <c r="AG53" s="72"/>
      <c r="AH53" s="55" t="s">
        <v>2494</v>
      </c>
      <c r="AI53" s="72"/>
      <c r="AJ53" s="56" t="s">
        <v>2692</v>
      </c>
      <c r="AK53" s="77" t="n">
        <f aca="false">IF(AND(ISNUMBER(U53),ISNUMBER(V53),ISNUMBER(14_Cercania!$C$13),ISNUMBER(14_Cercania!$C$14)),6371*2*ASIN(SQRT(SIN(RADIANS(14_Cercania!$C$13-U53)/2)^2+COS(RADIANS(U53))*COS(RADIANS(14_Cercania!$C$13))*SIN(RADIANS(14_Cercania!$C$14-V53)/2)^2))+ROW()*0.000000001,"")</f>
        <v>0.761421677150531</v>
      </c>
    </row>
    <row r="54" customFormat="false" ht="35.05" hidden="false" customHeight="false" outlineLevel="0" collapsed="false">
      <c r="A54" s="62" t="n">
        <v>52</v>
      </c>
      <c r="B54" s="63" t="s">
        <v>2693</v>
      </c>
      <c r="C54" s="62" t="s">
        <v>167</v>
      </c>
      <c r="D54" s="63" t="s">
        <v>1083</v>
      </c>
      <c r="E54" s="71"/>
      <c r="F54" s="57"/>
      <c r="G54" s="57"/>
      <c r="H54" s="72"/>
      <c r="I54" s="72"/>
      <c r="J54" s="62" t="s">
        <v>2694</v>
      </c>
      <c r="K54" s="72"/>
      <c r="L54" s="72"/>
      <c r="M54" s="63" t="s">
        <v>2695</v>
      </c>
      <c r="N54" s="57"/>
      <c r="O54" s="62" t="s">
        <v>158</v>
      </c>
      <c r="P54" s="78" t="s">
        <v>2489</v>
      </c>
      <c r="Q54" s="78" t="s">
        <v>2490</v>
      </c>
      <c r="R54" s="62" t="s">
        <v>2491</v>
      </c>
      <c r="S54" s="62" t="s">
        <v>2491</v>
      </c>
      <c r="T54" s="62" t="s">
        <v>2491</v>
      </c>
      <c r="U54" s="79" t="n">
        <v>-15.8394164</v>
      </c>
      <c r="V54" s="79" t="n">
        <v>-70.0259086</v>
      </c>
      <c r="W54" s="82" t="s">
        <v>2696</v>
      </c>
      <c r="X54" s="80" t="str">
        <f aca="false">HYPERLINK(IF(AND(ISNUMBER(U54),ISNUMBER(V54)),"https://www.google.com/maps/search/?api=1&amp;query="&amp;U54&amp;","&amp;V54,"https://www.google.com/maps/search/?api=1&amp;query="&amp;SUBSTITUTE(SUBSTITUTE(SUBSTITUTE(B54&amp;", "&amp;M54&amp;", Puno, Peru"," ","+"),"&amp;","y"),"#","")),"Ver en mapa")</f>
        <v>Ver en mapa</v>
      </c>
      <c r="Y54" s="62" t="s">
        <v>161</v>
      </c>
      <c r="Z54" s="63" t="s">
        <v>164</v>
      </c>
      <c r="AA54" s="72"/>
      <c r="AB54" s="59"/>
      <c r="AC54" s="59"/>
      <c r="AD54" s="72"/>
      <c r="AE54" s="72"/>
      <c r="AF54" s="72"/>
      <c r="AG54" s="72"/>
      <c r="AH54" s="62" t="s">
        <v>2494</v>
      </c>
      <c r="AI54" s="72"/>
      <c r="AJ54" s="63" t="s">
        <v>2697</v>
      </c>
      <c r="AK54" s="81" t="n">
        <f aca="false">IF(AND(ISNUMBER(U54),ISNUMBER(V54),ISNUMBER(14_Cercania!$C$13),ISNUMBER(14_Cercania!$C$14)),6371*2*ASIN(SQRT(SIN(RADIANS(14_Cercania!$C$13-U54)/2)^2+COS(RADIANS(U54))*COS(RADIANS(14_Cercania!$C$13))*SIN(RADIANS(14_Cercania!$C$14-V54)/2)^2))+ROW()*0.000000001,"")</f>
        <v>0.712850649226229</v>
      </c>
    </row>
    <row r="55" customFormat="false" ht="15" hidden="false" customHeight="false" outlineLevel="0" collapsed="false">
      <c r="A55" s="55" t="n">
        <v>53</v>
      </c>
      <c r="B55" s="56" t="s">
        <v>2698</v>
      </c>
      <c r="C55" s="55" t="s">
        <v>167</v>
      </c>
      <c r="D55" s="56" t="s">
        <v>1083</v>
      </c>
      <c r="E55" s="71"/>
      <c r="F55" s="57"/>
      <c r="G55" s="57"/>
      <c r="H55" s="72"/>
      <c r="I55" s="55" t="s">
        <v>2699</v>
      </c>
      <c r="J55" s="72"/>
      <c r="K55" s="72"/>
      <c r="L55" s="72"/>
      <c r="M55" s="56" t="s">
        <v>2700</v>
      </c>
      <c r="N55" s="57"/>
      <c r="O55" s="55" t="s">
        <v>179</v>
      </c>
      <c r="P55" s="73" t="s">
        <v>2489</v>
      </c>
      <c r="Q55" s="73" t="s">
        <v>2490</v>
      </c>
      <c r="R55" s="55" t="s">
        <v>2491</v>
      </c>
      <c r="S55" s="55" t="s">
        <v>2491</v>
      </c>
      <c r="T55" s="55" t="s">
        <v>2491</v>
      </c>
      <c r="U55" s="83"/>
      <c r="V55" s="83"/>
      <c r="W55" s="57" t="s">
        <v>2538</v>
      </c>
      <c r="X55" s="76" t="str">
        <f aca="false">HYPERLINK(IF(AND(ISNUMBER(U55),ISNUMBER(V55)),"https://www.google.com/maps/search/?api=1&amp;query="&amp;U55&amp;","&amp;V55,"https://www.google.com/maps/search/?api=1&amp;query="&amp;SUBSTITUTE(SUBSTITUTE(SUBSTITUTE(B55&amp;", "&amp;M55&amp;", Puno, Peru"," ","+"),"&amp;","y"),"#","")),"Ver en mapa")</f>
        <v>Ver en mapa</v>
      </c>
      <c r="Y55" s="55" t="s">
        <v>161</v>
      </c>
      <c r="Z55" s="56" t="s">
        <v>164</v>
      </c>
      <c r="AA55" s="72"/>
      <c r="AB55" s="59"/>
      <c r="AC55" s="59"/>
      <c r="AD55" s="72"/>
      <c r="AE55" s="72"/>
      <c r="AF55" s="72"/>
      <c r="AG55" s="72"/>
      <c r="AH55" s="55" t="s">
        <v>2494</v>
      </c>
      <c r="AI55" s="72"/>
      <c r="AJ55" s="56" t="s">
        <v>2701</v>
      </c>
      <c r="AK55" s="77" t="str">
        <f aca="false">IF(AND(ISNUMBER(U55),ISNUMBER(V55),ISNUMBER(14_Cercania!$C$13),ISNUMBER(14_Cercania!$C$14)),6371*2*ASIN(SQRT(SIN(RADIANS(14_Cercania!$C$13-U55)/2)^2+COS(RADIANS(U55))*COS(RADIANS(14_Cercania!$C$13))*SIN(RADIANS(14_Cercania!$C$14-V55)/2)^2))+ROW()*0.000000001,"")</f>
        <v/>
      </c>
    </row>
    <row r="56" customFormat="false" ht="15" hidden="false" customHeight="false" outlineLevel="0" collapsed="false">
      <c r="A56" s="62" t="n">
        <v>54</v>
      </c>
      <c r="B56" s="63" t="s">
        <v>2702</v>
      </c>
      <c r="C56" s="62" t="s">
        <v>167</v>
      </c>
      <c r="D56" s="63" t="s">
        <v>1083</v>
      </c>
      <c r="E56" s="71"/>
      <c r="F56" s="57"/>
      <c r="G56" s="57"/>
      <c r="H56" s="72"/>
      <c r="I56" s="72"/>
      <c r="J56" s="72"/>
      <c r="K56" s="72"/>
      <c r="L56" s="72"/>
      <c r="M56" s="63" t="s">
        <v>2703</v>
      </c>
      <c r="N56" s="57"/>
      <c r="O56" s="62" t="s">
        <v>179</v>
      </c>
      <c r="P56" s="78" t="s">
        <v>2489</v>
      </c>
      <c r="Q56" s="78" t="s">
        <v>2490</v>
      </c>
      <c r="R56" s="62" t="s">
        <v>2491</v>
      </c>
      <c r="S56" s="62" t="s">
        <v>2491</v>
      </c>
      <c r="T56" s="62" t="s">
        <v>2491</v>
      </c>
      <c r="U56" s="83"/>
      <c r="V56" s="83"/>
      <c r="W56" s="57" t="s">
        <v>2538</v>
      </c>
      <c r="X56" s="80" t="str">
        <f aca="false">HYPERLINK(IF(AND(ISNUMBER(U56),ISNUMBER(V56)),"https://www.google.com/maps/search/?api=1&amp;query="&amp;U56&amp;","&amp;V56,"https://www.google.com/maps/search/?api=1&amp;query="&amp;SUBSTITUTE(SUBSTITUTE(SUBSTITUTE(B56&amp;", "&amp;M56&amp;", Puno, Peru"," ","+"),"&amp;","y"),"#","")),"Ver en mapa")</f>
        <v>Ver en mapa</v>
      </c>
      <c r="Y56" s="62" t="s">
        <v>161</v>
      </c>
      <c r="Z56" s="63" t="s">
        <v>164</v>
      </c>
      <c r="AA56" s="72"/>
      <c r="AB56" s="59"/>
      <c r="AC56" s="59"/>
      <c r="AD56" s="72"/>
      <c r="AE56" s="72"/>
      <c r="AF56" s="72"/>
      <c r="AG56" s="72"/>
      <c r="AH56" s="62" t="s">
        <v>2494</v>
      </c>
      <c r="AI56" s="72"/>
      <c r="AJ56" s="63" t="s">
        <v>2681</v>
      </c>
      <c r="AK56" s="81" t="str">
        <f aca="false">IF(AND(ISNUMBER(U56),ISNUMBER(V56),ISNUMBER(14_Cercania!$C$13),ISNUMBER(14_Cercania!$C$14)),6371*2*ASIN(SQRT(SIN(RADIANS(14_Cercania!$C$13-U56)/2)^2+COS(RADIANS(U56))*COS(RADIANS(14_Cercania!$C$13))*SIN(RADIANS(14_Cercania!$C$14-V56)/2)^2))+ROW()*0.000000001,"")</f>
        <v/>
      </c>
    </row>
    <row r="57" customFormat="false" ht="46.25" hidden="false" customHeight="false" outlineLevel="0" collapsed="false">
      <c r="A57" s="55" t="n">
        <v>55</v>
      </c>
      <c r="B57" s="56" t="s">
        <v>2704</v>
      </c>
      <c r="C57" s="55" t="s">
        <v>167</v>
      </c>
      <c r="D57" s="56" t="s">
        <v>1083</v>
      </c>
      <c r="E57" s="71"/>
      <c r="F57" s="57"/>
      <c r="G57" s="57"/>
      <c r="H57" s="72"/>
      <c r="I57" s="72"/>
      <c r="J57" s="55" t="s">
        <v>2705</v>
      </c>
      <c r="K57" s="72"/>
      <c r="L57" s="72"/>
      <c r="M57" s="56" t="s">
        <v>2706</v>
      </c>
      <c r="N57" s="57"/>
      <c r="O57" s="55" t="s">
        <v>197</v>
      </c>
      <c r="P57" s="73" t="s">
        <v>2606</v>
      </c>
      <c r="Q57" s="73" t="s">
        <v>2490</v>
      </c>
      <c r="R57" s="55" t="s">
        <v>2491</v>
      </c>
      <c r="S57" s="55" t="s">
        <v>2491</v>
      </c>
      <c r="T57" s="55" t="s">
        <v>2491</v>
      </c>
      <c r="U57" s="83"/>
      <c r="V57" s="83"/>
      <c r="W57" s="57" t="s">
        <v>2538</v>
      </c>
      <c r="X57" s="76" t="str">
        <f aca="false">HYPERLINK(IF(AND(ISNUMBER(U57),ISNUMBER(V57)),"https://www.google.com/maps/search/?api=1&amp;query="&amp;U57&amp;","&amp;V57,"https://www.google.com/maps/search/?api=1&amp;query="&amp;SUBSTITUTE(SUBSTITUTE(SUBSTITUTE(B57&amp;", "&amp;M57&amp;", Puno, Peru"," ","+"),"&amp;","y"),"#","")),"Ver en mapa")</f>
        <v>Ver en mapa</v>
      </c>
      <c r="Y57" s="55" t="s">
        <v>161</v>
      </c>
      <c r="Z57" s="56" t="s">
        <v>164</v>
      </c>
      <c r="AA57" s="72"/>
      <c r="AB57" s="59"/>
      <c r="AC57" s="59"/>
      <c r="AD57" s="72"/>
      <c r="AE57" s="72"/>
      <c r="AF57" s="72"/>
      <c r="AG57" s="72"/>
      <c r="AH57" s="55" t="s">
        <v>2494</v>
      </c>
      <c r="AI57" s="72"/>
      <c r="AJ57" s="56" t="s">
        <v>2707</v>
      </c>
      <c r="AK57" s="77" t="str">
        <f aca="false">IF(AND(ISNUMBER(U57),ISNUMBER(V57),ISNUMBER(14_Cercania!$C$13),ISNUMBER(14_Cercania!$C$14)),6371*2*ASIN(SQRT(SIN(RADIANS(14_Cercania!$C$13-U57)/2)^2+COS(RADIANS(U57))*COS(RADIANS(14_Cercania!$C$13))*SIN(RADIANS(14_Cercania!$C$14-V57)/2)^2))+ROW()*0.000000001,"")</f>
        <v/>
      </c>
    </row>
    <row r="58" customFormat="false" ht="15" hidden="false" customHeight="false" outlineLevel="0" collapsed="false">
      <c r="A58" s="62" t="n">
        <v>56</v>
      </c>
      <c r="B58" s="63" t="s">
        <v>2708</v>
      </c>
      <c r="C58" s="62" t="s">
        <v>167</v>
      </c>
      <c r="D58" s="63" t="s">
        <v>1083</v>
      </c>
      <c r="E58" s="71"/>
      <c r="F58" s="57"/>
      <c r="G58" s="57"/>
      <c r="H58" s="72"/>
      <c r="I58" s="72"/>
      <c r="J58" s="72"/>
      <c r="K58" s="72"/>
      <c r="L58" s="72"/>
      <c r="M58" s="63" t="s">
        <v>2709</v>
      </c>
      <c r="N58" s="57"/>
      <c r="O58" s="62" t="s">
        <v>181</v>
      </c>
      <c r="P58" s="78" t="s">
        <v>2606</v>
      </c>
      <c r="Q58" s="78" t="s">
        <v>2490</v>
      </c>
      <c r="R58" s="62" t="s">
        <v>2491</v>
      </c>
      <c r="S58" s="62" t="s">
        <v>2491</v>
      </c>
      <c r="T58" s="62" t="s">
        <v>2491</v>
      </c>
      <c r="U58" s="83"/>
      <c r="V58" s="83"/>
      <c r="W58" s="57" t="s">
        <v>2538</v>
      </c>
      <c r="X58" s="80" t="str">
        <f aca="false">HYPERLINK(IF(AND(ISNUMBER(U58),ISNUMBER(V58)),"https://www.google.com/maps/search/?api=1&amp;query="&amp;U58&amp;","&amp;V58,"https://www.google.com/maps/search/?api=1&amp;query="&amp;SUBSTITUTE(SUBSTITUTE(SUBSTITUTE(B58&amp;", "&amp;M58&amp;", Puno, Peru"," ","+"),"&amp;","y"),"#","")),"Ver en mapa")</f>
        <v>Ver en mapa</v>
      </c>
      <c r="Y58" s="62" t="s">
        <v>161</v>
      </c>
      <c r="Z58" s="63" t="s">
        <v>164</v>
      </c>
      <c r="AA58" s="72"/>
      <c r="AB58" s="59"/>
      <c r="AC58" s="59"/>
      <c r="AD58" s="72"/>
      <c r="AE58" s="72"/>
      <c r="AF58" s="72"/>
      <c r="AG58" s="72"/>
      <c r="AH58" s="62" t="s">
        <v>2494</v>
      </c>
      <c r="AI58" s="72"/>
      <c r="AJ58" s="63" t="s">
        <v>2681</v>
      </c>
      <c r="AK58" s="81" t="str">
        <f aca="false">IF(AND(ISNUMBER(U58),ISNUMBER(V58),ISNUMBER(14_Cercania!$C$13),ISNUMBER(14_Cercania!$C$14)),6371*2*ASIN(SQRT(SIN(RADIANS(14_Cercania!$C$13-U58)/2)^2+COS(RADIANS(U58))*COS(RADIANS(14_Cercania!$C$13))*SIN(RADIANS(14_Cercania!$C$14-V58)/2)^2))+ROW()*0.000000001,"")</f>
        <v/>
      </c>
    </row>
    <row r="59" customFormat="false" ht="15" hidden="false" customHeight="false" outlineLevel="0" collapsed="false">
      <c r="A59" s="55" t="n">
        <v>57</v>
      </c>
      <c r="B59" s="56" t="s">
        <v>2710</v>
      </c>
      <c r="C59" s="55" t="s">
        <v>167</v>
      </c>
      <c r="D59" s="56" t="s">
        <v>1083</v>
      </c>
      <c r="E59" s="71"/>
      <c r="F59" s="57"/>
      <c r="G59" s="57"/>
      <c r="H59" s="72"/>
      <c r="I59" s="72"/>
      <c r="J59" s="55" t="s">
        <v>2711</v>
      </c>
      <c r="K59" s="72"/>
      <c r="L59" s="72"/>
      <c r="M59" s="56" t="s">
        <v>2712</v>
      </c>
      <c r="N59" s="57"/>
      <c r="O59" s="55" t="s">
        <v>197</v>
      </c>
      <c r="P59" s="73" t="s">
        <v>2606</v>
      </c>
      <c r="Q59" s="73" t="s">
        <v>2490</v>
      </c>
      <c r="R59" s="55" t="s">
        <v>2491</v>
      </c>
      <c r="S59" s="55" t="s">
        <v>2491</v>
      </c>
      <c r="T59" s="55" t="s">
        <v>2491</v>
      </c>
      <c r="U59" s="83"/>
      <c r="V59" s="83"/>
      <c r="W59" s="57" t="s">
        <v>2538</v>
      </c>
      <c r="X59" s="76" t="str">
        <f aca="false">HYPERLINK(IF(AND(ISNUMBER(U59),ISNUMBER(V59)),"https://www.google.com/maps/search/?api=1&amp;query="&amp;U59&amp;","&amp;V59,"https://www.google.com/maps/search/?api=1&amp;query="&amp;SUBSTITUTE(SUBSTITUTE(SUBSTITUTE(B59&amp;", "&amp;M59&amp;", Puno, Peru"," ","+"),"&amp;","y"),"#","")),"Ver en mapa")</f>
        <v>Ver en mapa</v>
      </c>
      <c r="Y59" s="55" t="s">
        <v>161</v>
      </c>
      <c r="Z59" s="56" t="s">
        <v>164</v>
      </c>
      <c r="AA59" s="72"/>
      <c r="AB59" s="59"/>
      <c r="AC59" s="59"/>
      <c r="AD59" s="72"/>
      <c r="AE59" s="72"/>
      <c r="AF59" s="72"/>
      <c r="AG59" s="72"/>
      <c r="AH59" s="55" t="s">
        <v>2494</v>
      </c>
      <c r="AI59" s="72"/>
      <c r="AJ59" s="56" t="s">
        <v>2701</v>
      </c>
      <c r="AK59" s="77" t="str">
        <f aca="false">IF(AND(ISNUMBER(U59),ISNUMBER(V59),ISNUMBER(14_Cercania!$C$13),ISNUMBER(14_Cercania!$C$14)),6371*2*ASIN(SQRT(SIN(RADIANS(14_Cercania!$C$13-U59)/2)^2+COS(RADIANS(U59))*COS(RADIANS(14_Cercania!$C$13))*SIN(RADIANS(14_Cercania!$C$14-V59)/2)^2))+ROW()*0.000000001,"")</f>
        <v/>
      </c>
    </row>
    <row r="60" customFormat="false" ht="15" hidden="false" customHeight="false" outlineLevel="0" collapsed="false">
      <c r="A60" s="62" t="n">
        <v>58</v>
      </c>
      <c r="B60" s="63" t="s">
        <v>2713</v>
      </c>
      <c r="C60" s="62" t="s">
        <v>167</v>
      </c>
      <c r="D60" s="63" t="s">
        <v>1083</v>
      </c>
      <c r="E60" s="71"/>
      <c r="F60" s="57"/>
      <c r="G60" s="57"/>
      <c r="H60" s="72"/>
      <c r="I60" s="72"/>
      <c r="J60" s="62" t="s">
        <v>2714</v>
      </c>
      <c r="K60" s="72"/>
      <c r="L60" s="72"/>
      <c r="M60" s="63" t="s">
        <v>2715</v>
      </c>
      <c r="N60" s="57"/>
      <c r="O60" s="62" t="s">
        <v>176</v>
      </c>
      <c r="P60" s="78" t="s">
        <v>2489</v>
      </c>
      <c r="Q60" s="78" t="s">
        <v>2490</v>
      </c>
      <c r="R60" s="62" t="s">
        <v>2491</v>
      </c>
      <c r="S60" s="62" t="s">
        <v>2491</v>
      </c>
      <c r="T60" s="62" t="s">
        <v>2491</v>
      </c>
      <c r="U60" s="83"/>
      <c r="V60" s="83"/>
      <c r="W60" s="57" t="s">
        <v>2538</v>
      </c>
      <c r="X60" s="80" t="str">
        <f aca="false">HYPERLINK(IF(AND(ISNUMBER(U60),ISNUMBER(V60)),"https://www.google.com/maps/search/?api=1&amp;query="&amp;U60&amp;","&amp;V60,"https://www.google.com/maps/search/?api=1&amp;query="&amp;SUBSTITUTE(SUBSTITUTE(SUBSTITUTE(B60&amp;", "&amp;M60&amp;", Puno, Peru"," ","+"),"&amp;","y"),"#","")),"Ver en mapa")</f>
        <v>Ver en mapa</v>
      </c>
      <c r="Y60" s="62" t="s">
        <v>161</v>
      </c>
      <c r="Z60" s="63" t="s">
        <v>164</v>
      </c>
      <c r="AA60" s="72"/>
      <c r="AB60" s="59"/>
      <c r="AC60" s="59"/>
      <c r="AD60" s="72"/>
      <c r="AE60" s="72"/>
      <c r="AF60" s="72"/>
      <c r="AG60" s="72"/>
      <c r="AH60" s="62" t="s">
        <v>2494</v>
      </c>
      <c r="AI60" s="72"/>
      <c r="AJ60" s="63" t="s">
        <v>2586</v>
      </c>
      <c r="AK60" s="81" t="str">
        <f aca="false">IF(AND(ISNUMBER(U60),ISNUMBER(V60),ISNUMBER(14_Cercania!$C$13),ISNUMBER(14_Cercania!$C$14)),6371*2*ASIN(SQRT(SIN(RADIANS(14_Cercania!$C$13-U60)/2)^2+COS(RADIANS(U60))*COS(RADIANS(14_Cercania!$C$13))*SIN(RADIANS(14_Cercania!$C$14-V60)/2)^2))+ROW()*0.000000001,"")</f>
        <v/>
      </c>
    </row>
    <row r="61" customFormat="false" ht="15" hidden="false" customHeight="false" outlineLevel="0" collapsed="false">
      <c r="A61" s="55" t="n">
        <v>59</v>
      </c>
      <c r="B61" s="56" t="s">
        <v>2716</v>
      </c>
      <c r="C61" s="55" t="s">
        <v>167</v>
      </c>
      <c r="D61" s="56" t="s">
        <v>2717</v>
      </c>
      <c r="E61" s="71"/>
      <c r="F61" s="57"/>
      <c r="G61" s="57"/>
      <c r="H61" s="72"/>
      <c r="I61" s="72"/>
      <c r="J61" s="55" t="s">
        <v>2718</v>
      </c>
      <c r="K61" s="72"/>
      <c r="L61" s="72"/>
      <c r="M61" s="56" t="s">
        <v>2719</v>
      </c>
      <c r="N61" s="57"/>
      <c r="O61" s="55" t="s">
        <v>179</v>
      </c>
      <c r="P61" s="73" t="s">
        <v>2489</v>
      </c>
      <c r="Q61" s="73" t="s">
        <v>2490</v>
      </c>
      <c r="R61" s="55" t="s">
        <v>2491</v>
      </c>
      <c r="S61" s="55" t="s">
        <v>2491</v>
      </c>
      <c r="T61" s="55" t="s">
        <v>2491</v>
      </c>
      <c r="U61" s="83"/>
      <c r="V61" s="83"/>
      <c r="W61" s="57" t="s">
        <v>2538</v>
      </c>
      <c r="X61" s="76" t="str">
        <f aca="false">HYPERLINK(IF(AND(ISNUMBER(U61),ISNUMBER(V61)),"https://www.google.com/maps/search/?api=1&amp;query="&amp;U61&amp;","&amp;V61,"https://www.google.com/maps/search/?api=1&amp;query="&amp;SUBSTITUTE(SUBSTITUTE(SUBSTITUTE(B61&amp;", "&amp;M61&amp;", Puno, Peru"," ","+"),"&amp;","y"),"#","")),"Ver en mapa")</f>
        <v>Ver en mapa</v>
      </c>
      <c r="Y61" s="55" t="s">
        <v>161</v>
      </c>
      <c r="Z61" s="56" t="s">
        <v>2493</v>
      </c>
      <c r="AA61" s="72"/>
      <c r="AB61" s="59"/>
      <c r="AC61" s="59"/>
      <c r="AD61" s="72"/>
      <c r="AE61" s="72"/>
      <c r="AF61" s="72"/>
      <c r="AG61" s="72"/>
      <c r="AH61" s="55" t="s">
        <v>2494</v>
      </c>
      <c r="AI61" s="72"/>
      <c r="AJ61" s="56" t="s">
        <v>2586</v>
      </c>
      <c r="AK61" s="77" t="str">
        <f aca="false">IF(AND(ISNUMBER(U61),ISNUMBER(V61),ISNUMBER(14_Cercania!$C$13),ISNUMBER(14_Cercania!$C$14)),6371*2*ASIN(SQRT(SIN(RADIANS(14_Cercania!$C$13-U61)/2)^2+COS(RADIANS(U61))*COS(RADIANS(14_Cercania!$C$13))*SIN(RADIANS(14_Cercania!$C$14-V61)/2)^2))+ROW()*0.000000001,"")</f>
        <v/>
      </c>
    </row>
    <row r="62" customFormat="false" ht="15" hidden="false" customHeight="false" outlineLevel="0" collapsed="false">
      <c r="A62" s="62" t="n">
        <v>60</v>
      </c>
      <c r="B62" s="63" t="s">
        <v>2720</v>
      </c>
      <c r="C62" s="62" t="s">
        <v>167</v>
      </c>
      <c r="D62" s="63" t="s">
        <v>1083</v>
      </c>
      <c r="E62" s="71"/>
      <c r="F62" s="57"/>
      <c r="G62" s="57"/>
      <c r="H62" s="72"/>
      <c r="I62" s="72"/>
      <c r="J62" s="72"/>
      <c r="K62" s="72"/>
      <c r="L62" s="72"/>
      <c r="M62" s="63" t="s">
        <v>2721</v>
      </c>
      <c r="N62" s="57"/>
      <c r="O62" s="62" t="s">
        <v>183</v>
      </c>
      <c r="P62" s="78" t="s">
        <v>2489</v>
      </c>
      <c r="Q62" s="78" t="s">
        <v>2490</v>
      </c>
      <c r="R62" s="62" t="s">
        <v>2491</v>
      </c>
      <c r="S62" s="62" t="s">
        <v>2491</v>
      </c>
      <c r="T62" s="62" t="s">
        <v>2491</v>
      </c>
      <c r="U62" s="83"/>
      <c r="V62" s="83"/>
      <c r="W62" s="57" t="s">
        <v>2538</v>
      </c>
      <c r="X62" s="80" t="str">
        <f aca="false">HYPERLINK(IF(AND(ISNUMBER(U62),ISNUMBER(V62)),"https://www.google.com/maps/search/?api=1&amp;query="&amp;U62&amp;","&amp;V62,"https://www.google.com/maps/search/?api=1&amp;query="&amp;SUBSTITUTE(SUBSTITUTE(SUBSTITUTE(B62&amp;", "&amp;M62&amp;", Puno, Peru"," ","+"),"&amp;","y"),"#","")),"Ver en mapa")</f>
        <v>Ver en mapa</v>
      </c>
      <c r="Y62" s="62" t="s">
        <v>161</v>
      </c>
      <c r="Z62" s="63" t="s">
        <v>164</v>
      </c>
      <c r="AA62" s="72"/>
      <c r="AB62" s="59"/>
      <c r="AC62" s="59"/>
      <c r="AD62" s="72"/>
      <c r="AE62" s="72"/>
      <c r="AF62" s="72"/>
      <c r="AG62" s="72"/>
      <c r="AH62" s="62" t="s">
        <v>2494</v>
      </c>
      <c r="AI62" s="72"/>
      <c r="AJ62" s="63" t="s">
        <v>2722</v>
      </c>
      <c r="AK62" s="81" t="str">
        <f aca="false">IF(AND(ISNUMBER(U62),ISNUMBER(V62),ISNUMBER(14_Cercania!$C$13),ISNUMBER(14_Cercania!$C$14)),6371*2*ASIN(SQRT(SIN(RADIANS(14_Cercania!$C$13-U62)/2)^2+COS(RADIANS(U62))*COS(RADIANS(14_Cercania!$C$13))*SIN(RADIANS(14_Cercania!$C$14-V62)/2)^2))+ROW()*0.000000001,"")</f>
        <v/>
      </c>
    </row>
    <row r="63" customFormat="false" ht="23.85" hidden="false" customHeight="false" outlineLevel="0" collapsed="false">
      <c r="A63" s="55" t="n">
        <v>61</v>
      </c>
      <c r="B63" s="56" t="s">
        <v>2723</v>
      </c>
      <c r="C63" s="55" t="s">
        <v>167</v>
      </c>
      <c r="D63" s="56" t="s">
        <v>1083</v>
      </c>
      <c r="E63" s="71"/>
      <c r="F63" s="57"/>
      <c r="G63" s="57"/>
      <c r="H63" s="72"/>
      <c r="I63" s="72"/>
      <c r="J63" s="72"/>
      <c r="K63" s="72"/>
      <c r="L63" s="72"/>
      <c r="M63" s="56" t="s">
        <v>2491</v>
      </c>
      <c r="N63" s="57"/>
      <c r="O63" s="55" t="s">
        <v>197</v>
      </c>
      <c r="P63" s="73" t="s">
        <v>2489</v>
      </c>
      <c r="Q63" s="73" t="s">
        <v>2490</v>
      </c>
      <c r="R63" s="55" t="s">
        <v>2491</v>
      </c>
      <c r="S63" s="55" t="s">
        <v>2491</v>
      </c>
      <c r="T63" s="55" t="s">
        <v>2491</v>
      </c>
      <c r="U63" s="74" t="n">
        <v>-15.8373975</v>
      </c>
      <c r="V63" s="74" t="n">
        <v>-70.0276098</v>
      </c>
      <c r="W63" s="75" t="s">
        <v>2492</v>
      </c>
      <c r="X63" s="76" t="str">
        <f aca="false">HYPERLINK(IF(AND(ISNUMBER(U63),ISNUMBER(V63)),"https://www.google.com/maps/search/?api=1&amp;query="&amp;U63&amp;","&amp;V63,"https://www.google.com/maps/search/?api=1&amp;query="&amp;SUBSTITUTE(SUBSTITUTE(SUBSTITUTE(B63&amp;", "&amp;M63&amp;", Puno, Peru"," ","+"),"&amp;","y"),"#","")),"Ver en mapa")</f>
        <v>Ver en mapa</v>
      </c>
      <c r="Y63" s="55" t="s">
        <v>161</v>
      </c>
      <c r="Z63" s="56" t="s">
        <v>164</v>
      </c>
      <c r="AA63" s="72"/>
      <c r="AB63" s="59"/>
      <c r="AC63" s="59"/>
      <c r="AD63" s="72"/>
      <c r="AE63" s="72"/>
      <c r="AF63" s="72"/>
      <c r="AG63" s="72"/>
      <c r="AH63" s="55" t="s">
        <v>2494</v>
      </c>
      <c r="AI63" s="72"/>
      <c r="AJ63" s="56" t="s">
        <v>2724</v>
      </c>
      <c r="AK63" s="77" t="n">
        <f aca="false">IF(AND(ISNUMBER(U63),ISNUMBER(V63),ISNUMBER(14_Cercania!$C$13),ISNUMBER(14_Cercania!$C$14)),6371*2*ASIN(SQRT(SIN(RADIANS(14_Cercania!$C$13-U63)/2)^2+COS(RADIANS(U63))*COS(RADIANS(14_Cercania!$C$13))*SIN(RADIANS(14_Cercania!$C$14-V63)/2)^2))+ROW()*0.000000001,"")</f>
        <v>0.624962889878038</v>
      </c>
    </row>
    <row r="64" customFormat="false" ht="15" hidden="false" customHeight="false" outlineLevel="0" collapsed="false">
      <c r="A64" s="62" t="n">
        <v>62</v>
      </c>
      <c r="B64" s="63" t="s">
        <v>2725</v>
      </c>
      <c r="C64" s="62" t="s">
        <v>167</v>
      </c>
      <c r="D64" s="63" t="s">
        <v>1083</v>
      </c>
      <c r="E64" s="71"/>
      <c r="F64" s="57"/>
      <c r="G64" s="57"/>
      <c r="H64" s="72"/>
      <c r="I64" s="72"/>
      <c r="J64" s="72"/>
      <c r="K64" s="72"/>
      <c r="L64" s="72"/>
      <c r="M64" s="63" t="s">
        <v>2491</v>
      </c>
      <c r="N64" s="57"/>
      <c r="O64" s="62" t="s">
        <v>197</v>
      </c>
      <c r="P64" s="78" t="s">
        <v>2489</v>
      </c>
      <c r="Q64" s="78" t="s">
        <v>2490</v>
      </c>
      <c r="R64" s="62" t="s">
        <v>2491</v>
      </c>
      <c r="S64" s="62" t="s">
        <v>2491</v>
      </c>
      <c r="T64" s="62" t="s">
        <v>2491</v>
      </c>
      <c r="U64" s="83"/>
      <c r="V64" s="83"/>
      <c r="W64" s="57" t="s">
        <v>2538</v>
      </c>
      <c r="X64" s="80" t="str">
        <f aca="false">HYPERLINK(IF(AND(ISNUMBER(U64),ISNUMBER(V64)),"https://www.google.com/maps/search/?api=1&amp;query="&amp;U64&amp;","&amp;V64,"https://www.google.com/maps/search/?api=1&amp;query="&amp;SUBSTITUTE(SUBSTITUTE(SUBSTITUTE(B64&amp;", "&amp;M64&amp;", Puno, Peru"," ","+"),"&amp;","y"),"#","")),"Ver en mapa")</f>
        <v>Ver en mapa</v>
      </c>
      <c r="Y64" s="62" t="s">
        <v>161</v>
      </c>
      <c r="Z64" s="63" t="s">
        <v>164</v>
      </c>
      <c r="AA64" s="72"/>
      <c r="AB64" s="59"/>
      <c r="AC64" s="59"/>
      <c r="AD64" s="72"/>
      <c r="AE64" s="72"/>
      <c r="AF64" s="72"/>
      <c r="AG64" s="72"/>
      <c r="AH64" s="62" t="s">
        <v>2494</v>
      </c>
      <c r="AI64" s="72"/>
      <c r="AJ64" s="63" t="s">
        <v>2726</v>
      </c>
      <c r="AK64" s="81" t="str">
        <f aca="false">IF(AND(ISNUMBER(U64),ISNUMBER(V64),ISNUMBER(14_Cercania!$C$13),ISNUMBER(14_Cercania!$C$14)),6371*2*ASIN(SQRT(SIN(RADIANS(14_Cercania!$C$13-U64)/2)^2+COS(RADIANS(U64))*COS(RADIANS(14_Cercania!$C$13))*SIN(RADIANS(14_Cercania!$C$14-V64)/2)^2))+ROW()*0.000000001,"")</f>
        <v/>
      </c>
    </row>
    <row r="65" customFormat="false" ht="23.85" hidden="false" customHeight="false" outlineLevel="0" collapsed="false">
      <c r="A65" s="55" t="n">
        <v>63</v>
      </c>
      <c r="B65" s="56" t="s">
        <v>2727</v>
      </c>
      <c r="C65" s="55" t="s">
        <v>177</v>
      </c>
      <c r="D65" s="56" t="s">
        <v>2728</v>
      </c>
      <c r="E65" s="71"/>
      <c r="F65" s="57"/>
      <c r="G65" s="57"/>
      <c r="H65" s="72"/>
      <c r="I65" s="55" t="s">
        <v>2729</v>
      </c>
      <c r="J65" s="72"/>
      <c r="K65" s="72"/>
      <c r="L65" s="72"/>
      <c r="M65" s="56" t="s">
        <v>2730</v>
      </c>
      <c r="N65" s="57"/>
      <c r="O65" s="55" t="s">
        <v>158</v>
      </c>
      <c r="P65" s="73" t="s">
        <v>2525</v>
      </c>
      <c r="Q65" s="73" t="s">
        <v>2490</v>
      </c>
      <c r="R65" s="55" t="s">
        <v>2491</v>
      </c>
      <c r="S65" s="55" t="s">
        <v>2491</v>
      </c>
      <c r="T65" s="55" t="s">
        <v>2491</v>
      </c>
      <c r="U65" s="74" t="n">
        <v>-15.837331</v>
      </c>
      <c r="V65" s="74" t="n">
        <v>-70.0229677</v>
      </c>
      <c r="W65" s="75" t="s">
        <v>2492</v>
      </c>
      <c r="X65" s="76" t="str">
        <f aca="false">HYPERLINK(IF(AND(ISNUMBER(U65),ISNUMBER(V65)),"https://www.google.com/maps/search/?api=1&amp;query="&amp;U65&amp;","&amp;V65,"https://www.google.com/maps/search/?api=1&amp;query="&amp;SUBSTITUTE(SUBSTITUTE(SUBSTITUTE(B65&amp;", "&amp;M65&amp;", Puno, Peru"," ","+"),"&amp;","y"),"#","")),"Ver en mapa")</f>
        <v>Ver en mapa</v>
      </c>
      <c r="Y65" s="55" t="s">
        <v>161</v>
      </c>
      <c r="Z65" s="56" t="s">
        <v>160</v>
      </c>
      <c r="AA65" s="72"/>
      <c r="AB65" s="59"/>
      <c r="AC65" s="59"/>
      <c r="AD65" s="72"/>
      <c r="AE65" s="72"/>
      <c r="AF65" s="72"/>
      <c r="AG65" s="72"/>
      <c r="AH65" s="55" t="s">
        <v>2494</v>
      </c>
      <c r="AI65" s="72"/>
      <c r="AJ65" s="56" t="s">
        <v>2506</v>
      </c>
      <c r="AK65" s="77" t="n">
        <f aca="false">IF(AND(ISNUMBER(U65),ISNUMBER(V65),ISNUMBER(14_Cercania!$C$13),ISNUMBER(14_Cercania!$C$14)),6371*2*ASIN(SQRT(SIN(RADIANS(14_Cercania!$C$13-U65)/2)^2+COS(RADIANS(U65))*COS(RADIANS(14_Cercania!$C$13))*SIN(RADIANS(14_Cercania!$C$14-V65)/2)^2))+ROW()*0.000000001,"")</f>
        <v>0.433131581616397</v>
      </c>
    </row>
    <row r="66" customFormat="false" ht="23.85" hidden="false" customHeight="false" outlineLevel="0" collapsed="false">
      <c r="A66" s="62" t="n">
        <v>64</v>
      </c>
      <c r="B66" s="63" t="s">
        <v>2731</v>
      </c>
      <c r="C66" s="62" t="s">
        <v>177</v>
      </c>
      <c r="D66" s="63" t="s">
        <v>2728</v>
      </c>
      <c r="E66" s="71"/>
      <c r="F66" s="57"/>
      <c r="G66" s="57"/>
      <c r="H66" s="72"/>
      <c r="I66" s="72"/>
      <c r="J66" s="62" t="s">
        <v>2732</v>
      </c>
      <c r="K66" s="72"/>
      <c r="L66" s="72"/>
      <c r="M66" s="63" t="s">
        <v>2733</v>
      </c>
      <c r="N66" s="57"/>
      <c r="O66" s="62" t="s">
        <v>197</v>
      </c>
      <c r="P66" s="78" t="s">
        <v>2734</v>
      </c>
      <c r="Q66" s="78" t="s">
        <v>2490</v>
      </c>
      <c r="R66" s="62" t="s">
        <v>2491</v>
      </c>
      <c r="S66" s="62" t="s">
        <v>2491</v>
      </c>
      <c r="T66" s="62" t="s">
        <v>2491</v>
      </c>
      <c r="U66" s="79" t="n">
        <v>-15.8374139</v>
      </c>
      <c r="V66" s="79" t="n">
        <v>-70.0285981</v>
      </c>
      <c r="W66" s="75" t="s">
        <v>2492</v>
      </c>
      <c r="X66" s="80" t="str">
        <f aca="false">HYPERLINK(IF(AND(ISNUMBER(U66),ISNUMBER(V66)),"https://www.google.com/maps/search/?api=1&amp;query="&amp;U66&amp;","&amp;V66,"https://www.google.com/maps/search/?api=1&amp;query="&amp;SUBSTITUTE(SUBSTITUTE(SUBSTITUTE(B66&amp;", "&amp;M66&amp;", Puno, Peru"," ","+"),"&amp;","y"),"#","")),"Ver en mapa")</f>
        <v>Ver en mapa</v>
      </c>
      <c r="Y66" s="62" t="s">
        <v>161</v>
      </c>
      <c r="Z66" s="63" t="s">
        <v>160</v>
      </c>
      <c r="AA66" s="72"/>
      <c r="AB66" s="59"/>
      <c r="AC66" s="59"/>
      <c r="AD66" s="72"/>
      <c r="AE66" s="72"/>
      <c r="AF66" s="72"/>
      <c r="AG66" s="72"/>
      <c r="AH66" s="62" t="s">
        <v>2494</v>
      </c>
      <c r="AI66" s="72"/>
      <c r="AJ66" s="63" t="s">
        <v>2506</v>
      </c>
      <c r="AK66" s="81" t="n">
        <f aca="false">IF(AND(ISNUMBER(U66),ISNUMBER(V66),ISNUMBER(14_Cercania!$C$13),ISNUMBER(14_Cercania!$C$14)),6371*2*ASIN(SQRT(SIN(RADIANS(14_Cercania!$C$13-U66)/2)^2+COS(RADIANS(U66))*COS(RADIANS(14_Cercania!$C$13))*SIN(RADIANS(14_Cercania!$C$14-V66)/2)^2))+ROW()*0.000000001,"")</f>
        <v>0.705481137775857</v>
      </c>
    </row>
    <row r="67" customFormat="false" ht="15" hidden="false" customHeight="false" outlineLevel="0" collapsed="false">
      <c r="A67" s="55" t="n">
        <v>65</v>
      </c>
      <c r="B67" s="56" t="s">
        <v>2735</v>
      </c>
      <c r="C67" s="55" t="s">
        <v>177</v>
      </c>
      <c r="D67" s="56" t="s">
        <v>2728</v>
      </c>
      <c r="E67" s="71"/>
      <c r="F67" s="57"/>
      <c r="G67" s="57"/>
      <c r="H67" s="72"/>
      <c r="I67" s="72"/>
      <c r="J67" s="55" t="s">
        <v>2736</v>
      </c>
      <c r="K67" s="72"/>
      <c r="L67" s="72"/>
      <c r="M67" s="56" t="s">
        <v>2737</v>
      </c>
      <c r="N67" s="57"/>
      <c r="O67" s="55" t="s">
        <v>195</v>
      </c>
      <c r="P67" s="73" t="s">
        <v>2489</v>
      </c>
      <c r="Q67" s="73" t="s">
        <v>2490</v>
      </c>
      <c r="R67" s="55" t="s">
        <v>2491</v>
      </c>
      <c r="S67" s="55" t="s">
        <v>2491</v>
      </c>
      <c r="T67" s="55" t="s">
        <v>2491</v>
      </c>
      <c r="U67" s="83"/>
      <c r="V67" s="83"/>
      <c r="W67" s="57" t="s">
        <v>2538</v>
      </c>
      <c r="X67" s="76" t="str">
        <f aca="false">HYPERLINK(IF(AND(ISNUMBER(U67),ISNUMBER(V67)),"https://www.google.com/maps/search/?api=1&amp;query="&amp;U67&amp;","&amp;V67,"https://www.google.com/maps/search/?api=1&amp;query="&amp;SUBSTITUTE(SUBSTITUTE(SUBSTITUTE(B67&amp;", "&amp;M67&amp;", Puno, Peru"," ","+"),"&amp;","y"),"#","")),"Ver en mapa")</f>
        <v>Ver en mapa</v>
      </c>
      <c r="Y67" s="55" t="s">
        <v>161</v>
      </c>
      <c r="Z67" s="56" t="s">
        <v>160</v>
      </c>
      <c r="AA67" s="72"/>
      <c r="AB67" s="59"/>
      <c r="AC67" s="59"/>
      <c r="AD67" s="72"/>
      <c r="AE67" s="72"/>
      <c r="AF67" s="72"/>
      <c r="AG67" s="72"/>
      <c r="AH67" s="55" t="s">
        <v>2494</v>
      </c>
      <c r="AI67" s="72"/>
      <c r="AJ67" s="56" t="s">
        <v>2586</v>
      </c>
      <c r="AK67" s="77" t="str">
        <f aca="false">IF(AND(ISNUMBER(U67),ISNUMBER(V67),ISNUMBER(14_Cercania!$C$13),ISNUMBER(14_Cercania!$C$14)),6371*2*ASIN(SQRT(SIN(RADIANS(14_Cercania!$C$13-U67)/2)^2+COS(RADIANS(U67))*COS(RADIANS(14_Cercania!$C$13))*SIN(RADIANS(14_Cercania!$C$14-V67)/2)^2))+ROW()*0.000000001,"")</f>
        <v/>
      </c>
    </row>
    <row r="68" customFormat="false" ht="15" hidden="false" customHeight="false" outlineLevel="0" collapsed="false">
      <c r="A68" s="62" t="n">
        <v>66</v>
      </c>
      <c r="B68" s="63" t="s">
        <v>2738</v>
      </c>
      <c r="C68" s="62" t="s">
        <v>177</v>
      </c>
      <c r="D68" s="63" t="s">
        <v>2728</v>
      </c>
      <c r="E68" s="71"/>
      <c r="F68" s="57"/>
      <c r="G68" s="57"/>
      <c r="H68" s="72"/>
      <c r="I68" s="72"/>
      <c r="J68" s="62" t="s">
        <v>2739</v>
      </c>
      <c r="K68" s="72"/>
      <c r="L68" s="72"/>
      <c r="M68" s="63" t="s">
        <v>2740</v>
      </c>
      <c r="N68" s="57"/>
      <c r="O68" s="62" t="s">
        <v>173</v>
      </c>
      <c r="P68" s="78" t="s">
        <v>2606</v>
      </c>
      <c r="Q68" s="78" t="s">
        <v>2490</v>
      </c>
      <c r="R68" s="62" t="s">
        <v>2491</v>
      </c>
      <c r="S68" s="62" t="s">
        <v>2491</v>
      </c>
      <c r="T68" s="62" t="s">
        <v>2491</v>
      </c>
      <c r="U68" s="83"/>
      <c r="V68" s="83"/>
      <c r="W68" s="57" t="s">
        <v>2538</v>
      </c>
      <c r="X68" s="80" t="str">
        <f aca="false">HYPERLINK(IF(AND(ISNUMBER(U68),ISNUMBER(V68)),"https://www.google.com/maps/search/?api=1&amp;query="&amp;U68&amp;","&amp;V68,"https://www.google.com/maps/search/?api=1&amp;query="&amp;SUBSTITUTE(SUBSTITUTE(SUBSTITUTE(B68&amp;", "&amp;M68&amp;", Puno, Peru"," ","+"),"&amp;","y"),"#","")),"Ver en mapa")</f>
        <v>Ver en mapa</v>
      </c>
      <c r="Y68" s="62" t="s">
        <v>161</v>
      </c>
      <c r="Z68" s="63" t="s">
        <v>160</v>
      </c>
      <c r="AA68" s="72"/>
      <c r="AB68" s="59"/>
      <c r="AC68" s="59"/>
      <c r="AD68" s="72"/>
      <c r="AE68" s="72"/>
      <c r="AF68" s="72"/>
      <c r="AG68" s="72"/>
      <c r="AH68" s="62" t="s">
        <v>2494</v>
      </c>
      <c r="AI68" s="72"/>
      <c r="AJ68" s="63" t="s">
        <v>2586</v>
      </c>
      <c r="AK68" s="81" t="str">
        <f aca="false">IF(AND(ISNUMBER(U68),ISNUMBER(V68),ISNUMBER(14_Cercania!$C$13),ISNUMBER(14_Cercania!$C$14)),6371*2*ASIN(SQRT(SIN(RADIANS(14_Cercania!$C$13-U68)/2)^2+COS(RADIANS(U68))*COS(RADIANS(14_Cercania!$C$13))*SIN(RADIANS(14_Cercania!$C$14-V68)/2)^2))+ROW()*0.000000001,"")</f>
        <v/>
      </c>
    </row>
    <row r="69" customFormat="false" ht="15" hidden="false" customHeight="false" outlineLevel="0" collapsed="false">
      <c r="A69" s="55" t="n">
        <v>67</v>
      </c>
      <c r="B69" s="56" t="s">
        <v>2741</v>
      </c>
      <c r="C69" s="55" t="s">
        <v>177</v>
      </c>
      <c r="D69" s="56" t="s">
        <v>2742</v>
      </c>
      <c r="E69" s="71"/>
      <c r="F69" s="57"/>
      <c r="G69" s="57"/>
      <c r="H69" s="72"/>
      <c r="I69" s="72"/>
      <c r="J69" s="55" t="s">
        <v>2743</v>
      </c>
      <c r="K69" s="72"/>
      <c r="L69" s="72"/>
      <c r="M69" s="56" t="s">
        <v>2744</v>
      </c>
      <c r="N69" s="57"/>
      <c r="O69" s="55" t="s">
        <v>197</v>
      </c>
      <c r="P69" s="73" t="s">
        <v>2489</v>
      </c>
      <c r="Q69" s="73" t="s">
        <v>2490</v>
      </c>
      <c r="R69" s="55" t="s">
        <v>2491</v>
      </c>
      <c r="S69" s="55" t="s">
        <v>2491</v>
      </c>
      <c r="T69" s="55" t="s">
        <v>2491</v>
      </c>
      <c r="U69" s="83"/>
      <c r="V69" s="83"/>
      <c r="W69" s="57" t="s">
        <v>2538</v>
      </c>
      <c r="X69" s="76" t="str">
        <f aca="false">HYPERLINK(IF(AND(ISNUMBER(U69),ISNUMBER(V69)),"https://www.google.com/maps/search/?api=1&amp;query="&amp;U69&amp;","&amp;V69,"https://www.google.com/maps/search/?api=1&amp;query="&amp;SUBSTITUTE(SUBSTITUTE(SUBSTITUTE(B69&amp;", "&amp;M69&amp;", Puno, Peru"," ","+"),"&amp;","y"),"#","")),"Ver en mapa")</f>
        <v>Ver en mapa</v>
      </c>
      <c r="Y69" s="55" t="s">
        <v>161</v>
      </c>
      <c r="Z69" s="56" t="s">
        <v>2493</v>
      </c>
      <c r="AA69" s="72"/>
      <c r="AB69" s="59"/>
      <c r="AC69" s="59"/>
      <c r="AD69" s="72"/>
      <c r="AE69" s="72"/>
      <c r="AF69" s="72"/>
      <c r="AG69" s="72"/>
      <c r="AH69" s="55" t="s">
        <v>2494</v>
      </c>
      <c r="AI69" s="72"/>
      <c r="AJ69" s="56" t="s">
        <v>2586</v>
      </c>
      <c r="AK69" s="77" t="str">
        <f aca="false">IF(AND(ISNUMBER(U69),ISNUMBER(V69),ISNUMBER(14_Cercania!$C$13),ISNUMBER(14_Cercania!$C$14)),6371*2*ASIN(SQRT(SIN(RADIANS(14_Cercania!$C$13-U69)/2)^2+COS(RADIANS(U69))*COS(RADIANS(14_Cercania!$C$13))*SIN(RADIANS(14_Cercania!$C$14-V69)/2)^2))+ROW()*0.000000001,"")</f>
        <v/>
      </c>
    </row>
    <row r="70" customFormat="false" ht="15" hidden="false" customHeight="false" outlineLevel="0" collapsed="false">
      <c r="A70" s="62" t="n">
        <v>68</v>
      </c>
      <c r="B70" s="63" t="s">
        <v>2745</v>
      </c>
      <c r="C70" s="62" t="s">
        <v>177</v>
      </c>
      <c r="D70" s="63" t="s">
        <v>2728</v>
      </c>
      <c r="E70" s="71"/>
      <c r="F70" s="57"/>
      <c r="G70" s="57"/>
      <c r="H70" s="72"/>
      <c r="I70" s="72"/>
      <c r="J70" s="72"/>
      <c r="K70" s="72"/>
      <c r="L70" s="72"/>
      <c r="M70" s="63" t="s">
        <v>2491</v>
      </c>
      <c r="N70" s="57"/>
      <c r="O70" s="62" t="s">
        <v>197</v>
      </c>
      <c r="P70" s="78" t="s">
        <v>2489</v>
      </c>
      <c r="Q70" s="78" t="s">
        <v>2490</v>
      </c>
      <c r="R70" s="62" t="s">
        <v>2491</v>
      </c>
      <c r="S70" s="62" t="s">
        <v>2491</v>
      </c>
      <c r="T70" s="62" t="s">
        <v>2491</v>
      </c>
      <c r="U70" s="83"/>
      <c r="V70" s="83"/>
      <c r="W70" s="57" t="s">
        <v>2538</v>
      </c>
      <c r="X70" s="80" t="str">
        <f aca="false">HYPERLINK(IF(AND(ISNUMBER(U70),ISNUMBER(V70)),"https://www.google.com/maps/search/?api=1&amp;query="&amp;U70&amp;","&amp;V70,"https://www.google.com/maps/search/?api=1&amp;query="&amp;SUBSTITUTE(SUBSTITUTE(SUBSTITUTE(B70&amp;", "&amp;M70&amp;", Puno, Peru"," ","+"),"&amp;","y"),"#","")),"Ver en mapa")</f>
        <v>Ver en mapa</v>
      </c>
      <c r="Y70" s="62" t="s">
        <v>165</v>
      </c>
      <c r="Z70" s="63" t="s">
        <v>2560</v>
      </c>
      <c r="AA70" s="72"/>
      <c r="AB70" s="59"/>
      <c r="AC70" s="59"/>
      <c r="AD70" s="72"/>
      <c r="AE70" s="72"/>
      <c r="AF70" s="72"/>
      <c r="AG70" s="72"/>
      <c r="AH70" s="62" t="s">
        <v>2494</v>
      </c>
      <c r="AI70" s="72"/>
      <c r="AJ70" s="63" t="s">
        <v>2618</v>
      </c>
      <c r="AK70" s="81" t="str">
        <f aca="false">IF(AND(ISNUMBER(U70),ISNUMBER(V70),ISNUMBER(14_Cercania!$C$13),ISNUMBER(14_Cercania!$C$14)),6371*2*ASIN(SQRT(SIN(RADIANS(14_Cercania!$C$13-U70)/2)^2+COS(RADIANS(U70))*COS(RADIANS(14_Cercania!$C$13))*SIN(RADIANS(14_Cercania!$C$14-V70)/2)^2))+ROW()*0.000000001,"")</f>
        <v/>
      </c>
    </row>
    <row r="71" customFormat="false" ht="15" hidden="false" customHeight="false" outlineLevel="0" collapsed="false">
      <c r="A71" s="55" t="n">
        <v>69</v>
      </c>
      <c r="B71" s="56" t="s">
        <v>2746</v>
      </c>
      <c r="C71" s="55" t="s">
        <v>177</v>
      </c>
      <c r="D71" s="56" t="s">
        <v>2728</v>
      </c>
      <c r="E71" s="71"/>
      <c r="F71" s="57"/>
      <c r="G71" s="57"/>
      <c r="H71" s="72"/>
      <c r="I71" s="72"/>
      <c r="J71" s="72"/>
      <c r="K71" s="72"/>
      <c r="L71" s="72"/>
      <c r="M71" s="56" t="s">
        <v>2491</v>
      </c>
      <c r="N71" s="57"/>
      <c r="O71" s="55" t="s">
        <v>197</v>
      </c>
      <c r="P71" s="73" t="s">
        <v>2489</v>
      </c>
      <c r="Q71" s="73" t="s">
        <v>2490</v>
      </c>
      <c r="R71" s="55" t="s">
        <v>2491</v>
      </c>
      <c r="S71" s="55" t="s">
        <v>2491</v>
      </c>
      <c r="T71" s="55" t="s">
        <v>2491</v>
      </c>
      <c r="U71" s="83"/>
      <c r="V71" s="83"/>
      <c r="W71" s="57" t="s">
        <v>2538</v>
      </c>
      <c r="X71" s="76" t="str">
        <f aca="false">HYPERLINK(IF(AND(ISNUMBER(U71),ISNUMBER(V71)),"https://www.google.com/maps/search/?api=1&amp;query="&amp;U71&amp;","&amp;V71,"https://www.google.com/maps/search/?api=1&amp;query="&amp;SUBSTITUTE(SUBSTITUTE(SUBSTITUTE(B71&amp;", "&amp;M71&amp;", Puno, Peru"," ","+"),"&amp;","y"),"#","")),"Ver en mapa")</f>
        <v>Ver en mapa</v>
      </c>
      <c r="Y71" s="55" t="s">
        <v>165</v>
      </c>
      <c r="Z71" s="56" t="s">
        <v>160</v>
      </c>
      <c r="AA71" s="72"/>
      <c r="AB71" s="59"/>
      <c r="AC71" s="59"/>
      <c r="AD71" s="72"/>
      <c r="AE71" s="72"/>
      <c r="AF71" s="72"/>
      <c r="AG71" s="72"/>
      <c r="AH71" s="55" t="s">
        <v>2494</v>
      </c>
      <c r="AI71" s="72"/>
      <c r="AJ71" s="56" t="s">
        <v>2618</v>
      </c>
      <c r="AK71" s="77" t="str">
        <f aca="false">IF(AND(ISNUMBER(U71),ISNUMBER(V71),ISNUMBER(14_Cercania!$C$13),ISNUMBER(14_Cercania!$C$14)),6371*2*ASIN(SQRT(SIN(RADIANS(14_Cercania!$C$13-U71)/2)^2+COS(RADIANS(U71))*COS(RADIANS(14_Cercania!$C$13))*SIN(RADIANS(14_Cercania!$C$14-V71)/2)^2))+ROW()*0.000000001,"")</f>
        <v/>
      </c>
    </row>
    <row r="72" customFormat="false" ht="15" hidden="false" customHeight="false" outlineLevel="0" collapsed="false">
      <c r="A72" s="62" t="n">
        <v>70</v>
      </c>
      <c r="B72" s="63" t="s">
        <v>2747</v>
      </c>
      <c r="C72" s="62" t="s">
        <v>177</v>
      </c>
      <c r="D72" s="63" t="s">
        <v>2728</v>
      </c>
      <c r="E72" s="71"/>
      <c r="F72" s="57"/>
      <c r="G72" s="57"/>
      <c r="H72" s="72"/>
      <c r="I72" s="72"/>
      <c r="J72" s="72"/>
      <c r="K72" s="72"/>
      <c r="L72" s="72"/>
      <c r="M72" s="63" t="s">
        <v>2491</v>
      </c>
      <c r="N72" s="57"/>
      <c r="O72" s="62" t="s">
        <v>197</v>
      </c>
      <c r="P72" s="78" t="s">
        <v>2489</v>
      </c>
      <c r="Q72" s="78" t="s">
        <v>2490</v>
      </c>
      <c r="R72" s="62" t="s">
        <v>2491</v>
      </c>
      <c r="S72" s="62" t="s">
        <v>2491</v>
      </c>
      <c r="T72" s="62" t="s">
        <v>2491</v>
      </c>
      <c r="U72" s="83"/>
      <c r="V72" s="83"/>
      <c r="W72" s="57" t="s">
        <v>2538</v>
      </c>
      <c r="X72" s="80" t="str">
        <f aca="false">HYPERLINK(IF(AND(ISNUMBER(U72),ISNUMBER(V72)),"https://www.google.com/maps/search/?api=1&amp;query="&amp;U72&amp;","&amp;V72,"https://www.google.com/maps/search/?api=1&amp;query="&amp;SUBSTITUTE(SUBSTITUTE(SUBSTITUTE(B72&amp;", "&amp;M72&amp;", Puno, Peru"," ","+"),"&amp;","y"),"#","")),"Ver en mapa")</f>
        <v>Ver en mapa</v>
      </c>
      <c r="Y72" s="62" t="s">
        <v>161</v>
      </c>
      <c r="Z72" s="63" t="s">
        <v>160</v>
      </c>
      <c r="AA72" s="72"/>
      <c r="AB72" s="59"/>
      <c r="AC72" s="59"/>
      <c r="AD72" s="72"/>
      <c r="AE72" s="72"/>
      <c r="AF72" s="72"/>
      <c r="AG72" s="72"/>
      <c r="AH72" s="62" t="s">
        <v>2494</v>
      </c>
      <c r="AI72" s="72"/>
      <c r="AJ72" s="63" t="s">
        <v>2618</v>
      </c>
      <c r="AK72" s="81" t="str">
        <f aca="false">IF(AND(ISNUMBER(U72),ISNUMBER(V72),ISNUMBER(14_Cercania!$C$13),ISNUMBER(14_Cercania!$C$14)),6371*2*ASIN(SQRT(SIN(RADIANS(14_Cercania!$C$13-U72)/2)^2+COS(RADIANS(U72))*COS(RADIANS(14_Cercania!$C$13))*SIN(RADIANS(14_Cercania!$C$14-V72)/2)^2))+ROW()*0.000000001,"")</f>
        <v/>
      </c>
    </row>
    <row r="73" customFormat="false" ht="23.85" hidden="false" customHeight="false" outlineLevel="0" collapsed="false">
      <c r="A73" s="55" t="n">
        <v>71</v>
      </c>
      <c r="B73" s="56" t="s">
        <v>2748</v>
      </c>
      <c r="C73" s="55" t="s">
        <v>180</v>
      </c>
      <c r="D73" s="56" t="s">
        <v>2749</v>
      </c>
      <c r="E73" s="71"/>
      <c r="F73" s="57"/>
      <c r="G73" s="57"/>
      <c r="H73" s="72"/>
      <c r="I73" s="72"/>
      <c r="J73" s="55" t="s">
        <v>2750</v>
      </c>
      <c r="K73" s="72"/>
      <c r="L73" s="72"/>
      <c r="M73" s="56" t="s">
        <v>2751</v>
      </c>
      <c r="N73" s="57"/>
      <c r="O73" s="55" t="s">
        <v>158</v>
      </c>
      <c r="P73" s="73" t="s">
        <v>2489</v>
      </c>
      <c r="Q73" s="73" t="s">
        <v>2490</v>
      </c>
      <c r="R73" s="55" t="s">
        <v>2491</v>
      </c>
      <c r="S73" s="55" t="s">
        <v>2491</v>
      </c>
      <c r="T73" s="55" t="s">
        <v>2491</v>
      </c>
      <c r="U73" s="74" t="n">
        <v>-15.8412574</v>
      </c>
      <c r="V73" s="74" t="n">
        <v>-70.0287296</v>
      </c>
      <c r="W73" s="75" t="s">
        <v>2492</v>
      </c>
      <c r="X73" s="76" t="str">
        <f aca="false">HYPERLINK(IF(AND(ISNUMBER(U73),ISNUMBER(V73)),"https://www.google.com/maps/search/?api=1&amp;query="&amp;U73&amp;","&amp;V73,"https://www.google.com/maps/search/?api=1&amp;query="&amp;SUBSTITUTE(SUBSTITUTE(SUBSTITUTE(B73&amp;", "&amp;M73&amp;", Puno, Peru"," ","+"),"&amp;","y"),"#","")),"Ver en mapa")</f>
        <v>Ver en mapa</v>
      </c>
      <c r="Y73" s="55" t="s">
        <v>161</v>
      </c>
      <c r="Z73" s="56" t="s">
        <v>164</v>
      </c>
      <c r="AA73" s="72"/>
      <c r="AB73" s="59"/>
      <c r="AC73" s="59"/>
      <c r="AD73" s="72"/>
      <c r="AE73" s="72"/>
      <c r="AF73" s="72"/>
      <c r="AG73" s="72"/>
      <c r="AH73" s="55" t="s">
        <v>2494</v>
      </c>
      <c r="AI73" s="72"/>
      <c r="AJ73" s="56" t="s">
        <v>2501</v>
      </c>
      <c r="AK73" s="77" t="n">
        <f aca="false">IF(AND(ISNUMBER(U73),ISNUMBER(V73),ISNUMBER(14_Cercania!$C$13),ISNUMBER(14_Cercania!$C$14)),6371*2*ASIN(SQRT(SIN(RADIANS(14_Cercania!$C$13-U73)/2)^2+COS(RADIANS(U73))*COS(RADIANS(14_Cercania!$C$13))*SIN(RADIANS(14_Cercania!$C$14-V73)/2)^2))+ROW()*0.000000001,"")</f>
        <v>1.03521135004298</v>
      </c>
    </row>
    <row r="74" customFormat="false" ht="15" hidden="false" customHeight="false" outlineLevel="0" collapsed="false">
      <c r="A74" s="62" t="n">
        <v>72</v>
      </c>
      <c r="B74" s="63" t="s">
        <v>2752</v>
      </c>
      <c r="C74" s="62" t="s">
        <v>180</v>
      </c>
      <c r="D74" s="63" t="s">
        <v>2753</v>
      </c>
      <c r="E74" s="71"/>
      <c r="F74" s="57"/>
      <c r="G74" s="57"/>
      <c r="H74" s="72"/>
      <c r="I74" s="72"/>
      <c r="J74" s="62" t="s">
        <v>2754</v>
      </c>
      <c r="K74" s="72"/>
      <c r="L74" s="72"/>
      <c r="M74" s="63" t="s">
        <v>2755</v>
      </c>
      <c r="N74" s="57"/>
      <c r="O74" s="62" t="s">
        <v>197</v>
      </c>
      <c r="P74" s="78" t="s">
        <v>2489</v>
      </c>
      <c r="Q74" s="78" t="s">
        <v>2490</v>
      </c>
      <c r="R74" s="62" t="s">
        <v>2491</v>
      </c>
      <c r="S74" s="62" t="s">
        <v>2491</v>
      </c>
      <c r="T74" s="62" t="s">
        <v>2491</v>
      </c>
      <c r="U74" s="83"/>
      <c r="V74" s="83"/>
      <c r="W74" s="57" t="s">
        <v>2538</v>
      </c>
      <c r="X74" s="80" t="str">
        <f aca="false">HYPERLINK(IF(AND(ISNUMBER(U74),ISNUMBER(V74)),"https://www.google.com/maps/search/?api=1&amp;query="&amp;U74&amp;","&amp;V74,"https://www.google.com/maps/search/?api=1&amp;query="&amp;SUBSTITUTE(SUBSTITUTE(SUBSTITUTE(B74&amp;", "&amp;M74&amp;", Puno, Peru"," ","+"),"&amp;","y"),"#","")),"Ver en mapa")</f>
        <v>Ver en mapa</v>
      </c>
      <c r="Y74" s="62" t="s">
        <v>165</v>
      </c>
      <c r="Z74" s="63" t="s">
        <v>164</v>
      </c>
      <c r="AA74" s="72"/>
      <c r="AB74" s="59"/>
      <c r="AC74" s="59"/>
      <c r="AD74" s="72"/>
      <c r="AE74" s="72"/>
      <c r="AF74" s="72"/>
      <c r="AG74" s="72"/>
      <c r="AH74" s="62" t="s">
        <v>2494</v>
      </c>
      <c r="AI74" s="72"/>
      <c r="AJ74" s="63" t="s">
        <v>2586</v>
      </c>
      <c r="AK74" s="81" t="str">
        <f aca="false">IF(AND(ISNUMBER(U74),ISNUMBER(V74),ISNUMBER(14_Cercania!$C$13),ISNUMBER(14_Cercania!$C$14)),6371*2*ASIN(SQRT(SIN(RADIANS(14_Cercania!$C$13-U74)/2)^2+COS(RADIANS(U74))*COS(RADIANS(14_Cercania!$C$13))*SIN(RADIANS(14_Cercania!$C$14-V74)/2)^2))+ROW()*0.000000001,"")</f>
        <v/>
      </c>
    </row>
    <row r="75" customFormat="false" ht="15" hidden="false" customHeight="false" outlineLevel="0" collapsed="false">
      <c r="A75" s="55" t="n">
        <v>73</v>
      </c>
      <c r="B75" s="56" t="s">
        <v>2756</v>
      </c>
      <c r="C75" s="55" t="s">
        <v>180</v>
      </c>
      <c r="D75" s="56" t="s">
        <v>2757</v>
      </c>
      <c r="E75" s="71"/>
      <c r="F75" s="57"/>
      <c r="G75" s="57"/>
      <c r="H75" s="72"/>
      <c r="I75" s="72"/>
      <c r="J75" s="55" t="s">
        <v>2758</v>
      </c>
      <c r="K75" s="72"/>
      <c r="L75" s="72"/>
      <c r="M75" s="56" t="s">
        <v>2759</v>
      </c>
      <c r="N75" s="57"/>
      <c r="O75" s="55" t="s">
        <v>158</v>
      </c>
      <c r="P75" s="73" t="s">
        <v>2489</v>
      </c>
      <c r="Q75" s="73" t="s">
        <v>2490</v>
      </c>
      <c r="R75" s="55" t="s">
        <v>2491</v>
      </c>
      <c r="S75" s="55" t="s">
        <v>2491</v>
      </c>
      <c r="T75" s="55" t="s">
        <v>2491</v>
      </c>
      <c r="U75" s="83"/>
      <c r="V75" s="83"/>
      <c r="W75" s="57" t="s">
        <v>2538</v>
      </c>
      <c r="X75" s="76" t="str">
        <f aca="false">HYPERLINK(IF(AND(ISNUMBER(U75),ISNUMBER(V75)),"https://www.google.com/maps/search/?api=1&amp;query="&amp;U75&amp;","&amp;V75,"https://www.google.com/maps/search/?api=1&amp;query="&amp;SUBSTITUTE(SUBSTITUTE(SUBSTITUTE(B75&amp;", "&amp;M75&amp;", Puno, Peru"," ","+"),"&amp;","y"),"#","")),"Ver en mapa")</f>
        <v>Ver en mapa</v>
      </c>
      <c r="Y75" s="55" t="s">
        <v>161</v>
      </c>
      <c r="Z75" s="56" t="s">
        <v>164</v>
      </c>
      <c r="AA75" s="72"/>
      <c r="AB75" s="59"/>
      <c r="AC75" s="59"/>
      <c r="AD75" s="72"/>
      <c r="AE75" s="72"/>
      <c r="AF75" s="72"/>
      <c r="AG75" s="72"/>
      <c r="AH75" s="55" t="s">
        <v>2494</v>
      </c>
      <c r="AI75" s="72"/>
      <c r="AJ75" s="56" t="s">
        <v>2586</v>
      </c>
      <c r="AK75" s="77" t="str">
        <f aca="false">IF(AND(ISNUMBER(U75),ISNUMBER(V75),ISNUMBER(14_Cercania!$C$13),ISNUMBER(14_Cercania!$C$14)),6371*2*ASIN(SQRT(SIN(RADIANS(14_Cercania!$C$13-U75)/2)^2+COS(RADIANS(U75))*COS(RADIANS(14_Cercania!$C$13))*SIN(RADIANS(14_Cercania!$C$14-V75)/2)^2))+ROW()*0.000000001,"")</f>
        <v/>
      </c>
    </row>
    <row r="76" customFormat="false" ht="23.85" hidden="false" customHeight="false" outlineLevel="0" collapsed="false">
      <c r="A76" s="62" t="n">
        <v>74</v>
      </c>
      <c r="B76" s="63" t="s">
        <v>2760</v>
      </c>
      <c r="C76" s="62" t="s">
        <v>180</v>
      </c>
      <c r="D76" s="63" t="s">
        <v>2757</v>
      </c>
      <c r="E76" s="71"/>
      <c r="F76" s="57"/>
      <c r="G76" s="57"/>
      <c r="H76" s="72"/>
      <c r="I76" s="62" t="s">
        <v>2761</v>
      </c>
      <c r="J76" s="72"/>
      <c r="K76" s="72"/>
      <c r="L76" s="72"/>
      <c r="M76" s="63" t="s">
        <v>2762</v>
      </c>
      <c r="N76" s="57"/>
      <c r="O76" s="62" t="s">
        <v>158</v>
      </c>
      <c r="P76" s="78" t="s">
        <v>2489</v>
      </c>
      <c r="Q76" s="78" t="s">
        <v>2490</v>
      </c>
      <c r="R76" s="62" t="s">
        <v>2491</v>
      </c>
      <c r="S76" s="62" t="s">
        <v>2491</v>
      </c>
      <c r="T76" s="62" t="s">
        <v>2491</v>
      </c>
      <c r="U76" s="79" t="n">
        <v>-15.8387574</v>
      </c>
      <c r="V76" s="79" t="n">
        <v>-70.0272121</v>
      </c>
      <c r="W76" s="75" t="s">
        <v>2492</v>
      </c>
      <c r="X76" s="80" t="str">
        <f aca="false">HYPERLINK(IF(AND(ISNUMBER(U76),ISNUMBER(V76)),"https://www.google.com/maps/search/?api=1&amp;query="&amp;U76&amp;","&amp;V76,"https://www.google.com/maps/search/?api=1&amp;query="&amp;SUBSTITUTE(SUBSTITUTE(SUBSTITUTE(B76&amp;", "&amp;M76&amp;", Puno, Peru"," ","+"),"&amp;","y"),"#","")),"Ver en mapa")</f>
        <v>Ver en mapa</v>
      </c>
      <c r="Y76" s="62" t="s">
        <v>161</v>
      </c>
      <c r="Z76" s="63" t="s">
        <v>164</v>
      </c>
      <c r="AA76" s="72"/>
      <c r="AB76" s="59"/>
      <c r="AC76" s="59"/>
      <c r="AD76" s="72"/>
      <c r="AE76" s="72"/>
      <c r="AF76" s="72"/>
      <c r="AG76" s="72"/>
      <c r="AH76" s="62" t="s">
        <v>2494</v>
      </c>
      <c r="AI76" s="72"/>
      <c r="AJ76" s="63" t="s">
        <v>2506</v>
      </c>
      <c r="AK76" s="81" t="n">
        <f aca="false">IF(AND(ISNUMBER(U76),ISNUMBER(V76),ISNUMBER(14_Cercania!$C$13),ISNUMBER(14_Cercania!$C$14)),6371*2*ASIN(SQRT(SIN(RADIANS(14_Cercania!$C$13-U76)/2)^2+COS(RADIANS(U76))*COS(RADIANS(14_Cercania!$C$13))*SIN(RADIANS(14_Cercania!$C$14-V76)/2)^2))+ROW()*0.000000001,"")</f>
        <v>0.713880053912136</v>
      </c>
    </row>
    <row r="77" customFormat="false" ht="15" hidden="false" customHeight="false" outlineLevel="0" collapsed="false">
      <c r="A77" s="55" t="n">
        <v>75</v>
      </c>
      <c r="B77" s="56" t="s">
        <v>2763</v>
      </c>
      <c r="C77" s="55" t="s">
        <v>180</v>
      </c>
      <c r="D77" s="56" t="s">
        <v>2764</v>
      </c>
      <c r="E77" s="71"/>
      <c r="F77" s="57"/>
      <c r="G77" s="57"/>
      <c r="H77" s="72"/>
      <c r="I77" s="72"/>
      <c r="J77" s="55" t="s">
        <v>2765</v>
      </c>
      <c r="K77" s="72"/>
      <c r="L77" s="72"/>
      <c r="M77" s="56" t="s">
        <v>2766</v>
      </c>
      <c r="N77" s="57"/>
      <c r="O77" s="55" t="s">
        <v>158</v>
      </c>
      <c r="P77" s="73" t="s">
        <v>2489</v>
      </c>
      <c r="Q77" s="73" t="s">
        <v>2490</v>
      </c>
      <c r="R77" s="55" t="s">
        <v>2491</v>
      </c>
      <c r="S77" s="55" t="s">
        <v>2491</v>
      </c>
      <c r="T77" s="55" t="s">
        <v>2491</v>
      </c>
      <c r="U77" s="83"/>
      <c r="V77" s="83"/>
      <c r="W77" s="57" t="s">
        <v>2538</v>
      </c>
      <c r="X77" s="76" t="str">
        <f aca="false">HYPERLINK(IF(AND(ISNUMBER(U77),ISNUMBER(V77)),"https://www.google.com/maps/search/?api=1&amp;query="&amp;U77&amp;","&amp;V77,"https://www.google.com/maps/search/?api=1&amp;query="&amp;SUBSTITUTE(SUBSTITUTE(SUBSTITUTE(B77&amp;", "&amp;M77&amp;", Puno, Peru"," ","+"),"&amp;","y"),"#","")),"Ver en mapa")</f>
        <v>Ver en mapa</v>
      </c>
      <c r="Y77" s="55" t="s">
        <v>161</v>
      </c>
      <c r="Z77" s="56" t="s">
        <v>2493</v>
      </c>
      <c r="AA77" s="72"/>
      <c r="AB77" s="59"/>
      <c r="AC77" s="59"/>
      <c r="AD77" s="72"/>
      <c r="AE77" s="72"/>
      <c r="AF77" s="72"/>
      <c r="AG77" s="72"/>
      <c r="AH77" s="55" t="s">
        <v>2494</v>
      </c>
      <c r="AI77" s="72"/>
      <c r="AJ77" s="56" t="s">
        <v>2586</v>
      </c>
      <c r="AK77" s="77" t="str">
        <f aca="false">IF(AND(ISNUMBER(U77),ISNUMBER(V77),ISNUMBER(14_Cercania!$C$13),ISNUMBER(14_Cercania!$C$14)),6371*2*ASIN(SQRT(SIN(RADIANS(14_Cercania!$C$13-U77)/2)^2+COS(RADIANS(U77))*COS(RADIANS(14_Cercania!$C$13))*SIN(RADIANS(14_Cercania!$C$14-V77)/2)^2))+ROW()*0.000000001,"")</f>
        <v/>
      </c>
    </row>
    <row r="78" customFormat="false" ht="35.05" hidden="false" customHeight="false" outlineLevel="0" collapsed="false">
      <c r="A78" s="62" t="n">
        <v>76</v>
      </c>
      <c r="B78" s="63" t="s">
        <v>2767</v>
      </c>
      <c r="C78" s="62" t="s">
        <v>180</v>
      </c>
      <c r="D78" s="63" t="s">
        <v>2757</v>
      </c>
      <c r="E78" s="71"/>
      <c r="F78" s="57"/>
      <c r="G78" s="57"/>
      <c r="H78" s="72"/>
      <c r="I78" s="72"/>
      <c r="J78" s="62" t="s">
        <v>2768</v>
      </c>
      <c r="K78" s="72"/>
      <c r="L78" s="72"/>
      <c r="M78" s="63" t="s">
        <v>2769</v>
      </c>
      <c r="N78" s="57"/>
      <c r="O78" s="62" t="s">
        <v>158</v>
      </c>
      <c r="P78" s="78" t="s">
        <v>2489</v>
      </c>
      <c r="Q78" s="78" t="s">
        <v>2490</v>
      </c>
      <c r="R78" s="62" t="s">
        <v>2491</v>
      </c>
      <c r="S78" s="62" t="s">
        <v>2491</v>
      </c>
      <c r="T78" s="62" t="s">
        <v>2491</v>
      </c>
      <c r="U78" s="79" t="n">
        <v>-15.8445074</v>
      </c>
      <c r="V78" s="79" t="n">
        <v>-70.0206924</v>
      </c>
      <c r="W78" s="82" t="s">
        <v>2543</v>
      </c>
      <c r="X78" s="80" t="str">
        <f aca="false">HYPERLINK(IF(AND(ISNUMBER(U78),ISNUMBER(V78)),"https://www.google.com/maps/search/?api=1&amp;query="&amp;U78&amp;","&amp;V78,"https://www.google.com/maps/search/?api=1&amp;query="&amp;SUBSTITUTE(SUBSTITUTE(SUBSTITUTE(B78&amp;", "&amp;M78&amp;", Puno, Peru"," ","+"),"&amp;","y"),"#","")),"Ver en mapa")</f>
        <v>Ver en mapa</v>
      </c>
      <c r="Y78" s="62" t="s">
        <v>161</v>
      </c>
      <c r="Z78" s="63" t="s">
        <v>164</v>
      </c>
      <c r="AA78" s="72"/>
      <c r="AB78" s="59"/>
      <c r="AC78" s="59"/>
      <c r="AD78" s="72"/>
      <c r="AE78" s="72"/>
      <c r="AF78" s="72"/>
      <c r="AG78" s="72"/>
      <c r="AH78" s="62" t="s">
        <v>2494</v>
      </c>
      <c r="AI78" s="72"/>
      <c r="AJ78" s="63" t="s">
        <v>2770</v>
      </c>
      <c r="AK78" s="81" t="n">
        <f aca="false">IF(AND(ISNUMBER(U78),ISNUMBER(V78),ISNUMBER(14_Cercania!$C$13),ISNUMBER(14_Cercania!$C$14)),6371*2*ASIN(SQRT(SIN(RADIANS(14_Cercania!$C$13-U78)/2)^2+COS(RADIANS(U78))*COS(RADIANS(14_Cercania!$C$13))*SIN(RADIANS(14_Cercania!$C$14-V78)/2)^2))+ROW()*0.000000001,"")</f>
        <v>1.26281792888087</v>
      </c>
    </row>
    <row r="79" customFormat="false" ht="35.05" hidden="false" customHeight="false" outlineLevel="0" collapsed="false">
      <c r="A79" s="55" t="n">
        <v>77</v>
      </c>
      <c r="B79" s="56" t="s">
        <v>2771</v>
      </c>
      <c r="C79" s="55" t="s">
        <v>180</v>
      </c>
      <c r="D79" s="56" t="s">
        <v>2757</v>
      </c>
      <c r="E79" s="71"/>
      <c r="F79" s="57"/>
      <c r="G79" s="57"/>
      <c r="H79" s="72"/>
      <c r="I79" s="72"/>
      <c r="J79" s="55" t="s">
        <v>2772</v>
      </c>
      <c r="K79" s="72"/>
      <c r="L79" s="72"/>
      <c r="M79" s="56" t="s">
        <v>2773</v>
      </c>
      <c r="N79" s="57"/>
      <c r="O79" s="55" t="s">
        <v>158</v>
      </c>
      <c r="P79" s="73" t="s">
        <v>2489</v>
      </c>
      <c r="Q79" s="73" t="s">
        <v>2490</v>
      </c>
      <c r="R79" s="55" t="s">
        <v>2491</v>
      </c>
      <c r="S79" s="55" t="s">
        <v>2491</v>
      </c>
      <c r="T79" s="55" t="s">
        <v>2491</v>
      </c>
      <c r="U79" s="74" t="n">
        <v>-15.838892</v>
      </c>
      <c r="V79" s="74" t="n">
        <v>-70.0277234</v>
      </c>
      <c r="W79" s="82" t="s">
        <v>2511</v>
      </c>
      <c r="X79" s="76" t="str">
        <f aca="false">HYPERLINK(IF(AND(ISNUMBER(U79),ISNUMBER(V79)),"https://www.google.com/maps/search/?api=1&amp;query="&amp;U79&amp;","&amp;V79,"https://www.google.com/maps/search/?api=1&amp;query="&amp;SUBSTITUTE(SUBSTITUTE(SUBSTITUTE(B79&amp;", "&amp;M79&amp;", Puno, Peru"," ","+"),"&amp;","y"),"#","")),"Ver en mapa")</f>
        <v>Ver en mapa</v>
      </c>
      <c r="Y79" s="55" t="s">
        <v>161</v>
      </c>
      <c r="Z79" s="56" t="s">
        <v>164</v>
      </c>
      <c r="AA79" s="72"/>
      <c r="AB79" s="59"/>
      <c r="AC79" s="59"/>
      <c r="AD79" s="72"/>
      <c r="AE79" s="72"/>
      <c r="AF79" s="72"/>
      <c r="AG79" s="72"/>
      <c r="AH79" s="55" t="s">
        <v>2494</v>
      </c>
      <c r="AI79" s="72"/>
      <c r="AJ79" s="56" t="s">
        <v>2774</v>
      </c>
      <c r="AK79" s="77" t="n">
        <f aca="false">IF(AND(ISNUMBER(U79),ISNUMBER(V79),ISNUMBER(14_Cercania!$C$13),ISNUMBER(14_Cercania!$C$14)),6371*2*ASIN(SQRT(SIN(RADIANS(14_Cercania!$C$13-U79)/2)^2+COS(RADIANS(U79))*COS(RADIANS(14_Cercania!$C$13))*SIN(RADIANS(14_Cercania!$C$14-V79)/2)^2))+ROW()*0.000000001,"")</f>
        <v>0.758038451986989</v>
      </c>
    </row>
    <row r="80" customFormat="false" ht="23.85" hidden="false" customHeight="false" outlineLevel="0" collapsed="false">
      <c r="A80" s="62" t="n">
        <v>78</v>
      </c>
      <c r="B80" s="63" t="s">
        <v>2775</v>
      </c>
      <c r="C80" s="62" t="s">
        <v>180</v>
      </c>
      <c r="D80" s="63" t="s">
        <v>2757</v>
      </c>
      <c r="E80" s="71"/>
      <c r="F80" s="57"/>
      <c r="G80" s="57"/>
      <c r="H80" s="72"/>
      <c r="I80" s="72"/>
      <c r="J80" s="72"/>
      <c r="K80" s="72"/>
      <c r="L80" s="72"/>
      <c r="M80" s="63" t="s">
        <v>2776</v>
      </c>
      <c r="N80" s="57"/>
      <c r="O80" s="62" t="s">
        <v>158</v>
      </c>
      <c r="P80" s="78" t="s">
        <v>2489</v>
      </c>
      <c r="Q80" s="78" t="s">
        <v>2490</v>
      </c>
      <c r="R80" s="62" t="s">
        <v>2491</v>
      </c>
      <c r="S80" s="62" t="s">
        <v>2491</v>
      </c>
      <c r="T80" s="62" t="s">
        <v>2491</v>
      </c>
      <c r="U80" s="79" t="n">
        <v>-15.8402225</v>
      </c>
      <c r="V80" s="79" t="n">
        <v>-70.0269882</v>
      </c>
      <c r="W80" s="75" t="s">
        <v>2492</v>
      </c>
      <c r="X80" s="80" t="str">
        <f aca="false">HYPERLINK(IF(AND(ISNUMBER(U80),ISNUMBER(V80)),"https://www.google.com/maps/search/?api=1&amp;query="&amp;U80&amp;","&amp;V80,"https://www.google.com/maps/search/?api=1&amp;query="&amp;SUBSTITUTE(SUBSTITUTE(SUBSTITUTE(B80&amp;", "&amp;M80&amp;", Puno, Peru"," ","+"),"&amp;","y"),"#","")),"Ver en mapa")</f>
        <v>Ver en mapa</v>
      </c>
      <c r="Y80" s="62" t="s">
        <v>161</v>
      </c>
      <c r="Z80" s="63" t="s">
        <v>164</v>
      </c>
      <c r="AA80" s="72"/>
      <c r="AB80" s="59"/>
      <c r="AC80" s="59"/>
      <c r="AD80" s="72"/>
      <c r="AE80" s="72"/>
      <c r="AF80" s="72"/>
      <c r="AG80" s="72"/>
      <c r="AH80" s="62" t="s">
        <v>2494</v>
      </c>
      <c r="AI80" s="72"/>
      <c r="AJ80" s="63" t="s">
        <v>2531</v>
      </c>
      <c r="AK80" s="81" t="n">
        <f aca="false">IF(AND(ISNUMBER(U80),ISNUMBER(V80),ISNUMBER(14_Cercania!$C$13),ISNUMBER(14_Cercania!$C$14)),6371*2*ASIN(SQRT(SIN(RADIANS(14_Cercania!$C$13-U80)/2)^2+COS(RADIANS(U80))*COS(RADIANS(14_Cercania!$C$13))*SIN(RADIANS(14_Cercania!$C$14-V80)/2)^2))+ROW()*0.000000001,"")</f>
        <v>0.842167246055454</v>
      </c>
    </row>
    <row r="81" customFormat="false" ht="35.05" hidden="false" customHeight="false" outlineLevel="0" collapsed="false">
      <c r="A81" s="55" t="n">
        <v>79</v>
      </c>
      <c r="B81" s="56" t="s">
        <v>2777</v>
      </c>
      <c r="C81" s="55" t="s">
        <v>180</v>
      </c>
      <c r="D81" s="56" t="s">
        <v>2757</v>
      </c>
      <c r="E81" s="71"/>
      <c r="F81" s="57"/>
      <c r="G81" s="57"/>
      <c r="H81" s="72"/>
      <c r="I81" s="72"/>
      <c r="J81" s="72"/>
      <c r="K81" s="72"/>
      <c r="L81" s="72"/>
      <c r="M81" s="56" t="s">
        <v>2491</v>
      </c>
      <c r="N81" s="57"/>
      <c r="O81" s="55" t="s">
        <v>197</v>
      </c>
      <c r="P81" s="73" t="s">
        <v>2489</v>
      </c>
      <c r="Q81" s="73" t="s">
        <v>2490</v>
      </c>
      <c r="R81" s="55" t="s">
        <v>2491</v>
      </c>
      <c r="S81" s="55" t="s">
        <v>2491</v>
      </c>
      <c r="T81" s="55" t="s">
        <v>2491</v>
      </c>
      <c r="U81" s="74" t="n">
        <v>-15.853515</v>
      </c>
      <c r="V81" s="74" t="n">
        <v>-70.0150571</v>
      </c>
      <c r="W81" s="82" t="s">
        <v>2696</v>
      </c>
      <c r="X81" s="76" t="str">
        <f aca="false">HYPERLINK(IF(AND(ISNUMBER(U81),ISNUMBER(V81)),"https://www.google.com/maps/search/?api=1&amp;query="&amp;U81&amp;","&amp;V81,"https://www.google.com/maps/search/?api=1&amp;query="&amp;SUBSTITUTE(SUBSTITUTE(SUBSTITUTE(B81&amp;", "&amp;M81&amp;", Puno, Peru"," ","+"),"&amp;","y"),"#","")),"Ver en mapa")</f>
        <v>Ver en mapa</v>
      </c>
      <c r="Y81" s="55" t="s">
        <v>161</v>
      </c>
      <c r="Z81" s="56" t="s">
        <v>164</v>
      </c>
      <c r="AA81" s="72"/>
      <c r="AB81" s="59"/>
      <c r="AC81" s="59"/>
      <c r="AD81" s="72"/>
      <c r="AE81" s="72"/>
      <c r="AF81" s="72"/>
      <c r="AG81" s="72"/>
      <c r="AH81" s="55" t="s">
        <v>2494</v>
      </c>
      <c r="AI81" s="72"/>
      <c r="AJ81" s="56" t="s">
        <v>2778</v>
      </c>
      <c r="AK81" s="77" t="n">
        <f aca="false">IF(AND(ISNUMBER(U81),ISNUMBER(V81),ISNUMBER(14_Cercania!$C$13),ISNUMBER(14_Cercania!$C$14)),6371*2*ASIN(SQRT(SIN(RADIANS(14_Cercania!$C$13-U81)/2)^2+COS(RADIANS(U81))*COS(RADIANS(14_Cercania!$C$13))*SIN(RADIANS(14_Cercania!$C$14-V81)/2)^2))+ROW()*0.000000001,"")</f>
        <v>2.40327681640719</v>
      </c>
    </row>
    <row r="82" customFormat="false" ht="15" hidden="false" customHeight="false" outlineLevel="0" collapsed="false">
      <c r="A82" s="62" t="n">
        <v>80</v>
      </c>
      <c r="B82" s="63" t="s">
        <v>2779</v>
      </c>
      <c r="C82" s="62" t="s">
        <v>180</v>
      </c>
      <c r="D82" s="63" t="s">
        <v>2757</v>
      </c>
      <c r="E82" s="71"/>
      <c r="F82" s="57"/>
      <c r="G82" s="57"/>
      <c r="H82" s="72"/>
      <c r="I82" s="72"/>
      <c r="J82" s="72"/>
      <c r="K82" s="72"/>
      <c r="L82" s="72"/>
      <c r="M82" s="63" t="s">
        <v>2491</v>
      </c>
      <c r="N82" s="57"/>
      <c r="O82" s="62" t="s">
        <v>197</v>
      </c>
      <c r="P82" s="78" t="s">
        <v>2489</v>
      </c>
      <c r="Q82" s="78" t="s">
        <v>2490</v>
      </c>
      <c r="R82" s="62" t="s">
        <v>2491</v>
      </c>
      <c r="S82" s="62" t="s">
        <v>2491</v>
      </c>
      <c r="T82" s="62" t="s">
        <v>2491</v>
      </c>
      <c r="U82" s="83"/>
      <c r="V82" s="83"/>
      <c r="W82" s="57" t="s">
        <v>2538</v>
      </c>
      <c r="X82" s="80" t="str">
        <f aca="false">HYPERLINK(IF(AND(ISNUMBER(U82),ISNUMBER(V82)),"https://www.google.com/maps/search/?api=1&amp;query="&amp;U82&amp;","&amp;V82,"https://www.google.com/maps/search/?api=1&amp;query="&amp;SUBSTITUTE(SUBSTITUTE(SUBSTITUTE(B82&amp;", "&amp;M82&amp;", Puno, Peru"," ","+"),"&amp;","y"),"#","")),"Ver en mapa")</f>
        <v>Ver en mapa</v>
      </c>
      <c r="Y82" s="62" t="s">
        <v>161</v>
      </c>
      <c r="Z82" s="63" t="s">
        <v>164</v>
      </c>
      <c r="AA82" s="72"/>
      <c r="AB82" s="59"/>
      <c r="AC82" s="59"/>
      <c r="AD82" s="72"/>
      <c r="AE82" s="72"/>
      <c r="AF82" s="72"/>
      <c r="AG82" s="72"/>
      <c r="AH82" s="62" t="s">
        <v>2494</v>
      </c>
      <c r="AI82" s="72"/>
      <c r="AJ82" s="63" t="s">
        <v>2618</v>
      </c>
      <c r="AK82" s="81" t="str">
        <f aca="false">IF(AND(ISNUMBER(U82),ISNUMBER(V82),ISNUMBER(14_Cercania!$C$13),ISNUMBER(14_Cercania!$C$14)),6371*2*ASIN(SQRT(SIN(RADIANS(14_Cercania!$C$13-U82)/2)^2+COS(RADIANS(U82))*COS(RADIANS(14_Cercania!$C$13))*SIN(RADIANS(14_Cercania!$C$14-V82)/2)^2))+ROW()*0.000000001,"")</f>
        <v/>
      </c>
    </row>
    <row r="83" customFormat="false" ht="46.25" hidden="false" customHeight="false" outlineLevel="0" collapsed="false">
      <c r="A83" s="55" t="n">
        <v>81</v>
      </c>
      <c r="B83" s="56" t="s">
        <v>2780</v>
      </c>
      <c r="C83" s="55" t="s">
        <v>182</v>
      </c>
      <c r="D83" s="56" t="s">
        <v>2781</v>
      </c>
      <c r="E83" s="71"/>
      <c r="F83" s="57"/>
      <c r="G83" s="57"/>
      <c r="H83" s="72"/>
      <c r="I83" s="55" t="s">
        <v>2782</v>
      </c>
      <c r="J83" s="72"/>
      <c r="K83" s="72"/>
      <c r="L83" s="72"/>
      <c r="M83" s="56" t="s">
        <v>2783</v>
      </c>
      <c r="N83" s="57"/>
      <c r="O83" s="55" t="s">
        <v>158</v>
      </c>
      <c r="P83" s="73" t="s">
        <v>2489</v>
      </c>
      <c r="Q83" s="73" t="s">
        <v>2490</v>
      </c>
      <c r="R83" s="55" t="s">
        <v>2491</v>
      </c>
      <c r="S83" s="55" t="s">
        <v>2491</v>
      </c>
      <c r="T83" s="55" t="s">
        <v>2491</v>
      </c>
      <c r="U83" s="74" t="n">
        <v>-15.8405619</v>
      </c>
      <c r="V83" s="74" t="n">
        <v>-70.0275433</v>
      </c>
      <c r="W83" s="75" t="s">
        <v>2492</v>
      </c>
      <c r="X83" s="76" t="str">
        <f aca="false">HYPERLINK(IF(AND(ISNUMBER(U83),ISNUMBER(V83)),"https://www.google.com/maps/search/?api=1&amp;query="&amp;U83&amp;","&amp;V83,"https://www.google.com/maps/search/?api=1&amp;query="&amp;SUBSTITUTE(SUBSTITUTE(SUBSTITUTE(B83&amp;", "&amp;M83&amp;", Puno, Peru"," ","+"),"&amp;","y"),"#","")),"Ver en mapa")</f>
        <v>Ver en mapa</v>
      </c>
      <c r="Y83" s="55" t="s">
        <v>161</v>
      </c>
      <c r="Z83" s="56" t="s">
        <v>2784</v>
      </c>
      <c r="AA83" s="72"/>
      <c r="AB83" s="59"/>
      <c r="AC83" s="59"/>
      <c r="AD83" s="72"/>
      <c r="AE83" s="72"/>
      <c r="AF83" s="72"/>
      <c r="AG83" s="72"/>
      <c r="AH83" s="55" t="s">
        <v>2494</v>
      </c>
      <c r="AI83" s="72"/>
      <c r="AJ83" s="56" t="s">
        <v>2785</v>
      </c>
      <c r="AK83" s="77" t="n">
        <f aca="false">IF(AND(ISNUMBER(U83),ISNUMBER(V83),ISNUMBER(14_Cercania!$C$13),ISNUMBER(14_Cercania!$C$14)),6371*2*ASIN(SQRT(SIN(RADIANS(14_Cercania!$C$13-U83)/2)^2+COS(RADIANS(U83))*COS(RADIANS(14_Cercania!$C$13))*SIN(RADIANS(14_Cercania!$C$14-V83)/2)^2))+ROW()*0.000000001,"")</f>
        <v>0.903343310439861</v>
      </c>
    </row>
    <row r="84" customFormat="false" ht="35.05" hidden="false" customHeight="false" outlineLevel="0" collapsed="false">
      <c r="A84" s="62" t="n">
        <v>82</v>
      </c>
      <c r="B84" s="63" t="s">
        <v>2786</v>
      </c>
      <c r="C84" s="62" t="s">
        <v>182</v>
      </c>
      <c r="D84" s="63" t="s">
        <v>2787</v>
      </c>
      <c r="E84" s="71"/>
      <c r="F84" s="57"/>
      <c r="G84" s="57"/>
      <c r="H84" s="72"/>
      <c r="I84" s="62" t="s">
        <v>2788</v>
      </c>
      <c r="J84" s="72"/>
      <c r="K84" s="72"/>
      <c r="L84" s="72"/>
      <c r="M84" s="63" t="s">
        <v>2789</v>
      </c>
      <c r="N84" s="57"/>
      <c r="O84" s="62" t="s">
        <v>158</v>
      </c>
      <c r="P84" s="78" t="s">
        <v>2489</v>
      </c>
      <c r="Q84" s="78" t="s">
        <v>2490</v>
      </c>
      <c r="R84" s="62" t="s">
        <v>2491</v>
      </c>
      <c r="S84" s="62" t="s">
        <v>2491</v>
      </c>
      <c r="T84" s="62" t="s">
        <v>2491</v>
      </c>
      <c r="U84" s="79" t="n">
        <v>-15.839824</v>
      </c>
      <c r="V84" s="79" t="n">
        <v>-70.0263406</v>
      </c>
      <c r="W84" s="82" t="s">
        <v>2543</v>
      </c>
      <c r="X84" s="80" t="str">
        <f aca="false">HYPERLINK(IF(AND(ISNUMBER(U84),ISNUMBER(V84)),"https://www.google.com/maps/search/?api=1&amp;query="&amp;U84&amp;","&amp;V84,"https://www.google.com/maps/search/?api=1&amp;query="&amp;SUBSTITUTE(SUBSTITUTE(SUBSTITUTE(B84&amp;", "&amp;M84&amp;", Puno, Peru"," ","+"),"&amp;","y"),"#","")),"Ver en mapa")</f>
        <v>Ver en mapa</v>
      </c>
      <c r="Y84" s="62" t="s">
        <v>161</v>
      </c>
      <c r="Z84" s="63" t="s">
        <v>2627</v>
      </c>
      <c r="AA84" s="72"/>
      <c r="AB84" s="59"/>
      <c r="AC84" s="59"/>
      <c r="AD84" s="72"/>
      <c r="AE84" s="72"/>
      <c r="AF84" s="72"/>
      <c r="AG84" s="72"/>
      <c r="AH84" s="62" t="s">
        <v>2494</v>
      </c>
      <c r="AI84" s="72"/>
      <c r="AJ84" s="63" t="s">
        <v>2790</v>
      </c>
      <c r="AK84" s="81" t="n">
        <f aca="false">IF(AND(ISNUMBER(U84),ISNUMBER(V84),ISNUMBER(14_Cercania!$C$13),ISNUMBER(14_Cercania!$C$14)),6371*2*ASIN(SQRT(SIN(RADIANS(14_Cercania!$C$13-U84)/2)^2+COS(RADIANS(U84))*COS(RADIANS(14_Cercania!$C$13))*SIN(RADIANS(14_Cercania!$C$14-V84)/2)^2))+ROW()*0.000000001,"")</f>
        <v>0.77251592281425</v>
      </c>
    </row>
    <row r="85" customFormat="false" ht="15" hidden="false" customHeight="false" outlineLevel="0" collapsed="false">
      <c r="A85" s="55" t="n">
        <v>83</v>
      </c>
      <c r="B85" s="56" t="s">
        <v>2791</v>
      </c>
      <c r="C85" s="55" t="s">
        <v>182</v>
      </c>
      <c r="D85" s="56" t="s">
        <v>2792</v>
      </c>
      <c r="E85" s="71"/>
      <c r="F85" s="57"/>
      <c r="G85" s="57"/>
      <c r="H85" s="72"/>
      <c r="I85" s="72"/>
      <c r="J85" s="55" t="s">
        <v>2793</v>
      </c>
      <c r="K85" s="72"/>
      <c r="L85" s="72"/>
      <c r="M85" s="56" t="s">
        <v>2794</v>
      </c>
      <c r="N85" s="57"/>
      <c r="O85" s="55" t="s">
        <v>158</v>
      </c>
      <c r="P85" s="73" t="s">
        <v>2489</v>
      </c>
      <c r="Q85" s="73" t="s">
        <v>2490</v>
      </c>
      <c r="R85" s="55" t="s">
        <v>2491</v>
      </c>
      <c r="S85" s="55" t="s">
        <v>2491</v>
      </c>
      <c r="T85" s="55" t="s">
        <v>2491</v>
      </c>
      <c r="U85" s="83"/>
      <c r="V85" s="83"/>
      <c r="W85" s="57" t="s">
        <v>2538</v>
      </c>
      <c r="X85" s="76" t="str">
        <f aca="false">HYPERLINK(IF(AND(ISNUMBER(U85),ISNUMBER(V85)),"https://www.google.com/maps/search/?api=1&amp;query="&amp;U85&amp;","&amp;V85,"https://www.google.com/maps/search/?api=1&amp;query="&amp;SUBSTITUTE(SUBSTITUTE(SUBSTITUTE(B85&amp;", "&amp;M85&amp;", Puno, Peru"," ","+"),"&amp;","y"),"#","")),"Ver en mapa")</f>
        <v>Ver en mapa</v>
      </c>
      <c r="Y85" s="55" t="s">
        <v>161</v>
      </c>
      <c r="Z85" s="56" t="s">
        <v>2784</v>
      </c>
      <c r="AA85" s="72"/>
      <c r="AB85" s="59"/>
      <c r="AC85" s="59"/>
      <c r="AD85" s="72"/>
      <c r="AE85" s="72"/>
      <c r="AF85" s="72"/>
      <c r="AG85" s="72"/>
      <c r="AH85" s="55" t="s">
        <v>2494</v>
      </c>
      <c r="AI85" s="72"/>
      <c r="AJ85" s="56" t="s">
        <v>2795</v>
      </c>
      <c r="AK85" s="77" t="str">
        <f aca="false">IF(AND(ISNUMBER(U85),ISNUMBER(V85),ISNUMBER(14_Cercania!$C$13),ISNUMBER(14_Cercania!$C$14)),6371*2*ASIN(SQRT(SIN(RADIANS(14_Cercania!$C$13-U85)/2)^2+COS(RADIANS(U85))*COS(RADIANS(14_Cercania!$C$13))*SIN(RADIANS(14_Cercania!$C$14-V85)/2)^2))+ROW()*0.000000001,"")</f>
        <v/>
      </c>
    </row>
    <row r="86" customFormat="false" ht="15" hidden="false" customHeight="false" outlineLevel="0" collapsed="false">
      <c r="A86" s="62" t="n">
        <v>84</v>
      </c>
      <c r="B86" s="63" t="s">
        <v>2796</v>
      </c>
      <c r="C86" s="62" t="s">
        <v>182</v>
      </c>
      <c r="D86" s="63" t="s">
        <v>2797</v>
      </c>
      <c r="E86" s="71"/>
      <c r="F86" s="57"/>
      <c r="G86" s="57"/>
      <c r="H86" s="72"/>
      <c r="I86" s="72"/>
      <c r="J86" s="62" t="s">
        <v>2798</v>
      </c>
      <c r="K86" s="72"/>
      <c r="L86" s="72"/>
      <c r="M86" s="63" t="s">
        <v>2799</v>
      </c>
      <c r="N86" s="57"/>
      <c r="O86" s="62" t="s">
        <v>158</v>
      </c>
      <c r="P86" s="78" t="s">
        <v>2489</v>
      </c>
      <c r="Q86" s="78" t="s">
        <v>2490</v>
      </c>
      <c r="R86" s="62" t="s">
        <v>2491</v>
      </c>
      <c r="S86" s="62" t="s">
        <v>2491</v>
      </c>
      <c r="T86" s="62" t="s">
        <v>2491</v>
      </c>
      <c r="U86" s="83"/>
      <c r="V86" s="83"/>
      <c r="W86" s="57" t="s">
        <v>2538</v>
      </c>
      <c r="X86" s="80" t="str">
        <f aca="false">HYPERLINK(IF(AND(ISNUMBER(U86),ISNUMBER(V86)),"https://www.google.com/maps/search/?api=1&amp;query="&amp;U86&amp;","&amp;V86,"https://www.google.com/maps/search/?api=1&amp;query="&amp;SUBSTITUTE(SUBSTITUTE(SUBSTITUTE(B86&amp;", "&amp;M86&amp;", Puno, Peru"," ","+"),"&amp;","y"),"#","")),"Ver en mapa")</f>
        <v>Ver en mapa</v>
      </c>
      <c r="Y86" s="62" t="s">
        <v>161</v>
      </c>
      <c r="Z86" s="63" t="s">
        <v>2784</v>
      </c>
      <c r="AA86" s="72"/>
      <c r="AB86" s="59"/>
      <c r="AC86" s="59"/>
      <c r="AD86" s="72"/>
      <c r="AE86" s="72"/>
      <c r="AF86" s="72"/>
      <c r="AG86" s="72"/>
      <c r="AH86" s="62" t="s">
        <v>2494</v>
      </c>
      <c r="AI86" s="72"/>
      <c r="AJ86" s="63" t="s">
        <v>2586</v>
      </c>
      <c r="AK86" s="81" t="str">
        <f aca="false">IF(AND(ISNUMBER(U86),ISNUMBER(V86),ISNUMBER(14_Cercania!$C$13),ISNUMBER(14_Cercania!$C$14)),6371*2*ASIN(SQRT(SIN(RADIANS(14_Cercania!$C$13-U86)/2)^2+COS(RADIANS(U86))*COS(RADIANS(14_Cercania!$C$13))*SIN(RADIANS(14_Cercania!$C$14-V86)/2)^2))+ROW()*0.000000001,"")</f>
        <v/>
      </c>
    </row>
    <row r="87" customFormat="false" ht="35.05" hidden="false" customHeight="false" outlineLevel="0" collapsed="false">
      <c r="A87" s="55" t="n">
        <v>85</v>
      </c>
      <c r="B87" s="56" t="s">
        <v>2800</v>
      </c>
      <c r="C87" s="55" t="s">
        <v>192</v>
      </c>
      <c r="D87" s="56" t="s">
        <v>317</v>
      </c>
      <c r="E87" s="71"/>
      <c r="F87" s="57"/>
      <c r="G87" s="57"/>
      <c r="H87" s="72"/>
      <c r="I87" s="55" t="s">
        <v>2788</v>
      </c>
      <c r="J87" s="72"/>
      <c r="K87" s="72"/>
      <c r="L87" s="72"/>
      <c r="M87" s="56" t="s">
        <v>2801</v>
      </c>
      <c r="N87" s="57"/>
      <c r="O87" s="55" t="s">
        <v>158</v>
      </c>
      <c r="P87" s="73" t="s">
        <v>2489</v>
      </c>
      <c r="Q87" s="73" t="s">
        <v>2490</v>
      </c>
      <c r="R87" s="55" t="s">
        <v>2491</v>
      </c>
      <c r="S87" s="55" t="s">
        <v>2491</v>
      </c>
      <c r="T87" s="55" t="s">
        <v>2491</v>
      </c>
      <c r="U87" s="74" t="n">
        <v>-15.839824</v>
      </c>
      <c r="V87" s="74" t="n">
        <v>-70.0263406</v>
      </c>
      <c r="W87" s="82" t="s">
        <v>2543</v>
      </c>
      <c r="X87" s="76" t="str">
        <f aca="false">HYPERLINK(IF(AND(ISNUMBER(U87),ISNUMBER(V87)),"https://www.google.com/maps/search/?api=1&amp;query="&amp;U87&amp;","&amp;V87,"https://www.google.com/maps/search/?api=1&amp;query="&amp;SUBSTITUTE(SUBSTITUTE(SUBSTITUTE(B87&amp;", "&amp;M87&amp;", Puno, Peru"," ","+"),"&amp;","y"),"#","")),"Ver en mapa")</f>
        <v>Ver en mapa</v>
      </c>
      <c r="Y87" s="55" t="s">
        <v>157</v>
      </c>
      <c r="Z87" s="56" t="s">
        <v>156</v>
      </c>
      <c r="AA87" s="72"/>
      <c r="AB87" s="59"/>
      <c r="AC87" s="59"/>
      <c r="AD87" s="72"/>
      <c r="AE87" s="72"/>
      <c r="AF87" s="72"/>
      <c r="AG87" s="72"/>
      <c r="AH87" s="55" t="s">
        <v>2494</v>
      </c>
      <c r="AI87" s="72"/>
      <c r="AJ87" s="56" t="s">
        <v>2802</v>
      </c>
      <c r="AK87" s="77" t="n">
        <f aca="false">IF(AND(ISNUMBER(U87),ISNUMBER(V87),ISNUMBER(14_Cercania!$C$13),ISNUMBER(14_Cercania!$C$14)),6371*2*ASIN(SQRT(SIN(RADIANS(14_Cercania!$C$13-U87)/2)^2+COS(RADIANS(U87))*COS(RADIANS(14_Cercania!$C$13))*SIN(RADIANS(14_Cercania!$C$14-V87)/2)^2))+ROW()*0.000000001,"")</f>
        <v>0.77251592581425</v>
      </c>
    </row>
    <row r="88" customFormat="false" ht="15" hidden="false" customHeight="false" outlineLevel="0" collapsed="false">
      <c r="A88" s="62" t="n">
        <v>86</v>
      </c>
      <c r="B88" s="63" t="s">
        <v>2803</v>
      </c>
      <c r="C88" s="62" t="s">
        <v>182</v>
      </c>
      <c r="D88" s="63" t="s">
        <v>2797</v>
      </c>
      <c r="E88" s="71"/>
      <c r="F88" s="57"/>
      <c r="G88" s="57"/>
      <c r="H88" s="72"/>
      <c r="I88" s="72"/>
      <c r="J88" s="62" t="s">
        <v>2804</v>
      </c>
      <c r="K88" s="72"/>
      <c r="L88" s="72"/>
      <c r="M88" s="63" t="s">
        <v>2805</v>
      </c>
      <c r="N88" s="57"/>
      <c r="O88" s="62" t="s">
        <v>197</v>
      </c>
      <c r="P88" s="78" t="s">
        <v>2489</v>
      </c>
      <c r="Q88" s="78" t="s">
        <v>2490</v>
      </c>
      <c r="R88" s="62" t="s">
        <v>2491</v>
      </c>
      <c r="S88" s="62" t="s">
        <v>2491</v>
      </c>
      <c r="T88" s="62" t="s">
        <v>2491</v>
      </c>
      <c r="U88" s="83"/>
      <c r="V88" s="83"/>
      <c r="W88" s="57" t="s">
        <v>2538</v>
      </c>
      <c r="X88" s="80" t="str">
        <f aca="false">HYPERLINK(IF(AND(ISNUMBER(U88),ISNUMBER(V88)),"https://www.google.com/maps/search/?api=1&amp;query="&amp;U88&amp;","&amp;V88,"https://www.google.com/maps/search/?api=1&amp;query="&amp;SUBSTITUTE(SUBSTITUTE(SUBSTITUTE(B88&amp;", "&amp;M88&amp;", Puno, Peru"," ","+"),"&amp;","y"),"#","")),"Ver en mapa")</f>
        <v>Ver en mapa</v>
      </c>
      <c r="Y88" s="62" t="s">
        <v>157</v>
      </c>
      <c r="Z88" s="63" t="s">
        <v>156</v>
      </c>
      <c r="AA88" s="72"/>
      <c r="AB88" s="59"/>
      <c r="AC88" s="59"/>
      <c r="AD88" s="72"/>
      <c r="AE88" s="72"/>
      <c r="AF88" s="72"/>
      <c r="AG88" s="72"/>
      <c r="AH88" s="62" t="s">
        <v>2494</v>
      </c>
      <c r="AI88" s="72"/>
      <c r="AJ88" s="63" t="s">
        <v>2586</v>
      </c>
      <c r="AK88" s="81" t="str">
        <f aca="false">IF(AND(ISNUMBER(U88),ISNUMBER(V88),ISNUMBER(14_Cercania!$C$13),ISNUMBER(14_Cercania!$C$14)),6371*2*ASIN(SQRT(SIN(RADIANS(14_Cercania!$C$13-U88)/2)^2+COS(RADIANS(U88))*COS(RADIANS(14_Cercania!$C$13))*SIN(RADIANS(14_Cercania!$C$14-V88)/2)^2))+ROW()*0.000000001,"")</f>
        <v/>
      </c>
    </row>
    <row r="89" customFormat="false" ht="15" hidden="false" customHeight="false" outlineLevel="0" collapsed="false">
      <c r="A89" s="55" t="n">
        <v>87</v>
      </c>
      <c r="B89" s="56" t="s">
        <v>2806</v>
      </c>
      <c r="C89" s="55" t="s">
        <v>182</v>
      </c>
      <c r="D89" s="56" t="s">
        <v>2797</v>
      </c>
      <c r="E89" s="71"/>
      <c r="F89" s="57"/>
      <c r="G89" s="57"/>
      <c r="H89" s="72"/>
      <c r="I89" s="72"/>
      <c r="J89" s="55" t="s">
        <v>2807</v>
      </c>
      <c r="K89" s="72"/>
      <c r="L89" s="72"/>
      <c r="M89" s="56" t="s">
        <v>2808</v>
      </c>
      <c r="N89" s="57"/>
      <c r="O89" s="55" t="s">
        <v>197</v>
      </c>
      <c r="P89" s="73" t="s">
        <v>2606</v>
      </c>
      <c r="Q89" s="73" t="s">
        <v>2490</v>
      </c>
      <c r="R89" s="55" t="s">
        <v>2491</v>
      </c>
      <c r="S89" s="55" t="s">
        <v>2491</v>
      </c>
      <c r="T89" s="55" t="s">
        <v>2491</v>
      </c>
      <c r="U89" s="83"/>
      <c r="V89" s="83"/>
      <c r="W89" s="57" t="s">
        <v>2538</v>
      </c>
      <c r="X89" s="76" t="str">
        <f aca="false">HYPERLINK(IF(AND(ISNUMBER(U89),ISNUMBER(V89)),"https://www.google.com/maps/search/?api=1&amp;query="&amp;U89&amp;","&amp;V89,"https://www.google.com/maps/search/?api=1&amp;query="&amp;SUBSTITUTE(SUBSTITUTE(SUBSTITUTE(B89&amp;", "&amp;M89&amp;", Puno, Peru"," ","+"),"&amp;","y"),"#","")),"Ver en mapa")</f>
        <v>Ver en mapa</v>
      </c>
      <c r="Y89" s="55" t="s">
        <v>157</v>
      </c>
      <c r="Z89" s="56" t="s">
        <v>156</v>
      </c>
      <c r="AA89" s="72"/>
      <c r="AB89" s="59"/>
      <c r="AC89" s="59"/>
      <c r="AD89" s="72"/>
      <c r="AE89" s="72"/>
      <c r="AF89" s="72"/>
      <c r="AG89" s="72"/>
      <c r="AH89" s="55" t="s">
        <v>2494</v>
      </c>
      <c r="AI89" s="72"/>
      <c r="AJ89" s="56" t="s">
        <v>2586</v>
      </c>
      <c r="AK89" s="77" t="str">
        <f aca="false">IF(AND(ISNUMBER(U89),ISNUMBER(V89),ISNUMBER(14_Cercania!$C$13),ISNUMBER(14_Cercania!$C$14)),6371*2*ASIN(SQRT(SIN(RADIANS(14_Cercania!$C$13-U89)/2)^2+COS(RADIANS(U89))*COS(RADIANS(14_Cercania!$C$13))*SIN(RADIANS(14_Cercania!$C$14-V89)/2)^2))+ROW()*0.000000001,"")</f>
        <v/>
      </c>
    </row>
    <row r="90" customFormat="false" ht="15" hidden="false" customHeight="false" outlineLevel="0" collapsed="false">
      <c r="A90" s="62" t="n">
        <v>88</v>
      </c>
      <c r="B90" s="63" t="s">
        <v>2809</v>
      </c>
      <c r="C90" s="62" t="s">
        <v>182</v>
      </c>
      <c r="D90" s="63" t="s">
        <v>2797</v>
      </c>
      <c r="E90" s="71"/>
      <c r="F90" s="57"/>
      <c r="G90" s="57"/>
      <c r="H90" s="72"/>
      <c r="I90" s="72"/>
      <c r="J90" s="62" t="s">
        <v>2810</v>
      </c>
      <c r="K90" s="72"/>
      <c r="L90" s="72"/>
      <c r="M90" s="63" t="s">
        <v>2811</v>
      </c>
      <c r="N90" s="57"/>
      <c r="O90" s="62" t="s">
        <v>197</v>
      </c>
      <c r="P90" s="78" t="s">
        <v>2489</v>
      </c>
      <c r="Q90" s="78" t="s">
        <v>2490</v>
      </c>
      <c r="R90" s="62" t="s">
        <v>2491</v>
      </c>
      <c r="S90" s="62" t="s">
        <v>2491</v>
      </c>
      <c r="T90" s="62" t="s">
        <v>2491</v>
      </c>
      <c r="U90" s="83"/>
      <c r="V90" s="83"/>
      <c r="W90" s="57" t="s">
        <v>2538</v>
      </c>
      <c r="X90" s="80" t="str">
        <f aca="false">HYPERLINK(IF(AND(ISNUMBER(U90),ISNUMBER(V90)),"https://www.google.com/maps/search/?api=1&amp;query="&amp;U90&amp;","&amp;V90,"https://www.google.com/maps/search/?api=1&amp;query="&amp;SUBSTITUTE(SUBSTITUTE(SUBSTITUTE(B90&amp;", "&amp;M90&amp;", Puno, Peru"," ","+"),"&amp;","y"),"#","")),"Ver en mapa")</f>
        <v>Ver en mapa</v>
      </c>
      <c r="Y90" s="62" t="s">
        <v>161</v>
      </c>
      <c r="Z90" s="63" t="s">
        <v>156</v>
      </c>
      <c r="AA90" s="72"/>
      <c r="AB90" s="59"/>
      <c r="AC90" s="59"/>
      <c r="AD90" s="72"/>
      <c r="AE90" s="72"/>
      <c r="AF90" s="72"/>
      <c r="AG90" s="72"/>
      <c r="AH90" s="62" t="s">
        <v>2494</v>
      </c>
      <c r="AI90" s="72"/>
      <c r="AJ90" s="63" t="s">
        <v>2586</v>
      </c>
      <c r="AK90" s="81" t="str">
        <f aca="false">IF(AND(ISNUMBER(U90),ISNUMBER(V90),ISNUMBER(14_Cercania!$C$13),ISNUMBER(14_Cercania!$C$14)),6371*2*ASIN(SQRT(SIN(RADIANS(14_Cercania!$C$13-U90)/2)^2+COS(RADIANS(U90))*COS(RADIANS(14_Cercania!$C$13))*SIN(RADIANS(14_Cercania!$C$14-V90)/2)^2))+ROW()*0.000000001,"")</f>
        <v/>
      </c>
    </row>
    <row r="91" customFormat="false" ht="15" hidden="false" customHeight="false" outlineLevel="0" collapsed="false">
      <c r="A91" s="55" t="n">
        <v>89</v>
      </c>
      <c r="B91" s="56" t="s">
        <v>2812</v>
      </c>
      <c r="C91" s="55" t="s">
        <v>182</v>
      </c>
      <c r="D91" s="56" t="s">
        <v>2813</v>
      </c>
      <c r="E91" s="71"/>
      <c r="F91" s="57"/>
      <c r="G91" s="57"/>
      <c r="H91" s="72"/>
      <c r="I91" s="72"/>
      <c r="J91" s="55" t="s">
        <v>2814</v>
      </c>
      <c r="K91" s="72"/>
      <c r="L91" s="72"/>
      <c r="M91" s="56" t="s">
        <v>2815</v>
      </c>
      <c r="N91" s="57"/>
      <c r="O91" s="55" t="s">
        <v>158</v>
      </c>
      <c r="P91" s="73" t="s">
        <v>2489</v>
      </c>
      <c r="Q91" s="73" t="s">
        <v>2490</v>
      </c>
      <c r="R91" s="55" t="s">
        <v>2491</v>
      </c>
      <c r="S91" s="55" t="s">
        <v>2491</v>
      </c>
      <c r="T91" s="55" t="s">
        <v>2491</v>
      </c>
      <c r="U91" s="83"/>
      <c r="V91" s="83"/>
      <c r="W91" s="57" t="s">
        <v>2538</v>
      </c>
      <c r="X91" s="76" t="str">
        <f aca="false">HYPERLINK(IF(AND(ISNUMBER(U91),ISNUMBER(V91)),"https://www.google.com/maps/search/?api=1&amp;query="&amp;U91&amp;","&amp;V91,"https://www.google.com/maps/search/?api=1&amp;query="&amp;SUBSTITUTE(SUBSTITUTE(SUBSTITUTE(B91&amp;", "&amp;M91&amp;", Puno, Peru"," ","+"),"&amp;","y"),"#","")),"Ver en mapa")</f>
        <v>Ver en mapa</v>
      </c>
      <c r="Y91" s="55" t="s">
        <v>161</v>
      </c>
      <c r="Z91" s="56" t="s">
        <v>2784</v>
      </c>
      <c r="AA91" s="72"/>
      <c r="AB91" s="59"/>
      <c r="AC91" s="59"/>
      <c r="AD91" s="72"/>
      <c r="AE91" s="72"/>
      <c r="AF91" s="72"/>
      <c r="AG91" s="72"/>
      <c r="AH91" s="55" t="s">
        <v>2494</v>
      </c>
      <c r="AI91" s="72"/>
      <c r="AJ91" s="56" t="s">
        <v>2586</v>
      </c>
      <c r="AK91" s="77" t="str">
        <f aca="false">IF(AND(ISNUMBER(U91),ISNUMBER(V91),ISNUMBER(14_Cercania!$C$13),ISNUMBER(14_Cercania!$C$14)),6371*2*ASIN(SQRT(SIN(RADIANS(14_Cercania!$C$13-U91)/2)^2+COS(RADIANS(U91))*COS(RADIANS(14_Cercania!$C$13))*SIN(RADIANS(14_Cercania!$C$14-V91)/2)^2))+ROW()*0.000000001,"")</f>
        <v/>
      </c>
    </row>
    <row r="92" customFormat="false" ht="15" hidden="false" customHeight="false" outlineLevel="0" collapsed="false">
      <c r="A92" s="62" t="n">
        <v>90</v>
      </c>
      <c r="B92" s="63" t="s">
        <v>2816</v>
      </c>
      <c r="C92" s="62" t="s">
        <v>171</v>
      </c>
      <c r="D92" s="63" t="s">
        <v>2817</v>
      </c>
      <c r="E92" s="71"/>
      <c r="F92" s="57"/>
      <c r="G92" s="57"/>
      <c r="H92" s="72"/>
      <c r="I92" s="72"/>
      <c r="J92" s="62" t="s">
        <v>2818</v>
      </c>
      <c r="K92" s="72"/>
      <c r="L92" s="72"/>
      <c r="M92" s="63" t="s">
        <v>2819</v>
      </c>
      <c r="N92" s="57"/>
      <c r="O92" s="62" t="s">
        <v>197</v>
      </c>
      <c r="P92" s="78" t="s">
        <v>2606</v>
      </c>
      <c r="Q92" s="78" t="s">
        <v>2490</v>
      </c>
      <c r="R92" s="62" t="s">
        <v>2491</v>
      </c>
      <c r="S92" s="62" t="s">
        <v>2491</v>
      </c>
      <c r="T92" s="62" t="s">
        <v>2491</v>
      </c>
      <c r="U92" s="83"/>
      <c r="V92" s="83"/>
      <c r="W92" s="57" t="s">
        <v>2538</v>
      </c>
      <c r="X92" s="80" t="str">
        <f aca="false">HYPERLINK(IF(AND(ISNUMBER(U92),ISNUMBER(V92)),"https://www.google.com/maps/search/?api=1&amp;query="&amp;U92&amp;","&amp;V92,"https://www.google.com/maps/search/?api=1&amp;query="&amp;SUBSTITUTE(SUBSTITUTE(SUBSTITUTE(B92&amp;", "&amp;M92&amp;", Puno, Peru"," ","+"),"&amp;","y"),"#","")),"Ver en mapa")</f>
        <v>Ver en mapa</v>
      </c>
      <c r="Y92" s="62" t="s">
        <v>157</v>
      </c>
      <c r="Z92" s="63" t="s">
        <v>164</v>
      </c>
      <c r="AA92" s="72"/>
      <c r="AB92" s="59"/>
      <c r="AC92" s="59"/>
      <c r="AD92" s="72"/>
      <c r="AE92" s="72"/>
      <c r="AF92" s="72"/>
      <c r="AG92" s="72"/>
      <c r="AH92" s="62" t="s">
        <v>2494</v>
      </c>
      <c r="AI92" s="72"/>
      <c r="AJ92" s="63" t="s">
        <v>2586</v>
      </c>
      <c r="AK92" s="81" t="str">
        <f aca="false">IF(AND(ISNUMBER(U92),ISNUMBER(V92),ISNUMBER(14_Cercania!$C$13),ISNUMBER(14_Cercania!$C$14)),6371*2*ASIN(SQRT(SIN(RADIANS(14_Cercania!$C$13-U92)/2)^2+COS(RADIANS(U92))*COS(RADIANS(14_Cercania!$C$13))*SIN(RADIANS(14_Cercania!$C$14-V92)/2)^2))+ROW()*0.000000001,"")</f>
        <v/>
      </c>
    </row>
    <row r="93" customFormat="false" ht="15" hidden="false" customHeight="false" outlineLevel="0" collapsed="false">
      <c r="A93" s="55" t="n">
        <v>91</v>
      </c>
      <c r="B93" s="56" t="s">
        <v>2820</v>
      </c>
      <c r="C93" s="55" t="s">
        <v>171</v>
      </c>
      <c r="D93" s="56" t="s">
        <v>2821</v>
      </c>
      <c r="E93" s="71"/>
      <c r="F93" s="57"/>
      <c r="G93" s="57"/>
      <c r="H93" s="72"/>
      <c r="I93" s="72"/>
      <c r="J93" s="55" t="s">
        <v>2822</v>
      </c>
      <c r="K93" s="72"/>
      <c r="L93" s="72"/>
      <c r="M93" s="56" t="s">
        <v>2823</v>
      </c>
      <c r="N93" s="57"/>
      <c r="O93" s="55" t="s">
        <v>158</v>
      </c>
      <c r="P93" s="73" t="s">
        <v>2489</v>
      </c>
      <c r="Q93" s="73" t="s">
        <v>2490</v>
      </c>
      <c r="R93" s="55" t="s">
        <v>2491</v>
      </c>
      <c r="S93" s="55" t="s">
        <v>2491</v>
      </c>
      <c r="T93" s="55" t="s">
        <v>2491</v>
      </c>
      <c r="U93" s="83"/>
      <c r="V93" s="83"/>
      <c r="W93" s="57" t="s">
        <v>2538</v>
      </c>
      <c r="X93" s="76" t="str">
        <f aca="false">HYPERLINK(IF(AND(ISNUMBER(U93),ISNUMBER(V93)),"https://www.google.com/maps/search/?api=1&amp;query="&amp;U93&amp;","&amp;V93,"https://www.google.com/maps/search/?api=1&amp;query="&amp;SUBSTITUTE(SUBSTITUTE(SUBSTITUTE(B93&amp;", "&amp;M93&amp;", Puno, Peru"," ","+"),"&amp;","y"),"#","")),"Ver en mapa")</f>
        <v>Ver en mapa</v>
      </c>
      <c r="Y93" s="55" t="s">
        <v>157</v>
      </c>
      <c r="Z93" s="56" t="s">
        <v>164</v>
      </c>
      <c r="AA93" s="72"/>
      <c r="AB93" s="59"/>
      <c r="AC93" s="59"/>
      <c r="AD93" s="72"/>
      <c r="AE93" s="72"/>
      <c r="AF93" s="72"/>
      <c r="AG93" s="72"/>
      <c r="AH93" s="55" t="s">
        <v>2494</v>
      </c>
      <c r="AI93" s="72"/>
      <c r="AJ93" s="56" t="s">
        <v>2586</v>
      </c>
      <c r="AK93" s="77" t="str">
        <f aca="false">IF(AND(ISNUMBER(U93),ISNUMBER(V93),ISNUMBER(14_Cercania!$C$13),ISNUMBER(14_Cercania!$C$14)),6371*2*ASIN(SQRT(SIN(RADIANS(14_Cercania!$C$13-U93)/2)^2+COS(RADIANS(U93))*COS(RADIANS(14_Cercania!$C$13))*SIN(RADIANS(14_Cercania!$C$14-V93)/2)^2))+ROW()*0.000000001,"")</f>
        <v/>
      </c>
    </row>
    <row r="94" customFormat="false" ht="15" hidden="false" customHeight="false" outlineLevel="0" collapsed="false">
      <c r="A94" s="62" t="n">
        <v>92</v>
      </c>
      <c r="B94" s="63" t="s">
        <v>2824</v>
      </c>
      <c r="C94" s="62" t="s">
        <v>203</v>
      </c>
      <c r="D94" s="63" t="s">
        <v>2825</v>
      </c>
      <c r="E94" s="71"/>
      <c r="F94" s="57"/>
      <c r="G94" s="57"/>
      <c r="H94" s="72"/>
      <c r="I94" s="72"/>
      <c r="J94" s="62" t="s">
        <v>2826</v>
      </c>
      <c r="K94" s="72"/>
      <c r="L94" s="72"/>
      <c r="M94" s="63" t="s">
        <v>2827</v>
      </c>
      <c r="N94" s="57"/>
      <c r="O94" s="62" t="s">
        <v>158</v>
      </c>
      <c r="P94" s="78" t="s">
        <v>2489</v>
      </c>
      <c r="Q94" s="78" t="s">
        <v>2490</v>
      </c>
      <c r="R94" s="62" t="s">
        <v>2491</v>
      </c>
      <c r="S94" s="62" t="s">
        <v>2491</v>
      </c>
      <c r="T94" s="62" t="s">
        <v>2491</v>
      </c>
      <c r="U94" s="83"/>
      <c r="V94" s="83"/>
      <c r="W94" s="57" t="s">
        <v>2538</v>
      </c>
      <c r="X94" s="80" t="str">
        <f aca="false">HYPERLINK(IF(AND(ISNUMBER(U94),ISNUMBER(V94)),"https://www.google.com/maps/search/?api=1&amp;query="&amp;U94&amp;","&amp;V94,"https://www.google.com/maps/search/?api=1&amp;query="&amp;SUBSTITUTE(SUBSTITUTE(SUBSTITUTE(B94&amp;", "&amp;M94&amp;", Puno, Peru"," ","+"),"&amp;","y"),"#","")),"Ver en mapa")</f>
        <v>Ver en mapa</v>
      </c>
      <c r="Y94" s="62" t="s">
        <v>161</v>
      </c>
      <c r="Z94" s="63" t="s">
        <v>2556</v>
      </c>
      <c r="AA94" s="72"/>
      <c r="AB94" s="59"/>
      <c r="AC94" s="59"/>
      <c r="AD94" s="72"/>
      <c r="AE94" s="72"/>
      <c r="AF94" s="72"/>
      <c r="AG94" s="72"/>
      <c r="AH94" s="62" t="s">
        <v>2494</v>
      </c>
      <c r="AI94" s="72"/>
      <c r="AJ94" s="63" t="s">
        <v>2586</v>
      </c>
      <c r="AK94" s="81" t="str">
        <f aca="false">IF(AND(ISNUMBER(U94),ISNUMBER(V94),ISNUMBER(14_Cercania!$C$13),ISNUMBER(14_Cercania!$C$14)),6371*2*ASIN(SQRT(SIN(RADIANS(14_Cercania!$C$13-U94)/2)^2+COS(RADIANS(U94))*COS(RADIANS(14_Cercania!$C$13))*SIN(RADIANS(14_Cercania!$C$14-V94)/2)^2))+ROW()*0.000000001,"")</f>
        <v/>
      </c>
    </row>
    <row r="95" customFormat="false" ht="15" hidden="false" customHeight="false" outlineLevel="0" collapsed="false">
      <c r="A95" s="55" t="n">
        <v>93</v>
      </c>
      <c r="B95" s="56" t="s">
        <v>2828</v>
      </c>
      <c r="C95" s="55" t="s">
        <v>203</v>
      </c>
      <c r="D95" s="56" t="s">
        <v>2829</v>
      </c>
      <c r="E95" s="71"/>
      <c r="F95" s="57"/>
      <c r="G95" s="57"/>
      <c r="H95" s="72"/>
      <c r="I95" s="72"/>
      <c r="J95" s="55" t="s">
        <v>2830</v>
      </c>
      <c r="K95" s="72"/>
      <c r="L95" s="72"/>
      <c r="M95" s="56" t="s">
        <v>2831</v>
      </c>
      <c r="N95" s="57"/>
      <c r="O95" s="55" t="s">
        <v>197</v>
      </c>
      <c r="P95" s="73" t="s">
        <v>2489</v>
      </c>
      <c r="Q95" s="73" t="s">
        <v>2490</v>
      </c>
      <c r="R95" s="55" t="s">
        <v>2491</v>
      </c>
      <c r="S95" s="55" t="s">
        <v>2491</v>
      </c>
      <c r="T95" s="55" t="s">
        <v>2491</v>
      </c>
      <c r="U95" s="83"/>
      <c r="V95" s="83"/>
      <c r="W95" s="57" t="s">
        <v>2538</v>
      </c>
      <c r="X95" s="76" t="str">
        <f aca="false">HYPERLINK(IF(AND(ISNUMBER(U95),ISNUMBER(V95)),"https://www.google.com/maps/search/?api=1&amp;query="&amp;U95&amp;","&amp;V95,"https://www.google.com/maps/search/?api=1&amp;query="&amp;SUBSTITUTE(SUBSTITUTE(SUBSTITUTE(B95&amp;", "&amp;M95&amp;", Puno, Peru"," ","+"),"&amp;","y"),"#","")),"Ver en mapa")</f>
        <v>Ver en mapa</v>
      </c>
      <c r="Y95" s="55" t="s">
        <v>165</v>
      </c>
      <c r="Z95" s="56" t="s">
        <v>2832</v>
      </c>
      <c r="AA95" s="72"/>
      <c r="AB95" s="59"/>
      <c r="AC95" s="59"/>
      <c r="AD95" s="72"/>
      <c r="AE95" s="72"/>
      <c r="AF95" s="72"/>
      <c r="AG95" s="72"/>
      <c r="AH95" s="55" t="s">
        <v>2494</v>
      </c>
      <c r="AI95" s="72"/>
      <c r="AJ95" s="56" t="s">
        <v>2586</v>
      </c>
      <c r="AK95" s="77" t="str">
        <f aca="false">IF(AND(ISNUMBER(U95),ISNUMBER(V95),ISNUMBER(14_Cercania!$C$13),ISNUMBER(14_Cercania!$C$14)),6371*2*ASIN(SQRT(SIN(RADIANS(14_Cercania!$C$13-U95)/2)^2+COS(RADIANS(U95))*COS(RADIANS(14_Cercania!$C$13))*SIN(RADIANS(14_Cercania!$C$14-V95)/2)^2))+ROW()*0.000000001,"")</f>
        <v/>
      </c>
    </row>
    <row r="96" customFormat="false" ht="35.05" hidden="false" customHeight="false" outlineLevel="0" collapsed="false">
      <c r="A96" s="62" t="n">
        <v>94</v>
      </c>
      <c r="B96" s="63" t="s">
        <v>2833</v>
      </c>
      <c r="C96" s="62" t="s">
        <v>203</v>
      </c>
      <c r="D96" s="63" t="s">
        <v>2834</v>
      </c>
      <c r="E96" s="71"/>
      <c r="F96" s="57"/>
      <c r="G96" s="57"/>
      <c r="H96" s="72"/>
      <c r="I96" s="72"/>
      <c r="J96" s="62" t="s">
        <v>2835</v>
      </c>
      <c r="K96" s="72"/>
      <c r="L96" s="72"/>
      <c r="M96" s="63" t="s">
        <v>2836</v>
      </c>
      <c r="N96" s="57"/>
      <c r="O96" s="62" t="s">
        <v>197</v>
      </c>
      <c r="P96" s="78" t="s">
        <v>2489</v>
      </c>
      <c r="Q96" s="78" t="s">
        <v>2490</v>
      </c>
      <c r="R96" s="62" t="s">
        <v>2491</v>
      </c>
      <c r="S96" s="62" t="s">
        <v>2491</v>
      </c>
      <c r="T96" s="62" t="s">
        <v>2491</v>
      </c>
      <c r="U96" s="79" t="n">
        <v>-15.8416547</v>
      </c>
      <c r="V96" s="79" t="n">
        <v>-70.0266023</v>
      </c>
      <c r="W96" s="82" t="s">
        <v>2543</v>
      </c>
      <c r="X96" s="80" t="str">
        <f aca="false">HYPERLINK(IF(AND(ISNUMBER(U96),ISNUMBER(V96)),"https://www.google.com/maps/search/?api=1&amp;query="&amp;U96&amp;","&amp;V96,"https://www.google.com/maps/search/?api=1&amp;query="&amp;SUBSTITUTE(SUBSTITUTE(SUBSTITUTE(B96&amp;", "&amp;M96&amp;", Puno, Peru"," ","+"),"&amp;","y"),"#","")),"Ver en mapa")</f>
        <v>Ver en mapa</v>
      </c>
      <c r="Y96" s="62" t="s">
        <v>161</v>
      </c>
      <c r="Z96" s="63" t="s">
        <v>2832</v>
      </c>
      <c r="AA96" s="72"/>
      <c r="AB96" s="59"/>
      <c r="AC96" s="59"/>
      <c r="AD96" s="72"/>
      <c r="AE96" s="72"/>
      <c r="AF96" s="72"/>
      <c r="AG96" s="72"/>
      <c r="AH96" s="62" t="s">
        <v>2494</v>
      </c>
      <c r="AI96" s="72"/>
      <c r="AJ96" s="63" t="s">
        <v>2837</v>
      </c>
      <c r="AK96" s="81" t="n">
        <f aca="false">IF(AND(ISNUMBER(U96),ISNUMBER(V96),ISNUMBER(14_Cercania!$C$13),ISNUMBER(14_Cercania!$C$14)),6371*2*ASIN(SQRT(SIN(RADIANS(14_Cercania!$C$13-U96)/2)^2+COS(RADIANS(U96))*COS(RADIANS(14_Cercania!$C$13))*SIN(RADIANS(14_Cercania!$C$14-V96)/2)^2))+ROW()*0.000000001,"")</f>
        <v>0.971795372116688</v>
      </c>
    </row>
    <row r="97" customFormat="false" ht="23.85" hidden="false" customHeight="false" outlineLevel="0" collapsed="false">
      <c r="A97" s="55" t="n">
        <v>95</v>
      </c>
      <c r="B97" s="56" t="s">
        <v>2838</v>
      </c>
      <c r="C97" s="55" t="s">
        <v>201</v>
      </c>
      <c r="D97" s="56" t="s">
        <v>2839</v>
      </c>
      <c r="E97" s="71"/>
      <c r="F97" s="57"/>
      <c r="G97" s="57"/>
      <c r="H97" s="72"/>
      <c r="I97" s="72"/>
      <c r="J97" s="55" t="s">
        <v>2840</v>
      </c>
      <c r="K97" s="72"/>
      <c r="L97" s="72"/>
      <c r="M97" s="56" t="s">
        <v>2542</v>
      </c>
      <c r="N97" s="57"/>
      <c r="O97" s="55" t="s">
        <v>158</v>
      </c>
      <c r="P97" s="73" t="s">
        <v>2489</v>
      </c>
      <c r="Q97" s="73" t="s">
        <v>2490</v>
      </c>
      <c r="R97" s="55" t="s">
        <v>2491</v>
      </c>
      <c r="S97" s="55" t="s">
        <v>2491</v>
      </c>
      <c r="T97" s="55" t="s">
        <v>2491</v>
      </c>
      <c r="U97" s="74" t="n">
        <v>-15.8420245</v>
      </c>
      <c r="V97" s="74" t="n">
        <v>-70.0284314</v>
      </c>
      <c r="W97" s="75" t="s">
        <v>2492</v>
      </c>
      <c r="X97" s="76" t="str">
        <f aca="false">HYPERLINK(IF(AND(ISNUMBER(U97),ISNUMBER(V97)),"https://www.google.com/maps/search/?api=1&amp;query="&amp;U97&amp;","&amp;V97,"https://www.google.com/maps/search/?api=1&amp;query="&amp;SUBSTITUTE(SUBSTITUTE(SUBSTITUTE(B97&amp;", "&amp;M97&amp;", Puno, Peru"," ","+"),"&amp;","y"),"#","")),"Ver en mapa")</f>
        <v>Ver en mapa</v>
      </c>
      <c r="Y97" s="55" t="s">
        <v>165</v>
      </c>
      <c r="Z97" s="56" t="s">
        <v>164</v>
      </c>
      <c r="AA97" s="72"/>
      <c r="AB97" s="59"/>
      <c r="AC97" s="59"/>
      <c r="AD97" s="72"/>
      <c r="AE97" s="72"/>
      <c r="AF97" s="72"/>
      <c r="AG97" s="72"/>
      <c r="AH97" s="55" t="s">
        <v>2494</v>
      </c>
      <c r="AI97" s="72"/>
      <c r="AJ97" s="56" t="s">
        <v>2495</v>
      </c>
      <c r="AK97" s="77" t="n">
        <f aca="false">IF(AND(ISNUMBER(U97),ISNUMBER(V97),ISNUMBER(14_Cercania!$C$13),ISNUMBER(14_Cercania!$C$14)),6371*2*ASIN(SQRT(SIN(RADIANS(14_Cercania!$C$13-U97)/2)^2+COS(RADIANS(U97))*COS(RADIANS(14_Cercania!$C$13))*SIN(RADIANS(14_Cercania!$C$14-V97)/2)^2))+ROW()*0.000000001,"")</f>
        <v>1.09165691001011</v>
      </c>
    </row>
    <row r="98" customFormat="false" ht="15" hidden="false" customHeight="false" outlineLevel="0" collapsed="false">
      <c r="A98" s="62" t="n">
        <v>96</v>
      </c>
      <c r="B98" s="63" t="s">
        <v>2841</v>
      </c>
      <c r="C98" s="62" t="s">
        <v>201</v>
      </c>
      <c r="D98" s="63" t="s">
        <v>2839</v>
      </c>
      <c r="E98" s="71"/>
      <c r="F98" s="57"/>
      <c r="G98" s="57"/>
      <c r="H98" s="72"/>
      <c r="I98" s="72"/>
      <c r="J98" s="62" t="s">
        <v>2842</v>
      </c>
      <c r="K98" s="72"/>
      <c r="L98" s="72"/>
      <c r="M98" s="63" t="s">
        <v>2843</v>
      </c>
      <c r="N98" s="57"/>
      <c r="O98" s="62" t="s">
        <v>197</v>
      </c>
      <c r="P98" s="78" t="s">
        <v>2489</v>
      </c>
      <c r="Q98" s="78" t="s">
        <v>2490</v>
      </c>
      <c r="R98" s="62" t="s">
        <v>2491</v>
      </c>
      <c r="S98" s="62" t="s">
        <v>2491</v>
      </c>
      <c r="T98" s="62" t="s">
        <v>2491</v>
      </c>
      <c r="U98" s="83"/>
      <c r="V98" s="83"/>
      <c r="W98" s="57" t="s">
        <v>2538</v>
      </c>
      <c r="X98" s="80" t="str">
        <f aca="false">HYPERLINK(IF(AND(ISNUMBER(U98),ISNUMBER(V98)),"https://www.google.com/maps/search/?api=1&amp;query="&amp;U98&amp;","&amp;V98,"https://www.google.com/maps/search/?api=1&amp;query="&amp;SUBSTITUTE(SUBSTITUTE(SUBSTITUTE(B98&amp;", "&amp;M98&amp;", Puno, Peru"," ","+"),"&amp;","y"),"#","")),"Ver en mapa")</f>
        <v>Ver en mapa</v>
      </c>
      <c r="Y98" s="62" t="s">
        <v>165</v>
      </c>
      <c r="Z98" s="63" t="s">
        <v>164</v>
      </c>
      <c r="AA98" s="72"/>
      <c r="AB98" s="59"/>
      <c r="AC98" s="59"/>
      <c r="AD98" s="72"/>
      <c r="AE98" s="72"/>
      <c r="AF98" s="72"/>
      <c r="AG98" s="72"/>
      <c r="AH98" s="62" t="s">
        <v>2494</v>
      </c>
      <c r="AI98" s="72"/>
      <c r="AJ98" s="63" t="s">
        <v>2586</v>
      </c>
      <c r="AK98" s="81" t="str">
        <f aca="false">IF(AND(ISNUMBER(U98),ISNUMBER(V98),ISNUMBER(14_Cercania!$C$13),ISNUMBER(14_Cercania!$C$14)),6371*2*ASIN(SQRT(SIN(RADIANS(14_Cercania!$C$13-U98)/2)^2+COS(RADIANS(U98))*COS(RADIANS(14_Cercania!$C$13))*SIN(RADIANS(14_Cercania!$C$14-V98)/2)^2))+ROW()*0.000000001,"")</f>
        <v/>
      </c>
    </row>
    <row r="99" customFormat="false" ht="23.85" hidden="false" customHeight="false" outlineLevel="0" collapsed="false">
      <c r="A99" s="55" t="n">
        <v>97</v>
      </c>
      <c r="B99" s="56" t="s">
        <v>2844</v>
      </c>
      <c r="C99" s="55" t="s">
        <v>194</v>
      </c>
      <c r="D99" s="56" t="s">
        <v>2845</v>
      </c>
      <c r="E99" s="71"/>
      <c r="F99" s="57"/>
      <c r="G99" s="57"/>
      <c r="H99" s="72"/>
      <c r="I99" s="55" t="s">
        <v>2846</v>
      </c>
      <c r="J99" s="72"/>
      <c r="K99" s="72"/>
      <c r="L99" s="72"/>
      <c r="M99" s="56" t="s">
        <v>2847</v>
      </c>
      <c r="N99" s="57"/>
      <c r="O99" s="55" t="s">
        <v>158</v>
      </c>
      <c r="P99" s="73" t="s">
        <v>2489</v>
      </c>
      <c r="Q99" s="73" t="s">
        <v>2490</v>
      </c>
      <c r="R99" s="55" t="s">
        <v>2491</v>
      </c>
      <c r="S99" s="55" t="s">
        <v>2491</v>
      </c>
      <c r="T99" s="55" t="s">
        <v>2491</v>
      </c>
      <c r="U99" s="74" t="n">
        <v>-15.8386982</v>
      </c>
      <c r="V99" s="74" t="n">
        <v>-70.0248117</v>
      </c>
      <c r="W99" s="75" t="s">
        <v>2492</v>
      </c>
      <c r="X99" s="76" t="str">
        <f aca="false">HYPERLINK(IF(AND(ISNUMBER(U99),ISNUMBER(V99)),"https://www.google.com/maps/search/?api=1&amp;query="&amp;U99&amp;","&amp;V99,"https://www.google.com/maps/search/?api=1&amp;query="&amp;SUBSTITUTE(SUBSTITUTE(SUBSTITUTE(B99&amp;", "&amp;M99&amp;", Puno, Peru"," ","+"),"&amp;","y"),"#","")),"Ver en mapa")</f>
        <v>Ver en mapa</v>
      </c>
      <c r="Y99" s="55" t="s">
        <v>161</v>
      </c>
      <c r="Z99" s="56" t="s">
        <v>2560</v>
      </c>
      <c r="AA99" s="72"/>
      <c r="AB99" s="59"/>
      <c r="AC99" s="59"/>
      <c r="AD99" s="72"/>
      <c r="AE99" s="72"/>
      <c r="AF99" s="72"/>
      <c r="AG99" s="72"/>
      <c r="AH99" s="55" t="s">
        <v>2494</v>
      </c>
      <c r="AI99" s="72"/>
      <c r="AJ99" s="56" t="s">
        <v>2495</v>
      </c>
      <c r="AK99" s="77" t="n">
        <f aca="false">IF(AND(ISNUMBER(U99),ISNUMBER(V99),ISNUMBER(14_Cercania!$C$13),ISNUMBER(14_Cercania!$C$14)),6371*2*ASIN(SQRT(SIN(RADIANS(14_Cercania!$C$13-U99)/2)^2+COS(RADIANS(U99))*COS(RADIANS(14_Cercania!$C$13))*SIN(RADIANS(14_Cercania!$C$14-V99)/2)^2))+ROW()*0.000000001,"")</f>
        <v>0.600457288727183</v>
      </c>
    </row>
    <row r="100" customFormat="false" ht="15" hidden="false" customHeight="false" outlineLevel="0" collapsed="false">
      <c r="A100" s="62" t="n">
        <v>98</v>
      </c>
      <c r="B100" s="63" t="s">
        <v>2848</v>
      </c>
      <c r="C100" s="62" t="s">
        <v>171</v>
      </c>
      <c r="D100" s="63" t="s">
        <v>2849</v>
      </c>
      <c r="E100" s="71"/>
      <c r="F100" s="57"/>
      <c r="G100" s="57"/>
      <c r="H100" s="72"/>
      <c r="I100" s="72"/>
      <c r="J100" s="72"/>
      <c r="K100" s="72"/>
      <c r="L100" s="72"/>
      <c r="M100" s="63" t="s">
        <v>2491</v>
      </c>
      <c r="N100" s="57"/>
      <c r="O100" s="62" t="s">
        <v>197</v>
      </c>
      <c r="P100" s="78" t="s">
        <v>2489</v>
      </c>
      <c r="Q100" s="78" t="s">
        <v>2490</v>
      </c>
      <c r="R100" s="62" t="s">
        <v>2491</v>
      </c>
      <c r="S100" s="62" t="s">
        <v>2491</v>
      </c>
      <c r="T100" s="62" t="s">
        <v>2491</v>
      </c>
      <c r="U100" s="83"/>
      <c r="V100" s="83"/>
      <c r="W100" s="57" t="s">
        <v>2538</v>
      </c>
      <c r="X100" s="80" t="str">
        <f aca="false">HYPERLINK(IF(AND(ISNUMBER(U100),ISNUMBER(V100)),"https://www.google.com/maps/search/?api=1&amp;query="&amp;U100&amp;","&amp;V100,"https://www.google.com/maps/search/?api=1&amp;query="&amp;SUBSTITUTE(SUBSTITUTE(SUBSTITUTE(B100&amp;", "&amp;M100&amp;", Puno, Peru"," ","+"),"&amp;","y"),"#","")),"Ver en mapa")</f>
        <v>Ver en mapa</v>
      </c>
      <c r="Y100" s="62" t="s">
        <v>157</v>
      </c>
      <c r="Z100" s="63" t="s">
        <v>164</v>
      </c>
      <c r="AA100" s="72"/>
      <c r="AB100" s="59"/>
      <c r="AC100" s="59"/>
      <c r="AD100" s="72"/>
      <c r="AE100" s="72"/>
      <c r="AF100" s="72"/>
      <c r="AG100" s="72"/>
      <c r="AH100" s="62" t="s">
        <v>2494</v>
      </c>
      <c r="AI100" s="72"/>
      <c r="AJ100" s="63" t="s">
        <v>2618</v>
      </c>
      <c r="AK100" s="81" t="str">
        <f aca="false">IF(AND(ISNUMBER(U100),ISNUMBER(V100),ISNUMBER(14_Cercania!$C$13),ISNUMBER(14_Cercania!$C$14)),6371*2*ASIN(SQRT(SIN(RADIANS(14_Cercania!$C$13-U100)/2)^2+COS(RADIANS(U100))*COS(RADIANS(14_Cercania!$C$13))*SIN(RADIANS(14_Cercania!$C$14-V100)/2)^2))+ROW()*0.000000001,"")</f>
        <v/>
      </c>
    </row>
    <row r="101" customFormat="false" ht="23.85" hidden="false" customHeight="false" outlineLevel="0" collapsed="false">
      <c r="A101" s="55" t="n">
        <v>99</v>
      </c>
      <c r="B101" s="56" t="s">
        <v>2850</v>
      </c>
      <c r="C101" s="55" t="s">
        <v>190</v>
      </c>
      <c r="D101" s="56" t="s">
        <v>2851</v>
      </c>
      <c r="E101" s="71"/>
      <c r="F101" s="57"/>
      <c r="G101" s="57"/>
      <c r="H101" s="72"/>
      <c r="I101" s="72"/>
      <c r="J101" s="72"/>
      <c r="K101" s="72"/>
      <c r="L101" s="72"/>
      <c r="M101" s="56" t="s">
        <v>2852</v>
      </c>
      <c r="N101" s="57"/>
      <c r="O101" s="55" t="s">
        <v>162</v>
      </c>
      <c r="P101" s="73" t="s">
        <v>2489</v>
      </c>
      <c r="Q101" s="73" t="s">
        <v>2490</v>
      </c>
      <c r="R101" s="55" t="s">
        <v>2491</v>
      </c>
      <c r="S101" s="55" t="s">
        <v>2491</v>
      </c>
      <c r="T101" s="55" t="s">
        <v>2491</v>
      </c>
      <c r="U101" s="83"/>
      <c r="V101" s="83"/>
      <c r="W101" s="57" t="s">
        <v>2538</v>
      </c>
      <c r="X101" s="76" t="str">
        <f aca="false">HYPERLINK(IF(AND(ISNUMBER(U101),ISNUMBER(V101)),"https://www.google.com/maps/search/?api=1&amp;query="&amp;U101&amp;","&amp;V101,"https://www.google.com/maps/search/?api=1&amp;query="&amp;SUBSTITUTE(SUBSTITUTE(SUBSTITUTE(B101&amp;", "&amp;M101&amp;", Puno, Peru"," ","+"),"&amp;","y"),"#","")),"Ver en mapa")</f>
        <v>Ver en mapa</v>
      </c>
      <c r="Y101" s="55" t="s">
        <v>157</v>
      </c>
      <c r="Z101" s="56" t="s">
        <v>2853</v>
      </c>
      <c r="AA101" s="72"/>
      <c r="AB101" s="59"/>
      <c r="AC101" s="59"/>
      <c r="AD101" s="72"/>
      <c r="AE101" s="72"/>
      <c r="AF101" s="72"/>
      <c r="AG101" s="72"/>
      <c r="AH101" s="55" t="s">
        <v>2494</v>
      </c>
      <c r="AI101" s="72"/>
      <c r="AJ101" s="56" t="s">
        <v>2854</v>
      </c>
      <c r="AK101" s="77" t="str">
        <f aca="false">IF(AND(ISNUMBER(U101),ISNUMBER(V101),ISNUMBER(14_Cercania!$C$13),ISNUMBER(14_Cercania!$C$14)),6371*2*ASIN(SQRT(SIN(RADIANS(14_Cercania!$C$13-U101)/2)^2+COS(RADIANS(U101))*COS(RADIANS(14_Cercania!$C$13))*SIN(RADIANS(14_Cercania!$C$14-V101)/2)^2))+ROW()*0.000000001,"")</f>
        <v/>
      </c>
    </row>
    <row r="102" customFormat="false" ht="35.05" hidden="false" customHeight="false" outlineLevel="0" collapsed="false">
      <c r="A102" s="62" t="n">
        <v>100</v>
      </c>
      <c r="B102" s="63" t="s">
        <v>2855</v>
      </c>
      <c r="C102" s="62" t="s">
        <v>190</v>
      </c>
      <c r="D102" s="63" t="s">
        <v>2856</v>
      </c>
      <c r="E102" s="71"/>
      <c r="F102" s="57"/>
      <c r="G102" s="57"/>
      <c r="H102" s="72"/>
      <c r="I102" s="72"/>
      <c r="J102" s="72"/>
      <c r="K102" s="72"/>
      <c r="L102" s="72"/>
      <c r="M102" s="63" t="s">
        <v>166</v>
      </c>
      <c r="N102" s="57"/>
      <c r="O102" s="62" t="s">
        <v>166</v>
      </c>
      <c r="P102" s="78" t="s">
        <v>2489</v>
      </c>
      <c r="Q102" s="78" t="s">
        <v>2490</v>
      </c>
      <c r="R102" s="62" t="s">
        <v>2491</v>
      </c>
      <c r="S102" s="62" t="s">
        <v>2491</v>
      </c>
      <c r="T102" s="62" t="s">
        <v>2491</v>
      </c>
      <c r="U102" s="79" t="n">
        <v>-15.8334622</v>
      </c>
      <c r="V102" s="79" t="n">
        <v>-70.0234387</v>
      </c>
      <c r="W102" s="75" t="s">
        <v>2492</v>
      </c>
      <c r="X102" s="80" t="str">
        <f aca="false">HYPERLINK(IF(AND(ISNUMBER(U102),ISNUMBER(V102)),"https://www.google.com/maps/search/?api=1&amp;query="&amp;U102&amp;","&amp;V102,"https://www.google.com/maps/search/?api=1&amp;query="&amp;SUBSTITUTE(SUBSTITUTE(SUBSTITUTE(B102&amp;", "&amp;M102&amp;", Puno, Peru"," ","+"),"&amp;","y"),"#","")),"Ver en mapa")</f>
        <v>Ver en mapa</v>
      </c>
      <c r="Y102" s="62" t="s">
        <v>157</v>
      </c>
      <c r="Z102" s="63" t="s">
        <v>2857</v>
      </c>
      <c r="AA102" s="72"/>
      <c r="AB102" s="59"/>
      <c r="AC102" s="59"/>
      <c r="AD102" s="72"/>
      <c r="AE102" s="72"/>
      <c r="AF102" s="72"/>
      <c r="AG102" s="72"/>
      <c r="AH102" s="62" t="s">
        <v>2494</v>
      </c>
      <c r="AI102" s="72"/>
      <c r="AJ102" s="63" t="s">
        <v>2858</v>
      </c>
      <c r="AK102" s="81" t="n">
        <f aca="false">IF(AND(ISNUMBER(U102),ISNUMBER(V102),ISNUMBER(14_Cercania!$C$13),ISNUMBER(14_Cercania!$C$14)),6371*2*ASIN(SQRT(SIN(RADIANS(14_Cercania!$C$13-U102)/2)^2+COS(RADIANS(U102))*COS(RADIANS(14_Cercania!$C$13))*SIN(RADIANS(14_Cercania!$C$14-V102)/2)^2))+ROW()*0.000000001,"")</f>
        <v>1.02E-007</v>
      </c>
    </row>
    <row r="103" customFormat="false" ht="23.85" hidden="false" customHeight="false" outlineLevel="0" collapsed="false">
      <c r="A103" s="55" t="n">
        <v>101</v>
      </c>
      <c r="B103" s="56" t="s">
        <v>2859</v>
      </c>
      <c r="C103" s="55" t="s">
        <v>190</v>
      </c>
      <c r="D103" s="56" t="s">
        <v>2860</v>
      </c>
      <c r="E103" s="71"/>
      <c r="F103" s="57"/>
      <c r="G103" s="57"/>
      <c r="H103" s="72"/>
      <c r="I103" s="72"/>
      <c r="J103" s="72"/>
      <c r="K103" s="72"/>
      <c r="L103" s="72"/>
      <c r="M103" s="56" t="s">
        <v>2861</v>
      </c>
      <c r="N103" s="57"/>
      <c r="O103" s="55" t="s">
        <v>197</v>
      </c>
      <c r="P103" s="73" t="s">
        <v>2606</v>
      </c>
      <c r="Q103" s="73" t="s">
        <v>2490</v>
      </c>
      <c r="R103" s="55" t="s">
        <v>2491</v>
      </c>
      <c r="S103" s="55" t="s">
        <v>2491</v>
      </c>
      <c r="T103" s="55" t="s">
        <v>2491</v>
      </c>
      <c r="U103" s="83"/>
      <c r="V103" s="83"/>
      <c r="W103" s="57" t="s">
        <v>2538</v>
      </c>
      <c r="X103" s="76" t="str">
        <f aca="false">HYPERLINK(IF(AND(ISNUMBER(U103),ISNUMBER(V103)),"https://www.google.com/maps/search/?api=1&amp;query="&amp;U103&amp;","&amp;V103,"https://www.google.com/maps/search/?api=1&amp;query="&amp;SUBSTITUTE(SUBSTITUTE(SUBSTITUTE(B103&amp;", "&amp;M103&amp;", Puno, Peru"," ","+"),"&amp;","y"),"#","")),"Ver en mapa")</f>
        <v>Ver en mapa</v>
      </c>
      <c r="Y103" s="55" t="s">
        <v>157</v>
      </c>
      <c r="Z103" s="56" t="s">
        <v>2862</v>
      </c>
      <c r="AA103" s="72"/>
      <c r="AB103" s="59"/>
      <c r="AC103" s="59"/>
      <c r="AD103" s="72"/>
      <c r="AE103" s="72"/>
      <c r="AF103" s="72"/>
      <c r="AG103" s="72"/>
      <c r="AH103" s="55" t="s">
        <v>2494</v>
      </c>
      <c r="AI103" s="72"/>
      <c r="AJ103" s="56" t="s">
        <v>2863</v>
      </c>
      <c r="AK103" s="77" t="str">
        <f aca="false">IF(AND(ISNUMBER(U103),ISNUMBER(V103),ISNUMBER(14_Cercania!$C$13),ISNUMBER(14_Cercania!$C$14)),6371*2*ASIN(SQRT(SIN(RADIANS(14_Cercania!$C$13-U103)/2)^2+COS(RADIANS(U103))*COS(RADIANS(14_Cercania!$C$13))*SIN(RADIANS(14_Cercania!$C$14-V103)/2)^2))+ROW()*0.000000001,"")</f>
        <v/>
      </c>
    </row>
    <row r="104" customFormat="false" ht="23.85" hidden="false" customHeight="false" outlineLevel="0" collapsed="false">
      <c r="A104" s="62" t="n">
        <v>102</v>
      </c>
      <c r="B104" s="63" t="s">
        <v>2864</v>
      </c>
      <c r="C104" s="62" t="s">
        <v>188</v>
      </c>
      <c r="D104" s="63" t="s">
        <v>2865</v>
      </c>
      <c r="E104" s="71"/>
      <c r="F104" s="57"/>
      <c r="G104" s="57"/>
      <c r="H104" s="72"/>
      <c r="I104" s="72"/>
      <c r="J104" s="72"/>
      <c r="K104" s="72"/>
      <c r="L104" s="72"/>
      <c r="M104" s="63" t="s">
        <v>2866</v>
      </c>
      <c r="N104" s="57"/>
      <c r="O104" s="62" t="s">
        <v>158</v>
      </c>
      <c r="P104" s="78" t="s">
        <v>2489</v>
      </c>
      <c r="Q104" s="78" t="s">
        <v>2490</v>
      </c>
      <c r="R104" s="62" t="s">
        <v>2491</v>
      </c>
      <c r="S104" s="62" t="s">
        <v>2491</v>
      </c>
      <c r="T104" s="62" t="s">
        <v>2491</v>
      </c>
      <c r="U104" s="83"/>
      <c r="V104" s="83"/>
      <c r="W104" s="57" t="s">
        <v>2538</v>
      </c>
      <c r="X104" s="80" t="str">
        <f aca="false">HYPERLINK(IF(AND(ISNUMBER(U104),ISNUMBER(V104)),"https://www.google.com/maps/search/?api=1&amp;query="&amp;U104&amp;","&amp;V104,"https://www.google.com/maps/search/?api=1&amp;query="&amp;SUBSTITUTE(SUBSTITUTE(SUBSTITUTE(B104&amp;", "&amp;M104&amp;", Puno, Peru"," ","+"),"&amp;","y"),"#","")),"Ver en mapa")</f>
        <v>Ver en mapa</v>
      </c>
      <c r="Y104" s="62" t="s">
        <v>157</v>
      </c>
      <c r="Z104" s="63" t="s">
        <v>175</v>
      </c>
      <c r="AA104" s="72"/>
      <c r="AB104" s="59"/>
      <c r="AC104" s="59"/>
      <c r="AD104" s="72"/>
      <c r="AE104" s="72"/>
      <c r="AF104" s="72"/>
      <c r="AG104" s="72"/>
      <c r="AH104" s="62" t="s">
        <v>2494</v>
      </c>
      <c r="AI104" s="72"/>
      <c r="AJ104" s="63" t="s">
        <v>2867</v>
      </c>
      <c r="AK104" s="81" t="str">
        <f aca="false">IF(AND(ISNUMBER(U104),ISNUMBER(V104),ISNUMBER(14_Cercania!$C$13),ISNUMBER(14_Cercania!$C$14)),6371*2*ASIN(SQRT(SIN(RADIANS(14_Cercania!$C$13-U104)/2)^2+COS(RADIANS(U104))*COS(RADIANS(14_Cercania!$C$13))*SIN(RADIANS(14_Cercania!$C$14-V104)/2)^2))+ROW()*0.000000001,"")</f>
        <v/>
      </c>
    </row>
    <row r="105" customFormat="false" ht="15" hidden="false" customHeight="false" outlineLevel="0" collapsed="false">
      <c r="A105" s="55" t="n">
        <v>103</v>
      </c>
      <c r="B105" s="56" t="s">
        <v>2868</v>
      </c>
      <c r="C105" s="55" t="s">
        <v>188</v>
      </c>
      <c r="D105" s="56" t="s">
        <v>2869</v>
      </c>
      <c r="E105" s="71"/>
      <c r="F105" s="57"/>
      <c r="G105" s="57"/>
      <c r="H105" s="72"/>
      <c r="I105" s="72"/>
      <c r="J105" s="72"/>
      <c r="K105" s="72"/>
      <c r="L105" s="72"/>
      <c r="M105" s="56" t="s">
        <v>2870</v>
      </c>
      <c r="N105" s="57"/>
      <c r="O105" s="55" t="s">
        <v>162</v>
      </c>
      <c r="P105" s="73" t="s">
        <v>2489</v>
      </c>
      <c r="Q105" s="73" t="s">
        <v>2490</v>
      </c>
      <c r="R105" s="55" t="s">
        <v>2491</v>
      </c>
      <c r="S105" s="55" t="s">
        <v>2491</v>
      </c>
      <c r="T105" s="55" t="s">
        <v>2491</v>
      </c>
      <c r="U105" s="83"/>
      <c r="V105" s="83"/>
      <c r="W105" s="57" t="s">
        <v>2538</v>
      </c>
      <c r="X105" s="76" t="str">
        <f aca="false">HYPERLINK(IF(AND(ISNUMBER(U105),ISNUMBER(V105)),"https://www.google.com/maps/search/?api=1&amp;query="&amp;U105&amp;","&amp;V105,"https://www.google.com/maps/search/?api=1&amp;query="&amp;SUBSTITUTE(SUBSTITUTE(SUBSTITUTE(B105&amp;", "&amp;M105&amp;", Puno, Peru"," ","+"),"&amp;","y"),"#","")),"Ver en mapa")</f>
        <v>Ver en mapa</v>
      </c>
      <c r="Y105" s="55" t="s">
        <v>157</v>
      </c>
      <c r="Z105" s="56" t="s">
        <v>175</v>
      </c>
      <c r="AA105" s="72"/>
      <c r="AB105" s="59"/>
      <c r="AC105" s="59"/>
      <c r="AD105" s="72"/>
      <c r="AE105" s="72"/>
      <c r="AF105" s="72"/>
      <c r="AG105" s="72"/>
      <c r="AH105" s="55" t="s">
        <v>2494</v>
      </c>
      <c r="AI105" s="72"/>
      <c r="AJ105" s="56" t="s">
        <v>2871</v>
      </c>
      <c r="AK105" s="77" t="str">
        <f aca="false">IF(AND(ISNUMBER(U105),ISNUMBER(V105),ISNUMBER(14_Cercania!$C$13),ISNUMBER(14_Cercania!$C$14)),6371*2*ASIN(SQRT(SIN(RADIANS(14_Cercania!$C$13-U105)/2)^2+COS(RADIANS(U105))*COS(RADIANS(14_Cercania!$C$13))*SIN(RADIANS(14_Cercania!$C$14-V105)/2)^2))+ROW()*0.000000001,"")</f>
        <v/>
      </c>
    </row>
    <row r="106" customFormat="false" ht="23.85" hidden="false" customHeight="false" outlineLevel="0" collapsed="false">
      <c r="A106" s="62" t="n">
        <v>104</v>
      </c>
      <c r="B106" s="63" t="s">
        <v>2872</v>
      </c>
      <c r="C106" s="62" t="s">
        <v>188</v>
      </c>
      <c r="D106" s="63" t="s">
        <v>2873</v>
      </c>
      <c r="E106" s="71"/>
      <c r="F106" s="57"/>
      <c r="G106" s="57"/>
      <c r="H106" s="72"/>
      <c r="I106" s="72"/>
      <c r="J106" s="72"/>
      <c r="K106" s="72"/>
      <c r="L106" s="72"/>
      <c r="M106" s="63" t="s">
        <v>2874</v>
      </c>
      <c r="N106" s="57"/>
      <c r="O106" s="62" t="s">
        <v>179</v>
      </c>
      <c r="P106" s="78" t="s">
        <v>2489</v>
      </c>
      <c r="Q106" s="78" t="s">
        <v>2490</v>
      </c>
      <c r="R106" s="62" t="s">
        <v>2491</v>
      </c>
      <c r="S106" s="62" t="s">
        <v>2491</v>
      </c>
      <c r="T106" s="62" t="s">
        <v>2491</v>
      </c>
      <c r="U106" s="83"/>
      <c r="V106" s="83"/>
      <c r="W106" s="57" t="s">
        <v>2538</v>
      </c>
      <c r="X106" s="80" t="str">
        <f aca="false">HYPERLINK(IF(AND(ISNUMBER(U106),ISNUMBER(V106)),"https://www.google.com/maps/search/?api=1&amp;query="&amp;U106&amp;","&amp;V106,"https://www.google.com/maps/search/?api=1&amp;query="&amp;SUBSTITUTE(SUBSTITUTE(SUBSTITUTE(B106&amp;", "&amp;M106&amp;", Puno, Peru"," ","+"),"&amp;","y"),"#","")),"Ver en mapa")</f>
        <v>Ver en mapa</v>
      </c>
      <c r="Y106" s="62" t="s">
        <v>157</v>
      </c>
      <c r="Z106" s="63" t="s">
        <v>175</v>
      </c>
      <c r="AA106" s="72"/>
      <c r="AB106" s="59"/>
      <c r="AC106" s="59"/>
      <c r="AD106" s="72"/>
      <c r="AE106" s="72"/>
      <c r="AF106" s="72"/>
      <c r="AG106" s="72"/>
      <c r="AH106" s="62" t="s">
        <v>2494</v>
      </c>
      <c r="AI106" s="72"/>
      <c r="AJ106" s="63" t="s">
        <v>2875</v>
      </c>
      <c r="AK106" s="81" t="str">
        <f aca="false">IF(AND(ISNUMBER(U106),ISNUMBER(V106),ISNUMBER(14_Cercania!$C$13),ISNUMBER(14_Cercania!$C$14)),6371*2*ASIN(SQRT(SIN(RADIANS(14_Cercania!$C$13-U106)/2)^2+COS(RADIANS(U106))*COS(RADIANS(14_Cercania!$C$13))*SIN(RADIANS(14_Cercania!$C$14-V106)/2)^2))+ROW()*0.000000001,"")</f>
        <v/>
      </c>
    </row>
    <row r="107" customFormat="false" ht="15" hidden="false" customHeight="false" outlineLevel="0" collapsed="false">
      <c r="A107" s="55" t="n">
        <v>105</v>
      </c>
      <c r="B107" s="56" t="s">
        <v>2876</v>
      </c>
      <c r="C107" s="55" t="s">
        <v>177</v>
      </c>
      <c r="D107" s="56" t="s">
        <v>2728</v>
      </c>
      <c r="E107" s="71"/>
      <c r="F107" s="57"/>
      <c r="G107" s="57"/>
      <c r="H107" s="72"/>
      <c r="I107" s="72"/>
      <c r="J107" s="72"/>
      <c r="K107" s="72"/>
      <c r="L107" s="72"/>
      <c r="M107" s="56" t="s">
        <v>2877</v>
      </c>
      <c r="N107" s="57"/>
      <c r="O107" s="55" t="s">
        <v>158</v>
      </c>
      <c r="P107" s="73" t="s">
        <v>2489</v>
      </c>
      <c r="Q107" s="73" t="s">
        <v>2490</v>
      </c>
      <c r="R107" s="55" t="s">
        <v>2491</v>
      </c>
      <c r="S107" s="55" t="s">
        <v>2491</v>
      </c>
      <c r="T107" s="55" t="s">
        <v>2491</v>
      </c>
      <c r="U107" s="83"/>
      <c r="V107" s="83"/>
      <c r="W107" s="57" t="s">
        <v>2538</v>
      </c>
      <c r="X107" s="76" t="str">
        <f aca="false">HYPERLINK(IF(AND(ISNUMBER(U107),ISNUMBER(V107)),"https://www.google.com/maps/search/?api=1&amp;query="&amp;U107&amp;","&amp;V107,"https://www.google.com/maps/search/?api=1&amp;query="&amp;SUBSTITUTE(SUBSTITUTE(SUBSTITUTE(B107&amp;", "&amp;M107&amp;", Puno, Peru"," ","+"),"&amp;","y"),"#","")),"Ver en mapa")</f>
        <v>Ver en mapa</v>
      </c>
      <c r="Y107" s="55" t="s">
        <v>161</v>
      </c>
      <c r="Z107" s="56" t="s">
        <v>160</v>
      </c>
      <c r="AA107" s="72"/>
      <c r="AB107" s="59"/>
      <c r="AC107" s="59"/>
      <c r="AD107" s="72"/>
      <c r="AE107" s="72"/>
      <c r="AF107" s="72"/>
      <c r="AG107" s="72"/>
      <c r="AH107" s="55" t="s">
        <v>2494</v>
      </c>
      <c r="AI107" s="72"/>
      <c r="AJ107" s="56" t="s">
        <v>2878</v>
      </c>
      <c r="AK107" s="77" t="str">
        <f aca="false">IF(AND(ISNUMBER(U107),ISNUMBER(V107),ISNUMBER(14_Cercania!$C$13),ISNUMBER(14_Cercania!$C$14)),6371*2*ASIN(SQRT(SIN(RADIANS(14_Cercania!$C$13-U107)/2)^2+COS(RADIANS(U107))*COS(RADIANS(14_Cercania!$C$13))*SIN(RADIANS(14_Cercania!$C$14-V107)/2)^2))+ROW()*0.000000001,"")</f>
        <v/>
      </c>
    </row>
    <row r="108" customFormat="false" ht="15" hidden="false" customHeight="false" outlineLevel="0" collapsed="false">
      <c r="A108" s="62" t="n">
        <v>106</v>
      </c>
      <c r="B108" s="63" t="s">
        <v>2879</v>
      </c>
      <c r="C108" s="62" t="s">
        <v>203</v>
      </c>
      <c r="D108" s="63" t="s">
        <v>2571</v>
      </c>
      <c r="E108" s="71"/>
      <c r="F108" s="57"/>
      <c r="G108" s="57"/>
      <c r="H108" s="72"/>
      <c r="I108" s="72"/>
      <c r="J108" s="72"/>
      <c r="K108" s="72"/>
      <c r="L108" s="72"/>
      <c r="M108" s="63" t="s">
        <v>2880</v>
      </c>
      <c r="N108" s="57"/>
      <c r="O108" s="62" t="s">
        <v>158</v>
      </c>
      <c r="P108" s="78" t="s">
        <v>2489</v>
      </c>
      <c r="Q108" s="78" t="s">
        <v>2490</v>
      </c>
      <c r="R108" s="62" t="s">
        <v>2491</v>
      </c>
      <c r="S108" s="62" t="s">
        <v>2491</v>
      </c>
      <c r="T108" s="62" t="s">
        <v>2491</v>
      </c>
      <c r="U108" s="83"/>
      <c r="V108" s="83"/>
      <c r="W108" s="57" t="s">
        <v>2538</v>
      </c>
      <c r="X108" s="80" t="str">
        <f aca="false">HYPERLINK(IF(AND(ISNUMBER(U108),ISNUMBER(V108)),"https://www.google.com/maps/search/?api=1&amp;query="&amp;U108&amp;","&amp;V108,"https://www.google.com/maps/search/?api=1&amp;query="&amp;SUBSTITUTE(SUBSTITUTE(SUBSTITUTE(B108&amp;", "&amp;M108&amp;", Puno, Peru"," ","+"),"&amp;","y"),"#","")),"Ver en mapa")</f>
        <v>Ver en mapa</v>
      </c>
      <c r="Y108" s="62" t="s">
        <v>161</v>
      </c>
      <c r="Z108" s="63" t="s">
        <v>160</v>
      </c>
      <c r="AA108" s="72"/>
      <c r="AB108" s="59"/>
      <c r="AC108" s="59"/>
      <c r="AD108" s="72"/>
      <c r="AE108" s="72"/>
      <c r="AF108" s="72"/>
      <c r="AG108" s="72"/>
      <c r="AH108" s="62" t="s">
        <v>2494</v>
      </c>
      <c r="AI108" s="72"/>
      <c r="AJ108" s="63" t="s">
        <v>2878</v>
      </c>
      <c r="AK108" s="81" t="str">
        <f aca="false">IF(AND(ISNUMBER(U108),ISNUMBER(V108),ISNUMBER(14_Cercania!$C$13),ISNUMBER(14_Cercania!$C$14)),6371*2*ASIN(SQRT(SIN(RADIANS(14_Cercania!$C$13-U108)/2)^2+COS(RADIANS(U108))*COS(RADIANS(14_Cercania!$C$13))*SIN(RADIANS(14_Cercania!$C$14-V108)/2)^2))+ROW()*0.000000001,"")</f>
        <v/>
      </c>
    </row>
    <row r="109" customFormat="false" ht="46.25" hidden="false" customHeight="false" outlineLevel="0" collapsed="false">
      <c r="A109" s="55" t="n">
        <v>107</v>
      </c>
      <c r="B109" s="56" t="s">
        <v>2881</v>
      </c>
      <c r="C109" s="55" t="s">
        <v>167</v>
      </c>
      <c r="D109" s="56" t="s">
        <v>1083</v>
      </c>
      <c r="E109" s="71"/>
      <c r="F109" s="57"/>
      <c r="G109" s="57"/>
      <c r="H109" s="72"/>
      <c r="I109" s="72"/>
      <c r="J109" s="72"/>
      <c r="K109" s="72"/>
      <c r="L109" s="72"/>
      <c r="M109" s="56" t="s">
        <v>2635</v>
      </c>
      <c r="N109" s="57"/>
      <c r="O109" s="55" t="s">
        <v>158</v>
      </c>
      <c r="P109" s="73" t="s">
        <v>2489</v>
      </c>
      <c r="Q109" s="73" t="s">
        <v>2490</v>
      </c>
      <c r="R109" s="55" t="s">
        <v>2491</v>
      </c>
      <c r="S109" s="55" t="s">
        <v>2491</v>
      </c>
      <c r="T109" s="55" t="s">
        <v>2491</v>
      </c>
      <c r="U109" s="83"/>
      <c r="V109" s="83"/>
      <c r="W109" s="57" t="s">
        <v>2538</v>
      </c>
      <c r="X109" s="76" t="str">
        <f aca="false">HYPERLINK(IF(AND(ISNUMBER(U109),ISNUMBER(V109)),"https://www.google.com/maps/search/?api=1&amp;query="&amp;U109&amp;","&amp;V109,"https://www.google.com/maps/search/?api=1&amp;query="&amp;SUBSTITUTE(SUBSTITUTE(SUBSTITUTE(B109&amp;", "&amp;M109&amp;", Puno, Peru"," ","+"),"&amp;","y"),"#","")),"Ver en mapa")</f>
        <v>Ver en mapa</v>
      </c>
      <c r="Y109" s="55" t="s">
        <v>161</v>
      </c>
      <c r="Z109" s="56" t="s">
        <v>164</v>
      </c>
      <c r="AA109" s="72"/>
      <c r="AB109" s="59"/>
      <c r="AC109" s="59"/>
      <c r="AD109" s="72"/>
      <c r="AE109" s="72"/>
      <c r="AF109" s="72"/>
      <c r="AG109" s="72"/>
      <c r="AH109" s="55" t="s">
        <v>2494</v>
      </c>
      <c r="AI109" s="72"/>
      <c r="AJ109" s="56" t="s">
        <v>2882</v>
      </c>
      <c r="AK109" s="77" t="str">
        <f aca="false">IF(AND(ISNUMBER(U109),ISNUMBER(V109),ISNUMBER(14_Cercania!$C$13),ISNUMBER(14_Cercania!$C$14)),6371*2*ASIN(SQRT(SIN(RADIANS(14_Cercania!$C$13-U109)/2)^2+COS(RADIANS(U109))*COS(RADIANS(14_Cercania!$C$13))*SIN(RADIANS(14_Cercania!$C$14-V109)/2)^2))+ROW()*0.000000001,"")</f>
        <v/>
      </c>
    </row>
    <row r="110" customFormat="false" ht="23.85" hidden="false" customHeight="false" outlineLevel="0" collapsed="false">
      <c r="A110" s="62" t="n">
        <v>108</v>
      </c>
      <c r="B110" s="63" t="s">
        <v>2883</v>
      </c>
      <c r="C110" s="62" t="s">
        <v>203</v>
      </c>
      <c r="D110" s="63" t="s">
        <v>197</v>
      </c>
      <c r="E110" s="71"/>
      <c r="F110" s="57"/>
      <c r="G110" s="57"/>
      <c r="H110" s="72"/>
      <c r="I110" s="72"/>
      <c r="J110" s="72"/>
      <c r="K110" s="72"/>
      <c r="L110" s="72"/>
      <c r="M110" s="57"/>
      <c r="N110" s="57"/>
      <c r="O110" s="62" t="s">
        <v>197</v>
      </c>
      <c r="P110" s="78"/>
      <c r="Q110" s="78" t="s">
        <v>2490</v>
      </c>
      <c r="R110" s="62" t="s">
        <v>2491</v>
      </c>
      <c r="S110" s="62" t="s">
        <v>2491</v>
      </c>
      <c r="T110" s="62" t="s">
        <v>2491</v>
      </c>
      <c r="U110" s="79" t="n">
        <v>-15.8580313</v>
      </c>
      <c r="V110" s="79" t="n">
        <v>-70.0127428</v>
      </c>
      <c r="W110" s="75" t="s">
        <v>2492</v>
      </c>
      <c r="X110" s="80" t="str">
        <f aca="false">HYPERLINK(IF(AND(ISNUMBER(U110),ISNUMBER(V110)),"https://www.google.com/maps/search/?api=1&amp;query="&amp;U110&amp;","&amp;V110,"https://www.google.com/maps/search/?api=1&amp;query="&amp;SUBSTITUTE(SUBSTITUTE(SUBSTITUTE(B110&amp;", "&amp;M110&amp;", Puno, Peru"," ","+"),"&amp;","y"),"#","")),"Ver en mapa")</f>
        <v>Ver en mapa</v>
      </c>
      <c r="Y110" s="72"/>
      <c r="Z110" s="57"/>
      <c r="AA110" s="72"/>
      <c r="AB110" s="59"/>
      <c r="AC110" s="59"/>
      <c r="AD110" s="72"/>
      <c r="AE110" s="72"/>
      <c r="AF110" s="72"/>
      <c r="AG110" s="72"/>
      <c r="AH110" s="62" t="s">
        <v>2494</v>
      </c>
      <c r="AI110" s="72"/>
      <c r="AJ110" s="63" t="s">
        <v>2884</v>
      </c>
      <c r="AK110" s="81" t="n">
        <f aca="false">IF(AND(ISNUMBER(U110),ISNUMBER(V110),ISNUMBER(14_Cercania!$C$13),ISNUMBER(14_Cercania!$C$14)),6371*2*ASIN(SQRT(SIN(RADIANS(14_Cercania!$C$13-U110)/2)^2+COS(RADIANS(U110))*COS(RADIANS(14_Cercania!$C$13))*SIN(RADIANS(14_Cercania!$C$14-V110)/2)^2))+ROW()*0.000000001,"")</f>
        <v>2.96186570013181</v>
      </c>
    </row>
    <row r="111" customFormat="false" ht="23.85" hidden="false" customHeight="false" outlineLevel="0" collapsed="false">
      <c r="A111" s="55" t="n">
        <v>109</v>
      </c>
      <c r="B111" s="56" t="s">
        <v>2885</v>
      </c>
      <c r="C111" s="55" t="s">
        <v>203</v>
      </c>
      <c r="D111" s="56" t="s">
        <v>2596</v>
      </c>
      <c r="E111" s="71"/>
      <c r="F111" s="57"/>
      <c r="G111" s="57"/>
      <c r="H111" s="72"/>
      <c r="I111" s="72"/>
      <c r="J111" s="72"/>
      <c r="K111" s="72"/>
      <c r="L111" s="72"/>
      <c r="M111" s="57"/>
      <c r="N111" s="57"/>
      <c r="O111" s="55" t="s">
        <v>197</v>
      </c>
      <c r="P111" s="73"/>
      <c r="Q111" s="73" t="s">
        <v>2490</v>
      </c>
      <c r="R111" s="55" t="s">
        <v>2491</v>
      </c>
      <c r="S111" s="55" t="s">
        <v>2491</v>
      </c>
      <c r="T111" s="55" t="s">
        <v>2491</v>
      </c>
      <c r="U111" s="74" t="n">
        <v>-15.8406144</v>
      </c>
      <c r="V111" s="74" t="n">
        <v>-70.027358</v>
      </c>
      <c r="W111" s="75" t="s">
        <v>2492</v>
      </c>
      <c r="X111" s="76" t="str">
        <f aca="false">HYPERLINK(IF(AND(ISNUMBER(U111),ISNUMBER(V111)),"https://www.google.com/maps/search/?api=1&amp;query="&amp;U111&amp;","&amp;V111,"https://www.google.com/maps/search/?api=1&amp;query="&amp;SUBSTITUTE(SUBSTITUTE(SUBSTITUTE(B111&amp;", "&amp;M111&amp;", Puno, Peru"," ","+"),"&amp;","y"),"#","")),"Ver en mapa")</f>
        <v>Ver en mapa</v>
      </c>
      <c r="Y111" s="72"/>
      <c r="Z111" s="57"/>
      <c r="AA111" s="72"/>
      <c r="AB111" s="59"/>
      <c r="AC111" s="59"/>
      <c r="AD111" s="72"/>
      <c r="AE111" s="72"/>
      <c r="AF111" s="72"/>
      <c r="AG111" s="72"/>
      <c r="AH111" s="55" t="s">
        <v>2494</v>
      </c>
      <c r="AI111" s="72"/>
      <c r="AJ111" s="56" t="s">
        <v>2884</v>
      </c>
      <c r="AK111" s="77" t="n">
        <f aca="false">IF(AND(ISNUMBER(U111),ISNUMBER(V111),ISNUMBER(14_Cercania!$C$13),ISNUMBER(14_Cercania!$C$14)),6371*2*ASIN(SQRT(SIN(RADIANS(14_Cercania!$C$13-U111)/2)^2+COS(RADIANS(U111))*COS(RADIANS(14_Cercania!$C$13))*SIN(RADIANS(14_Cercania!$C$14-V111)/2)^2))+ROW()*0.000000001,"")</f>
        <v>0.899036115983547</v>
      </c>
    </row>
    <row r="112" customFormat="false" ht="23.85" hidden="false" customHeight="false" outlineLevel="0" collapsed="false">
      <c r="A112" s="62" t="n">
        <v>110</v>
      </c>
      <c r="B112" s="63" t="s">
        <v>2886</v>
      </c>
      <c r="C112" s="62" t="s">
        <v>203</v>
      </c>
      <c r="D112" s="63" t="s">
        <v>197</v>
      </c>
      <c r="E112" s="71"/>
      <c r="F112" s="57"/>
      <c r="G112" s="57"/>
      <c r="H112" s="72"/>
      <c r="I112" s="72"/>
      <c r="J112" s="72"/>
      <c r="K112" s="72"/>
      <c r="L112" s="72"/>
      <c r="M112" s="57"/>
      <c r="N112" s="57"/>
      <c r="O112" s="62" t="s">
        <v>197</v>
      </c>
      <c r="P112" s="78"/>
      <c r="Q112" s="78" t="s">
        <v>2490</v>
      </c>
      <c r="R112" s="62" t="s">
        <v>2491</v>
      </c>
      <c r="S112" s="62" t="s">
        <v>2491</v>
      </c>
      <c r="T112" s="62" t="s">
        <v>2491</v>
      </c>
      <c r="U112" s="79" t="n">
        <v>-15.8381785</v>
      </c>
      <c r="V112" s="79" t="n">
        <v>-70.0275309</v>
      </c>
      <c r="W112" s="75" t="s">
        <v>2492</v>
      </c>
      <c r="X112" s="80" t="str">
        <f aca="false">HYPERLINK(IF(AND(ISNUMBER(U112),ISNUMBER(V112)),"https://www.google.com/maps/search/?api=1&amp;query="&amp;U112&amp;","&amp;V112,"https://www.google.com/maps/search/?api=1&amp;query="&amp;SUBSTITUTE(SUBSTITUTE(SUBSTITUTE(B112&amp;", "&amp;M112&amp;", Puno, Peru"," ","+"),"&amp;","y"),"#","")),"Ver en mapa")</f>
        <v>Ver en mapa</v>
      </c>
      <c r="Y112" s="72"/>
      <c r="Z112" s="57"/>
      <c r="AA112" s="72"/>
      <c r="AB112" s="59"/>
      <c r="AC112" s="59"/>
      <c r="AD112" s="72"/>
      <c r="AE112" s="72"/>
      <c r="AF112" s="72"/>
      <c r="AG112" s="72"/>
      <c r="AH112" s="62" t="s">
        <v>2494</v>
      </c>
      <c r="AI112" s="72"/>
      <c r="AJ112" s="63" t="s">
        <v>2884</v>
      </c>
      <c r="AK112" s="81" t="n">
        <f aca="false">IF(AND(ISNUMBER(U112),ISNUMBER(V112),ISNUMBER(14_Cercania!$C$13),ISNUMBER(14_Cercania!$C$14)),6371*2*ASIN(SQRT(SIN(RADIANS(14_Cercania!$C$13-U112)/2)^2+COS(RADIANS(U112))*COS(RADIANS(14_Cercania!$C$13))*SIN(RADIANS(14_Cercania!$C$14-V112)/2)^2))+ROW()*0.000000001,"")</f>
        <v>0.683126189381809</v>
      </c>
    </row>
    <row r="113" customFormat="false" ht="23.85" hidden="false" customHeight="false" outlineLevel="0" collapsed="false">
      <c r="A113" s="55" t="n">
        <v>111</v>
      </c>
      <c r="B113" s="56" t="s">
        <v>2887</v>
      </c>
      <c r="C113" s="55" t="s">
        <v>203</v>
      </c>
      <c r="D113" s="56" t="s">
        <v>197</v>
      </c>
      <c r="E113" s="71"/>
      <c r="F113" s="57"/>
      <c r="G113" s="57"/>
      <c r="H113" s="72"/>
      <c r="I113" s="72"/>
      <c r="J113" s="72"/>
      <c r="K113" s="72"/>
      <c r="L113" s="72"/>
      <c r="M113" s="57"/>
      <c r="N113" s="57"/>
      <c r="O113" s="55" t="s">
        <v>197</v>
      </c>
      <c r="P113" s="73"/>
      <c r="Q113" s="73" t="s">
        <v>2490</v>
      </c>
      <c r="R113" s="55" t="s">
        <v>2491</v>
      </c>
      <c r="S113" s="55" t="s">
        <v>2491</v>
      </c>
      <c r="T113" s="55" t="s">
        <v>2491</v>
      </c>
      <c r="U113" s="74" t="n">
        <v>-15.8380968</v>
      </c>
      <c r="V113" s="74" t="n">
        <v>-70.0276763</v>
      </c>
      <c r="W113" s="75" t="s">
        <v>2492</v>
      </c>
      <c r="X113" s="76" t="str">
        <f aca="false">HYPERLINK(IF(AND(ISNUMBER(U113),ISNUMBER(V113)),"https://www.google.com/maps/search/?api=1&amp;query="&amp;U113&amp;","&amp;V113,"https://www.google.com/maps/search/?api=1&amp;query="&amp;SUBSTITUTE(SUBSTITUTE(SUBSTITUTE(B113&amp;", "&amp;M113&amp;", Puno, Peru"," ","+"),"&amp;","y"),"#","")),"Ver en mapa")</f>
        <v>Ver en mapa</v>
      </c>
      <c r="Y113" s="72"/>
      <c r="Z113" s="57"/>
      <c r="AA113" s="72"/>
      <c r="AB113" s="59"/>
      <c r="AC113" s="59"/>
      <c r="AD113" s="72"/>
      <c r="AE113" s="72"/>
      <c r="AF113" s="72"/>
      <c r="AG113" s="72"/>
      <c r="AH113" s="55" t="s">
        <v>2494</v>
      </c>
      <c r="AI113" s="72"/>
      <c r="AJ113" s="56" t="s">
        <v>2884</v>
      </c>
      <c r="AK113" s="77" t="n">
        <f aca="false">IF(AND(ISNUMBER(U113),ISNUMBER(V113),ISNUMBER(14_Cercania!$C$13),ISNUMBER(14_Cercania!$C$14)),6371*2*ASIN(SQRT(SIN(RADIANS(14_Cercania!$C$13-U113)/2)^2+COS(RADIANS(U113))*COS(RADIANS(14_Cercania!$C$13))*SIN(RADIANS(14_Cercania!$C$14-V113)/2)^2))+ROW()*0.000000001,"")</f>
        <v>0.686349395317856</v>
      </c>
    </row>
    <row r="114" customFormat="false" ht="23.85" hidden="false" customHeight="false" outlineLevel="0" collapsed="false">
      <c r="A114" s="62" t="n">
        <v>112</v>
      </c>
      <c r="B114" s="63" t="s">
        <v>2888</v>
      </c>
      <c r="C114" s="62" t="s">
        <v>203</v>
      </c>
      <c r="D114" s="63" t="s">
        <v>197</v>
      </c>
      <c r="E114" s="71"/>
      <c r="F114" s="57"/>
      <c r="G114" s="57"/>
      <c r="H114" s="72"/>
      <c r="I114" s="72"/>
      <c r="J114" s="72"/>
      <c r="K114" s="72"/>
      <c r="L114" s="72"/>
      <c r="M114" s="57"/>
      <c r="N114" s="57"/>
      <c r="O114" s="62" t="s">
        <v>197</v>
      </c>
      <c r="P114" s="78"/>
      <c r="Q114" s="78" t="s">
        <v>2490</v>
      </c>
      <c r="R114" s="62" t="s">
        <v>2491</v>
      </c>
      <c r="S114" s="62" t="s">
        <v>2491</v>
      </c>
      <c r="T114" s="62" t="s">
        <v>2491</v>
      </c>
      <c r="U114" s="79" t="n">
        <v>-15.8384111</v>
      </c>
      <c r="V114" s="79" t="n">
        <v>-70.0280757</v>
      </c>
      <c r="W114" s="75" t="s">
        <v>2492</v>
      </c>
      <c r="X114" s="80" t="str">
        <f aca="false">HYPERLINK(IF(AND(ISNUMBER(U114),ISNUMBER(V114)),"https://www.google.com/maps/search/?api=1&amp;query="&amp;U114&amp;","&amp;V114,"https://www.google.com/maps/search/?api=1&amp;query="&amp;SUBSTITUTE(SUBSTITUTE(SUBSTITUTE(B114&amp;", "&amp;M114&amp;", Puno, Peru"," ","+"),"&amp;","y"),"#","")),"Ver en mapa")</f>
        <v>Ver en mapa</v>
      </c>
      <c r="Y114" s="72"/>
      <c r="Z114" s="57"/>
      <c r="AA114" s="72"/>
      <c r="AB114" s="59"/>
      <c r="AC114" s="59"/>
      <c r="AD114" s="72"/>
      <c r="AE114" s="72"/>
      <c r="AF114" s="72"/>
      <c r="AG114" s="72"/>
      <c r="AH114" s="62" t="s">
        <v>2494</v>
      </c>
      <c r="AI114" s="72"/>
      <c r="AJ114" s="63" t="s">
        <v>2884</v>
      </c>
      <c r="AK114" s="81" t="n">
        <f aca="false">IF(AND(ISNUMBER(U114),ISNUMBER(V114),ISNUMBER(14_Cercania!$C$13),ISNUMBER(14_Cercania!$C$14)),6371*2*ASIN(SQRT(SIN(RADIANS(14_Cercania!$C$13-U114)/2)^2+COS(RADIANS(U114))*COS(RADIANS(14_Cercania!$C$13))*SIN(RADIANS(14_Cercania!$C$14-V114)/2)^2))+ROW()*0.000000001,"")</f>
        <v>0.740864130290857</v>
      </c>
    </row>
    <row r="115" customFormat="false" ht="23.85" hidden="false" customHeight="false" outlineLevel="0" collapsed="false">
      <c r="A115" s="55" t="n">
        <v>113</v>
      </c>
      <c r="B115" s="56" t="s">
        <v>2889</v>
      </c>
      <c r="C115" s="55" t="s">
        <v>203</v>
      </c>
      <c r="D115" s="56" t="s">
        <v>197</v>
      </c>
      <c r="E115" s="71"/>
      <c r="F115" s="57"/>
      <c r="G115" s="57"/>
      <c r="H115" s="72"/>
      <c r="I115" s="72"/>
      <c r="J115" s="72"/>
      <c r="K115" s="72"/>
      <c r="L115" s="72"/>
      <c r="M115" s="57"/>
      <c r="N115" s="57"/>
      <c r="O115" s="55" t="s">
        <v>197</v>
      </c>
      <c r="P115" s="73"/>
      <c r="Q115" s="73" t="s">
        <v>2490</v>
      </c>
      <c r="R115" s="55" t="s">
        <v>2491</v>
      </c>
      <c r="S115" s="55" t="s">
        <v>2491</v>
      </c>
      <c r="T115" s="55" t="s">
        <v>2491</v>
      </c>
      <c r="U115" s="74" t="n">
        <v>-15.8397422</v>
      </c>
      <c r="V115" s="74" t="n">
        <v>-70.0278042</v>
      </c>
      <c r="W115" s="75" t="s">
        <v>2492</v>
      </c>
      <c r="X115" s="76" t="str">
        <f aca="false">HYPERLINK(IF(AND(ISNUMBER(U115),ISNUMBER(V115)),"https://www.google.com/maps/search/?api=1&amp;query="&amp;U115&amp;","&amp;V115,"https://www.google.com/maps/search/?api=1&amp;query="&amp;SUBSTITUTE(SUBSTITUTE(SUBSTITUTE(B115&amp;", "&amp;M115&amp;", Puno, Peru"," ","+"),"&amp;","y"),"#","")),"Ver en mapa")</f>
        <v>Ver en mapa</v>
      </c>
      <c r="Y115" s="72"/>
      <c r="Z115" s="57"/>
      <c r="AA115" s="72"/>
      <c r="AB115" s="59"/>
      <c r="AC115" s="59"/>
      <c r="AD115" s="72"/>
      <c r="AE115" s="72"/>
      <c r="AF115" s="72"/>
      <c r="AG115" s="72"/>
      <c r="AH115" s="55" t="s">
        <v>2494</v>
      </c>
      <c r="AI115" s="72"/>
      <c r="AJ115" s="56" t="s">
        <v>2884</v>
      </c>
      <c r="AK115" s="77" t="n">
        <f aca="false">IF(AND(ISNUMBER(U115),ISNUMBER(V115),ISNUMBER(14_Cercania!$C$13),ISNUMBER(14_Cercania!$C$14)),6371*2*ASIN(SQRT(SIN(RADIANS(14_Cercania!$C$13-U115)/2)^2+COS(RADIANS(U115))*COS(RADIANS(14_Cercania!$C$13))*SIN(RADIANS(14_Cercania!$C$14-V115)/2)^2))+ROW()*0.000000001,"")</f>
        <v>0.840068334183314</v>
      </c>
    </row>
    <row r="116" customFormat="false" ht="23.85" hidden="false" customHeight="false" outlineLevel="0" collapsed="false">
      <c r="A116" s="62" t="n">
        <v>114</v>
      </c>
      <c r="B116" s="63" t="s">
        <v>2890</v>
      </c>
      <c r="C116" s="62" t="s">
        <v>203</v>
      </c>
      <c r="D116" s="63" t="s">
        <v>197</v>
      </c>
      <c r="E116" s="71"/>
      <c r="F116" s="57"/>
      <c r="G116" s="57"/>
      <c r="H116" s="72"/>
      <c r="I116" s="72"/>
      <c r="J116" s="72"/>
      <c r="K116" s="72"/>
      <c r="L116" s="72"/>
      <c r="M116" s="57"/>
      <c r="N116" s="57"/>
      <c r="O116" s="62" t="s">
        <v>197</v>
      </c>
      <c r="P116" s="78"/>
      <c r="Q116" s="78" t="s">
        <v>2490</v>
      </c>
      <c r="R116" s="62" t="s">
        <v>2491</v>
      </c>
      <c r="S116" s="62" t="s">
        <v>2491</v>
      </c>
      <c r="T116" s="62" t="s">
        <v>2491</v>
      </c>
      <c r="U116" s="79" t="n">
        <v>-15.8381369</v>
      </c>
      <c r="V116" s="79" t="n">
        <v>-70.0270275</v>
      </c>
      <c r="W116" s="75" t="s">
        <v>2492</v>
      </c>
      <c r="X116" s="80" t="str">
        <f aca="false">HYPERLINK(IF(AND(ISNUMBER(U116),ISNUMBER(V116)),"https://www.google.com/maps/search/?api=1&amp;query="&amp;U116&amp;","&amp;V116,"https://www.google.com/maps/search/?api=1&amp;query="&amp;SUBSTITUTE(SUBSTITUTE(SUBSTITUTE(B116&amp;", "&amp;M116&amp;", Puno, Peru"," ","+"),"&amp;","y"),"#","")),"Ver en mapa")</f>
        <v>Ver en mapa</v>
      </c>
      <c r="Y116" s="72"/>
      <c r="Z116" s="57"/>
      <c r="AA116" s="72"/>
      <c r="AB116" s="59"/>
      <c r="AC116" s="59"/>
      <c r="AD116" s="72"/>
      <c r="AE116" s="72"/>
      <c r="AF116" s="72"/>
      <c r="AG116" s="72"/>
      <c r="AH116" s="62" t="s">
        <v>2494</v>
      </c>
      <c r="AI116" s="72"/>
      <c r="AJ116" s="63" t="s">
        <v>2884</v>
      </c>
      <c r="AK116" s="81" t="n">
        <f aca="false">IF(AND(ISNUMBER(U116),ISNUMBER(V116),ISNUMBER(14_Cercania!$C$13),ISNUMBER(14_Cercania!$C$14)),6371*2*ASIN(SQRT(SIN(RADIANS(14_Cercania!$C$13-U116)/2)^2+COS(RADIANS(U116))*COS(RADIANS(14_Cercania!$C$13))*SIN(RADIANS(14_Cercania!$C$14-V116)/2)^2))+ROW()*0.000000001,"")</f>
        <v>0.646206675899847</v>
      </c>
    </row>
    <row r="117" customFormat="false" ht="23.85" hidden="false" customHeight="false" outlineLevel="0" collapsed="false">
      <c r="A117" s="55" t="n">
        <v>115</v>
      </c>
      <c r="B117" s="56" t="s">
        <v>2891</v>
      </c>
      <c r="C117" s="55" t="s">
        <v>177</v>
      </c>
      <c r="D117" s="56" t="s">
        <v>2728</v>
      </c>
      <c r="E117" s="71"/>
      <c r="F117" s="57"/>
      <c r="G117" s="57"/>
      <c r="H117" s="72"/>
      <c r="I117" s="72"/>
      <c r="J117" s="72"/>
      <c r="K117" s="72"/>
      <c r="L117" s="72"/>
      <c r="M117" s="57"/>
      <c r="N117" s="57"/>
      <c r="O117" s="55" t="s">
        <v>197</v>
      </c>
      <c r="P117" s="73"/>
      <c r="Q117" s="73" t="s">
        <v>2490</v>
      </c>
      <c r="R117" s="55" t="s">
        <v>2491</v>
      </c>
      <c r="S117" s="55" t="s">
        <v>2491</v>
      </c>
      <c r="T117" s="55" t="s">
        <v>2491</v>
      </c>
      <c r="U117" s="74" t="n">
        <v>-15.8414643</v>
      </c>
      <c r="V117" s="74" t="n">
        <v>-70.0276535</v>
      </c>
      <c r="W117" s="75" t="s">
        <v>2492</v>
      </c>
      <c r="X117" s="76" t="str">
        <f aca="false">HYPERLINK(IF(AND(ISNUMBER(U117),ISNUMBER(V117)),"https://www.google.com/maps/search/?api=1&amp;query="&amp;U117&amp;","&amp;V117,"https://www.google.com/maps/search/?api=1&amp;query="&amp;SUBSTITUTE(SUBSTITUTE(SUBSTITUTE(B117&amp;", "&amp;M117&amp;", Puno, Peru"," ","+"),"&amp;","y"),"#","")),"Ver en mapa")</f>
        <v>Ver en mapa</v>
      </c>
      <c r="Y117" s="72"/>
      <c r="Z117" s="57"/>
      <c r="AA117" s="72"/>
      <c r="AB117" s="59"/>
      <c r="AC117" s="59"/>
      <c r="AD117" s="72"/>
      <c r="AE117" s="72"/>
      <c r="AF117" s="72"/>
      <c r="AG117" s="72"/>
      <c r="AH117" s="55" t="s">
        <v>2494</v>
      </c>
      <c r="AI117" s="72"/>
      <c r="AJ117" s="56" t="s">
        <v>2884</v>
      </c>
      <c r="AK117" s="77" t="n">
        <f aca="false">IF(AND(ISNUMBER(U117),ISNUMBER(V117),ISNUMBER(14_Cercania!$C$13),ISNUMBER(14_Cercania!$C$14)),6371*2*ASIN(SQRT(SIN(RADIANS(14_Cercania!$C$13-U117)/2)^2+COS(RADIANS(U117))*COS(RADIANS(14_Cercania!$C$13))*SIN(RADIANS(14_Cercania!$C$14-V117)/2)^2))+ROW()*0.000000001,"")</f>
        <v>0.997506304557694</v>
      </c>
    </row>
    <row r="118" customFormat="false" ht="23.85" hidden="false" customHeight="false" outlineLevel="0" collapsed="false">
      <c r="A118" s="62" t="n">
        <v>116</v>
      </c>
      <c r="B118" s="63" t="s">
        <v>2892</v>
      </c>
      <c r="C118" s="62" t="s">
        <v>174</v>
      </c>
      <c r="D118" s="63" t="s">
        <v>174</v>
      </c>
      <c r="E118" s="71"/>
      <c r="F118" s="57"/>
      <c r="G118" s="57"/>
      <c r="H118" s="72"/>
      <c r="I118" s="72"/>
      <c r="J118" s="72"/>
      <c r="K118" s="72"/>
      <c r="L118" s="72"/>
      <c r="M118" s="57"/>
      <c r="N118" s="57"/>
      <c r="O118" s="62" t="s">
        <v>197</v>
      </c>
      <c r="P118" s="78"/>
      <c r="Q118" s="78" t="s">
        <v>2490</v>
      </c>
      <c r="R118" s="62" t="s">
        <v>2491</v>
      </c>
      <c r="S118" s="62" t="s">
        <v>2491</v>
      </c>
      <c r="T118" s="62" t="s">
        <v>2491</v>
      </c>
      <c r="U118" s="79" t="n">
        <v>-15.8396043</v>
      </c>
      <c r="V118" s="79" t="n">
        <v>-70.0257815</v>
      </c>
      <c r="W118" s="75" t="s">
        <v>2492</v>
      </c>
      <c r="X118" s="80" t="str">
        <f aca="false">HYPERLINK(IF(AND(ISNUMBER(U118),ISNUMBER(V118)),"https://www.google.com/maps/search/?api=1&amp;query="&amp;U118&amp;","&amp;V118,"https://www.google.com/maps/search/?api=1&amp;query="&amp;SUBSTITUTE(SUBSTITUTE(SUBSTITUTE(B118&amp;", "&amp;M118&amp;", Puno, Peru"," ","+"),"&amp;","y"),"#","")),"Ver en mapa")</f>
        <v>Ver en mapa</v>
      </c>
      <c r="Y118" s="72"/>
      <c r="Z118" s="57"/>
      <c r="AA118" s="72"/>
      <c r="AB118" s="59"/>
      <c r="AC118" s="59"/>
      <c r="AD118" s="72"/>
      <c r="AE118" s="72"/>
      <c r="AF118" s="72"/>
      <c r="AG118" s="72"/>
      <c r="AH118" s="62" t="s">
        <v>2494</v>
      </c>
      <c r="AI118" s="72"/>
      <c r="AJ118" s="63" t="s">
        <v>2884</v>
      </c>
      <c r="AK118" s="81" t="n">
        <f aca="false">IF(AND(ISNUMBER(U118),ISNUMBER(V118),ISNUMBER(14_Cercania!$C$13),ISNUMBER(14_Cercania!$C$14)),6371*2*ASIN(SQRT(SIN(RADIANS(14_Cercania!$C$13-U118)/2)^2+COS(RADIANS(U118))*COS(RADIANS(14_Cercania!$C$13))*SIN(RADIANS(14_Cercania!$C$14-V118)/2)^2))+ROW()*0.000000001,"")</f>
        <v>0.72750183310943</v>
      </c>
    </row>
    <row r="119" customFormat="false" ht="23.85" hidden="false" customHeight="false" outlineLevel="0" collapsed="false">
      <c r="A119" s="55" t="n">
        <v>117</v>
      </c>
      <c r="B119" s="56" t="s">
        <v>2893</v>
      </c>
      <c r="C119" s="55" t="s">
        <v>177</v>
      </c>
      <c r="D119" s="56" t="s">
        <v>2728</v>
      </c>
      <c r="E119" s="71"/>
      <c r="F119" s="57"/>
      <c r="G119" s="57"/>
      <c r="H119" s="72"/>
      <c r="I119" s="72"/>
      <c r="J119" s="72"/>
      <c r="K119" s="72"/>
      <c r="L119" s="72"/>
      <c r="M119" s="57"/>
      <c r="N119" s="57"/>
      <c r="O119" s="55" t="s">
        <v>197</v>
      </c>
      <c r="P119" s="73"/>
      <c r="Q119" s="73" t="s">
        <v>2490</v>
      </c>
      <c r="R119" s="55" t="s">
        <v>2491</v>
      </c>
      <c r="S119" s="55" t="s">
        <v>2491</v>
      </c>
      <c r="T119" s="55" t="s">
        <v>2491</v>
      </c>
      <c r="U119" s="74" t="n">
        <v>-15.8311026</v>
      </c>
      <c r="V119" s="74" t="n">
        <v>-70.0210602</v>
      </c>
      <c r="W119" s="75" t="s">
        <v>2492</v>
      </c>
      <c r="X119" s="76" t="str">
        <f aca="false">HYPERLINK(IF(AND(ISNUMBER(U119),ISNUMBER(V119)),"https://www.google.com/maps/search/?api=1&amp;query="&amp;U119&amp;","&amp;V119,"https://www.google.com/maps/search/?api=1&amp;query="&amp;SUBSTITUTE(SUBSTITUTE(SUBSTITUTE(B119&amp;", "&amp;M119&amp;", Puno, Peru"," ","+"),"&amp;","y"),"#","")),"Ver en mapa")</f>
        <v>Ver en mapa</v>
      </c>
      <c r="Y119" s="72"/>
      <c r="Z119" s="57"/>
      <c r="AA119" s="72"/>
      <c r="AB119" s="59"/>
      <c r="AC119" s="59"/>
      <c r="AD119" s="72"/>
      <c r="AE119" s="72"/>
      <c r="AF119" s="72"/>
      <c r="AG119" s="72"/>
      <c r="AH119" s="55" t="s">
        <v>2494</v>
      </c>
      <c r="AI119" s="72"/>
      <c r="AJ119" s="56" t="s">
        <v>2884</v>
      </c>
      <c r="AK119" s="77" t="n">
        <f aca="false">IF(AND(ISNUMBER(U119),ISNUMBER(V119),ISNUMBER(14_Cercania!$C$13),ISNUMBER(14_Cercania!$C$14)),6371*2*ASIN(SQRT(SIN(RADIANS(14_Cercania!$C$13-U119)/2)^2+COS(RADIANS(U119))*COS(RADIANS(14_Cercania!$C$13))*SIN(RADIANS(14_Cercania!$C$14-V119)/2)^2))+ROW()*0.000000001,"")</f>
        <v>0.365489789334244</v>
      </c>
    </row>
    <row r="120" customFormat="false" ht="23.85" hidden="false" customHeight="false" outlineLevel="0" collapsed="false">
      <c r="A120" s="62" t="n">
        <v>118</v>
      </c>
      <c r="B120" s="63" t="s">
        <v>2894</v>
      </c>
      <c r="C120" s="62" t="s">
        <v>203</v>
      </c>
      <c r="D120" s="63" t="s">
        <v>197</v>
      </c>
      <c r="E120" s="71"/>
      <c r="F120" s="57"/>
      <c r="G120" s="57"/>
      <c r="H120" s="72"/>
      <c r="I120" s="72"/>
      <c r="J120" s="72"/>
      <c r="K120" s="72"/>
      <c r="L120" s="72"/>
      <c r="M120" s="57"/>
      <c r="N120" s="57"/>
      <c r="O120" s="62" t="s">
        <v>197</v>
      </c>
      <c r="P120" s="78"/>
      <c r="Q120" s="78" t="s">
        <v>2490</v>
      </c>
      <c r="R120" s="62" t="s">
        <v>2491</v>
      </c>
      <c r="S120" s="62" t="s">
        <v>2491</v>
      </c>
      <c r="T120" s="62" t="s">
        <v>2491</v>
      </c>
      <c r="U120" s="79" t="n">
        <v>-15.8380893</v>
      </c>
      <c r="V120" s="79" t="n">
        <v>-70.0260212</v>
      </c>
      <c r="W120" s="75" t="s">
        <v>2492</v>
      </c>
      <c r="X120" s="80" t="str">
        <f aca="false">HYPERLINK(IF(AND(ISNUMBER(U120),ISNUMBER(V120)),"https://www.google.com/maps/search/?api=1&amp;query="&amp;U120&amp;","&amp;V120,"https://www.google.com/maps/search/?api=1&amp;query="&amp;SUBSTITUTE(SUBSTITUTE(SUBSTITUTE(B120&amp;", "&amp;M120&amp;", Puno, Peru"," ","+"),"&amp;","y"),"#","")),"Ver en mapa")</f>
        <v>Ver en mapa</v>
      </c>
      <c r="Y120" s="72"/>
      <c r="Z120" s="57"/>
      <c r="AA120" s="72"/>
      <c r="AB120" s="59"/>
      <c r="AC120" s="59"/>
      <c r="AD120" s="72"/>
      <c r="AE120" s="72"/>
      <c r="AF120" s="72"/>
      <c r="AG120" s="72"/>
      <c r="AH120" s="62" t="s">
        <v>2494</v>
      </c>
      <c r="AI120" s="72"/>
      <c r="AJ120" s="63" t="s">
        <v>2884</v>
      </c>
      <c r="AK120" s="81" t="n">
        <f aca="false">IF(AND(ISNUMBER(U120),ISNUMBER(V120),ISNUMBER(14_Cercania!$C$13),ISNUMBER(14_Cercania!$C$14)),6371*2*ASIN(SQRT(SIN(RADIANS(14_Cercania!$C$13-U120)/2)^2+COS(RADIANS(U120))*COS(RADIANS(14_Cercania!$C$13))*SIN(RADIANS(14_Cercania!$C$14-V120)/2)^2))+ROW()*0.000000001,"")</f>
        <v>0.583987756739588</v>
      </c>
    </row>
    <row r="121" customFormat="false" ht="23.85" hidden="false" customHeight="false" outlineLevel="0" collapsed="false">
      <c r="A121" s="55" t="n">
        <v>119</v>
      </c>
      <c r="B121" s="56" t="s">
        <v>2895</v>
      </c>
      <c r="C121" s="55" t="s">
        <v>203</v>
      </c>
      <c r="D121" s="56" t="s">
        <v>197</v>
      </c>
      <c r="E121" s="71"/>
      <c r="F121" s="57"/>
      <c r="G121" s="57"/>
      <c r="H121" s="72"/>
      <c r="I121" s="72"/>
      <c r="J121" s="72"/>
      <c r="K121" s="72"/>
      <c r="L121" s="72"/>
      <c r="M121" s="57"/>
      <c r="N121" s="57"/>
      <c r="O121" s="55" t="s">
        <v>197</v>
      </c>
      <c r="P121" s="73"/>
      <c r="Q121" s="73" t="s">
        <v>2490</v>
      </c>
      <c r="R121" s="55" t="s">
        <v>2491</v>
      </c>
      <c r="S121" s="55" t="s">
        <v>2491</v>
      </c>
      <c r="T121" s="55" t="s">
        <v>2491</v>
      </c>
      <c r="U121" s="74" t="n">
        <v>-15.8382536</v>
      </c>
      <c r="V121" s="74" t="n">
        <v>-70.0260752</v>
      </c>
      <c r="W121" s="75" t="s">
        <v>2492</v>
      </c>
      <c r="X121" s="76" t="str">
        <f aca="false">HYPERLINK(IF(AND(ISNUMBER(U121),ISNUMBER(V121)),"https://www.google.com/maps/search/?api=1&amp;query="&amp;U121&amp;","&amp;V121,"https://www.google.com/maps/search/?api=1&amp;query="&amp;SUBSTITUTE(SUBSTITUTE(SUBSTITUTE(B121&amp;", "&amp;M121&amp;", Puno, Peru"," ","+"),"&amp;","y"),"#","")),"Ver en mapa")</f>
        <v>Ver en mapa</v>
      </c>
      <c r="Y121" s="72"/>
      <c r="Z121" s="57"/>
      <c r="AA121" s="72"/>
      <c r="AB121" s="59"/>
      <c r="AC121" s="59"/>
      <c r="AD121" s="72"/>
      <c r="AE121" s="72"/>
      <c r="AF121" s="72"/>
      <c r="AG121" s="72"/>
      <c r="AH121" s="55" t="s">
        <v>2494</v>
      </c>
      <c r="AI121" s="72"/>
      <c r="AJ121" s="56" t="s">
        <v>2884</v>
      </c>
      <c r="AK121" s="77" t="n">
        <f aca="false">IF(AND(ISNUMBER(U121),ISNUMBER(V121),ISNUMBER(14_Cercania!$C$13),ISNUMBER(14_Cercania!$C$14)),6371*2*ASIN(SQRT(SIN(RADIANS(14_Cercania!$C$13-U121)/2)^2+COS(RADIANS(U121))*COS(RADIANS(14_Cercania!$C$13))*SIN(RADIANS(14_Cercania!$C$14-V121)/2)^2))+ROW()*0.000000001,"")</f>
        <v>0.602826692786229</v>
      </c>
    </row>
    <row r="122" customFormat="false" ht="23.85" hidden="false" customHeight="false" outlineLevel="0" collapsed="false">
      <c r="A122" s="62" t="n">
        <v>120</v>
      </c>
      <c r="B122" s="63" t="s">
        <v>2896</v>
      </c>
      <c r="C122" s="62" t="s">
        <v>203</v>
      </c>
      <c r="D122" s="63" t="s">
        <v>197</v>
      </c>
      <c r="E122" s="71"/>
      <c r="F122" s="57"/>
      <c r="G122" s="57"/>
      <c r="H122" s="72"/>
      <c r="I122" s="72"/>
      <c r="J122" s="72"/>
      <c r="K122" s="72"/>
      <c r="L122" s="72"/>
      <c r="M122" s="57"/>
      <c r="N122" s="57"/>
      <c r="O122" s="62" t="s">
        <v>197</v>
      </c>
      <c r="P122" s="78"/>
      <c r="Q122" s="78" t="s">
        <v>2490</v>
      </c>
      <c r="R122" s="62" t="s">
        <v>2491</v>
      </c>
      <c r="S122" s="62" t="s">
        <v>2491</v>
      </c>
      <c r="T122" s="62" t="s">
        <v>2491</v>
      </c>
      <c r="U122" s="79" t="n">
        <v>-15.8452633</v>
      </c>
      <c r="V122" s="79" t="n">
        <v>-70.024216</v>
      </c>
      <c r="W122" s="75" t="s">
        <v>2492</v>
      </c>
      <c r="X122" s="80" t="str">
        <f aca="false">HYPERLINK(IF(AND(ISNUMBER(U122),ISNUMBER(V122)),"https://www.google.com/maps/search/?api=1&amp;query="&amp;U122&amp;","&amp;V122,"https://www.google.com/maps/search/?api=1&amp;query="&amp;SUBSTITUTE(SUBSTITUTE(SUBSTITUTE(B122&amp;", "&amp;M122&amp;", Puno, Peru"," ","+"),"&amp;","y"),"#","")),"Ver en mapa")</f>
        <v>Ver en mapa</v>
      </c>
      <c r="Y122" s="72"/>
      <c r="Z122" s="57"/>
      <c r="AA122" s="72"/>
      <c r="AB122" s="59"/>
      <c r="AC122" s="59"/>
      <c r="AD122" s="72"/>
      <c r="AE122" s="72"/>
      <c r="AF122" s="72"/>
      <c r="AG122" s="72"/>
      <c r="AH122" s="62" t="s">
        <v>2494</v>
      </c>
      <c r="AI122" s="72"/>
      <c r="AJ122" s="63" t="s">
        <v>2884</v>
      </c>
      <c r="AK122" s="81" t="n">
        <f aca="false">IF(AND(ISNUMBER(U122),ISNUMBER(V122),ISNUMBER(14_Cercania!$C$13),ISNUMBER(14_Cercania!$C$14)),6371*2*ASIN(SQRT(SIN(RADIANS(14_Cercania!$C$13-U122)/2)^2+COS(RADIANS(U122))*COS(RADIANS(14_Cercania!$C$13))*SIN(RADIANS(14_Cercania!$C$14-V122)/2)^2))+ROW()*0.000000001,"")</f>
        <v>1.31485436787856</v>
      </c>
    </row>
    <row r="123" customFormat="false" ht="23.85" hidden="false" customHeight="false" outlineLevel="0" collapsed="false">
      <c r="A123" s="55" t="n">
        <v>121</v>
      </c>
      <c r="B123" s="56" t="s">
        <v>2897</v>
      </c>
      <c r="C123" s="55" t="s">
        <v>180</v>
      </c>
      <c r="D123" s="56" t="s">
        <v>2757</v>
      </c>
      <c r="E123" s="71"/>
      <c r="F123" s="57"/>
      <c r="G123" s="57"/>
      <c r="H123" s="72"/>
      <c r="I123" s="72"/>
      <c r="J123" s="72"/>
      <c r="K123" s="72"/>
      <c r="L123" s="72"/>
      <c r="M123" s="57"/>
      <c r="N123" s="57"/>
      <c r="O123" s="55" t="s">
        <v>197</v>
      </c>
      <c r="P123" s="73"/>
      <c r="Q123" s="73" t="s">
        <v>2490</v>
      </c>
      <c r="R123" s="55" t="s">
        <v>2491</v>
      </c>
      <c r="S123" s="55" t="s">
        <v>2491</v>
      </c>
      <c r="T123" s="55" t="s">
        <v>2491</v>
      </c>
      <c r="U123" s="74" t="n">
        <v>-15.83979</v>
      </c>
      <c r="V123" s="74" t="n">
        <v>-70.0277871</v>
      </c>
      <c r="W123" s="75" t="s">
        <v>2492</v>
      </c>
      <c r="X123" s="76" t="str">
        <f aca="false">HYPERLINK(IF(AND(ISNUMBER(U123),ISNUMBER(V123)),"https://www.google.com/maps/search/?api=1&amp;query="&amp;U123&amp;","&amp;V123,"https://www.google.com/maps/search/?api=1&amp;query="&amp;SUBSTITUTE(SUBSTITUTE(SUBSTITUTE(B123&amp;", "&amp;M123&amp;", Puno, Peru"," ","+"),"&amp;","y"),"#","")),"Ver en mapa")</f>
        <v>Ver en mapa</v>
      </c>
      <c r="Y123" s="72"/>
      <c r="Z123" s="57"/>
      <c r="AA123" s="72"/>
      <c r="AB123" s="59"/>
      <c r="AC123" s="59"/>
      <c r="AD123" s="72"/>
      <c r="AE123" s="72"/>
      <c r="AF123" s="72"/>
      <c r="AG123" s="72"/>
      <c r="AH123" s="55" t="s">
        <v>2494</v>
      </c>
      <c r="AI123" s="72"/>
      <c r="AJ123" s="56" t="s">
        <v>2884</v>
      </c>
      <c r="AK123" s="77" t="n">
        <f aca="false">IF(AND(ISNUMBER(U123),ISNUMBER(V123),ISNUMBER(14_Cercania!$C$13),ISNUMBER(14_Cercania!$C$14)),6371*2*ASIN(SQRT(SIN(RADIANS(14_Cercania!$C$13-U123)/2)^2+COS(RADIANS(U123))*COS(RADIANS(14_Cercania!$C$13))*SIN(RADIANS(14_Cercania!$C$14-V123)/2)^2))+ROW()*0.000000001,"")</f>
        <v>0.843481466331779</v>
      </c>
    </row>
    <row r="124" customFormat="false" ht="23.85" hidden="false" customHeight="false" outlineLevel="0" collapsed="false">
      <c r="A124" s="62" t="n">
        <v>122</v>
      </c>
      <c r="B124" s="63" t="s">
        <v>2898</v>
      </c>
      <c r="C124" s="62" t="s">
        <v>203</v>
      </c>
      <c r="D124" s="63" t="s">
        <v>197</v>
      </c>
      <c r="E124" s="71"/>
      <c r="F124" s="57"/>
      <c r="G124" s="57"/>
      <c r="H124" s="72"/>
      <c r="I124" s="72"/>
      <c r="J124" s="72"/>
      <c r="K124" s="72"/>
      <c r="L124" s="72"/>
      <c r="M124" s="57"/>
      <c r="N124" s="57"/>
      <c r="O124" s="62" t="s">
        <v>197</v>
      </c>
      <c r="P124" s="78"/>
      <c r="Q124" s="78" t="s">
        <v>2490</v>
      </c>
      <c r="R124" s="62" t="s">
        <v>2491</v>
      </c>
      <c r="S124" s="62" t="s">
        <v>2491</v>
      </c>
      <c r="T124" s="62" t="s">
        <v>2491</v>
      </c>
      <c r="U124" s="79" t="n">
        <v>-15.8372194</v>
      </c>
      <c r="V124" s="79" t="n">
        <v>-70.0259075</v>
      </c>
      <c r="W124" s="75" t="s">
        <v>2492</v>
      </c>
      <c r="X124" s="80" t="str">
        <f aca="false">HYPERLINK(IF(AND(ISNUMBER(U124),ISNUMBER(V124)),"https://www.google.com/maps/search/?api=1&amp;query="&amp;U124&amp;","&amp;V124,"https://www.google.com/maps/search/?api=1&amp;query="&amp;SUBSTITUTE(SUBSTITUTE(SUBSTITUTE(B124&amp;", "&amp;M124&amp;", Puno, Peru"," ","+"),"&amp;","y"),"#","")),"Ver en mapa")</f>
        <v>Ver en mapa</v>
      </c>
      <c r="Y124" s="72"/>
      <c r="Z124" s="57"/>
      <c r="AA124" s="72"/>
      <c r="AB124" s="59"/>
      <c r="AC124" s="59"/>
      <c r="AD124" s="72"/>
      <c r="AE124" s="72"/>
      <c r="AF124" s="72"/>
      <c r="AG124" s="72"/>
      <c r="AH124" s="62" t="s">
        <v>2494</v>
      </c>
      <c r="AI124" s="72"/>
      <c r="AJ124" s="63" t="s">
        <v>2884</v>
      </c>
      <c r="AK124" s="81" t="n">
        <f aca="false">IF(AND(ISNUMBER(U124),ISNUMBER(V124),ISNUMBER(14_Cercania!$C$13),ISNUMBER(14_Cercania!$C$14)),6371*2*ASIN(SQRT(SIN(RADIANS(14_Cercania!$C$13-U124)/2)^2+COS(RADIANS(U124))*COS(RADIANS(14_Cercania!$C$13))*SIN(RADIANS(14_Cercania!$C$14-V124)/2)^2))+ROW()*0.000000001,"")</f>
        <v>0.494257422798746</v>
      </c>
    </row>
    <row r="125" customFormat="false" ht="23.85" hidden="false" customHeight="false" outlineLevel="0" collapsed="false">
      <c r="A125" s="55" t="n">
        <v>123</v>
      </c>
      <c r="B125" s="56" t="s">
        <v>2899</v>
      </c>
      <c r="C125" s="55" t="s">
        <v>203</v>
      </c>
      <c r="D125" s="56" t="s">
        <v>197</v>
      </c>
      <c r="E125" s="71"/>
      <c r="F125" s="57"/>
      <c r="G125" s="57"/>
      <c r="H125" s="72"/>
      <c r="I125" s="72"/>
      <c r="J125" s="72"/>
      <c r="K125" s="72"/>
      <c r="L125" s="72"/>
      <c r="M125" s="57"/>
      <c r="N125" s="57"/>
      <c r="O125" s="55" t="s">
        <v>197</v>
      </c>
      <c r="P125" s="73"/>
      <c r="Q125" s="73" t="s">
        <v>2490</v>
      </c>
      <c r="R125" s="55" t="s">
        <v>2491</v>
      </c>
      <c r="S125" s="55" t="s">
        <v>2491</v>
      </c>
      <c r="T125" s="55" t="s">
        <v>2491</v>
      </c>
      <c r="U125" s="74" t="n">
        <v>-15.8365757</v>
      </c>
      <c r="V125" s="74" t="n">
        <v>-70.0264889</v>
      </c>
      <c r="W125" s="75" t="s">
        <v>2492</v>
      </c>
      <c r="X125" s="76" t="str">
        <f aca="false">HYPERLINK(IF(AND(ISNUMBER(U125),ISNUMBER(V125)),"https://www.google.com/maps/search/?api=1&amp;query="&amp;U125&amp;","&amp;V125,"https://www.google.com/maps/search/?api=1&amp;query="&amp;SUBSTITUTE(SUBSTITUTE(SUBSTITUTE(B125&amp;", "&amp;M125&amp;", Puno, Peru"," ","+"),"&amp;","y"),"#","")),"Ver en mapa")</f>
        <v>Ver en mapa</v>
      </c>
      <c r="Y125" s="72"/>
      <c r="Z125" s="57"/>
      <c r="AA125" s="72"/>
      <c r="AB125" s="59"/>
      <c r="AC125" s="59"/>
      <c r="AD125" s="72"/>
      <c r="AE125" s="72"/>
      <c r="AF125" s="72"/>
      <c r="AG125" s="72"/>
      <c r="AH125" s="55" t="s">
        <v>2494</v>
      </c>
      <c r="AI125" s="72"/>
      <c r="AJ125" s="56" t="s">
        <v>2884</v>
      </c>
      <c r="AK125" s="77" t="n">
        <f aca="false">IF(AND(ISNUMBER(U125),ISNUMBER(V125),ISNUMBER(14_Cercania!$C$13),ISNUMBER(14_Cercania!$C$14)),6371*2*ASIN(SQRT(SIN(RADIANS(14_Cercania!$C$13-U125)/2)^2+COS(RADIANS(U125))*COS(RADIANS(14_Cercania!$C$13))*SIN(RADIANS(14_Cercania!$C$14-V125)/2)^2))+ROW()*0.000000001,"")</f>
        <v>0.475738677479017</v>
      </c>
    </row>
    <row r="126" customFormat="false" ht="23.85" hidden="false" customHeight="false" outlineLevel="0" collapsed="false">
      <c r="A126" s="62" t="n">
        <v>124</v>
      </c>
      <c r="B126" s="63" t="s">
        <v>2900</v>
      </c>
      <c r="C126" s="62" t="s">
        <v>203</v>
      </c>
      <c r="D126" s="63" t="s">
        <v>197</v>
      </c>
      <c r="E126" s="71"/>
      <c r="F126" s="57"/>
      <c r="G126" s="57"/>
      <c r="H126" s="72"/>
      <c r="I126" s="72"/>
      <c r="J126" s="72"/>
      <c r="K126" s="72"/>
      <c r="L126" s="72"/>
      <c r="M126" s="57"/>
      <c r="N126" s="57"/>
      <c r="O126" s="62" t="s">
        <v>197</v>
      </c>
      <c r="P126" s="78"/>
      <c r="Q126" s="78" t="s">
        <v>2490</v>
      </c>
      <c r="R126" s="62" t="s">
        <v>2491</v>
      </c>
      <c r="S126" s="62" t="s">
        <v>2491</v>
      </c>
      <c r="T126" s="62" t="s">
        <v>2491</v>
      </c>
      <c r="U126" s="79" t="n">
        <v>-15.8384561</v>
      </c>
      <c r="V126" s="79" t="n">
        <v>-70.0303115</v>
      </c>
      <c r="W126" s="75" t="s">
        <v>2492</v>
      </c>
      <c r="X126" s="80" t="str">
        <f aca="false">HYPERLINK(IF(AND(ISNUMBER(U126),ISNUMBER(V126)),"https://www.google.com/maps/search/?api=1&amp;query="&amp;U126&amp;","&amp;V126,"https://www.google.com/maps/search/?api=1&amp;query="&amp;SUBSTITUTE(SUBSTITUTE(SUBSTITUTE(B126&amp;", "&amp;M126&amp;", Puno, Peru"," ","+"),"&amp;","y"),"#","")),"Ver en mapa")</f>
        <v>Ver en mapa</v>
      </c>
      <c r="Y126" s="72"/>
      <c r="Z126" s="57"/>
      <c r="AA126" s="72"/>
      <c r="AB126" s="59"/>
      <c r="AC126" s="59"/>
      <c r="AD126" s="72"/>
      <c r="AE126" s="72"/>
      <c r="AF126" s="72"/>
      <c r="AG126" s="72"/>
      <c r="AH126" s="62" t="s">
        <v>2494</v>
      </c>
      <c r="AI126" s="72"/>
      <c r="AJ126" s="63" t="s">
        <v>2884</v>
      </c>
      <c r="AK126" s="81" t="n">
        <f aca="false">IF(AND(ISNUMBER(U126),ISNUMBER(V126),ISNUMBER(14_Cercania!$C$13),ISNUMBER(14_Cercania!$C$14)),6371*2*ASIN(SQRT(SIN(RADIANS(14_Cercania!$C$13-U126)/2)^2+COS(RADIANS(U126))*COS(RADIANS(14_Cercania!$C$13))*SIN(RADIANS(14_Cercania!$C$14-V126)/2)^2))+ROW()*0.000000001,"")</f>
        <v>0.92135594860286</v>
      </c>
    </row>
    <row r="127" customFormat="false" ht="23.85" hidden="false" customHeight="false" outlineLevel="0" collapsed="false">
      <c r="A127" s="55" t="n">
        <v>125</v>
      </c>
      <c r="B127" s="56" t="s">
        <v>2901</v>
      </c>
      <c r="C127" s="55" t="s">
        <v>203</v>
      </c>
      <c r="D127" s="56" t="s">
        <v>197</v>
      </c>
      <c r="E127" s="71"/>
      <c r="F127" s="57"/>
      <c r="G127" s="57"/>
      <c r="H127" s="72"/>
      <c r="I127" s="72"/>
      <c r="J127" s="72"/>
      <c r="K127" s="72"/>
      <c r="L127" s="72"/>
      <c r="M127" s="57"/>
      <c r="N127" s="57"/>
      <c r="O127" s="55" t="s">
        <v>197</v>
      </c>
      <c r="P127" s="73"/>
      <c r="Q127" s="73" t="s">
        <v>2490</v>
      </c>
      <c r="R127" s="55" t="s">
        <v>2491</v>
      </c>
      <c r="S127" s="55" t="s">
        <v>2491</v>
      </c>
      <c r="T127" s="55" t="s">
        <v>2491</v>
      </c>
      <c r="U127" s="74" t="n">
        <v>-15.8400614</v>
      </c>
      <c r="V127" s="74" t="n">
        <v>-70.0261671</v>
      </c>
      <c r="W127" s="75" t="s">
        <v>2492</v>
      </c>
      <c r="X127" s="76" t="str">
        <f aca="false">HYPERLINK(IF(AND(ISNUMBER(U127),ISNUMBER(V127)),"https://www.google.com/maps/search/?api=1&amp;query="&amp;U127&amp;","&amp;V127,"https://www.google.com/maps/search/?api=1&amp;query="&amp;SUBSTITUTE(SUBSTITUTE(SUBSTITUTE(B127&amp;", "&amp;M127&amp;", Puno, Peru"," ","+"),"&amp;","y"),"#","")),"Ver en mapa")</f>
        <v>Ver en mapa</v>
      </c>
      <c r="Y127" s="72"/>
      <c r="Z127" s="57"/>
      <c r="AA127" s="72"/>
      <c r="AB127" s="59"/>
      <c r="AC127" s="59"/>
      <c r="AD127" s="72"/>
      <c r="AE127" s="72"/>
      <c r="AF127" s="72"/>
      <c r="AG127" s="72"/>
      <c r="AH127" s="55" t="s">
        <v>2494</v>
      </c>
      <c r="AI127" s="72"/>
      <c r="AJ127" s="56" t="s">
        <v>2884</v>
      </c>
      <c r="AK127" s="77" t="n">
        <f aca="false">IF(AND(ISNUMBER(U127),ISNUMBER(V127),ISNUMBER(14_Cercania!$C$13),ISNUMBER(14_Cercania!$C$14)),6371*2*ASIN(SQRT(SIN(RADIANS(14_Cercania!$C$13-U127)/2)^2+COS(RADIANS(U127))*COS(RADIANS(14_Cercania!$C$13))*SIN(RADIANS(14_Cercania!$C$14-V127)/2)^2))+ROW()*0.000000001,"")</f>
        <v>0.78971286188799</v>
      </c>
    </row>
    <row r="128" customFormat="false" ht="23.85" hidden="false" customHeight="false" outlineLevel="0" collapsed="false">
      <c r="A128" s="62" t="n">
        <v>126</v>
      </c>
      <c r="B128" s="63" t="s">
        <v>2902</v>
      </c>
      <c r="C128" s="62" t="s">
        <v>203</v>
      </c>
      <c r="D128" s="63" t="s">
        <v>197</v>
      </c>
      <c r="E128" s="71"/>
      <c r="F128" s="57"/>
      <c r="G128" s="57"/>
      <c r="H128" s="72"/>
      <c r="I128" s="72"/>
      <c r="J128" s="72"/>
      <c r="K128" s="72"/>
      <c r="L128" s="72"/>
      <c r="M128" s="57"/>
      <c r="N128" s="57"/>
      <c r="O128" s="62" t="s">
        <v>197</v>
      </c>
      <c r="P128" s="78"/>
      <c r="Q128" s="78" t="s">
        <v>2490</v>
      </c>
      <c r="R128" s="62" t="s">
        <v>2491</v>
      </c>
      <c r="S128" s="62" t="s">
        <v>2491</v>
      </c>
      <c r="T128" s="62" t="s">
        <v>2491</v>
      </c>
      <c r="U128" s="79" t="n">
        <v>-15.8388467</v>
      </c>
      <c r="V128" s="79" t="n">
        <v>-70.0268579</v>
      </c>
      <c r="W128" s="75" t="s">
        <v>2492</v>
      </c>
      <c r="X128" s="80" t="str">
        <f aca="false">HYPERLINK(IF(AND(ISNUMBER(U128),ISNUMBER(V128)),"https://www.google.com/maps/search/?api=1&amp;query="&amp;U128&amp;","&amp;V128,"https://www.google.com/maps/search/?api=1&amp;query="&amp;SUBSTITUTE(SUBSTITUTE(SUBSTITUTE(B128&amp;", "&amp;M128&amp;", Puno, Peru"," ","+"),"&amp;","y"),"#","")),"Ver en mapa")</f>
        <v>Ver en mapa</v>
      </c>
      <c r="Y128" s="72"/>
      <c r="Z128" s="57"/>
      <c r="AA128" s="72"/>
      <c r="AB128" s="59"/>
      <c r="AC128" s="59"/>
      <c r="AD128" s="72"/>
      <c r="AE128" s="72"/>
      <c r="AF128" s="72"/>
      <c r="AG128" s="72"/>
      <c r="AH128" s="62" t="s">
        <v>2494</v>
      </c>
      <c r="AI128" s="72"/>
      <c r="AJ128" s="63" t="s">
        <v>2884</v>
      </c>
      <c r="AK128" s="81" t="n">
        <f aca="false">IF(AND(ISNUMBER(U128),ISNUMBER(V128),ISNUMBER(14_Cercania!$C$13),ISNUMBER(14_Cercania!$C$14)),6371*2*ASIN(SQRT(SIN(RADIANS(14_Cercania!$C$13-U128)/2)^2+COS(RADIANS(U128))*COS(RADIANS(14_Cercania!$C$13))*SIN(RADIANS(14_Cercania!$C$14-V128)/2)^2))+ROW()*0.000000001,"")</f>
        <v>0.701614337885958</v>
      </c>
    </row>
    <row r="129" customFormat="false" ht="23.85" hidden="false" customHeight="false" outlineLevel="0" collapsed="false">
      <c r="A129" s="55" t="n">
        <v>127</v>
      </c>
      <c r="B129" s="56" t="s">
        <v>2903</v>
      </c>
      <c r="C129" s="55" t="s">
        <v>203</v>
      </c>
      <c r="D129" s="56" t="s">
        <v>197</v>
      </c>
      <c r="E129" s="71"/>
      <c r="F129" s="57"/>
      <c r="G129" s="57"/>
      <c r="H129" s="72"/>
      <c r="I129" s="72"/>
      <c r="J129" s="72"/>
      <c r="K129" s="72"/>
      <c r="L129" s="72"/>
      <c r="M129" s="57"/>
      <c r="N129" s="57"/>
      <c r="O129" s="55" t="s">
        <v>197</v>
      </c>
      <c r="P129" s="73"/>
      <c r="Q129" s="73" t="s">
        <v>2490</v>
      </c>
      <c r="R129" s="55" t="s">
        <v>2491</v>
      </c>
      <c r="S129" s="55" t="s">
        <v>2491</v>
      </c>
      <c r="T129" s="55" t="s">
        <v>2491</v>
      </c>
      <c r="U129" s="74" t="n">
        <v>-15.8369373</v>
      </c>
      <c r="V129" s="74" t="n">
        <v>-70.0269978</v>
      </c>
      <c r="W129" s="75" t="s">
        <v>2492</v>
      </c>
      <c r="X129" s="76" t="str">
        <f aca="false">HYPERLINK(IF(AND(ISNUMBER(U129),ISNUMBER(V129)),"https://www.google.com/maps/search/?api=1&amp;query="&amp;U129&amp;","&amp;V129,"https://www.google.com/maps/search/?api=1&amp;query="&amp;SUBSTITUTE(SUBSTITUTE(SUBSTITUTE(B129&amp;", "&amp;M129&amp;", Puno, Peru"," ","+"),"&amp;","y"),"#","")),"Ver en mapa")</f>
        <v>Ver en mapa</v>
      </c>
      <c r="Y129" s="72"/>
      <c r="Z129" s="57"/>
      <c r="AA129" s="72"/>
      <c r="AB129" s="59"/>
      <c r="AC129" s="59"/>
      <c r="AD129" s="72"/>
      <c r="AE129" s="72"/>
      <c r="AF129" s="72"/>
      <c r="AG129" s="72"/>
      <c r="AH129" s="55" t="s">
        <v>2494</v>
      </c>
      <c r="AI129" s="72"/>
      <c r="AJ129" s="56" t="s">
        <v>2884</v>
      </c>
      <c r="AK129" s="77" t="n">
        <f aca="false">IF(AND(ISNUMBER(U129),ISNUMBER(V129),ISNUMBER(14_Cercania!$C$13),ISNUMBER(14_Cercania!$C$14)),6371*2*ASIN(SQRT(SIN(RADIANS(14_Cercania!$C$13-U129)/2)^2+COS(RADIANS(U129))*COS(RADIANS(14_Cercania!$C$13))*SIN(RADIANS(14_Cercania!$C$14-V129)/2)^2))+ROW()*0.000000001,"")</f>
        <v>0.542471040618611</v>
      </c>
    </row>
    <row r="130" customFormat="false" ht="23.85" hidden="false" customHeight="false" outlineLevel="0" collapsed="false">
      <c r="A130" s="62" t="n">
        <v>128</v>
      </c>
      <c r="B130" s="63" t="s">
        <v>2904</v>
      </c>
      <c r="C130" s="62" t="s">
        <v>203</v>
      </c>
      <c r="D130" s="63" t="s">
        <v>197</v>
      </c>
      <c r="E130" s="71"/>
      <c r="F130" s="57"/>
      <c r="G130" s="57"/>
      <c r="H130" s="72"/>
      <c r="I130" s="72"/>
      <c r="J130" s="72"/>
      <c r="K130" s="72"/>
      <c r="L130" s="72"/>
      <c r="M130" s="57"/>
      <c r="N130" s="57"/>
      <c r="O130" s="62" t="s">
        <v>197</v>
      </c>
      <c r="P130" s="78"/>
      <c r="Q130" s="78" t="s">
        <v>2490</v>
      </c>
      <c r="R130" s="62" t="s">
        <v>2491</v>
      </c>
      <c r="S130" s="62" t="s">
        <v>2491</v>
      </c>
      <c r="T130" s="62" t="s">
        <v>2491</v>
      </c>
      <c r="U130" s="79" t="n">
        <v>-15.8372516</v>
      </c>
      <c r="V130" s="79" t="n">
        <v>-70.0279598</v>
      </c>
      <c r="W130" s="75" t="s">
        <v>2492</v>
      </c>
      <c r="X130" s="80" t="str">
        <f aca="false">HYPERLINK(IF(AND(ISNUMBER(U130),ISNUMBER(V130)),"https://www.google.com/maps/search/?api=1&amp;query="&amp;U130&amp;","&amp;V130,"https://www.google.com/maps/search/?api=1&amp;query="&amp;SUBSTITUTE(SUBSTITUTE(SUBSTITUTE(B130&amp;", "&amp;M130&amp;", Puno, Peru"," ","+"),"&amp;","y"),"#","")),"Ver en mapa")</f>
        <v>Ver en mapa</v>
      </c>
      <c r="Y130" s="72"/>
      <c r="Z130" s="57"/>
      <c r="AA130" s="72"/>
      <c r="AB130" s="59"/>
      <c r="AC130" s="59"/>
      <c r="AD130" s="72"/>
      <c r="AE130" s="72"/>
      <c r="AF130" s="72"/>
      <c r="AG130" s="72"/>
      <c r="AH130" s="62" t="s">
        <v>2494</v>
      </c>
      <c r="AI130" s="72"/>
      <c r="AJ130" s="63" t="s">
        <v>2884</v>
      </c>
      <c r="AK130" s="81" t="n">
        <f aca="false">IF(AND(ISNUMBER(U130),ISNUMBER(V130),ISNUMBER(14_Cercania!$C$13),ISNUMBER(14_Cercania!$C$14)),6371*2*ASIN(SQRT(SIN(RADIANS(14_Cercania!$C$13-U130)/2)^2+COS(RADIANS(U130))*COS(RADIANS(14_Cercania!$C$13))*SIN(RADIANS(14_Cercania!$C$14-V130)/2)^2))+ROW()*0.000000001,"")</f>
        <v>0.641450356896098</v>
      </c>
    </row>
    <row r="131" customFormat="false" ht="23.85" hidden="false" customHeight="false" outlineLevel="0" collapsed="false">
      <c r="A131" s="55" t="n">
        <v>129</v>
      </c>
      <c r="B131" s="56" t="s">
        <v>2905</v>
      </c>
      <c r="C131" s="55" t="s">
        <v>203</v>
      </c>
      <c r="D131" s="56" t="s">
        <v>197</v>
      </c>
      <c r="E131" s="71"/>
      <c r="F131" s="57"/>
      <c r="G131" s="57"/>
      <c r="H131" s="72"/>
      <c r="I131" s="72"/>
      <c r="J131" s="72"/>
      <c r="K131" s="72"/>
      <c r="L131" s="72"/>
      <c r="M131" s="57"/>
      <c r="N131" s="57"/>
      <c r="O131" s="55" t="s">
        <v>197</v>
      </c>
      <c r="P131" s="73"/>
      <c r="Q131" s="73" t="s">
        <v>2490</v>
      </c>
      <c r="R131" s="55" t="s">
        <v>2491</v>
      </c>
      <c r="S131" s="55" t="s">
        <v>2491</v>
      </c>
      <c r="T131" s="55" t="s">
        <v>2491</v>
      </c>
      <c r="U131" s="74" t="n">
        <v>-15.8375098</v>
      </c>
      <c r="V131" s="74" t="n">
        <v>-70.0290607</v>
      </c>
      <c r="W131" s="75" t="s">
        <v>2492</v>
      </c>
      <c r="X131" s="76" t="str">
        <f aca="false">HYPERLINK(IF(AND(ISNUMBER(U131),ISNUMBER(V131)),"https://www.google.com/maps/search/?api=1&amp;query="&amp;U131&amp;","&amp;V131,"https://www.google.com/maps/search/?api=1&amp;query="&amp;SUBSTITUTE(SUBSTITUTE(SUBSTITUTE(B131&amp;", "&amp;M131&amp;", Puno, Peru"," ","+"),"&amp;","y"),"#","")),"Ver en mapa")</f>
        <v>Ver en mapa</v>
      </c>
      <c r="Y131" s="72"/>
      <c r="Z131" s="57"/>
      <c r="AA131" s="72"/>
      <c r="AB131" s="59"/>
      <c r="AC131" s="59"/>
      <c r="AD131" s="72"/>
      <c r="AE131" s="72"/>
      <c r="AF131" s="72"/>
      <c r="AG131" s="72"/>
      <c r="AH131" s="55" t="s">
        <v>2494</v>
      </c>
      <c r="AI131" s="72"/>
      <c r="AJ131" s="56" t="s">
        <v>2884</v>
      </c>
      <c r="AK131" s="77" t="n">
        <f aca="false">IF(AND(ISNUMBER(U131),ISNUMBER(V131),ISNUMBER(14_Cercania!$C$13),ISNUMBER(14_Cercania!$C$14)),6371*2*ASIN(SQRT(SIN(RADIANS(14_Cercania!$C$13-U131)/2)^2+COS(RADIANS(U131))*COS(RADIANS(14_Cercania!$C$13))*SIN(RADIANS(14_Cercania!$C$14-V131)/2)^2))+ROW()*0.000000001,"")</f>
        <v>0.751174799752792</v>
      </c>
    </row>
    <row r="132" customFormat="false" ht="23.85" hidden="false" customHeight="false" outlineLevel="0" collapsed="false">
      <c r="A132" s="62" t="n">
        <v>130</v>
      </c>
      <c r="B132" s="63" t="s">
        <v>2906</v>
      </c>
      <c r="C132" s="62" t="s">
        <v>203</v>
      </c>
      <c r="D132" s="63" t="s">
        <v>2907</v>
      </c>
      <c r="E132" s="71"/>
      <c r="F132" s="57"/>
      <c r="G132" s="57"/>
      <c r="H132" s="72"/>
      <c r="I132" s="72"/>
      <c r="J132" s="72"/>
      <c r="K132" s="72"/>
      <c r="L132" s="72"/>
      <c r="M132" s="57"/>
      <c r="N132" s="57"/>
      <c r="O132" s="62" t="s">
        <v>197</v>
      </c>
      <c r="P132" s="78"/>
      <c r="Q132" s="78" t="s">
        <v>2490</v>
      </c>
      <c r="R132" s="62" t="s">
        <v>2491</v>
      </c>
      <c r="S132" s="62" t="s">
        <v>2491</v>
      </c>
      <c r="T132" s="62" t="s">
        <v>2491</v>
      </c>
      <c r="U132" s="79" t="n">
        <v>-15.8371523</v>
      </c>
      <c r="V132" s="79" t="n">
        <v>-70.0285457</v>
      </c>
      <c r="W132" s="75" t="s">
        <v>2492</v>
      </c>
      <c r="X132" s="80" t="str">
        <f aca="false">HYPERLINK(IF(AND(ISNUMBER(U132),ISNUMBER(V132)),"https://www.google.com/maps/search/?api=1&amp;query="&amp;U132&amp;","&amp;V132,"https://www.google.com/maps/search/?api=1&amp;query="&amp;SUBSTITUTE(SUBSTITUTE(SUBSTITUTE(B132&amp;", "&amp;M132&amp;", Puno, Peru"," ","+"),"&amp;","y"),"#","")),"Ver en mapa")</f>
        <v>Ver en mapa</v>
      </c>
      <c r="Y132" s="72"/>
      <c r="Z132" s="57"/>
      <c r="AA132" s="72"/>
      <c r="AB132" s="59"/>
      <c r="AC132" s="59"/>
      <c r="AD132" s="72"/>
      <c r="AE132" s="72"/>
      <c r="AF132" s="72"/>
      <c r="AG132" s="72"/>
      <c r="AH132" s="62" t="s">
        <v>2494</v>
      </c>
      <c r="AI132" s="72"/>
      <c r="AJ132" s="63" t="s">
        <v>2884</v>
      </c>
      <c r="AK132" s="81" t="n">
        <f aca="false">IF(AND(ISNUMBER(U132),ISNUMBER(V132),ISNUMBER(14_Cercania!$C$13),ISNUMBER(14_Cercania!$C$14)),6371*2*ASIN(SQRT(SIN(RADIANS(14_Cercania!$C$13-U132)/2)^2+COS(RADIANS(U132))*COS(RADIANS(14_Cercania!$C$13))*SIN(RADIANS(14_Cercania!$C$14-V132)/2)^2))+ROW()*0.000000001,"")</f>
        <v>0.683249922725793</v>
      </c>
    </row>
    <row r="133" customFormat="false" ht="23.85" hidden="false" customHeight="false" outlineLevel="0" collapsed="false">
      <c r="A133" s="55" t="n">
        <v>131</v>
      </c>
      <c r="B133" s="56" t="s">
        <v>2908</v>
      </c>
      <c r="C133" s="55" t="s">
        <v>203</v>
      </c>
      <c r="D133" s="56" t="s">
        <v>197</v>
      </c>
      <c r="E133" s="71"/>
      <c r="F133" s="57"/>
      <c r="G133" s="57"/>
      <c r="H133" s="72"/>
      <c r="I133" s="72"/>
      <c r="J133" s="72"/>
      <c r="K133" s="72"/>
      <c r="L133" s="72"/>
      <c r="M133" s="57"/>
      <c r="N133" s="57"/>
      <c r="O133" s="55" t="s">
        <v>197</v>
      </c>
      <c r="P133" s="73"/>
      <c r="Q133" s="73" t="s">
        <v>2490</v>
      </c>
      <c r="R133" s="55" t="s">
        <v>2491</v>
      </c>
      <c r="S133" s="55" t="s">
        <v>2491</v>
      </c>
      <c r="T133" s="55" t="s">
        <v>2491</v>
      </c>
      <c r="U133" s="74" t="n">
        <v>-15.8390023</v>
      </c>
      <c r="V133" s="74" t="n">
        <v>-70.0267913</v>
      </c>
      <c r="W133" s="75" t="s">
        <v>2492</v>
      </c>
      <c r="X133" s="76" t="str">
        <f aca="false">HYPERLINK(IF(AND(ISNUMBER(U133),ISNUMBER(V133)),"https://www.google.com/maps/search/?api=1&amp;query="&amp;U133&amp;","&amp;V133,"https://www.google.com/maps/search/?api=1&amp;query="&amp;SUBSTITUTE(SUBSTITUTE(SUBSTITUTE(B133&amp;", "&amp;M133&amp;", Puno, Peru"," ","+"),"&amp;","y"),"#","")),"Ver en mapa")</f>
        <v>Ver en mapa</v>
      </c>
      <c r="Y133" s="72"/>
      <c r="Z133" s="57"/>
      <c r="AA133" s="72"/>
      <c r="AB133" s="59"/>
      <c r="AC133" s="59"/>
      <c r="AD133" s="72"/>
      <c r="AE133" s="72"/>
      <c r="AF133" s="72"/>
      <c r="AG133" s="72"/>
      <c r="AH133" s="55" t="s">
        <v>2494</v>
      </c>
      <c r="AI133" s="72"/>
      <c r="AJ133" s="56" t="s">
        <v>2884</v>
      </c>
      <c r="AK133" s="77" t="n">
        <f aca="false">IF(AND(ISNUMBER(U133),ISNUMBER(V133),ISNUMBER(14_Cercania!$C$13),ISNUMBER(14_Cercania!$C$14)),6371*2*ASIN(SQRT(SIN(RADIANS(14_Cercania!$C$13-U133)/2)^2+COS(RADIANS(U133))*COS(RADIANS(14_Cercania!$C$13))*SIN(RADIANS(14_Cercania!$C$14-V133)/2)^2))+ROW()*0.000000001,"")</f>
        <v>0.712824811815639</v>
      </c>
    </row>
    <row r="134" customFormat="false" ht="23.85" hidden="false" customHeight="false" outlineLevel="0" collapsed="false">
      <c r="A134" s="62" t="n">
        <v>132</v>
      </c>
      <c r="B134" s="63" t="s">
        <v>2909</v>
      </c>
      <c r="C134" s="62" t="s">
        <v>203</v>
      </c>
      <c r="D134" s="63" t="s">
        <v>197</v>
      </c>
      <c r="E134" s="71"/>
      <c r="F134" s="57"/>
      <c r="G134" s="57"/>
      <c r="H134" s="72"/>
      <c r="I134" s="72"/>
      <c r="J134" s="72"/>
      <c r="K134" s="72"/>
      <c r="L134" s="72"/>
      <c r="M134" s="57"/>
      <c r="N134" s="57"/>
      <c r="O134" s="62" t="s">
        <v>197</v>
      </c>
      <c r="P134" s="78"/>
      <c r="Q134" s="78" t="s">
        <v>2490</v>
      </c>
      <c r="R134" s="62" t="s">
        <v>2491</v>
      </c>
      <c r="S134" s="62" t="s">
        <v>2491</v>
      </c>
      <c r="T134" s="62" t="s">
        <v>2491</v>
      </c>
      <c r="U134" s="79" t="n">
        <v>-15.8370387</v>
      </c>
      <c r="V134" s="79" t="n">
        <v>-70.0269573</v>
      </c>
      <c r="W134" s="75" t="s">
        <v>2492</v>
      </c>
      <c r="X134" s="80" t="str">
        <f aca="false">HYPERLINK(IF(AND(ISNUMBER(U134),ISNUMBER(V134)),"https://www.google.com/maps/search/?api=1&amp;query="&amp;U134&amp;","&amp;V134,"https://www.google.com/maps/search/?api=1&amp;query="&amp;SUBSTITUTE(SUBSTITUTE(SUBSTITUTE(B134&amp;", "&amp;M134&amp;", Puno, Peru"," ","+"),"&amp;","y"),"#","")),"Ver en mapa")</f>
        <v>Ver en mapa</v>
      </c>
      <c r="Y134" s="72"/>
      <c r="Z134" s="57"/>
      <c r="AA134" s="72"/>
      <c r="AB134" s="59"/>
      <c r="AC134" s="59"/>
      <c r="AD134" s="72"/>
      <c r="AE134" s="72"/>
      <c r="AF134" s="72"/>
      <c r="AG134" s="72"/>
      <c r="AH134" s="62" t="s">
        <v>2494</v>
      </c>
      <c r="AI134" s="72"/>
      <c r="AJ134" s="63" t="s">
        <v>2884</v>
      </c>
      <c r="AK134" s="81" t="n">
        <f aca="false">IF(AND(ISNUMBER(U134),ISNUMBER(V134),ISNUMBER(14_Cercania!$C$13),ISNUMBER(14_Cercania!$C$14)),6371*2*ASIN(SQRT(SIN(RADIANS(14_Cercania!$C$13-U134)/2)^2+COS(RADIANS(U134))*COS(RADIANS(14_Cercania!$C$13))*SIN(RADIANS(14_Cercania!$C$14-V134)/2)^2))+ROW()*0.000000001,"")</f>
        <v>0.547572234654535</v>
      </c>
    </row>
    <row r="135" customFormat="false" ht="23.85" hidden="false" customHeight="false" outlineLevel="0" collapsed="false">
      <c r="A135" s="55" t="n">
        <v>133</v>
      </c>
      <c r="B135" s="56" t="s">
        <v>2910</v>
      </c>
      <c r="C135" s="55" t="s">
        <v>203</v>
      </c>
      <c r="D135" s="56" t="s">
        <v>197</v>
      </c>
      <c r="E135" s="71"/>
      <c r="F135" s="57"/>
      <c r="G135" s="57"/>
      <c r="H135" s="72"/>
      <c r="I135" s="72"/>
      <c r="J135" s="72"/>
      <c r="K135" s="72"/>
      <c r="L135" s="72"/>
      <c r="M135" s="57"/>
      <c r="N135" s="57"/>
      <c r="O135" s="55" t="s">
        <v>197</v>
      </c>
      <c r="P135" s="73"/>
      <c r="Q135" s="73" t="s">
        <v>2490</v>
      </c>
      <c r="R135" s="55" t="s">
        <v>2491</v>
      </c>
      <c r="S135" s="55" t="s">
        <v>2491</v>
      </c>
      <c r="T135" s="55" t="s">
        <v>2491</v>
      </c>
      <c r="U135" s="74" t="n">
        <v>-15.8365898</v>
      </c>
      <c r="V135" s="74" t="n">
        <v>-70.0276979</v>
      </c>
      <c r="W135" s="75" t="s">
        <v>2492</v>
      </c>
      <c r="X135" s="76" t="str">
        <f aca="false">HYPERLINK(IF(AND(ISNUMBER(U135),ISNUMBER(V135)),"https://www.google.com/maps/search/?api=1&amp;query="&amp;U135&amp;","&amp;V135,"https://www.google.com/maps/search/?api=1&amp;query="&amp;SUBSTITUTE(SUBSTITUTE(SUBSTITUTE(B135&amp;", "&amp;M135&amp;", Puno, Peru"," ","+"),"&amp;","y"),"#","")),"Ver en mapa")</f>
        <v>Ver en mapa</v>
      </c>
      <c r="Y135" s="72"/>
      <c r="Z135" s="57"/>
      <c r="AA135" s="72"/>
      <c r="AB135" s="59"/>
      <c r="AC135" s="59"/>
      <c r="AD135" s="72"/>
      <c r="AE135" s="72"/>
      <c r="AF135" s="72"/>
      <c r="AG135" s="72"/>
      <c r="AH135" s="55" t="s">
        <v>2494</v>
      </c>
      <c r="AI135" s="72"/>
      <c r="AJ135" s="56" t="s">
        <v>2884</v>
      </c>
      <c r="AK135" s="77" t="n">
        <f aca="false">IF(AND(ISNUMBER(U135),ISNUMBER(V135),ISNUMBER(14_Cercania!$C$13),ISNUMBER(14_Cercania!$C$14)),6371*2*ASIN(SQRT(SIN(RADIANS(14_Cercania!$C$13-U135)/2)^2+COS(RADIANS(U135))*COS(RADIANS(14_Cercania!$C$13))*SIN(RADIANS(14_Cercania!$C$14-V135)/2)^2))+ROW()*0.000000001,"")</f>
        <v>0.5731876544397</v>
      </c>
    </row>
    <row r="136" customFormat="false" ht="23.85" hidden="false" customHeight="false" outlineLevel="0" collapsed="false">
      <c r="A136" s="62" t="n">
        <v>134</v>
      </c>
      <c r="B136" s="63" t="s">
        <v>2911</v>
      </c>
      <c r="C136" s="62" t="s">
        <v>203</v>
      </c>
      <c r="D136" s="63" t="s">
        <v>197</v>
      </c>
      <c r="E136" s="71"/>
      <c r="F136" s="57"/>
      <c r="G136" s="57"/>
      <c r="H136" s="72"/>
      <c r="I136" s="72"/>
      <c r="J136" s="72"/>
      <c r="K136" s="72"/>
      <c r="L136" s="72"/>
      <c r="M136" s="57"/>
      <c r="N136" s="57"/>
      <c r="O136" s="62" t="s">
        <v>197</v>
      </c>
      <c r="P136" s="78"/>
      <c r="Q136" s="78" t="s">
        <v>2490</v>
      </c>
      <c r="R136" s="62" t="s">
        <v>2491</v>
      </c>
      <c r="S136" s="62" t="s">
        <v>2491</v>
      </c>
      <c r="T136" s="62" t="s">
        <v>2491</v>
      </c>
      <c r="U136" s="79" t="n">
        <v>-15.8369939</v>
      </c>
      <c r="V136" s="79" t="n">
        <v>-70.0285504</v>
      </c>
      <c r="W136" s="75" t="s">
        <v>2492</v>
      </c>
      <c r="X136" s="80" t="str">
        <f aca="false">HYPERLINK(IF(AND(ISNUMBER(U136),ISNUMBER(V136)),"https://www.google.com/maps/search/?api=1&amp;query="&amp;U136&amp;","&amp;V136,"https://www.google.com/maps/search/?api=1&amp;query="&amp;SUBSTITUTE(SUBSTITUTE(SUBSTITUTE(B136&amp;", "&amp;M136&amp;", Puno, Peru"," ","+"),"&amp;","y"),"#","")),"Ver en mapa")</f>
        <v>Ver en mapa</v>
      </c>
      <c r="Y136" s="72"/>
      <c r="Z136" s="57"/>
      <c r="AA136" s="72"/>
      <c r="AB136" s="59"/>
      <c r="AC136" s="59"/>
      <c r="AD136" s="72"/>
      <c r="AE136" s="72"/>
      <c r="AF136" s="72"/>
      <c r="AG136" s="72"/>
      <c r="AH136" s="62" t="s">
        <v>2494</v>
      </c>
      <c r="AI136" s="72"/>
      <c r="AJ136" s="63" t="s">
        <v>2884</v>
      </c>
      <c r="AK136" s="81" t="n">
        <f aca="false">IF(AND(ISNUMBER(U136),ISNUMBER(V136),ISNUMBER(14_Cercania!$C$13),ISNUMBER(14_Cercania!$C$14)),6371*2*ASIN(SQRT(SIN(RADIANS(14_Cercania!$C$13-U136)/2)^2+COS(RADIANS(U136))*COS(RADIANS(14_Cercania!$C$13))*SIN(RADIANS(14_Cercania!$C$14-V136)/2)^2))+ROW()*0.000000001,"")</f>
        <v>0.673228314682123</v>
      </c>
    </row>
    <row r="137" customFormat="false" ht="23.85" hidden="false" customHeight="false" outlineLevel="0" collapsed="false">
      <c r="A137" s="55" t="n">
        <v>135</v>
      </c>
      <c r="B137" s="56" t="s">
        <v>2912</v>
      </c>
      <c r="C137" s="55" t="s">
        <v>203</v>
      </c>
      <c r="D137" s="56" t="s">
        <v>197</v>
      </c>
      <c r="E137" s="71"/>
      <c r="F137" s="57"/>
      <c r="G137" s="57"/>
      <c r="H137" s="72"/>
      <c r="I137" s="72"/>
      <c r="J137" s="72"/>
      <c r="K137" s="72"/>
      <c r="L137" s="72"/>
      <c r="M137" s="57"/>
      <c r="N137" s="57"/>
      <c r="O137" s="55" t="s">
        <v>197</v>
      </c>
      <c r="P137" s="73"/>
      <c r="Q137" s="73" t="s">
        <v>2490</v>
      </c>
      <c r="R137" s="55" t="s">
        <v>2491</v>
      </c>
      <c r="S137" s="55" t="s">
        <v>2491</v>
      </c>
      <c r="T137" s="55" t="s">
        <v>2491</v>
      </c>
      <c r="U137" s="74" t="n">
        <v>-15.8387202</v>
      </c>
      <c r="V137" s="74" t="n">
        <v>-70.0270478</v>
      </c>
      <c r="W137" s="75" t="s">
        <v>2492</v>
      </c>
      <c r="X137" s="76" t="str">
        <f aca="false">HYPERLINK(IF(AND(ISNUMBER(U137),ISNUMBER(V137)),"https://www.google.com/maps/search/?api=1&amp;query="&amp;U137&amp;","&amp;V137,"https://www.google.com/maps/search/?api=1&amp;query="&amp;SUBSTITUTE(SUBSTITUTE(SUBSTITUTE(B137&amp;", "&amp;M137&amp;", Puno, Peru"," ","+"),"&amp;","y"),"#","")),"Ver en mapa")</f>
        <v>Ver en mapa</v>
      </c>
      <c r="Y137" s="72"/>
      <c r="Z137" s="57"/>
      <c r="AA137" s="72"/>
      <c r="AB137" s="59"/>
      <c r="AC137" s="59"/>
      <c r="AD137" s="72"/>
      <c r="AE137" s="72"/>
      <c r="AF137" s="72"/>
      <c r="AG137" s="72"/>
      <c r="AH137" s="55" t="s">
        <v>2494</v>
      </c>
      <c r="AI137" s="72"/>
      <c r="AJ137" s="56" t="s">
        <v>2884</v>
      </c>
      <c r="AK137" s="77" t="n">
        <f aca="false">IF(AND(ISNUMBER(U137),ISNUMBER(V137),ISNUMBER(14_Cercania!$C$13),ISNUMBER(14_Cercania!$C$14)),6371*2*ASIN(SQRT(SIN(RADIANS(14_Cercania!$C$13-U137)/2)^2+COS(RADIANS(U137))*COS(RADIANS(14_Cercania!$C$13))*SIN(RADIANS(14_Cercania!$C$14-V137)/2)^2))+ROW()*0.000000001,"")</f>
        <v>0.700635744011221</v>
      </c>
    </row>
    <row r="138" customFormat="false" ht="23.85" hidden="false" customHeight="false" outlineLevel="0" collapsed="false">
      <c r="A138" s="62" t="n">
        <v>136</v>
      </c>
      <c r="B138" s="63" t="s">
        <v>2913</v>
      </c>
      <c r="C138" s="62" t="s">
        <v>203</v>
      </c>
      <c r="D138" s="63" t="s">
        <v>197</v>
      </c>
      <c r="E138" s="71"/>
      <c r="F138" s="57"/>
      <c r="G138" s="57"/>
      <c r="H138" s="72"/>
      <c r="I138" s="72"/>
      <c r="J138" s="72"/>
      <c r="K138" s="72"/>
      <c r="L138" s="72"/>
      <c r="M138" s="57"/>
      <c r="N138" s="57"/>
      <c r="O138" s="62" t="s">
        <v>197</v>
      </c>
      <c r="P138" s="78"/>
      <c r="Q138" s="78" t="s">
        <v>2490</v>
      </c>
      <c r="R138" s="62" t="s">
        <v>2491</v>
      </c>
      <c r="S138" s="62" t="s">
        <v>2491</v>
      </c>
      <c r="T138" s="62" t="s">
        <v>2491</v>
      </c>
      <c r="U138" s="79" t="n">
        <v>-15.8472396</v>
      </c>
      <c r="V138" s="79" t="n">
        <v>-70.0156702</v>
      </c>
      <c r="W138" s="75" t="s">
        <v>2492</v>
      </c>
      <c r="X138" s="80" t="str">
        <f aca="false">HYPERLINK(IF(AND(ISNUMBER(U138),ISNUMBER(V138)),"https://www.google.com/maps/search/?api=1&amp;query="&amp;U138&amp;","&amp;V138,"https://www.google.com/maps/search/?api=1&amp;query="&amp;SUBSTITUTE(SUBSTITUTE(SUBSTITUTE(B138&amp;", "&amp;M138&amp;", Puno, Peru"," ","+"),"&amp;","y"),"#","")),"Ver en mapa")</f>
        <v>Ver en mapa</v>
      </c>
      <c r="Y138" s="72"/>
      <c r="Z138" s="57"/>
      <c r="AA138" s="72"/>
      <c r="AB138" s="59"/>
      <c r="AC138" s="59"/>
      <c r="AD138" s="72"/>
      <c r="AE138" s="72"/>
      <c r="AF138" s="72"/>
      <c r="AG138" s="72"/>
      <c r="AH138" s="62" t="s">
        <v>2494</v>
      </c>
      <c r="AI138" s="72"/>
      <c r="AJ138" s="63" t="s">
        <v>2884</v>
      </c>
      <c r="AK138" s="81" t="n">
        <f aca="false">IF(AND(ISNUMBER(U138),ISNUMBER(V138),ISNUMBER(14_Cercania!$C$13),ISNUMBER(14_Cercania!$C$14)),6371*2*ASIN(SQRT(SIN(RADIANS(14_Cercania!$C$13-U138)/2)^2+COS(RADIANS(U138))*COS(RADIANS(14_Cercania!$C$13))*SIN(RADIANS(14_Cercania!$C$14-V138)/2)^2))+ROW()*0.000000001,"")</f>
        <v>1.74285402875076</v>
      </c>
    </row>
    <row r="139" customFormat="false" ht="23.85" hidden="false" customHeight="false" outlineLevel="0" collapsed="false">
      <c r="A139" s="55" t="n">
        <v>137</v>
      </c>
      <c r="B139" s="56" t="s">
        <v>2914</v>
      </c>
      <c r="C139" s="55" t="s">
        <v>203</v>
      </c>
      <c r="D139" s="56" t="s">
        <v>197</v>
      </c>
      <c r="E139" s="71"/>
      <c r="F139" s="57"/>
      <c r="G139" s="57"/>
      <c r="H139" s="72"/>
      <c r="I139" s="72"/>
      <c r="J139" s="72"/>
      <c r="K139" s="72"/>
      <c r="L139" s="72"/>
      <c r="M139" s="57"/>
      <c r="N139" s="57"/>
      <c r="O139" s="55" t="s">
        <v>197</v>
      </c>
      <c r="P139" s="73"/>
      <c r="Q139" s="73" t="s">
        <v>2490</v>
      </c>
      <c r="R139" s="55" t="s">
        <v>2491</v>
      </c>
      <c r="S139" s="55" t="s">
        <v>2491</v>
      </c>
      <c r="T139" s="55" t="s">
        <v>2491</v>
      </c>
      <c r="U139" s="74" t="n">
        <v>-15.8382013</v>
      </c>
      <c r="V139" s="74" t="n">
        <v>-70.0220742</v>
      </c>
      <c r="W139" s="75" t="s">
        <v>2492</v>
      </c>
      <c r="X139" s="76" t="str">
        <f aca="false">HYPERLINK(IF(AND(ISNUMBER(U139),ISNUMBER(V139)),"https://www.google.com/maps/search/?api=1&amp;query="&amp;U139&amp;","&amp;V139,"https://www.google.com/maps/search/?api=1&amp;query="&amp;SUBSTITUTE(SUBSTITUTE(SUBSTITUTE(B139&amp;", "&amp;M139&amp;", Puno, Peru"," ","+"),"&amp;","y"),"#","")),"Ver en mapa")</f>
        <v>Ver en mapa</v>
      </c>
      <c r="Y139" s="72"/>
      <c r="Z139" s="57"/>
      <c r="AA139" s="72"/>
      <c r="AB139" s="59"/>
      <c r="AC139" s="59"/>
      <c r="AD139" s="72"/>
      <c r="AE139" s="72"/>
      <c r="AF139" s="72"/>
      <c r="AG139" s="72"/>
      <c r="AH139" s="55" t="s">
        <v>2494</v>
      </c>
      <c r="AI139" s="72"/>
      <c r="AJ139" s="56" t="s">
        <v>2884</v>
      </c>
      <c r="AK139" s="77" t="n">
        <f aca="false">IF(AND(ISNUMBER(U139),ISNUMBER(V139),ISNUMBER(14_Cercania!$C$13),ISNUMBER(14_Cercania!$C$14)),6371*2*ASIN(SQRT(SIN(RADIANS(14_Cercania!$C$13-U139)/2)^2+COS(RADIANS(U139))*COS(RADIANS(14_Cercania!$C$13))*SIN(RADIANS(14_Cercania!$C$14-V139)/2)^2))+ROW()*0.000000001,"")</f>
        <v>0.546806620016138</v>
      </c>
    </row>
    <row r="140" customFormat="false" ht="23.85" hidden="false" customHeight="false" outlineLevel="0" collapsed="false">
      <c r="A140" s="62" t="n">
        <v>138</v>
      </c>
      <c r="B140" s="63" t="s">
        <v>2915</v>
      </c>
      <c r="C140" s="62" t="s">
        <v>203</v>
      </c>
      <c r="D140" s="63" t="s">
        <v>197</v>
      </c>
      <c r="E140" s="71"/>
      <c r="F140" s="57"/>
      <c r="G140" s="57"/>
      <c r="H140" s="72"/>
      <c r="I140" s="72"/>
      <c r="J140" s="72"/>
      <c r="K140" s="72"/>
      <c r="L140" s="72"/>
      <c r="M140" s="57"/>
      <c r="N140" s="57"/>
      <c r="O140" s="62" t="s">
        <v>197</v>
      </c>
      <c r="P140" s="78"/>
      <c r="Q140" s="78" t="s">
        <v>2490</v>
      </c>
      <c r="R140" s="62" t="s">
        <v>2491</v>
      </c>
      <c r="S140" s="62" t="s">
        <v>2491</v>
      </c>
      <c r="T140" s="62" t="s">
        <v>2491</v>
      </c>
      <c r="U140" s="79" t="n">
        <v>-15.8383334</v>
      </c>
      <c r="V140" s="79" t="n">
        <v>-70.028603</v>
      </c>
      <c r="W140" s="75" t="s">
        <v>2492</v>
      </c>
      <c r="X140" s="80" t="str">
        <f aca="false">HYPERLINK(IF(AND(ISNUMBER(U140),ISNUMBER(V140)),"https://www.google.com/maps/search/?api=1&amp;query="&amp;U140&amp;","&amp;V140,"https://www.google.com/maps/search/?api=1&amp;query="&amp;SUBSTITUTE(SUBSTITUTE(SUBSTITUTE(B140&amp;", "&amp;M140&amp;", Puno, Peru"," ","+"),"&amp;","y"),"#","")),"Ver en mapa")</f>
        <v>Ver en mapa</v>
      </c>
      <c r="Y140" s="72"/>
      <c r="Z140" s="57"/>
      <c r="AA140" s="72"/>
      <c r="AB140" s="59"/>
      <c r="AC140" s="59"/>
      <c r="AD140" s="72"/>
      <c r="AE140" s="72"/>
      <c r="AF140" s="72"/>
      <c r="AG140" s="72"/>
      <c r="AH140" s="62" t="s">
        <v>2494</v>
      </c>
      <c r="AI140" s="72"/>
      <c r="AJ140" s="63" t="s">
        <v>2884</v>
      </c>
      <c r="AK140" s="81" t="n">
        <f aca="false">IF(AND(ISNUMBER(U140),ISNUMBER(V140),ISNUMBER(14_Cercania!$C$13),ISNUMBER(14_Cercania!$C$14)),6371*2*ASIN(SQRT(SIN(RADIANS(14_Cercania!$C$13-U140)/2)^2+COS(RADIANS(U140))*COS(RADIANS(14_Cercania!$C$13))*SIN(RADIANS(14_Cercania!$C$14-V140)/2)^2))+ROW()*0.000000001,"")</f>
        <v>0.773685126157278</v>
      </c>
    </row>
    <row r="141" customFormat="false" ht="23.85" hidden="false" customHeight="false" outlineLevel="0" collapsed="false">
      <c r="A141" s="55" t="n">
        <v>139</v>
      </c>
      <c r="B141" s="56" t="s">
        <v>2916</v>
      </c>
      <c r="C141" s="55" t="s">
        <v>203</v>
      </c>
      <c r="D141" s="56" t="s">
        <v>197</v>
      </c>
      <c r="E141" s="71"/>
      <c r="F141" s="57"/>
      <c r="G141" s="57"/>
      <c r="H141" s="72"/>
      <c r="I141" s="72"/>
      <c r="J141" s="72"/>
      <c r="K141" s="72"/>
      <c r="L141" s="72"/>
      <c r="M141" s="57"/>
      <c r="N141" s="57"/>
      <c r="O141" s="55" t="s">
        <v>197</v>
      </c>
      <c r="P141" s="73"/>
      <c r="Q141" s="73" t="s">
        <v>2490</v>
      </c>
      <c r="R141" s="55" t="s">
        <v>2491</v>
      </c>
      <c r="S141" s="55" t="s">
        <v>2491</v>
      </c>
      <c r="T141" s="55" t="s">
        <v>2491</v>
      </c>
      <c r="U141" s="74" t="n">
        <v>-15.8386423</v>
      </c>
      <c r="V141" s="74" t="n">
        <v>-70.0259809</v>
      </c>
      <c r="W141" s="75" t="s">
        <v>2492</v>
      </c>
      <c r="X141" s="76" t="str">
        <f aca="false">HYPERLINK(IF(AND(ISNUMBER(U141),ISNUMBER(V141)),"https://www.google.com/maps/search/?api=1&amp;query="&amp;U141&amp;","&amp;V141,"https://www.google.com/maps/search/?api=1&amp;query="&amp;SUBSTITUTE(SUBSTITUTE(SUBSTITUTE(B141&amp;", "&amp;M141&amp;", Puno, Peru"," ","+"),"&amp;","y"),"#","")),"Ver en mapa")</f>
        <v>Ver en mapa</v>
      </c>
      <c r="Y141" s="72"/>
      <c r="Z141" s="57"/>
      <c r="AA141" s="72"/>
      <c r="AB141" s="59"/>
      <c r="AC141" s="59"/>
      <c r="AD141" s="72"/>
      <c r="AE141" s="72"/>
      <c r="AF141" s="72"/>
      <c r="AG141" s="72"/>
      <c r="AH141" s="55" t="s">
        <v>2494</v>
      </c>
      <c r="AI141" s="72"/>
      <c r="AJ141" s="56" t="s">
        <v>2884</v>
      </c>
      <c r="AK141" s="77" t="n">
        <f aca="false">IF(AND(ISNUMBER(U141),ISNUMBER(V141),ISNUMBER(14_Cercania!$C$13),ISNUMBER(14_Cercania!$C$14)),6371*2*ASIN(SQRT(SIN(RADIANS(14_Cercania!$C$13-U141)/2)^2+COS(RADIANS(U141))*COS(RADIANS(14_Cercania!$C$13))*SIN(RADIANS(14_Cercania!$C$14-V141)/2)^2))+ROW()*0.000000001,"")</f>
        <v>0.636972935334256</v>
      </c>
    </row>
    <row r="142" customFormat="false" ht="23.85" hidden="false" customHeight="false" outlineLevel="0" collapsed="false">
      <c r="A142" s="62" t="n">
        <v>140</v>
      </c>
      <c r="B142" s="63" t="s">
        <v>2917</v>
      </c>
      <c r="C142" s="62" t="s">
        <v>167</v>
      </c>
      <c r="D142" s="63" t="s">
        <v>1083</v>
      </c>
      <c r="E142" s="71"/>
      <c r="F142" s="57"/>
      <c r="G142" s="57"/>
      <c r="H142" s="72"/>
      <c r="I142" s="72"/>
      <c r="J142" s="72"/>
      <c r="K142" s="72"/>
      <c r="L142" s="72"/>
      <c r="M142" s="57"/>
      <c r="N142" s="57"/>
      <c r="O142" s="62" t="s">
        <v>197</v>
      </c>
      <c r="P142" s="78"/>
      <c r="Q142" s="78" t="s">
        <v>2490</v>
      </c>
      <c r="R142" s="62" t="s">
        <v>2491</v>
      </c>
      <c r="S142" s="62" t="s">
        <v>2491</v>
      </c>
      <c r="T142" s="62" t="s">
        <v>2491</v>
      </c>
      <c r="U142" s="79" t="n">
        <v>-15.8345808</v>
      </c>
      <c r="V142" s="79" t="n">
        <v>-70.0273467</v>
      </c>
      <c r="W142" s="75" t="s">
        <v>2492</v>
      </c>
      <c r="X142" s="80" t="str">
        <f aca="false">HYPERLINK(IF(AND(ISNUMBER(U142),ISNUMBER(V142)),"https://www.google.com/maps/search/?api=1&amp;query="&amp;U142&amp;","&amp;V142,"https://www.google.com/maps/search/?api=1&amp;query="&amp;SUBSTITUTE(SUBSTITUTE(SUBSTITUTE(B142&amp;", "&amp;M142&amp;", Puno, Peru"," ","+"),"&amp;","y"),"#","")),"Ver en mapa")</f>
        <v>Ver en mapa</v>
      </c>
      <c r="Y142" s="72"/>
      <c r="Z142" s="57"/>
      <c r="AA142" s="72"/>
      <c r="AB142" s="59"/>
      <c r="AC142" s="59"/>
      <c r="AD142" s="72"/>
      <c r="AE142" s="72"/>
      <c r="AF142" s="72"/>
      <c r="AG142" s="72"/>
      <c r="AH142" s="62" t="s">
        <v>2494</v>
      </c>
      <c r="AI142" s="72"/>
      <c r="AJ142" s="63" t="s">
        <v>2884</v>
      </c>
      <c r="AK142" s="81" t="n">
        <f aca="false">IF(AND(ISNUMBER(U142),ISNUMBER(V142),ISNUMBER(14_Cercania!$C$13),ISNUMBER(14_Cercania!$C$14)),6371*2*ASIN(SQRT(SIN(RADIANS(14_Cercania!$C$13-U142)/2)^2+COS(RADIANS(U142))*COS(RADIANS(14_Cercania!$C$13))*SIN(RADIANS(14_Cercania!$C$14-V142)/2)^2))+ROW()*0.000000001,"")</f>
        <v>0.436172443772242</v>
      </c>
    </row>
    <row r="143" customFormat="false" ht="23.85" hidden="false" customHeight="false" outlineLevel="0" collapsed="false">
      <c r="A143" s="55" t="n">
        <v>141</v>
      </c>
      <c r="B143" s="56" t="s">
        <v>2918</v>
      </c>
      <c r="C143" s="55" t="s">
        <v>203</v>
      </c>
      <c r="D143" s="56" t="s">
        <v>2919</v>
      </c>
      <c r="E143" s="71"/>
      <c r="F143" s="57"/>
      <c r="G143" s="57"/>
      <c r="H143" s="72"/>
      <c r="I143" s="72"/>
      <c r="J143" s="72"/>
      <c r="K143" s="72"/>
      <c r="L143" s="72"/>
      <c r="M143" s="57"/>
      <c r="N143" s="57"/>
      <c r="O143" s="55" t="s">
        <v>197</v>
      </c>
      <c r="P143" s="73"/>
      <c r="Q143" s="73" t="s">
        <v>2490</v>
      </c>
      <c r="R143" s="55" t="s">
        <v>2491</v>
      </c>
      <c r="S143" s="55" t="s">
        <v>2491</v>
      </c>
      <c r="T143" s="55" t="s">
        <v>2491</v>
      </c>
      <c r="U143" s="74" t="n">
        <v>-15.8406525</v>
      </c>
      <c r="V143" s="74" t="n">
        <v>-70.0298345</v>
      </c>
      <c r="W143" s="75" t="s">
        <v>2492</v>
      </c>
      <c r="X143" s="76" t="str">
        <f aca="false">HYPERLINK(IF(AND(ISNUMBER(U143),ISNUMBER(V143)),"https://www.google.com/maps/search/?api=1&amp;query="&amp;U143&amp;","&amp;V143,"https://www.google.com/maps/search/?api=1&amp;query="&amp;SUBSTITUTE(SUBSTITUTE(SUBSTITUTE(B143&amp;", "&amp;M143&amp;", Puno, Peru"," ","+"),"&amp;","y"),"#","")),"Ver en mapa")</f>
        <v>Ver en mapa</v>
      </c>
      <c r="Y143" s="72"/>
      <c r="Z143" s="57"/>
      <c r="AA143" s="72"/>
      <c r="AB143" s="59"/>
      <c r="AC143" s="59"/>
      <c r="AD143" s="72"/>
      <c r="AE143" s="72"/>
      <c r="AF143" s="72"/>
      <c r="AG143" s="72"/>
      <c r="AH143" s="55" t="s">
        <v>2494</v>
      </c>
      <c r="AI143" s="72"/>
      <c r="AJ143" s="56" t="s">
        <v>2884</v>
      </c>
      <c r="AK143" s="77" t="n">
        <f aca="false">IF(AND(ISNUMBER(U143),ISNUMBER(V143),ISNUMBER(14_Cercania!$C$13),ISNUMBER(14_Cercania!$C$14)),6371*2*ASIN(SQRT(SIN(RADIANS(14_Cercania!$C$13-U143)/2)^2+COS(RADIANS(U143))*COS(RADIANS(14_Cercania!$C$13))*SIN(RADIANS(14_Cercania!$C$14-V143)/2)^2))+ROW()*0.000000001,"")</f>
        <v>1.05230692349681</v>
      </c>
    </row>
    <row r="144" customFormat="false" ht="23.85" hidden="false" customHeight="false" outlineLevel="0" collapsed="false">
      <c r="A144" s="62" t="n">
        <v>142</v>
      </c>
      <c r="B144" s="63" t="s">
        <v>2920</v>
      </c>
      <c r="C144" s="62" t="s">
        <v>199</v>
      </c>
      <c r="D144" s="63" t="s">
        <v>2583</v>
      </c>
      <c r="E144" s="71"/>
      <c r="F144" s="57"/>
      <c r="G144" s="57"/>
      <c r="H144" s="72"/>
      <c r="I144" s="72"/>
      <c r="J144" s="72"/>
      <c r="K144" s="72"/>
      <c r="L144" s="72"/>
      <c r="M144" s="57"/>
      <c r="N144" s="57"/>
      <c r="O144" s="62" t="s">
        <v>197</v>
      </c>
      <c r="P144" s="78"/>
      <c r="Q144" s="78" t="s">
        <v>2490</v>
      </c>
      <c r="R144" s="62" t="s">
        <v>2491</v>
      </c>
      <c r="S144" s="62" t="s">
        <v>2491</v>
      </c>
      <c r="T144" s="62" t="s">
        <v>2491</v>
      </c>
      <c r="U144" s="79" t="n">
        <v>-15.8233445</v>
      </c>
      <c r="V144" s="79" t="n">
        <v>-70.0017506</v>
      </c>
      <c r="W144" s="75" t="s">
        <v>2492</v>
      </c>
      <c r="X144" s="80" t="str">
        <f aca="false">HYPERLINK(IF(AND(ISNUMBER(U144),ISNUMBER(V144)),"https://www.google.com/maps/search/?api=1&amp;query="&amp;U144&amp;","&amp;V144,"https://www.google.com/maps/search/?api=1&amp;query="&amp;SUBSTITUTE(SUBSTITUTE(SUBSTITUTE(B144&amp;", "&amp;M144&amp;", Puno, Peru"," ","+"),"&amp;","y"),"#","")),"Ver en mapa")</f>
        <v>Ver en mapa</v>
      </c>
      <c r="Y144" s="72"/>
      <c r="Z144" s="57"/>
      <c r="AA144" s="72"/>
      <c r="AB144" s="59"/>
      <c r="AC144" s="59"/>
      <c r="AD144" s="72"/>
      <c r="AE144" s="72"/>
      <c r="AF144" s="72"/>
      <c r="AG144" s="72"/>
      <c r="AH144" s="62" t="s">
        <v>2494</v>
      </c>
      <c r="AI144" s="72"/>
      <c r="AJ144" s="63" t="s">
        <v>2884</v>
      </c>
      <c r="AK144" s="81" t="n">
        <f aca="false">IF(AND(ISNUMBER(U144),ISNUMBER(V144),ISNUMBER(14_Cercania!$C$13),ISNUMBER(14_Cercania!$C$14)),6371*2*ASIN(SQRT(SIN(RADIANS(14_Cercania!$C$13-U144)/2)^2+COS(RADIANS(U144))*COS(RADIANS(14_Cercania!$C$13))*SIN(RADIANS(14_Cercania!$C$14-V144)/2)^2))+ROW()*0.000000001,"")</f>
        <v>2.5785416318737</v>
      </c>
    </row>
    <row r="145" customFormat="false" ht="23.85" hidden="false" customHeight="false" outlineLevel="0" collapsed="false">
      <c r="A145" s="55" t="n">
        <v>143</v>
      </c>
      <c r="B145" s="56" t="s">
        <v>2921</v>
      </c>
      <c r="C145" s="55" t="s">
        <v>203</v>
      </c>
      <c r="D145" s="56" t="s">
        <v>197</v>
      </c>
      <c r="E145" s="71"/>
      <c r="F145" s="57"/>
      <c r="G145" s="57"/>
      <c r="H145" s="72"/>
      <c r="I145" s="72"/>
      <c r="J145" s="72"/>
      <c r="K145" s="72"/>
      <c r="L145" s="72"/>
      <c r="M145" s="57"/>
      <c r="N145" s="57"/>
      <c r="O145" s="55" t="s">
        <v>197</v>
      </c>
      <c r="P145" s="73"/>
      <c r="Q145" s="73" t="s">
        <v>2490</v>
      </c>
      <c r="R145" s="55" t="s">
        <v>2491</v>
      </c>
      <c r="S145" s="55" t="s">
        <v>2491</v>
      </c>
      <c r="T145" s="55" t="s">
        <v>2491</v>
      </c>
      <c r="U145" s="74" t="n">
        <v>-15.8411597</v>
      </c>
      <c r="V145" s="74" t="n">
        <v>-70.0274413</v>
      </c>
      <c r="W145" s="75" t="s">
        <v>2492</v>
      </c>
      <c r="X145" s="76" t="str">
        <f aca="false">HYPERLINK(IF(AND(ISNUMBER(U145),ISNUMBER(V145)),"https://www.google.com/maps/search/?api=1&amp;query="&amp;U145&amp;","&amp;V145,"https://www.google.com/maps/search/?api=1&amp;query="&amp;SUBSTITUTE(SUBSTITUTE(SUBSTITUTE(B145&amp;", "&amp;M145&amp;", Puno, Peru"," ","+"),"&amp;","y"),"#","")),"Ver en mapa")</f>
        <v>Ver en mapa</v>
      </c>
      <c r="Y145" s="72"/>
      <c r="Z145" s="57"/>
      <c r="AA145" s="72"/>
      <c r="AB145" s="59"/>
      <c r="AC145" s="59"/>
      <c r="AD145" s="72"/>
      <c r="AE145" s="72"/>
      <c r="AF145" s="72"/>
      <c r="AG145" s="72"/>
      <c r="AH145" s="55" t="s">
        <v>2494</v>
      </c>
      <c r="AI145" s="72"/>
      <c r="AJ145" s="56" t="s">
        <v>2884</v>
      </c>
      <c r="AK145" s="77" t="n">
        <f aca="false">IF(AND(ISNUMBER(U145),ISNUMBER(V145),ISNUMBER(14_Cercania!$C$13),ISNUMBER(14_Cercania!$C$14)),6371*2*ASIN(SQRT(SIN(RADIANS(14_Cercania!$C$13-U145)/2)^2+COS(RADIANS(U145))*COS(RADIANS(14_Cercania!$C$13))*SIN(RADIANS(14_Cercania!$C$14-V145)/2)^2))+ROW()*0.000000001,"")</f>
        <v>0.957046252002153</v>
      </c>
    </row>
    <row r="146" customFormat="false" ht="23.85" hidden="false" customHeight="false" outlineLevel="0" collapsed="false">
      <c r="A146" s="62" t="n">
        <v>144</v>
      </c>
      <c r="B146" s="63" t="s">
        <v>2922</v>
      </c>
      <c r="C146" s="62" t="s">
        <v>180</v>
      </c>
      <c r="D146" s="63" t="s">
        <v>2757</v>
      </c>
      <c r="E146" s="71"/>
      <c r="F146" s="57"/>
      <c r="G146" s="57"/>
      <c r="H146" s="72"/>
      <c r="I146" s="72"/>
      <c r="J146" s="72"/>
      <c r="K146" s="72"/>
      <c r="L146" s="72"/>
      <c r="M146" s="57"/>
      <c r="N146" s="57"/>
      <c r="O146" s="62" t="s">
        <v>197</v>
      </c>
      <c r="P146" s="78"/>
      <c r="Q146" s="78" t="s">
        <v>2490</v>
      </c>
      <c r="R146" s="62" t="s">
        <v>2491</v>
      </c>
      <c r="S146" s="62" t="s">
        <v>2491</v>
      </c>
      <c r="T146" s="62" t="s">
        <v>2491</v>
      </c>
      <c r="U146" s="79" t="n">
        <v>-15.8348942</v>
      </c>
      <c r="V146" s="79" t="n">
        <v>-70.028987</v>
      </c>
      <c r="W146" s="75" t="s">
        <v>2492</v>
      </c>
      <c r="X146" s="80" t="str">
        <f aca="false">HYPERLINK(IF(AND(ISNUMBER(U146),ISNUMBER(V146)),"https://www.google.com/maps/search/?api=1&amp;query="&amp;U146&amp;","&amp;V146,"https://www.google.com/maps/search/?api=1&amp;query="&amp;SUBSTITUTE(SUBSTITUTE(SUBSTITUTE(B146&amp;", "&amp;M146&amp;", Puno, Peru"," ","+"),"&amp;","y"),"#","")),"Ver en mapa")</f>
        <v>Ver en mapa</v>
      </c>
      <c r="Y146" s="72"/>
      <c r="Z146" s="57"/>
      <c r="AA146" s="72"/>
      <c r="AB146" s="59"/>
      <c r="AC146" s="59"/>
      <c r="AD146" s="72"/>
      <c r="AE146" s="72"/>
      <c r="AF146" s="72"/>
      <c r="AG146" s="72"/>
      <c r="AH146" s="62" t="s">
        <v>2494</v>
      </c>
      <c r="AI146" s="72"/>
      <c r="AJ146" s="63" t="s">
        <v>2884</v>
      </c>
      <c r="AK146" s="81" t="n">
        <f aca="false">IF(AND(ISNUMBER(U146),ISNUMBER(V146),ISNUMBER(14_Cercania!$C$13),ISNUMBER(14_Cercania!$C$14)),6371*2*ASIN(SQRT(SIN(RADIANS(14_Cercania!$C$13-U146)/2)^2+COS(RADIANS(U146))*COS(RADIANS(14_Cercania!$C$13))*SIN(RADIANS(14_Cercania!$C$14-V146)/2)^2))+ROW()*0.000000001,"")</f>
        <v>0.614521236827482</v>
      </c>
    </row>
    <row r="147" customFormat="false" ht="23.85" hidden="false" customHeight="false" outlineLevel="0" collapsed="false">
      <c r="A147" s="55" t="n">
        <v>145</v>
      </c>
      <c r="B147" s="56" t="s">
        <v>2923</v>
      </c>
      <c r="C147" s="55" t="s">
        <v>203</v>
      </c>
      <c r="D147" s="56" t="s">
        <v>197</v>
      </c>
      <c r="E147" s="71"/>
      <c r="F147" s="57"/>
      <c r="G147" s="57"/>
      <c r="H147" s="72"/>
      <c r="I147" s="72"/>
      <c r="J147" s="72"/>
      <c r="K147" s="72"/>
      <c r="L147" s="72"/>
      <c r="M147" s="57"/>
      <c r="N147" s="57"/>
      <c r="O147" s="55" t="s">
        <v>197</v>
      </c>
      <c r="P147" s="73"/>
      <c r="Q147" s="73" t="s">
        <v>2490</v>
      </c>
      <c r="R147" s="55" t="s">
        <v>2491</v>
      </c>
      <c r="S147" s="55" t="s">
        <v>2491</v>
      </c>
      <c r="T147" s="55" t="s">
        <v>2491</v>
      </c>
      <c r="U147" s="74" t="n">
        <v>-15.8347389</v>
      </c>
      <c r="V147" s="74" t="n">
        <v>-70.0288927</v>
      </c>
      <c r="W147" s="75" t="s">
        <v>2492</v>
      </c>
      <c r="X147" s="76" t="str">
        <f aca="false">HYPERLINK(IF(AND(ISNUMBER(U147),ISNUMBER(V147)),"https://www.google.com/maps/search/?api=1&amp;query="&amp;U147&amp;","&amp;V147,"https://www.google.com/maps/search/?api=1&amp;query="&amp;SUBSTITUTE(SUBSTITUTE(SUBSTITUTE(B147&amp;", "&amp;M147&amp;", Puno, Peru"," ","+"),"&amp;","y"),"#","")),"Ver en mapa")</f>
        <v>Ver en mapa</v>
      </c>
      <c r="Y147" s="72"/>
      <c r="Z147" s="57"/>
      <c r="AA147" s="72"/>
      <c r="AB147" s="59"/>
      <c r="AC147" s="59"/>
      <c r="AD147" s="72"/>
      <c r="AE147" s="72"/>
      <c r="AF147" s="72"/>
      <c r="AG147" s="72"/>
      <c r="AH147" s="55" t="s">
        <v>2494</v>
      </c>
      <c r="AI147" s="72"/>
      <c r="AJ147" s="56" t="s">
        <v>2884</v>
      </c>
      <c r="AK147" s="77" t="n">
        <f aca="false">IF(AND(ISNUMBER(U147),ISNUMBER(V147),ISNUMBER(14_Cercania!$C$13),ISNUMBER(14_Cercania!$C$14)),6371*2*ASIN(SQRT(SIN(RADIANS(14_Cercania!$C$13-U147)/2)^2+COS(RADIANS(U147))*COS(RADIANS(14_Cercania!$C$13))*SIN(RADIANS(14_Cercania!$C$14-V147)/2)^2))+ROW()*0.000000001,"")</f>
        <v>0.600468394267482</v>
      </c>
    </row>
    <row r="148" customFormat="false" ht="23.85" hidden="false" customHeight="false" outlineLevel="0" collapsed="false">
      <c r="A148" s="62" t="n">
        <v>146</v>
      </c>
      <c r="B148" s="63" t="s">
        <v>2924</v>
      </c>
      <c r="C148" s="62" t="s">
        <v>203</v>
      </c>
      <c r="D148" s="63" t="s">
        <v>197</v>
      </c>
      <c r="E148" s="71"/>
      <c r="F148" s="57"/>
      <c r="G148" s="57"/>
      <c r="H148" s="72"/>
      <c r="I148" s="72"/>
      <c r="J148" s="72"/>
      <c r="K148" s="72"/>
      <c r="L148" s="72"/>
      <c r="M148" s="57"/>
      <c r="N148" s="57"/>
      <c r="O148" s="62" t="s">
        <v>197</v>
      </c>
      <c r="P148" s="78"/>
      <c r="Q148" s="78" t="s">
        <v>2490</v>
      </c>
      <c r="R148" s="62" t="s">
        <v>2491</v>
      </c>
      <c r="S148" s="62" t="s">
        <v>2491</v>
      </c>
      <c r="T148" s="62" t="s">
        <v>2491</v>
      </c>
      <c r="U148" s="79" t="n">
        <v>-15.8405665</v>
      </c>
      <c r="V148" s="79" t="n">
        <v>-70.0260211</v>
      </c>
      <c r="W148" s="75" t="s">
        <v>2492</v>
      </c>
      <c r="X148" s="80" t="str">
        <f aca="false">HYPERLINK(IF(AND(ISNUMBER(U148),ISNUMBER(V148)),"https://www.google.com/maps/search/?api=1&amp;query="&amp;U148&amp;","&amp;V148,"https://www.google.com/maps/search/?api=1&amp;query="&amp;SUBSTITUTE(SUBSTITUTE(SUBSTITUTE(B148&amp;", "&amp;M148&amp;", Puno, Peru"," ","+"),"&amp;","y"),"#","")),"Ver en mapa")</f>
        <v>Ver en mapa</v>
      </c>
      <c r="Y148" s="72"/>
      <c r="Z148" s="57"/>
      <c r="AA148" s="72"/>
      <c r="AB148" s="59"/>
      <c r="AC148" s="59"/>
      <c r="AD148" s="72"/>
      <c r="AE148" s="72"/>
      <c r="AF148" s="72"/>
      <c r="AG148" s="72"/>
      <c r="AH148" s="62" t="s">
        <v>2494</v>
      </c>
      <c r="AI148" s="72"/>
      <c r="AJ148" s="63" t="s">
        <v>2884</v>
      </c>
      <c r="AK148" s="81" t="n">
        <f aca="false">IF(AND(ISNUMBER(U148),ISNUMBER(V148),ISNUMBER(14_Cercania!$C$13),ISNUMBER(14_Cercania!$C$14)),6371*2*ASIN(SQRT(SIN(RADIANS(14_Cercania!$C$13-U148)/2)^2+COS(RADIANS(U148))*COS(RADIANS(14_Cercania!$C$13))*SIN(RADIANS(14_Cercania!$C$14-V148)/2)^2))+ROW()*0.000000001,"")</f>
        <v>0.836871866806242</v>
      </c>
    </row>
    <row r="149" customFormat="false" ht="23.85" hidden="false" customHeight="false" outlineLevel="0" collapsed="false">
      <c r="A149" s="55" t="n">
        <v>147</v>
      </c>
      <c r="B149" s="56" t="s">
        <v>2925</v>
      </c>
      <c r="C149" s="55" t="s">
        <v>203</v>
      </c>
      <c r="D149" s="56" t="s">
        <v>197</v>
      </c>
      <c r="E149" s="71"/>
      <c r="F149" s="57"/>
      <c r="G149" s="57"/>
      <c r="H149" s="72"/>
      <c r="I149" s="72"/>
      <c r="J149" s="72"/>
      <c r="K149" s="72"/>
      <c r="L149" s="72"/>
      <c r="M149" s="57"/>
      <c r="N149" s="57"/>
      <c r="O149" s="55" t="s">
        <v>197</v>
      </c>
      <c r="P149" s="73"/>
      <c r="Q149" s="73" t="s">
        <v>2490</v>
      </c>
      <c r="R149" s="55" t="s">
        <v>2491</v>
      </c>
      <c r="S149" s="55" t="s">
        <v>2491</v>
      </c>
      <c r="T149" s="55" t="s">
        <v>2491</v>
      </c>
      <c r="U149" s="74" t="n">
        <v>-15.839874</v>
      </c>
      <c r="V149" s="74" t="n">
        <v>-70.0255735</v>
      </c>
      <c r="W149" s="75" t="s">
        <v>2492</v>
      </c>
      <c r="X149" s="76" t="str">
        <f aca="false">HYPERLINK(IF(AND(ISNUMBER(U149),ISNUMBER(V149)),"https://www.google.com/maps/search/?api=1&amp;query="&amp;U149&amp;","&amp;V149,"https://www.google.com/maps/search/?api=1&amp;query="&amp;SUBSTITUTE(SUBSTITUTE(SUBSTITUTE(B149&amp;", "&amp;M149&amp;", Puno, Peru"," ","+"),"&amp;","y"),"#","")),"Ver en mapa")</f>
        <v>Ver en mapa</v>
      </c>
      <c r="Y149" s="72"/>
      <c r="Z149" s="57"/>
      <c r="AA149" s="72"/>
      <c r="AB149" s="59"/>
      <c r="AC149" s="59"/>
      <c r="AD149" s="72"/>
      <c r="AE149" s="72"/>
      <c r="AF149" s="72"/>
      <c r="AG149" s="72"/>
      <c r="AH149" s="55" t="s">
        <v>2494</v>
      </c>
      <c r="AI149" s="72"/>
      <c r="AJ149" s="56" t="s">
        <v>2884</v>
      </c>
      <c r="AK149" s="77" t="n">
        <f aca="false">IF(AND(ISNUMBER(U149),ISNUMBER(V149),ISNUMBER(14_Cercania!$C$13),ISNUMBER(14_Cercania!$C$14)),6371*2*ASIN(SQRT(SIN(RADIANS(14_Cercania!$C$13-U149)/2)^2+COS(RADIANS(U149))*COS(RADIANS(14_Cercania!$C$13))*SIN(RADIANS(14_Cercania!$C$14-V149)/2)^2))+ROW()*0.000000001,"")</f>
        <v>0.748641434227484</v>
      </c>
    </row>
    <row r="150" customFormat="false" ht="23.85" hidden="false" customHeight="false" outlineLevel="0" collapsed="false">
      <c r="A150" s="62" t="n">
        <v>148</v>
      </c>
      <c r="B150" s="63" t="s">
        <v>2926</v>
      </c>
      <c r="C150" s="62" t="s">
        <v>203</v>
      </c>
      <c r="D150" s="63" t="s">
        <v>197</v>
      </c>
      <c r="E150" s="71"/>
      <c r="F150" s="57"/>
      <c r="G150" s="57"/>
      <c r="H150" s="72"/>
      <c r="I150" s="72"/>
      <c r="J150" s="72"/>
      <c r="K150" s="72"/>
      <c r="L150" s="72"/>
      <c r="M150" s="57"/>
      <c r="N150" s="57"/>
      <c r="O150" s="62" t="s">
        <v>197</v>
      </c>
      <c r="P150" s="78"/>
      <c r="Q150" s="78" t="s">
        <v>2490</v>
      </c>
      <c r="R150" s="62" t="s">
        <v>2491</v>
      </c>
      <c r="S150" s="62" t="s">
        <v>2491</v>
      </c>
      <c r="T150" s="62" t="s">
        <v>2491</v>
      </c>
      <c r="U150" s="79" t="n">
        <v>-15.8401692</v>
      </c>
      <c r="V150" s="79" t="n">
        <v>-70.0275591</v>
      </c>
      <c r="W150" s="75" t="s">
        <v>2492</v>
      </c>
      <c r="X150" s="80" t="str">
        <f aca="false">HYPERLINK(IF(AND(ISNUMBER(U150),ISNUMBER(V150)),"https://www.google.com/maps/search/?api=1&amp;query="&amp;U150&amp;","&amp;V150,"https://www.google.com/maps/search/?api=1&amp;query="&amp;SUBSTITUTE(SUBSTITUTE(SUBSTITUTE(B150&amp;", "&amp;M150&amp;", Puno, Peru"," ","+"),"&amp;","y"),"#","")),"Ver en mapa")</f>
        <v>Ver en mapa</v>
      </c>
      <c r="Y150" s="72"/>
      <c r="Z150" s="57"/>
      <c r="AA150" s="72"/>
      <c r="AB150" s="59"/>
      <c r="AC150" s="59"/>
      <c r="AD150" s="72"/>
      <c r="AE150" s="72"/>
      <c r="AF150" s="72"/>
      <c r="AG150" s="72"/>
      <c r="AH150" s="62" t="s">
        <v>2494</v>
      </c>
      <c r="AI150" s="72"/>
      <c r="AJ150" s="63" t="s">
        <v>2884</v>
      </c>
      <c r="AK150" s="81" t="n">
        <f aca="false">IF(AND(ISNUMBER(U150),ISNUMBER(V150),ISNUMBER(14_Cercania!$C$13),ISNUMBER(14_Cercania!$C$14)),6371*2*ASIN(SQRT(SIN(RADIANS(14_Cercania!$C$13-U150)/2)^2+COS(RADIANS(U150))*COS(RADIANS(14_Cercania!$C$13))*SIN(RADIANS(14_Cercania!$C$14-V150)/2)^2))+ROW()*0.000000001,"")</f>
        <v>0.866301800473385</v>
      </c>
    </row>
    <row r="151" customFormat="false" ht="23.85" hidden="false" customHeight="false" outlineLevel="0" collapsed="false">
      <c r="A151" s="55" t="n">
        <v>149</v>
      </c>
      <c r="B151" s="56" t="s">
        <v>2927</v>
      </c>
      <c r="C151" s="55" t="s">
        <v>203</v>
      </c>
      <c r="D151" s="56" t="s">
        <v>197</v>
      </c>
      <c r="E151" s="71"/>
      <c r="F151" s="57"/>
      <c r="G151" s="57"/>
      <c r="H151" s="72"/>
      <c r="I151" s="72"/>
      <c r="J151" s="72"/>
      <c r="K151" s="72"/>
      <c r="L151" s="72"/>
      <c r="M151" s="57"/>
      <c r="N151" s="57"/>
      <c r="O151" s="55" t="s">
        <v>197</v>
      </c>
      <c r="P151" s="73"/>
      <c r="Q151" s="73" t="s">
        <v>2490</v>
      </c>
      <c r="R151" s="55" t="s">
        <v>2491</v>
      </c>
      <c r="S151" s="55" t="s">
        <v>2491</v>
      </c>
      <c r="T151" s="55" t="s">
        <v>2491</v>
      </c>
      <c r="U151" s="74" t="n">
        <v>-15.8398046</v>
      </c>
      <c r="V151" s="74" t="n">
        <v>-70.0255992</v>
      </c>
      <c r="W151" s="75" t="s">
        <v>2492</v>
      </c>
      <c r="X151" s="76" t="str">
        <f aca="false">HYPERLINK(IF(AND(ISNUMBER(U151),ISNUMBER(V151)),"https://www.google.com/maps/search/?api=1&amp;query="&amp;U151&amp;","&amp;V151,"https://www.google.com/maps/search/?api=1&amp;query="&amp;SUBSTITUTE(SUBSTITUTE(SUBSTITUTE(B151&amp;", "&amp;M151&amp;", Puno, Peru"," ","+"),"&amp;","y"),"#","")),"Ver en mapa")</f>
        <v>Ver en mapa</v>
      </c>
      <c r="Y151" s="72"/>
      <c r="Z151" s="57"/>
      <c r="AA151" s="72"/>
      <c r="AB151" s="59"/>
      <c r="AC151" s="59"/>
      <c r="AD151" s="72"/>
      <c r="AE151" s="72"/>
      <c r="AF151" s="72"/>
      <c r="AG151" s="72"/>
      <c r="AH151" s="55" t="s">
        <v>2494</v>
      </c>
      <c r="AI151" s="72"/>
      <c r="AJ151" s="56" t="s">
        <v>2884</v>
      </c>
      <c r="AK151" s="77" t="n">
        <f aca="false">IF(AND(ISNUMBER(U151),ISNUMBER(V151),ISNUMBER(14_Cercania!$C$13),ISNUMBER(14_Cercania!$C$14)),6371*2*ASIN(SQRT(SIN(RADIANS(14_Cercania!$C$13-U151)/2)^2+COS(RADIANS(U151))*COS(RADIANS(14_Cercania!$C$13))*SIN(RADIANS(14_Cercania!$C$14-V151)/2)^2))+ROW()*0.000000001,"")</f>
        <v>0.74214762124925</v>
      </c>
    </row>
    <row r="152" customFormat="false" ht="23.85" hidden="false" customHeight="false" outlineLevel="0" collapsed="false">
      <c r="A152" s="62" t="n">
        <v>150</v>
      </c>
      <c r="B152" s="63" t="s">
        <v>2928</v>
      </c>
      <c r="C152" s="62" t="s">
        <v>167</v>
      </c>
      <c r="D152" s="63" t="s">
        <v>1083</v>
      </c>
      <c r="E152" s="71"/>
      <c r="F152" s="57"/>
      <c r="G152" s="57"/>
      <c r="H152" s="72"/>
      <c r="I152" s="72"/>
      <c r="J152" s="72"/>
      <c r="K152" s="72"/>
      <c r="L152" s="72"/>
      <c r="M152" s="57"/>
      <c r="N152" s="57"/>
      <c r="O152" s="62" t="s">
        <v>197</v>
      </c>
      <c r="P152" s="78"/>
      <c r="Q152" s="78" t="s">
        <v>2490</v>
      </c>
      <c r="R152" s="62" t="s">
        <v>2491</v>
      </c>
      <c r="S152" s="62" t="s">
        <v>2491</v>
      </c>
      <c r="T152" s="62" t="s">
        <v>2491</v>
      </c>
      <c r="U152" s="79" t="n">
        <v>-15.8401832</v>
      </c>
      <c r="V152" s="79" t="n">
        <v>-70.0258729</v>
      </c>
      <c r="W152" s="75" t="s">
        <v>2492</v>
      </c>
      <c r="X152" s="80" t="str">
        <f aca="false">HYPERLINK(IF(AND(ISNUMBER(U152),ISNUMBER(V152)),"https://www.google.com/maps/search/?api=1&amp;query="&amp;U152&amp;","&amp;V152,"https://www.google.com/maps/search/?api=1&amp;query="&amp;SUBSTITUTE(SUBSTITUTE(SUBSTITUTE(B152&amp;", "&amp;M152&amp;", Puno, Peru"," ","+"),"&amp;","y"),"#","")),"Ver en mapa")</f>
        <v>Ver en mapa</v>
      </c>
      <c r="Y152" s="72"/>
      <c r="Z152" s="57"/>
      <c r="AA152" s="72"/>
      <c r="AB152" s="59"/>
      <c r="AC152" s="59"/>
      <c r="AD152" s="72"/>
      <c r="AE152" s="72"/>
      <c r="AF152" s="72"/>
      <c r="AG152" s="72"/>
      <c r="AH152" s="62" t="s">
        <v>2494</v>
      </c>
      <c r="AI152" s="72"/>
      <c r="AJ152" s="63" t="s">
        <v>2884</v>
      </c>
      <c r="AK152" s="81" t="n">
        <f aca="false">IF(AND(ISNUMBER(U152),ISNUMBER(V152),ISNUMBER(14_Cercania!$C$13),ISNUMBER(14_Cercania!$C$14)),6371*2*ASIN(SQRT(SIN(RADIANS(14_Cercania!$C$13-U152)/2)^2+COS(RADIANS(U152))*COS(RADIANS(14_Cercania!$C$13))*SIN(RADIANS(14_Cercania!$C$14-V152)/2)^2))+ROW()*0.000000001,"")</f>
        <v>0.7914072603802</v>
      </c>
    </row>
    <row r="153" customFormat="false" ht="23.85" hidden="false" customHeight="false" outlineLevel="0" collapsed="false">
      <c r="A153" s="55" t="n">
        <v>151</v>
      </c>
      <c r="B153" s="56" t="s">
        <v>2929</v>
      </c>
      <c r="C153" s="55" t="s">
        <v>180</v>
      </c>
      <c r="D153" s="56" t="s">
        <v>2757</v>
      </c>
      <c r="E153" s="71"/>
      <c r="F153" s="57"/>
      <c r="G153" s="57"/>
      <c r="H153" s="72"/>
      <c r="I153" s="72"/>
      <c r="J153" s="72"/>
      <c r="K153" s="72"/>
      <c r="L153" s="72"/>
      <c r="M153" s="57"/>
      <c r="N153" s="57"/>
      <c r="O153" s="55" t="s">
        <v>197</v>
      </c>
      <c r="P153" s="73"/>
      <c r="Q153" s="73" t="s">
        <v>2490</v>
      </c>
      <c r="R153" s="55" t="s">
        <v>2491</v>
      </c>
      <c r="S153" s="55" t="s">
        <v>2491</v>
      </c>
      <c r="T153" s="55" t="s">
        <v>2491</v>
      </c>
      <c r="U153" s="74" t="n">
        <v>-15.839567</v>
      </c>
      <c r="V153" s="74" t="n">
        <v>-70.0276334</v>
      </c>
      <c r="W153" s="75" t="s">
        <v>2492</v>
      </c>
      <c r="X153" s="76" t="str">
        <f aca="false">HYPERLINK(IF(AND(ISNUMBER(U153),ISNUMBER(V153)),"https://www.google.com/maps/search/?api=1&amp;query="&amp;U153&amp;","&amp;V153,"https://www.google.com/maps/search/?api=1&amp;query="&amp;SUBSTITUTE(SUBSTITUTE(SUBSTITUTE(B153&amp;", "&amp;M153&amp;", Puno, Peru"," ","+"),"&amp;","y"),"#","")),"Ver en mapa")</f>
        <v>Ver en mapa</v>
      </c>
      <c r="Y153" s="72"/>
      <c r="Z153" s="57"/>
      <c r="AA153" s="72"/>
      <c r="AB153" s="59"/>
      <c r="AC153" s="59"/>
      <c r="AD153" s="72"/>
      <c r="AE153" s="72"/>
      <c r="AF153" s="72"/>
      <c r="AG153" s="72"/>
      <c r="AH153" s="55" t="s">
        <v>2494</v>
      </c>
      <c r="AI153" s="72"/>
      <c r="AJ153" s="56" t="s">
        <v>2884</v>
      </c>
      <c r="AK153" s="77" t="n">
        <f aca="false">IF(AND(ISNUMBER(U153),ISNUMBER(V153),ISNUMBER(14_Cercania!$C$13),ISNUMBER(14_Cercania!$C$14)),6371*2*ASIN(SQRT(SIN(RADIANS(14_Cercania!$C$13-U153)/2)^2+COS(RADIANS(U153))*COS(RADIANS(14_Cercania!$C$13))*SIN(RADIANS(14_Cercania!$C$14-V153)/2)^2))+ROW()*0.000000001,"")</f>
        <v>0.813729300695194</v>
      </c>
    </row>
    <row r="154" customFormat="false" ht="23.85" hidden="false" customHeight="false" outlineLevel="0" collapsed="false">
      <c r="A154" s="62" t="n">
        <v>152</v>
      </c>
      <c r="B154" s="63" t="s">
        <v>2930</v>
      </c>
      <c r="C154" s="62" t="s">
        <v>203</v>
      </c>
      <c r="D154" s="63" t="s">
        <v>197</v>
      </c>
      <c r="E154" s="71"/>
      <c r="F154" s="57"/>
      <c r="G154" s="57"/>
      <c r="H154" s="72"/>
      <c r="I154" s="72"/>
      <c r="J154" s="72"/>
      <c r="K154" s="72"/>
      <c r="L154" s="72"/>
      <c r="M154" s="57"/>
      <c r="N154" s="57"/>
      <c r="O154" s="62" t="s">
        <v>197</v>
      </c>
      <c r="P154" s="78"/>
      <c r="Q154" s="78" t="s">
        <v>2490</v>
      </c>
      <c r="R154" s="62" t="s">
        <v>2491</v>
      </c>
      <c r="S154" s="62" t="s">
        <v>2491</v>
      </c>
      <c r="T154" s="62" t="s">
        <v>2491</v>
      </c>
      <c r="U154" s="79" t="n">
        <v>-15.8411567</v>
      </c>
      <c r="V154" s="79" t="n">
        <v>-70.0285034</v>
      </c>
      <c r="W154" s="75" t="s">
        <v>2492</v>
      </c>
      <c r="X154" s="80" t="str">
        <f aca="false">HYPERLINK(IF(AND(ISNUMBER(U154),ISNUMBER(V154)),"https://www.google.com/maps/search/?api=1&amp;query="&amp;U154&amp;","&amp;V154,"https://www.google.com/maps/search/?api=1&amp;query="&amp;SUBSTITUTE(SUBSTITUTE(SUBSTITUTE(B154&amp;", "&amp;M154&amp;", Puno, Peru"," ","+"),"&amp;","y"),"#","")),"Ver en mapa")</f>
        <v>Ver en mapa</v>
      </c>
      <c r="Y154" s="72"/>
      <c r="Z154" s="57"/>
      <c r="AA154" s="72"/>
      <c r="AB154" s="59"/>
      <c r="AC154" s="59"/>
      <c r="AD154" s="72"/>
      <c r="AE154" s="72"/>
      <c r="AF154" s="72"/>
      <c r="AG154" s="72"/>
      <c r="AH154" s="62" t="s">
        <v>2494</v>
      </c>
      <c r="AI154" s="72"/>
      <c r="AJ154" s="63" t="s">
        <v>2884</v>
      </c>
      <c r="AK154" s="81" t="n">
        <f aca="false">IF(AND(ISNUMBER(U154),ISNUMBER(V154),ISNUMBER(14_Cercania!$C$13),ISNUMBER(14_Cercania!$C$14)),6371*2*ASIN(SQRT(SIN(RADIANS(14_Cercania!$C$13-U154)/2)^2+COS(RADIANS(U154))*COS(RADIANS(14_Cercania!$C$13))*SIN(RADIANS(14_Cercania!$C$14-V154)/2)^2))+ROW()*0.000000001,"")</f>
        <v>1.01270494776046</v>
      </c>
    </row>
    <row r="155" customFormat="false" ht="23.85" hidden="false" customHeight="false" outlineLevel="0" collapsed="false">
      <c r="A155" s="55" t="n">
        <v>153</v>
      </c>
      <c r="B155" s="56" t="s">
        <v>2931</v>
      </c>
      <c r="C155" s="55" t="s">
        <v>203</v>
      </c>
      <c r="D155" s="56" t="s">
        <v>197</v>
      </c>
      <c r="E155" s="71"/>
      <c r="F155" s="57"/>
      <c r="G155" s="57"/>
      <c r="H155" s="72"/>
      <c r="I155" s="72"/>
      <c r="J155" s="72"/>
      <c r="K155" s="72"/>
      <c r="L155" s="72"/>
      <c r="M155" s="57"/>
      <c r="N155" s="57"/>
      <c r="O155" s="55" t="s">
        <v>197</v>
      </c>
      <c r="P155" s="73"/>
      <c r="Q155" s="73" t="s">
        <v>2490</v>
      </c>
      <c r="R155" s="55" t="s">
        <v>2491</v>
      </c>
      <c r="S155" s="55" t="s">
        <v>2491</v>
      </c>
      <c r="T155" s="55" t="s">
        <v>2491</v>
      </c>
      <c r="U155" s="74" t="n">
        <v>-15.8441189</v>
      </c>
      <c r="V155" s="74" t="n">
        <v>-70.027885</v>
      </c>
      <c r="W155" s="75" t="s">
        <v>2492</v>
      </c>
      <c r="X155" s="76" t="str">
        <f aca="false">HYPERLINK(IF(AND(ISNUMBER(U155),ISNUMBER(V155)),"https://www.google.com/maps/search/?api=1&amp;query="&amp;U155&amp;","&amp;V155,"https://www.google.com/maps/search/?api=1&amp;query="&amp;SUBSTITUTE(SUBSTITUTE(SUBSTITUTE(B155&amp;", "&amp;M155&amp;", Puno, Peru"," ","+"),"&amp;","y"),"#","")),"Ver en mapa")</f>
        <v>Ver en mapa</v>
      </c>
      <c r="Y155" s="72"/>
      <c r="Z155" s="57"/>
      <c r="AA155" s="72"/>
      <c r="AB155" s="59"/>
      <c r="AC155" s="59"/>
      <c r="AD155" s="72"/>
      <c r="AE155" s="72"/>
      <c r="AF155" s="72"/>
      <c r="AG155" s="72"/>
      <c r="AH155" s="55" t="s">
        <v>2494</v>
      </c>
      <c r="AI155" s="72"/>
      <c r="AJ155" s="56" t="s">
        <v>2884</v>
      </c>
      <c r="AK155" s="77" t="n">
        <f aca="false">IF(AND(ISNUMBER(U155),ISNUMBER(V155),ISNUMBER(14_Cercania!$C$13),ISNUMBER(14_Cercania!$C$14)),6371*2*ASIN(SQRT(SIN(RADIANS(14_Cercania!$C$13-U155)/2)^2+COS(RADIANS(U155))*COS(RADIANS(14_Cercania!$C$13))*SIN(RADIANS(14_Cercania!$C$14-V155)/2)^2))+ROW()*0.000000001,"")</f>
        <v>1.27686544240205</v>
      </c>
    </row>
    <row r="156" customFormat="false" ht="23.85" hidden="false" customHeight="false" outlineLevel="0" collapsed="false">
      <c r="A156" s="62" t="n">
        <v>154</v>
      </c>
      <c r="B156" s="63" t="s">
        <v>2932</v>
      </c>
      <c r="C156" s="62" t="s">
        <v>180</v>
      </c>
      <c r="D156" s="63" t="s">
        <v>2757</v>
      </c>
      <c r="E156" s="71"/>
      <c r="F156" s="57"/>
      <c r="G156" s="57"/>
      <c r="H156" s="72"/>
      <c r="I156" s="72"/>
      <c r="J156" s="72"/>
      <c r="K156" s="72"/>
      <c r="L156" s="72"/>
      <c r="M156" s="57"/>
      <c r="N156" s="57"/>
      <c r="O156" s="62" t="s">
        <v>197</v>
      </c>
      <c r="P156" s="78"/>
      <c r="Q156" s="78" t="s">
        <v>2490</v>
      </c>
      <c r="R156" s="62" t="s">
        <v>2491</v>
      </c>
      <c r="S156" s="62" t="s">
        <v>2491</v>
      </c>
      <c r="T156" s="62" t="s">
        <v>2491</v>
      </c>
      <c r="U156" s="79" t="n">
        <v>-15.847897</v>
      </c>
      <c r="V156" s="79" t="n">
        <v>-70.0204136</v>
      </c>
      <c r="W156" s="75" t="s">
        <v>2492</v>
      </c>
      <c r="X156" s="80" t="str">
        <f aca="false">HYPERLINK(IF(AND(ISNUMBER(U156),ISNUMBER(V156)),"https://www.google.com/maps/search/?api=1&amp;query="&amp;U156&amp;","&amp;V156,"https://www.google.com/maps/search/?api=1&amp;query="&amp;SUBSTITUTE(SUBSTITUTE(SUBSTITUTE(B156&amp;", "&amp;M156&amp;", Puno, Peru"," ","+"),"&amp;","y"),"#","")),"Ver en mapa")</f>
        <v>Ver en mapa</v>
      </c>
      <c r="Y156" s="72"/>
      <c r="Z156" s="57"/>
      <c r="AA156" s="72"/>
      <c r="AB156" s="59"/>
      <c r="AC156" s="59"/>
      <c r="AD156" s="72"/>
      <c r="AE156" s="72"/>
      <c r="AF156" s="72"/>
      <c r="AG156" s="72"/>
      <c r="AH156" s="62" t="s">
        <v>2494</v>
      </c>
      <c r="AI156" s="72"/>
      <c r="AJ156" s="63" t="s">
        <v>2884</v>
      </c>
      <c r="AK156" s="81" t="n">
        <f aca="false">IF(AND(ISNUMBER(U156),ISNUMBER(V156),ISNUMBER(14_Cercania!$C$13),ISNUMBER(14_Cercania!$C$14)),6371*2*ASIN(SQRT(SIN(RADIANS(14_Cercania!$C$13-U156)/2)^2+COS(RADIANS(U156))*COS(RADIANS(14_Cercania!$C$13))*SIN(RADIANS(14_Cercania!$C$14-V156)/2)^2))+ROW()*0.000000001,"")</f>
        <v>1.63737266261162</v>
      </c>
    </row>
    <row r="157" customFormat="false" ht="23.85" hidden="false" customHeight="false" outlineLevel="0" collapsed="false">
      <c r="A157" s="55" t="n">
        <v>155</v>
      </c>
      <c r="B157" s="56" t="s">
        <v>2933</v>
      </c>
      <c r="C157" s="55" t="s">
        <v>167</v>
      </c>
      <c r="D157" s="56" t="s">
        <v>1083</v>
      </c>
      <c r="E157" s="71"/>
      <c r="F157" s="57"/>
      <c r="G157" s="57"/>
      <c r="H157" s="72"/>
      <c r="I157" s="72"/>
      <c r="J157" s="72"/>
      <c r="K157" s="72"/>
      <c r="L157" s="72"/>
      <c r="M157" s="57"/>
      <c r="N157" s="57"/>
      <c r="O157" s="55" t="s">
        <v>197</v>
      </c>
      <c r="P157" s="73"/>
      <c r="Q157" s="73" t="s">
        <v>2490</v>
      </c>
      <c r="R157" s="55" t="s">
        <v>2491</v>
      </c>
      <c r="S157" s="55" t="s">
        <v>2491</v>
      </c>
      <c r="T157" s="55" t="s">
        <v>2491</v>
      </c>
      <c r="U157" s="74" t="n">
        <v>-15.8448499</v>
      </c>
      <c r="V157" s="74" t="n">
        <v>-70.0220692</v>
      </c>
      <c r="W157" s="75" t="s">
        <v>2492</v>
      </c>
      <c r="X157" s="76" t="str">
        <f aca="false">HYPERLINK(IF(AND(ISNUMBER(U157),ISNUMBER(V157)),"https://www.google.com/maps/search/?api=1&amp;query="&amp;U157&amp;","&amp;V157,"https://www.google.com/maps/search/?api=1&amp;query="&amp;SUBSTITUTE(SUBSTITUTE(SUBSTITUTE(B157&amp;", "&amp;M157&amp;", Puno, Peru"," ","+"),"&amp;","y"),"#","")),"Ver en mapa")</f>
        <v>Ver en mapa</v>
      </c>
      <c r="Y157" s="72"/>
      <c r="Z157" s="57"/>
      <c r="AA157" s="72"/>
      <c r="AB157" s="59"/>
      <c r="AC157" s="59"/>
      <c r="AD157" s="72"/>
      <c r="AE157" s="72"/>
      <c r="AF157" s="72"/>
      <c r="AG157" s="72"/>
      <c r="AH157" s="55" t="s">
        <v>2494</v>
      </c>
      <c r="AI157" s="72"/>
      <c r="AJ157" s="56" t="s">
        <v>2884</v>
      </c>
      <c r="AK157" s="77" t="n">
        <f aca="false">IF(AND(ISNUMBER(U157),ISNUMBER(V157),ISNUMBER(14_Cercania!$C$13),ISNUMBER(14_Cercania!$C$14)),6371*2*ASIN(SQRT(SIN(RADIANS(14_Cercania!$C$13-U157)/2)^2+COS(RADIANS(U157))*COS(RADIANS(14_Cercania!$C$13))*SIN(RADIANS(14_Cercania!$C$14-V157)/2)^2))+ROW()*0.000000001,"")</f>
        <v>1.2747011026206</v>
      </c>
    </row>
    <row r="158" customFormat="false" ht="23.85" hidden="false" customHeight="false" outlineLevel="0" collapsed="false">
      <c r="A158" s="62" t="n">
        <v>156</v>
      </c>
      <c r="B158" s="63" t="s">
        <v>2934</v>
      </c>
      <c r="C158" s="62" t="s">
        <v>203</v>
      </c>
      <c r="D158" s="63" t="s">
        <v>197</v>
      </c>
      <c r="E158" s="71"/>
      <c r="F158" s="57"/>
      <c r="G158" s="57"/>
      <c r="H158" s="72"/>
      <c r="I158" s="72"/>
      <c r="J158" s="72"/>
      <c r="K158" s="72"/>
      <c r="L158" s="72"/>
      <c r="M158" s="57"/>
      <c r="N158" s="57"/>
      <c r="O158" s="62" t="s">
        <v>197</v>
      </c>
      <c r="P158" s="78"/>
      <c r="Q158" s="78" t="s">
        <v>2490</v>
      </c>
      <c r="R158" s="62" t="s">
        <v>2491</v>
      </c>
      <c r="S158" s="62" t="s">
        <v>2491</v>
      </c>
      <c r="T158" s="62" t="s">
        <v>2491</v>
      </c>
      <c r="U158" s="79" t="n">
        <v>-15.8448295</v>
      </c>
      <c r="V158" s="79" t="n">
        <v>-70.0225237</v>
      </c>
      <c r="W158" s="75" t="s">
        <v>2492</v>
      </c>
      <c r="X158" s="80" t="str">
        <f aca="false">HYPERLINK(IF(AND(ISNUMBER(U158),ISNUMBER(V158)),"https://www.google.com/maps/search/?api=1&amp;query="&amp;U158&amp;","&amp;V158,"https://www.google.com/maps/search/?api=1&amp;query="&amp;SUBSTITUTE(SUBSTITUTE(SUBSTITUTE(B158&amp;", "&amp;M158&amp;", Puno, Peru"," ","+"),"&amp;","y"),"#","")),"Ver en mapa")</f>
        <v>Ver en mapa</v>
      </c>
      <c r="Y158" s="72"/>
      <c r="Z158" s="57"/>
      <c r="AA158" s="72"/>
      <c r="AB158" s="59"/>
      <c r="AC158" s="59"/>
      <c r="AD158" s="72"/>
      <c r="AE158" s="72"/>
      <c r="AF158" s="72"/>
      <c r="AG158" s="72"/>
      <c r="AH158" s="62" t="s">
        <v>2494</v>
      </c>
      <c r="AI158" s="72"/>
      <c r="AJ158" s="63" t="s">
        <v>2884</v>
      </c>
      <c r="AK158" s="81" t="n">
        <f aca="false">IF(AND(ISNUMBER(U158),ISNUMBER(V158),ISNUMBER(14_Cercania!$C$13),ISNUMBER(14_Cercania!$C$14)),6371*2*ASIN(SQRT(SIN(RADIANS(14_Cercania!$C$13-U158)/2)^2+COS(RADIANS(U158))*COS(RADIANS(14_Cercania!$C$13))*SIN(RADIANS(14_Cercania!$C$14-V158)/2)^2))+ROW()*0.000000001,"")</f>
        <v>1.26777040361861</v>
      </c>
    </row>
    <row r="159" customFormat="false" ht="23.85" hidden="false" customHeight="false" outlineLevel="0" collapsed="false">
      <c r="A159" s="55" t="n">
        <v>157</v>
      </c>
      <c r="B159" s="56" t="s">
        <v>2935</v>
      </c>
      <c r="C159" s="55" t="s">
        <v>203</v>
      </c>
      <c r="D159" s="56" t="s">
        <v>2596</v>
      </c>
      <c r="E159" s="71"/>
      <c r="F159" s="57"/>
      <c r="G159" s="57"/>
      <c r="H159" s="72"/>
      <c r="I159" s="72"/>
      <c r="J159" s="72"/>
      <c r="K159" s="72"/>
      <c r="L159" s="72"/>
      <c r="M159" s="57"/>
      <c r="N159" s="57"/>
      <c r="O159" s="55" t="s">
        <v>197</v>
      </c>
      <c r="P159" s="73"/>
      <c r="Q159" s="73" t="s">
        <v>2490</v>
      </c>
      <c r="R159" s="55" t="s">
        <v>2491</v>
      </c>
      <c r="S159" s="55" t="s">
        <v>2491</v>
      </c>
      <c r="T159" s="55" t="s">
        <v>2491</v>
      </c>
      <c r="U159" s="74" t="n">
        <v>-15.8456713</v>
      </c>
      <c r="V159" s="74" t="n">
        <v>-70.0209026</v>
      </c>
      <c r="W159" s="75" t="s">
        <v>2492</v>
      </c>
      <c r="X159" s="76" t="str">
        <f aca="false">HYPERLINK(IF(AND(ISNUMBER(U159),ISNUMBER(V159)),"https://www.google.com/maps/search/?api=1&amp;query="&amp;U159&amp;","&amp;V159,"https://www.google.com/maps/search/?api=1&amp;query="&amp;SUBSTITUTE(SUBSTITUTE(SUBSTITUTE(B159&amp;", "&amp;M159&amp;", Puno, Peru"," ","+"),"&amp;","y"),"#","")),"Ver en mapa")</f>
        <v>Ver en mapa</v>
      </c>
      <c r="Y159" s="72"/>
      <c r="Z159" s="57"/>
      <c r="AA159" s="72"/>
      <c r="AB159" s="59"/>
      <c r="AC159" s="59"/>
      <c r="AD159" s="72"/>
      <c r="AE159" s="72"/>
      <c r="AF159" s="72"/>
      <c r="AG159" s="72"/>
      <c r="AH159" s="55" t="s">
        <v>2494</v>
      </c>
      <c r="AI159" s="72"/>
      <c r="AJ159" s="56" t="s">
        <v>2884</v>
      </c>
      <c r="AK159" s="77" t="n">
        <f aca="false">IF(AND(ISNUMBER(U159),ISNUMBER(V159),ISNUMBER(14_Cercania!$C$13),ISNUMBER(14_Cercania!$C$14)),6371*2*ASIN(SQRT(SIN(RADIANS(14_Cercania!$C$13-U159)/2)^2+COS(RADIANS(U159))*COS(RADIANS(14_Cercania!$C$13))*SIN(RADIANS(14_Cercania!$C$14-V159)/2)^2))+ROW()*0.000000001,"")</f>
        <v>1.38443176349421</v>
      </c>
    </row>
    <row r="160" customFormat="false" ht="23.85" hidden="false" customHeight="false" outlineLevel="0" collapsed="false">
      <c r="A160" s="62" t="n">
        <v>158</v>
      </c>
      <c r="B160" s="63" t="s">
        <v>2936</v>
      </c>
      <c r="C160" s="62" t="s">
        <v>203</v>
      </c>
      <c r="D160" s="63" t="s">
        <v>197</v>
      </c>
      <c r="E160" s="71"/>
      <c r="F160" s="57"/>
      <c r="G160" s="57"/>
      <c r="H160" s="72"/>
      <c r="I160" s="72"/>
      <c r="J160" s="72"/>
      <c r="K160" s="72"/>
      <c r="L160" s="72"/>
      <c r="M160" s="57"/>
      <c r="N160" s="57"/>
      <c r="O160" s="62" t="s">
        <v>197</v>
      </c>
      <c r="P160" s="78"/>
      <c r="Q160" s="78" t="s">
        <v>2490</v>
      </c>
      <c r="R160" s="62" t="s">
        <v>2491</v>
      </c>
      <c r="S160" s="62" t="s">
        <v>2491</v>
      </c>
      <c r="T160" s="62" t="s">
        <v>2491</v>
      </c>
      <c r="U160" s="79" t="n">
        <v>-15.8405234</v>
      </c>
      <c r="V160" s="79" t="n">
        <v>-70.0275755</v>
      </c>
      <c r="W160" s="75" t="s">
        <v>2492</v>
      </c>
      <c r="X160" s="80" t="str">
        <f aca="false">HYPERLINK(IF(AND(ISNUMBER(U160),ISNUMBER(V160)),"https://www.google.com/maps/search/?api=1&amp;query="&amp;U160&amp;","&amp;V160,"https://www.google.com/maps/search/?api=1&amp;query="&amp;SUBSTITUTE(SUBSTITUTE(SUBSTITUTE(B160&amp;", "&amp;M160&amp;", Puno, Peru"," ","+"),"&amp;","y"),"#","")),"Ver en mapa")</f>
        <v>Ver en mapa</v>
      </c>
      <c r="Y160" s="72"/>
      <c r="Z160" s="57"/>
      <c r="AA160" s="72"/>
      <c r="AB160" s="59"/>
      <c r="AC160" s="59"/>
      <c r="AD160" s="72"/>
      <c r="AE160" s="72"/>
      <c r="AF160" s="72"/>
      <c r="AG160" s="72"/>
      <c r="AH160" s="62" t="s">
        <v>2494</v>
      </c>
      <c r="AI160" s="72"/>
      <c r="AJ160" s="63" t="s">
        <v>2884</v>
      </c>
      <c r="AK160" s="81" t="n">
        <f aca="false">IF(AND(ISNUMBER(U160),ISNUMBER(V160),ISNUMBER(14_Cercania!$C$13),ISNUMBER(14_Cercania!$C$14)),6371*2*ASIN(SQRT(SIN(RADIANS(14_Cercania!$C$13-U160)/2)^2+COS(RADIANS(U160))*COS(RADIANS(14_Cercania!$C$13))*SIN(RADIANS(14_Cercania!$C$14-V160)/2)^2))+ROW()*0.000000001,"")</f>
        <v>0.901290822045966</v>
      </c>
    </row>
    <row r="161" customFormat="false" ht="23.85" hidden="false" customHeight="false" outlineLevel="0" collapsed="false">
      <c r="A161" s="55" t="n">
        <v>159</v>
      </c>
      <c r="B161" s="56" t="s">
        <v>2937</v>
      </c>
      <c r="C161" s="55" t="s">
        <v>203</v>
      </c>
      <c r="D161" s="56" t="s">
        <v>197</v>
      </c>
      <c r="E161" s="71"/>
      <c r="F161" s="57"/>
      <c r="G161" s="57"/>
      <c r="H161" s="72"/>
      <c r="I161" s="72"/>
      <c r="J161" s="72"/>
      <c r="K161" s="72"/>
      <c r="L161" s="72"/>
      <c r="M161" s="57"/>
      <c r="N161" s="57"/>
      <c r="O161" s="55" t="s">
        <v>197</v>
      </c>
      <c r="P161" s="73"/>
      <c r="Q161" s="73" t="s">
        <v>2490</v>
      </c>
      <c r="R161" s="55" t="s">
        <v>2491</v>
      </c>
      <c r="S161" s="55" t="s">
        <v>2491</v>
      </c>
      <c r="T161" s="55" t="s">
        <v>2491</v>
      </c>
      <c r="U161" s="74" t="n">
        <v>-15.8398102</v>
      </c>
      <c r="V161" s="74" t="n">
        <v>-70.0288065</v>
      </c>
      <c r="W161" s="75" t="s">
        <v>2492</v>
      </c>
      <c r="X161" s="76" t="str">
        <f aca="false">HYPERLINK(IF(AND(ISNUMBER(U161),ISNUMBER(V161)),"https://www.google.com/maps/search/?api=1&amp;query="&amp;U161&amp;","&amp;V161,"https://www.google.com/maps/search/?api=1&amp;query="&amp;SUBSTITUTE(SUBSTITUTE(SUBSTITUTE(B161&amp;", "&amp;M161&amp;", Puno, Peru"," ","+"),"&amp;","y"),"#","")),"Ver en mapa")</f>
        <v>Ver en mapa</v>
      </c>
      <c r="Y161" s="72"/>
      <c r="Z161" s="57"/>
      <c r="AA161" s="72"/>
      <c r="AB161" s="59"/>
      <c r="AC161" s="59"/>
      <c r="AD161" s="72"/>
      <c r="AE161" s="72"/>
      <c r="AF161" s="72"/>
      <c r="AG161" s="72"/>
      <c r="AH161" s="55" t="s">
        <v>2494</v>
      </c>
      <c r="AI161" s="72"/>
      <c r="AJ161" s="56" t="s">
        <v>2884</v>
      </c>
      <c r="AK161" s="77" t="n">
        <f aca="false">IF(AND(ISNUMBER(U161),ISNUMBER(V161),ISNUMBER(14_Cercania!$C$13),ISNUMBER(14_Cercania!$C$14)),6371*2*ASIN(SQRT(SIN(RADIANS(14_Cercania!$C$13-U161)/2)^2+COS(RADIANS(U161))*COS(RADIANS(14_Cercania!$C$13))*SIN(RADIANS(14_Cercania!$C$14-V161)/2)^2))+ROW()*0.000000001,"")</f>
        <v>0.909929385753826</v>
      </c>
    </row>
    <row r="162" customFormat="false" ht="23.85" hidden="false" customHeight="false" outlineLevel="0" collapsed="false">
      <c r="A162" s="62" t="n">
        <v>160</v>
      </c>
      <c r="B162" s="63" t="s">
        <v>2938</v>
      </c>
      <c r="C162" s="62" t="s">
        <v>203</v>
      </c>
      <c r="D162" s="63" t="s">
        <v>197</v>
      </c>
      <c r="E162" s="71"/>
      <c r="F162" s="57"/>
      <c r="G162" s="57"/>
      <c r="H162" s="72"/>
      <c r="I162" s="72"/>
      <c r="J162" s="72"/>
      <c r="K162" s="72"/>
      <c r="L162" s="72"/>
      <c r="M162" s="57"/>
      <c r="N162" s="57"/>
      <c r="O162" s="62" t="s">
        <v>197</v>
      </c>
      <c r="P162" s="78"/>
      <c r="Q162" s="78" t="s">
        <v>2490</v>
      </c>
      <c r="R162" s="62" t="s">
        <v>2491</v>
      </c>
      <c r="S162" s="62" t="s">
        <v>2491</v>
      </c>
      <c r="T162" s="62" t="s">
        <v>2491</v>
      </c>
      <c r="U162" s="79" t="n">
        <v>-15.8364301</v>
      </c>
      <c r="V162" s="79" t="n">
        <v>-70.023265</v>
      </c>
      <c r="W162" s="75" t="s">
        <v>2492</v>
      </c>
      <c r="X162" s="80" t="str">
        <f aca="false">HYPERLINK(IF(AND(ISNUMBER(U162),ISNUMBER(V162)),"https://www.google.com/maps/search/?api=1&amp;query="&amp;U162&amp;","&amp;V162,"https://www.google.com/maps/search/?api=1&amp;query="&amp;SUBSTITUTE(SUBSTITUTE(SUBSTITUTE(B162&amp;", "&amp;M162&amp;", Puno, Peru"," ","+"),"&amp;","y"),"#","")),"Ver en mapa")</f>
        <v>Ver en mapa</v>
      </c>
      <c r="Y162" s="72"/>
      <c r="Z162" s="57"/>
      <c r="AA162" s="72"/>
      <c r="AB162" s="59"/>
      <c r="AC162" s="59"/>
      <c r="AD162" s="72"/>
      <c r="AE162" s="72"/>
      <c r="AF162" s="72"/>
      <c r="AG162" s="72"/>
      <c r="AH162" s="62" t="s">
        <v>2494</v>
      </c>
      <c r="AI162" s="72"/>
      <c r="AJ162" s="63" t="s">
        <v>2884</v>
      </c>
      <c r="AK162" s="81" t="n">
        <f aca="false">IF(AND(ISNUMBER(U162),ISNUMBER(V162),ISNUMBER(14_Cercania!$C$13),ISNUMBER(14_Cercania!$C$14)),6371*2*ASIN(SQRT(SIN(RADIANS(14_Cercania!$C$13-U162)/2)^2+COS(RADIANS(U162))*COS(RADIANS(14_Cercania!$C$13))*SIN(RADIANS(14_Cercania!$C$14-V162)/2)^2))+ROW()*0.000000001,"")</f>
        <v>0.33053829190353</v>
      </c>
    </row>
    <row r="163" customFormat="false" ht="23.85" hidden="false" customHeight="false" outlineLevel="0" collapsed="false">
      <c r="A163" s="55" t="n">
        <v>161</v>
      </c>
      <c r="B163" s="56" t="s">
        <v>2939</v>
      </c>
      <c r="C163" s="55" t="s">
        <v>167</v>
      </c>
      <c r="D163" s="56" t="s">
        <v>1083</v>
      </c>
      <c r="E163" s="71"/>
      <c r="F163" s="57"/>
      <c r="G163" s="57"/>
      <c r="H163" s="72"/>
      <c r="I163" s="72"/>
      <c r="J163" s="72"/>
      <c r="K163" s="72"/>
      <c r="L163" s="72"/>
      <c r="M163" s="57"/>
      <c r="N163" s="57"/>
      <c r="O163" s="55" t="s">
        <v>197</v>
      </c>
      <c r="P163" s="73"/>
      <c r="Q163" s="73" t="s">
        <v>2490</v>
      </c>
      <c r="R163" s="55" t="s">
        <v>2491</v>
      </c>
      <c r="S163" s="55" t="s">
        <v>2491</v>
      </c>
      <c r="T163" s="55" t="s">
        <v>2491</v>
      </c>
      <c r="U163" s="74" t="n">
        <v>-15.8345446</v>
      </c>
      <c r="V163" s="74" t="n">
        <v>-70.0234719</v>
      </c>
      <c r="W163" s="75" t="s">
        <v>2492</v>
      </c>
      <c r="X163" s="76" t="str">
        <f aca="false">HYPERLINK(IF(AND(ISNUMBER(U163),ISNUMBER(V163)),"https://www.google.com/maps/search/?api=1&amp;query="&amp;U163&amp;","&amp;V163,"https://www.google.com/maps/search/?api=1&amp;query="&amp;SUBSTITUTE(SUBSTITUTE(SUBSTITUTE(B163&amp;", "&amp;M163&amp;", Puno, Peru"," ","+"),"&amp;","y"),"#","")),"Ver en mapa")</f>
        <v>Ver en mapa</v>
      </c>
      <c r="Y163" s="72"/>
      <c r="Z163" s="57"/>
      <c r="AA163" s="72"/>
      <c r="AB163" s="59"/>
      <c r="AC163" s="59"/>
      <c r="AD163" s="72"/>
      <c r="AE163" s="72"/>
      <c r="AF163" s="72"/>
      <c r="AG163" s="72"/>
      <c r="AH163" s="55" t="s">
        <v>2494</v>
      </c>
      <c r="AI163" s="72"/>
      <c r="AJ163" s="56" t="s">
        <v>2884</v>
      </c>
      <c r="AK163" s="77" t="n">
        <f aca="false">IF(AND(ISNUMBER(U163),ISNUMBER(V163),ISNUMBER(14_Cercania!$C$13),ISNUMBER(14_Cercania!$C$14)),6371*2*ASIN(SQRT(SIN(RADIANS(14_Cercania!$C$13-U163)/2)^2+COS(RADIANS(U163))*COS(RADIANS(14_Cercania!$C$13))*SIN(RADIANS(14_Cercania!$C$14-V163)/2)^2))+ROW()*0.000000001,"")</f>
        <v>0.120409941764924</v>
      </c>
    </row>
    <row r="164" customFormat="false" ht="23.85" hidden="false" customHeight="false" outlineLevel="0" collapsed="false">
      <c r="A164" s="62" t="n">
        <v>162</v>
      </c>
      <c r="B164" s="63" t="s">
        <v>2940</v>
      </c>
      <c r="C164" s="62" t="s">
        <v>203</v>
      </c>
      <c r="D164" s="63" t="s">
        <v>197</v>
      </c>
      <c r="E164" s="71"/>
      <c r="F164" s="57"/>
      <c r="G164" s="57"/>
      <c r="H164" s="72"/>
      <c r="I164" s="72"/>
      <c r="J164" s="72"/>
      <c r="K164" s="72"/>
      <c r="L164" s="72"/>
      <c r="M164" s="57"/>
      <c r="N164" s="57"/>
      <c r="O164" s="62" t="s">
        <v>197</v>
      </c>
      <c r="P164" s="78"/>
      <c r="Q164" s="78" t="s">
        <v>2490</v>
      </c>
      <c r="R164" s="62" t="s">
        <v>2491</v>
      </c>
      <c r="S164" s="62" t="s">
        <v>2491</v>
      </c>
      <c r="T164" s="62" t="s">
        <v>2491</v>
      </c>
      <c r="U164" s="79" t="n">
        <v>-15.8360426</v>
      </c>
      <c r="V164" s="79" t="n">
        <v>-70.0234327</v>
      </c>
      <c r="W164" s="75" t="s">
        <v>2492</v>
      </c>
      <c r="X164" s="80" t="str">
        <f aca="false">HYPERLINK(IF(AND(ISNUMBER(U164),ISNUMBER(V164)),"https://www.google.com/maps/search/?api=1&amp;query="&amp;U164&amp;","&amp;V164,"https://www.google.com/maps/search/?api=1&amp;query="&amp;SUBSTITUTE(SUBSTITUTE(SUBSTITUTE(B164&amp;", "&amp;M164&amp;", Puno, Peru"," ","+"),"&amp;","y"),"#","")),"Ver en mapa")</f>
        <v>Ver en mapa</v>
      </c>
      <c r="Y164" s="72"/>
      <c r="Z164" s="57"/>
      <c r="AA164" s="72"/>
      <c r="AB164" s="59"/>
      <c r="AC164" s="59"/>
      <c r="AD164" s="72"/>
      <c r="AE164" s="72"/>
      <c r="AF164" s="72"/>
      <c r="AG164" s="72"/>
      <c r="AH164" s="62" t="s">
        <v>2494</v>
      </c>
      <c r="AI164" s="72"/>
      <c r="AJ164" s="63" t="s">
        <v>2884</v>
      </c>
      <c r="AK164" s="81" t="n">
        <f aca="false">IF(AND(ISNUMBER(U164),ISNUMBER(V164),ISNUMBER(14_Cercania!$C$13),ISNUMBER(14_Cercania!$C$14)),6371*2*ASIN(SQRT(SIN(RADIANS(14_Cercania!$C$13-U164)/2)^2+COS(RADIANS(U164))*COS(RADIANS(14_Cercania!$C$13))*SIN(RADIANS(14_Cercania!$C$14-V164)/2)^2))+ROW()*0.000000001,"")</f>
        <v>0.286928270619769</v>
      </c>
    </row>
    <row r="165" customFormat="false" ht="23.85" hidden="false" customHeight="false" outlineLevel="0" collapsed="false">
      <c r="A165" s="55" t="n">
        <v>163</v>
      </c>
      <c r="B165" s="56" t="s">
        <v>2941</v>
      </c>
      <c r="C165" s="55" t="s">
        <v>203</v>
      </c>
      <c r="D165" s="56" t="s">
        <v>197</v>
      </c>
      <c r="E165" s="71"/>
      <c r="F165" s="57"/>
      <c r="G165" s="57"/>
      <c r="H165" s="72"/>
      <c r="I165" s="72"/>
      <c r="J165" s="72"/>
      <c r="K165" s="72"/>
      <c r="L165" s="72"/>
      <c r="M165" s="57"/>
      <c r="N165" s="57"/>
      <c r="O165" s="55" t="s">
        <v>197</v>
      </c>
      <c r="P165" s="73"/>
      <c r="Q165" s="73" t="s">
        <v>2490</v>
      </c>
      <c r="R165" s="55" t="s">
        <v>2491</v>
      </c>
      <c r="S165" s="55" t="s">
        <v>2491</v>
      </c>
      <c r="T165" s="55" t="s">
        <v>2491</v>
      </c>
      <c r="U165" s="74" t="n">
        <v>-15.8365625</v>
      </c>
      <c r="V165" s="74" t="n">
        <v>-70.0233963</v>
      </c>
      <c r="W165" s="75" t="s">
        <v>2492</v>
      </c>
      <c r="X165" s="76" t="str">
        <f aca="false">HYPERLINK(IF(AND(ISNUMBER(U165),ISNUMBER(V165)),"https://www.google.com/maps/search/?api=1&amp;query="&amp;U165&amp;","&amp;V165,"https://www.google.com/maps/search/?api=1&amp;query="&amp;SUBSTITUTE(SUBSTITUTE(SUBSTITUTE(B165&amp;", "&amp;M165&amp;", Puno, Peru"," ","+"),"&amp;","y"),"#","")),"Ver en mapa")</f>
        <v>Ver en mapa</v>
      </c>
      <c r="Y165" s="72"/>
      <c r="Z165" s="57"/>
      <c r="AA165" s="72"/>
      <c r="AB165" s="59"/>
      <c r="AC165" s="59"/>
      <c r="AD165" s="72"/>
      <c r="AE165" s="72"/>
      <c r="AF165" s="72"/>
      <c r="AG165" s="72"/>
      <c r="AH165" s="55" t="s">
        <v>2494</v>
      </c>
      <c r="AI165" s="72"/>
      <c r="AJ165" s="56" t="s">
        <v>2884</v>
      </c>
      <c r="AK165" s="77" t="n">
        <f aca="false">IF(AND(ISNUMBER(U165),ISNUMBER(V165),ISNUMBER(14_Cercania!$C$13),ISNUMBER(14_Cercania!$C$14)),6371*2*ASIN(SQRT(SIN(RADIANS(14_Cercania!$C$13-U165)/2)^2+COS(RADIANS(U165))*COS(RADIANS(14_Cercania!$C$13))*SIN(RADIANS(14_Cercania!$C$14-V165)/2)^2))+ROW()*0.000000001,"")</f>
        <v>0.344767633460791</v>
      </c>
    </row>
    <row r="166" customFormat="false" ht="23.85" hidden="false" customHeight="false" outlineLevel="0" collapsed="false">
      <c r="A166" s="62" t="n">
        <v>164</v>
      </c>
      <c r="B166" s="63" t="s">
        <v>2942</v>
      </c>
      <c r="C166" s="62" t="s">
        <v>167</v>
      </c>
      <c r="D166" s="63" t="s">
        <v>1083</v>
      </c>
      <c r="E166" s="71"/>
      <c r="F166" s="57"/>
      <c r="G166" s="57"/>
      <c r="H166" s="72"/>
      <c r="I166" s="72"/>
      <c r="J166" s="72"/>
      <c r="K166" s="72"/>
      <c r="L166" s="72"/>
      <c r="M166" s="57"/>
      <c r="N166" s="57"/>
      <c r="O166" s="62" t="s">
        <v>197</v>
      </c>
      <c r="P166" s="78"/>
      <c r="Q166" s="78" t="s">
        <v>2490</v>
      </c>
      <c r="R166" s="62" t="s">
        <v>2491</v>
      </c>
      <c r="S166" s="62" t="s">
        <v>2491</v>
      </c>
      <c r="T166" s="62" t="s">
        <v>2491</v>
      </c>
      <c r="U166" s="79" t="n">
        <v>-15.8365607</v>
      </c>
      <c r="V166" s="79" t="n">
        <v>-70.0232283</v>
      </c>
      <c r="W166" s="75" t="s">
        <v>2492</v>
      </c>
      <c r="X166" s="80" t="str">
        <f aca="false">HYPERLINK(IF(AND(ISNUMBER(U166),ISNUMBER(V166)),"https://www.google.com/maps/search/?api=1&amp;query="&amp;U166&amp;","&amp;V166,"https://www.google.com/maps/search/?api=1&amp;query="&amp;SUBSTITUTE(SUBSTITUTE(SUBSTITUTE(B166&amp;", "&amp;M166&amp;", Puno, Peru"," ","+"),"&amp;","y"),"#","")),"Ver en mapa")</f>
        <v>Ver en mapa</v>
      </c>
      <c r="Y166" s="72"/>
      <c r="Z166" s="57"/>
      <c r="AA166" s="72"/>
      <c r="AB166" s="59"/>
      <c r="AC166" s="59"/>
      <c r="AD166" s="72"/>
      <c r="AE166" s="72"/>
      <c r="AF166" s="72"/>
      <c r="AG166" s="72"/>
      <c r="AH166" s="62" t="s">
        <v>2494</v>
      </c>
      <c r="AI166" s="72"/>
      <c r="AJ166" s="63" t="s">
        <v>2884</v>
      </c>
      <c r="AK166" s="81" t="n">
        <f aca="false">IF(AND(ISNUMBER(U166),ISNUMBER(V166),ISNUMBER(14_Cercania!$C$13),ISNUMBER(14_Cercania!$C$14)),6371*2*ASIN(SQRT(SIN(RADIANS(14_Cercania!$C$13-U166)/2)^2+COS(RADIANS(U166))*COS(RADIANS(14_Cercania!$C$13))*SIN(RADIANS(14_Cercania!$C$14-V166)/2)^2))+ROW()*0.000000001,"")</f>
        <v>0.345272039867411</v>
      </c>
    </row>
    <row r="167" customFormat="false" ht="23.85" hidden="false" customHeight="false" outlineLevel="0" collapsed="false">
      <c r="A167" s="55" t="n">
        <v>165</v>
      </c>
      <c r="B167" s="56" t="s">
        <v>2943</v>
      </c>
      <c r="C167" s="55" t="s">
        <v>180</v>
      </c>
      <c r="D167" s="56" t="s">
        <v>2757</v>
      </c>
      <c r="E167" s="71"/>
      <c r="F167" s="57"/>
      <c r="G167" s="57"/>
      <c r="H167" s="72"/>
      <c r="I167" s="72"/>
      <c r="J167" s="72"/>
      <c r="K167" s="72"/>
      <c r="L167" s="72"/>
      <c r="M167" s="57"/>
      <c r="N167" s="57"/>
      <c r="O167" s="55" t="s">
        <v>197</v>
      </c>
      <c r="P167" s="73"/>
      <c r="Q167" s="73" t="s">
        <v>2490</v>
      </c>
      <c r="R167" s="55" t="s">
        <v>2491</v>
      </c>
      <c r="S167" s="55" t="s">
        <v>2491</v>
      </c>
      <c r="T167" s="55" t="s">
        <v>2491</v>
      </c>
      <c r="U167" s="74" t="n">
        <v>-15.838953</v>
      </c>
      <c r="V167" s="74" t="n">
        <v>-70.0279696</v>
      </c>
      <c r="W167" s="75" t="s">
        <v>2492</v>
      </c>
      <c r="X167" s="76" t="str">
        <f aca="false">HYPERLINK(IF(AND(ISNUMBER(U167),ISNUMBER(V167)),"https://www.google.com/maps/search/?api=1&amp;query="&amp;U167&amp;","&amp;V167,"https://www.google.com/maps/search/?api=1&amp;query="&amp;SUBSTITUTE(SUBSTITUTE(SUBSTITUTE(B167&amp;", "&amp;M167&amp;", Puno, Peru"," ","+"),"&amp;","y"),"#","")),"Ver en mapa")</f>
        <v>Ver en mapa</v>
      </c>
      <c r="Y167" s="72"/>
      <c r="Z167" s="57"/>
      <c r="AA167" s="72"/>
      <c r="AB167" s="59"/>
      <c r="AC167" s="59"/>
      <c r="AD167" s="72"/>
      <c r="AE167" s="72"/>
      <c r="AF167" s="72"/>
      <c r="AG167" s="72"/>
      <c r="AH167" s="55" t="s">
        <v>2494</v>
      </c>
      <c r="AI167" s="72"/>
      <c r="AJ167" s="56" t="s">
        <v>2884</v>
      </c>
      <c r="AK167" s="77" t="n">
        <f aca="false">IF(AND(ISNUMBER(U167),ISNUMBER(V167),ISNUMBER(14_Cercania!$C$13),ISNUMBER(14_Cercania!$C$14)),6371*2*ASIN(SQRT(SIN(RADIANS(14_Cercania!$C$13-U167)/2)^2+COS(RADIANS(U167))*COS(RADIANS(14_Cercania!$C$13))*SIN(RADIANS(14_Cercania!$C$14-V167)/2)^2))+ROW()*0.000000001,"")</f>
        <v>0.779548628264352</v>
      </c>
    </row>
    <row r="168" customFormat="false" ht="23.85" hidden="false" customHeight="false" outlineLevel="0" collapsed="false">
      <c r="A168" s="62" t="n">
        <v>166</v>
      </c>
      <c r="B168" s="63" t="s">
        <v>2944</v>
      </c>
      <c r="C168" s="62" t="s">
        <v>167</v>
      </c>
      <c r="D168" s="63" t="s">
        <v>1083</v>
      </c>
      <c r="E168" s="71"/>
      <c r="F168" s="57"/>
      <c r="G168" s="57"/>
      <c r="H168" s="72"/>
      <c r="I168" s="72"/>
      <c r="J168" s="72"/>
      <c r="K168" s="72"/>
      <c r="L168" s="72"/>
      <c r="M168" s="57"/>
      <c r="N168" s="57"/>
      <c r="O168" s="62" t="s">
        <v>197</v>
      </c>
      <c r="P168" s="78"/>
      <c r="Q168" s="78" t="s">
        <v>2490</v>
      </c>
      <c r="R168" s="62" t="s">
        <v>2491</v>
      </c>
      <c r="S168" s="62" t="s">
        <v>2491</v>
      </c>
      <c r="T168" s="62" t="s">
        <v>2491</v>
      </c>
      <c r="U168" s="79" t="n">
        <v>-15.8367245</v>
      </c>
      <c r="V168" s="79" t="n">
        <v>-70.0249056</v>
      </c>
      <c r="W168" s="75" t="s">
        <v>2492</v>
      </c>
      <c r="X168" s="80" t="str">
        <f aca="false">HYPERLINK(IF(AND(ISNUMBER(U168),ISNUMBER(V168)),"https://www.google.com/maps/search/?api=1&amp;query="&amp;U168&amp;","&amp;V168,"https://www.google.com/maps/search/?api=1&amp;query="&amp;SUBSTITUTE(SUBSTITUTE(SUBSTITUTE(B168&amp;", "&amp;M168&amp;", Puno, Peru"," ","+"),"&amp;","y"),"#","")),"Ver en mapa")</f>
        <v>Ver en mapa</v>
      </c>
      <c r="Y168" s="72"/>
      <c r="Z168" s="57"/>
      <c r="AA168" s="72"/>
      <c r="AB168" s="59"/>
      <c r="AC168" s="59"/>
      <c r="AD168" s="72"/>
      <c r="AE168" s="72"/>
      <c r="AF168" s="72"/>
      <c r="AG168" s="72"/>
      <c r="AH168" s="62" t="s">
        <v>2494</v>
      </c>
      <c r="AI168" s="72"/>
      <c r="AJ168" s="63" t="s">
        <v>2884</v>
      </c>
      <c r="AK168" s="81" t="n">
        <f aca="false">IF(AND(ISNUMBER(U168),ISNUMBER(V168),ISNUMBER(14_Cercania!$C$13),ISNUMBER(14_Cercania!$C$14)),6371*2*ASIN(SQRT(SIN(RADIANS(14_Cercania!$C$13-U168)/2)^2+COS(RADIANS(U168))*COS(RADIANS(14_Cercania!$C$13))*SIN(RADIANS(14_Cercania!$C$14-V168)/2)^2))+ROW()*0.000000001,"")</f>
        <v>0.395237978411698</v>
      </c>
    </row>
    <row r="169" customFormat="false" ht="23.85" hidden="false" customHeight="false" outlineLevel="0" collapsed="false">
      <c r="A169" s="55" t="n">
        <v>167</v>
      </c>
      <c r="B169" s="56" t="s">
        <v>2945</v>
      </c>
      <c r="C169" s="55" t="s">
        <v>182</v>
      </c>
      <c r="D169" s="56" t="s">
        <v>2946</v>
      </c>
      <c r="E169" s="71"/>
      <c r="F169" s="57"/>
      <c r="G169" s="57"/>
      <c r="H169" s="72"/>
      <c r="I169" s="72"/>
      <c r="J169" s="72"/>
      <c r="K169" s="72"/>
      <c r="L169" s="72"/>
      <c r="M169" s="57"/>
      <c r="N169" s="57"/>
      <c r="O169" s="55" t="s">
        <v>197</v>
      </c>
      <c r="P169" s="73"/>
      <c r="Q169" s="73" t="s">
        <v>2490</v>
      </c>
      <c r="R169" s="55" t="s">
        <v>2491</v>
      </c>
      <c r="S169" s="55" t="s">
        <v>2491</v>
      </c>
      <c r="T169" s="55" t="s">
        <v>2491</v>
      </c>
      <c r="U169" s="74" t="n">
        <v>-15.8370014</v>
      </c>
      <c r="V169" s="74" t="n">
        <v>-70.0278671</v>
      </c>
      <c r="W169" s="75" t="s">
        <v>2492</v>
      </c>
      <c r="X169" s="76" t="str">
        <f aca="false">HYPERLINK(IF(AND(ISNUMBER(U169),ISNUMBER(V169)),"https://www.google.com/maps/search/?api=1&amp;query="&amp;U169&amp;","&amp;V169,"https://www.google.com/maps/search/?api=1&amp;query="&amp;SUBSTITUTE(SUBSTITUTE(SUBSTITUTE(B169&amp;", "&amp;M169&amp;", Puno, Peru"," ","+"),"&amp;","y"),"#","")),"Ver en mapa")</f>
        <v>Ver en mapa</v>
      </c>
      <c r="Y169" s="72"/>
      <c r="Z169" s="57"/>
      <c r="AA169" s="72"/>
      <c r="AB169" s="59"/>
      <c r="AC169" s="59"/>
      <c r="AD169" s="72"/>
      <c r="AE169" s="72"/>
      <c r="AF169" s="72"/>
      <c r="AG169" s="72"/>
      <c r="AH169" s="55" t="s">
        <v>2494</v>
      </c>
      <c r="AI169" s="72"/>
      <c r="AJ169" s="56" t="s">
        <v>2884</v>
      </c>
      <c r="AK169" s="77" t="n">
        <f aca="false">IF(AND(ISNUMBER(U169),ISNUMBER(V169),ISNUMBER(14_Cercania!$C$13),ISNUMBER(14_Cercania!$C$14)),6371*2*ASIN(SQRT(SIN(RADIANS(14_Cercania!$C$13-U169)/2)^2+COS(RADIANS(U169))*COS(RADIANS(14_Cercania!$C$13))*SIN(RADIANS(14_Cercania!$C$14-V169)/2)^2))+ROW()*0.000000001,"")</f>
        <v>0.615868173848695</v>
      </c>
    </row>
    <row r="170" customFormat="false" ht="23.85" hidden="false" customHeight="false" outlineLevel="0" collapsed="false">
      <c r="A170" s="62" t="n">
        <v>168</v>
      </c>
      <c r="B170" s="63" t="s">
        <v>2947</v>
      </c>
      <c r="C170" s="62" t="s">
        <v>203</v>
      </c>
      <c r="D170" s="63" t="s">
        <v>197</v>
      </c>
      <c r="E170" s="71"/>
      <c r="F170" s="57"/>
      <c r="G170" s="57"/>
      <c r="H170" s="72"/>
      <c r="I170" s="72"/>
      <c r="J170" s="72"/>
      <c r="K170" s="72"/>
      <c r="L170" s="72"/>
      <c r="M170" s="57"/>
      <c r="N170" s="57"/>
      <c r="O170" s="62" t="s">
        <v>197</v>
      </c>
      <c r="P170" s="78"/>
      <c r="Q170" s="78" t="s">
        <v>2490</v>
      </c>
      <c r="R170" s="62" t="s">
        <v>2491</v>
      </c>
      <c r="S170" s="62" t="s">
        <v>2491</v>
      </c>
      <c r="T170" s="62" t="s">
        <v>2491</v>
      </c>
      <c r="U170" s="79" t="n">
        <v>-15.838915</v>
      </c>
      <c r="V170" s="79" t="n">
        <v>-70.0267815</v>
      </c>
      <c r="W170" s="75" t="s">
        <v>2492</v>
      </c>
      <c r="X170" s="80" t="str">
        <f aca="false">HYPERLINK(IF(AND(ISNUMBER(U170),ISNUMBER(V170)),"https://www.google.com/maps/search/?api=1&amp;query="&amp;U170&amp;","&amp;V170,"https://www.google.com/maps/search/?api=1&amp;query="&amp;SUBSTITUTE(SUBSTITUTE(SUBSTITUTE(B170&amp;", "&amp;M170&amp;", Puno, Peru"," ","+"),"&amp;","y"),"#","")),"Ver en mapa")</f>
        <v>Ver en mapa</v>
      </c>
      <c r="Y170" s="72"/>
      <c r="Z170" s="57"/>
      <c r="AA170" s="72"/>
      <c r="AB170" s="59"/>
      <c r="AC170" s="59"/>
      <c r="AD170" s="72"/>
      <c r="AE170" s="72"/>
      <c r="AF170" s="72"/>
      <c r="AG170" s="72"/>
      <c r="AH170" s="62" t="s">
        <v>2494</v>
      </c>
      <c r="AI170" s="72"/>
      <c r="AJ170" s="63" t="s">
        <v>2884</v>
      </c>
      <c r="AK170" s="81" t="n">
        <f aca="false">IF(AND(ISNUMBER(U170),ISNUMBER(V170),ISNUMBER(14_Cercania!$C$13),ISNUMBER(14_Cercania!$C$14)),6371*2*ASIN(SQRT(SIN(RADIANS(14_Cercania!$C$13-U170)/2)^2+COS(RADIANS(U170))*COS(RADIANS(14_Cercania!$C$13))*SIN(RADIANS(14_Cercania!$C$14-V170)/2)^2))+ROW()*0.000000001,"")</f>
        <v>0.703919501132358</v>
      </c>
    </row>
    <row r="171" customFormat="false" ht="23.85" hidden="false" customHeight="false" outlineLevel="0" collapsed="false">
      <c r="A171" s="55" t="n">
        <v>169</v>
      </c>
      <c r="B171" s="56" t="s">
        <v>2948</v>
      </c>
      <c r="C171" s="55" t="s">
        <v>203</v>
      </c>
      <c r="D171" s="56" t="s">
        <v>197</v>
      </c>
      <c r="E171" s="71"/>
      <c r="F171" s="57"/>
      <c r="G171" s="57"/>
      <c r="H171" s="72"/>
      <c r="I171" s="72"/>
      <c r="J171" s="72"/>
      <c r="K171" s="72"/>
      <c r="L171" s="72"/>
      <c r="M171" s="57"/>
      <c r="N171" s="57"/>
      <c r="O171" s="55" t="s">
        <v>197</v>
      </c>
      <c r="P171" s="73"/>
      <c r="Q171" s="73" t="s">
        <v>2490</v>
      </c>
      <c r="R171" s="55" t="s">
        <v>2491</v>
      </c>
      <c r="S171" s="55" t="s">
        <v>2491</v>
      </c>
      <c r="T171" s="55" t="s">
        <v>2491</v>
      </c>
      <c r="U171" s="74" t="n">
        <v>-15.8384605</v>
      </c>
      <c r="V171" s="74" t="n">
        <v>-70.0299091</v>
      </c>
      <c r="W171" s="75" t="s">
        <v>2492</v>
      </c>
      <c r="X171" s="76" t="str">
        <f aca="false">HYPERLINK(IF(AND(ISNUMBER(U171),ISNUMBER(V171)),"https://www.google.com/maps/search/?api=1&amp;query="&amp;U171&amp;","&amp;V171,"https://www.google.com/maps/search/?api=1&amp;query="&amp;SUBSTITUTE(SUBSTITUTE(SUBSTITUTE(B171&amp;", "&amp;M171&amp;", Puno, Peru"," ","+"),"&amp;","y"),"#","")),"Ver en mapa")</f>
        <v>Ver en mapa</v>
      </c>
      <c r="Y171" s="72"/>
      <c r="Z171" s="57"/>
      <c r="AA171" s="72"/>
      <c r="AB171" s="59"/>
      <c r="AC171" s="59"/>
      <c r="AD171" s="72"/>
      <c r="AE171" s="72"/>
      <c r="AF171" s="72"/>
      <c r="AG171" s="72"/>
      <c r="AH171" s="55" t="s">
        <v>2494</v>
      </c>
      <c r="AI171" s="72"/>
      <c r="AJ171" s="56" t="s">
        <v>2884</v>
      </c>
      <c r="AK171" s="77" t="n">
        <f aca="false">IF(AND(ISNUMBER(U171),ISNUMBER(V171),ISNUMBER(14_Cercania!$C$13),ISNUMBER(14_Cercania!$C$14)),6371*2*ASIN(SQRT(SIN(RADIANS(14_Cercania!$C$13-U171)/2)^2+COS(RADIANS(U171))*COS(RADIANS(14_Cercania!$C$13))*SIN(RADIANS(14_Cercania!$C$14-V171)/2)^2))+ROW()*0.000000001,"")</f>
        <v>0.887691566681915</v>
      </c>
    </row>
    <row r="172" customFormat="false" ht="23.85" hidden="false" customHeight="false" outlineLevel="0" collapsed="false">
      <c r="A172" s="62" t="n">
        <v>170</v>
      </c>
      <c r="B172" s="63" t="s">
        <v>2949</v>
      </c>
      <c r="C172" s="62" t="s">
        <v>203</v>
      </c>
      <c r="D172" s="63" t="s">
        <v>197</v>
      </c>
      <c r="E172" s="71"/>
      <c r="F172" s="57"/>
      <c r="G172" s="57"/>
      <c r="H172" s="72"/>
      <c r="I172" s="72"/>
      <c r="J172" s="72"/>
      <c r="K172" s="72"/>
      <c r="L172" s="72"/>
      <c r="M172" s="57"/>
      <c r="N172" s="57"/>
      <c r="O172" s="62" t="s">
        <v>197</v>
      </c>
      <c r="P172" s="78"/>
      <c r="Q172" s="78" t="s">
        <v>2490</v>
      </c>
      <c r="R172" s="62" t="s">
        <v>2491</v>
      </c>
      <c r="S172" s="62" t="s">
        <v>2491</v>
      </c>
      <c r="T172" s="62" t="s">
        <v>2491</v>
      </c>
      <c r="U172" s="79" t="n">
        <v>-15.8385016</v>
      </c>
      <c r="V172" s="79" t="n">
        <v>-70.0294694</v>
      </c>
      <c r="W172" s="75" t="s">
        <v>2492</v>
      </c>
      <c r="X172" s="80" t="str">
        <f aca="false">HYPERLINK(IF(AND(ISNUMBER(U172),ISNUMBER(V172)),"https://www.google.com/maps/search/?api=1&amp;query="&amp;U172&amp;","&amp;V172,"https://www.google.com/maps/search/?api=1&amp;query="&amp;SUBSTITUTE(SUBSTITUTE(SUBSTITUTE(B172&amp;", "&amp;M172&amp;", Puno, Peru"," ","+"),"&amp;","y"),"#","")),"Ver en mapa")</f>
        <v>Ver en mapa</v>
      </c>
      <c r="Y172" s="72"/>
      <c r="Z172" s="57"/>
      <c r="AA172" s="72"/>
      <c r="AB172" s="59"/>
      <c r="AC172" s="59"/>
      <c r="AD172" s="72"/>
      <c r="AE172" s="72"/>
      <c r="AF172" s="72"/>
      <c r="AG172" s="72"/>
      <c r="AH172" s="62" t="s">
        <v>2494</v>
      </c>
      <c r="AI172" s="72"/>
      <c r="AJ172" s="63" t="s">
        <v>2884</v>
      </c>
      <c r="AK172" s="81" t="n">
        <f aca="false">IF(AND(ISNUMBER(U172),ISNUMBER(V172),ISNUMBER(14_Cercania!$C$13),ISNUMBER(14_Cercania!$C$14)),6371*2*ASIN(SQRT(SIN(RADIANS(14_Cercania!$C$13-U172)/2)^2+COS(RADIANS(U172))*COS(RADIANS(14_Cercania!$C$13))*SIN(RADIANS(14_Cercania!$C$14-V172)/2)^2))+ROW()*0.000000001,"")</f>
        <v>0.854514321078851</v>
      </c>
    </row>
    <row r="173" customFormat="false" ht="23.85" hidden="false" customHeight="false" outlineLevel="0" collapsed="false">
      <c r="A173" s="55" t="n">
        <v>171</v>
      </c>
      <c r="B173" s="56" t="s">
        <v>2950</v>
      </c>
      <c r="C173" s="55" t="s">
        <v>203</v>
      </c>
      <c r="D173" s="56" t="s">
        <v>197</v>
      </c>
      <c r="E173" s="71"/>
      <c r="F173" s="57"/>
      <c r="G173" s="57"/>
      <c r="H173" s="72"/>
      <c r="I173" s="72"/>
      <c r="J173" s="72"/>
      <c r="K173" s="72"/>
      <c r="L173" s="72"/>
      <c r="M173" s="57"/>
      <c r="N173" s="57"/>
      <c r="O173" s="55" t="s">
        <v>197</v>
      </c>
      <c r="P173" s="73"/>
      <c r="Q173" s="73" t="s">
        <v>2490</v>
      </c>
      <c r="R173" s="55" t="s">
        <v>2491</v>
      </c>
      <c r="S173" s="55" t="s">
        <v>2491</v>
      </c>
      <c r="T173" s="55" t="s">
        <v>2491</v>
      </c>
      <c r="U173" s="74" t="n">
        <v>-15.8386144</v>
      </c>
      <c r="V173" s="74" t="n">
        <v>-70.0263583</v>
      </c>
      <c r="W173" s="75" t="s">
        <v>2492</v>
      </c>
      <c r="X173" s="76" t="str">
        <f aca="false">HYPERLINK(IF(AND(ISNUMBER(U173),ISNUMBER(V173)),"https://www.google.com/maps/search/?api=1&amp;query="&amp;U173&amp;","&amp;V173,"https://www.google.com/maps/search/?api=1&amp;query="&amp;SUBSTITUTE(SUBSTITUTE(SUBSTITUTE(B173&amp;", "&amp;M173&amp;", Puno, Peru"," ","+"),"&amp;","y"),"#","")),"Ver en mapa")</f>
        <v>Ver en mapa</v>
      </c>
      <c r="Y173" s="72"/>
      <c r="Z173" s="57"/>
      <c r="AA173" s="72"/>
      <c r="AB173" s="59"/>
      <c r="AC173" s="59"/>
      <c r="AD173" s="72"/>
      <c r="AE173" s="72"/>
      <c r="AF173" s="72"/>
      <c r="AG173" s="72"/>
      <c r="AH173" s="55" t="s">
        <v>2494</v>
      </c>
      <c r="AI173" s="72"/>
      <c r="AJ173" s="56" t="s">
        <v>2884</v>
      </c>
      <c r="AK173" s="77" t="n">
        <f aca="false">IF(AND(ISNUMBER(U173),ISNUMBER(V173),ISNUMBER(14_Cercania!$C$13),ISNUMBER(14_Cercania!$C$14)),6371*2*ASIN(SQRT(SIN(RADIANS(14_Cercania!$C$13-U173)/2)^2+COS(RADIANS(U173))*COS(RADIANS(14_Cercania!$C$13))*SIN(RADIANS(14_Cercania!$C$14-V173)/2)^2))+ROW()*0.000000001,"")</f>
        <v>0.65250193379092</v>
      </c>
    </row>
    <row r="174" customFormat="false" ht="23.85" hidden="false" customHeight="false" outlineLevel="0" collapsed="false">
      <c r="A174" s="62" t="n">
        <v>172</v>
      </c>
      <c r="B174" s="63" t="s">
        <v>2951</v>
      </c>
      <c r="C174" s="62" t="s">
        <v>203</v>
      </c>
      <c r="D174" s="63" t="s">
        <v>197</v>
      </c>
      <c r="E174" s="71"/>
      <c r="F174" s="57"/>
      <c r="G174" s="57"/>
      <c r="H174" s="72"/>
      <c r="I174" s="72"/>
      <c r="J174" s="72"/>
      <c r="K174" s="72"/>
      <c r="L174" s="72"/>
      <c r="M174" s="57"/>
      <c r="N174" s="57"/>
      <c r="O174" s="62" t="s">
        <v>197</v>
      </c>
      <c r="P174" s="78"/>
      <c r="Q174" s="78" t="s">
        <v>2490</v>
      </c>
      <c r="R174" s="62" t="s">
        <v>2491</v>
      </c>
      <c r="S174" s="62" t="s">
        <v>2491</v>
      </c>
      <c r="T174" s="62" t="s">
        <v>2491</v>
      </c>
      <c r="U174" s="79" t="n">
        <v>-15.8311053</v>
      </c>
      <c r="V174" s="79" t="n">
        <v>-70.0210662</v>
      </c>
      <c r="W174" s="75" t="s">
        <v>2492</v>
      </c>
      <c r="X174" s="80" t="str">
        <f aca="false">HYPERLINK(IF(AND(ISNUMBER(U174),ISNUMBER(V174)),"https://www.google.com/maps/search/?api=1&amp;query="&amp;U174&amp;","&amp;V174,"https://www.google.com/maps/search/?api=1&amp;query="&amp;SUBSTITUTE(SUBSTITUTE(SUBSTITUTE(B174&amp;", "&amp;M174&amp;", Puno, Peru"," ","+"),"&amp;","y"),"#","")),"Ver en mapa")</f>
        <v>Ver en mapa</v>
      </c>
      <c r="Y174" s="72"/>
      <c r="Z174" s="57"/>
      <c r="AA174" s="72"/>
      <c r="AB174" s="59"/>
      <c r="AC174" s="59"/>
      <c r="AD174" s="72"/>
      <c r="AE174" s="72"/>
      <c r="AF174" s="72"/>
      <c r="AG174" s="72"/>
      <c r="AH174" s="62" t="s">
        <v>2494</v>
      </c>
      <c r="AI174" s="72"/>
      <c r="AJ174" s="63" t="s">
        <v>2884</v>
      </c>
      <c r="AK174" s="81" t="n">
        <f aca="false">IF(AND(ISNUMBER(U174),ISNUMBER(V174),ISNUMBER(14_Cercania!$C$13),ISNUMBER(14_Cercania!$C$14)),6371*2*ASIN(SQRT(SIN(RADIANS(14_Cercania!$C$13-U174)/2)^2+COS(RADIANS(U174))*COS(RADIANS(14_Cercania!$C$13))*SIN(RADIANS(14_Cercania!$C$14-V174)/2)^2))+ROW()*0.000000001,"")</f>
        <v>0.364827559678542</v>
      </c>
    </row>
    <row r="175" customFormat="false" ht="23.85" hidden="false" customHeight="false" outlineLevel="0" collapsed="false">
      <c r="A175" s="55" t="n">
        <v>173</v>
      </c>
      <c r="B175" s="56" t="s">
        <v>2952</v>
      </c>
      <c r="C175" s="55" t="s">
        <v>180</v>
      </c>
      <c r="D175" s="56" t="s">
        <v>2757</v>
      </c>
      <c r="E175" s="71"/>
      <c r="F175" s="57"/>
      <c r="G175" s="57"/>
      <c r="H175" s="72"/>
      <c r="I175" s="72"/>
      <c r="J175" s="72"/>
      <c r="K175" s="72"/>
      <c r="L175" s="72"/>
      <c r="M175" s="57"/>
      <c r="N175" s="57"/>
      <c r="O175" s="55" t="s">
        <v>197</v>
      </c>
      <c r="P175" s="73"/>
      <c r="Q175" s="73" t="s">
        <v>2490</v>
      </c>
      <c r="R175" s="55" t="s">
        <v>2491</v>
      </c>
      <c r="S175" s="55" t="s">
        <v>2491</v>
      </c>
      <c r="T175" s="55" t="s">
        <v>2491</v>
      </c>
      <c r="U175" s="74" t="n">
        <v>-15.8401328</v>
      </c>
      <c r="V175" s="74" t="n">
        <v>-70.0274721</v>
      </c>
      <c r="W175" s="75" t="s">
        <v>2492</v>
      </c>
      <c r="X175" s="76" t="str">
        <f aca="false">HYPERLINK(IF(AND(ISNUMBER(U175),ISNUMBER(V175)),"https://www.google.com/maps/search/?api=1&amp;query="&amp;U175&amp;","&amp;V175,"https://www.google.com/maps/search/?api=1&amp;query="&amp;SUBSTITUTE(SUBSTITUTE(SUBSTITUTE(B175&amp;", "&amp;M175&amp;", Puno, Peru"," ","+"),"&amp;","y"),"#","")),"Ver en mapa")</f>
        <v>Ver en mapa</v>
      </c>
      <c r="Y175" s="72"/>
      <c r="Z175" s="57"/>
      <c r="AA175" s="72"/>
      <c r="AB175" s="59"/>
      <c r="AC175" s="59"/>
      <c r="AD175" s="72"/>
      <c r="AE175" s="72"/>
      <c r="AF175" s="72"/>
      <c r="AG175" s="72"/>
      <c r="AH175" s="55" t="s">
        <v>2494</v>
      </c>
      <c r="AI175" s="72"/>
      <c r="AJ175" s="56" t="s">
        <v>2884</v>
      </c>
      <c r="AK175" s="77" t="n">
        <f aca="false">IF(AND(ISNUMBER(U175),ISNUMBER(V175),ISNUMBER(14_Cercania!$C$13),ISNUMBER(14_Cercania!$C$14)),6371*2*ASIN(SQRT(SIN(RADIANS(14_Cercania!$C$13-U175)/2)^2+COS(RADIANS(U175))*COS(RADIANS(14_Cercania!$C$13))*SIN(RADIANS(14_Cercania!$C$14-V175)/2)^2))+ROW()*0.000000001,"")</f>
        <v>0.858102763817017</v>
      </c>
    </row>
    <row r="176" customFormat="false" ht="23.85" hidden="false" customHeight="false" outlineLevel="0" collapsed="false">
      <c r="A176" s="62" t="n">
        <v>174</v>
      </c>
      <c r="B176" s="63" t="s">
        <v>2953</v>
      </c>
      <c r="C176" s="62" t="s">
        <v>203</v>
      </c>
      <c r="D176" s="63" t="s">
        <v>2954</v>
      </c>
      <c r="E176" s="71"/>
      <c r="F176" s="57"/>
      <c r="G176" s="57"/>
      <c r="H176" s="72"/>
      <c r="I176" s="72"/>
      <c r="J176" s="72"/>
      <c r="K176" s="72"/>
      <c r="L176" s="72"/>
      <c r="M176" s="57"/>
      <c r="N176" s="57"/>
      <c r="O176" s="62" t="s">
        <v>197</v>
      </c>
      <c r="P176" s="78"/>
      <c r="Q176" s="78" t="s">
        <v>2490</v>
      </c>
      <c r="R176" s="62" t="s">
        <v>2491</v>
      </c>
      <c r="S176" s="62" t="s">
        <v>2491</v>
      </c>
      <c r="T176" s="62" t="s">
        <v>2491</v>
      </c>
      <c r="U176" s="79" t="n">
        <v>-15.8386177</v>
      </c>
      <c r="V176" s="79" t="n">
        <v>-70.0259898</v>
      </c>
      <c r="W176" s="75" t="s">
        <v>2492</v>
      </c>
      <c r="X176" s="80" t="str">
        <f aca="false">HYPERLINK(IF(AND(ISNUMBER(U176),ISNUMBER(V176)),"https://www.google.com/maps/search/?api=1&amp;query="&amp;U176&amp;","&amp;V176,"https://www.google.com/maps/search/?api=1&amp;query="&amp;SUBSTITUTE(SUBSTITUTE(SUBSTITUTE(B176&amp;", "&amp;M176&amp;", Puno, Peru"," ","+"),"&amp;","y"),"#","")),"Ver en mapa")</f>
        <v>Ver en mapa</v>
      </c>
      <c r="Y176" s="72"/>
      <c r="Z176" s="57"/>
      <c r="AA176" s="72"/>
      <c r="AB176" s="59"/>
      <c r="AC176" s="59"/>
      <c r="AD176" s="72"/>
      <c r="AE176" s="72"/>
      <c r="AF176" s="72"/>
      <c r="AG176" s="72"/>
      <c r="AH176" s="62" t="s">
        <v>2494</v>
      </c>
      <c r="AI176" s="72"/>
      <c r="AJ176" s="63" t="s">
        <v>2884</v>
      </c>
      <c r="AK176" s="81" t="n">
        <f aca="false">IF(AND(ISNUMBER(U176),ISNUMBER(V176),ISNUMBER(14_Cercania!$C$13),ISNUMBER(14_Cercania!$C$14)),6371*2*ASIN(SQRT(SIN(RADIANS(14_Cercania!$C$13-U176)/2)^2+COS(RADIANS(U176))*COS(RADIANS(14_Cercania!$C$13))*SIN(RADIANS(14_Cercania!$C$14-V176)/2)^2))+ROW()*0.000000001,"")</f>
        <v>0.634909141290688</v>
      </c>
    </row>
    <row r="177" customFormat="false" ht="23.85" hidden="false" customHeight="false" outlineLevel="0" collapsed="false">
      <c r="A177" s="55" t="n">
        <v>175</v>
      </c>
      <c r="B177" s="56" t="s">
        <v>2955</v>
      </c>
      <c r="C177" s="55" t="s">
        <v>199</v>
      </c>
      <c r="D177" s="56" t="s">
        <v>2583</v>
      </c>
      <c r="E177" s="71"/>
      <c r="F177" s="57"/>
      <c r="G177" s="57"/>
      <c r="H177" s="72"/>
      <c r="I177" s="72"/>
      <c r="J177" s="72"/>
      <c r="K177" s="72"/>
      <c r="L177" s="72"/>
      <c r="M177" s="57"/>
      <c r="N177" s="57"/>
      <c r="O177" s="55" t="s">
        <v>197</v>
      </c>
      <c r="P177" s="73"/>
      <c r="Q177" s="73" t="s">
        <v>2490</v>
      </c>
      <c r="R177" s="55" t="s">
        <v>2491</v>
      </c>
      <c r="S177" s="55" t="s">
        <v>2491</v>
      </c>
      <c r="T177" s="55" t="s">
        <v>2491</v>
      </c>
      <c r="U177" s="74" t="n">
        <v>-15.8703419</v>
      </c>
      <c r="V177" s="74" t="n">
        <v>-70.0225335</v>
      </c>
      <c r="W177" s="75" t="s">
        <v>2492</v>
      </c>
      <c r="X177" s="76" t="str">
        <f aca="false">HYPERLINK(IF(AND(ISNUMBER(U177),ISNUMBER(V177)),"https://www.google.com/maps/search/?api=1&amp;query="&amp;U177&amp;","&amp;V177,"https://www.google.com/maps/search/?api=1&amp;query="&amp;SUBSTITUTE(SUBSTITUTE(SUBSTITUTE(B177&amp;", "&amp;M177&amp;", Puno, Peru"," ","+"),"&amp;","y"),"#","")),"Ver en mapa")</f>
        <v>Ver en mapa</v>
      </c>
      <c r="Y177" s="72"/>
      <c r="Z177" s="57"/>
      <c r="AA177" s="72"/>
      <c r="AB177" s="59"/>
      <c r="AC177" s="59"/>
      <c r="AD177" s="72"/>
      <c r="AE177" s="72"/>
      <c r="AF177" s="72"/>
      <c r="AG177" s="72"/>
      <c r="AH177" s="55" t="s">
        <v>2494</v>
      </c>
      <c r="AI177" s="72"/>
      <c r="AJ177" s="56" t="s">
        <v>2884</v>
      </c>
      <c r="AK177" s="77" t="n">
        <f aca="false">IF(AND(ISNUMBER(U177),ISNUMBER(V177),ISNUMBER(14_Cercania!$C$13),ISNUMBER(14_Cercania!$C$14)),6371*2*ASIN(SQRT(SIN(RADIANS(14_Cercania!$C$13-U177)/2)^2+COS(RADIANS(U177))*COS(RADIANS(14_Cercania!$C$13))*SIN(RADIANS(14_Cercania!$C$14-V177)/2)^2))+ROW()*0.000000001,"")</f>
        <v>4.10197864432</v>
      </c>
    </row>
    <row r="178" customFormat="false" ht="23.85" hidden="false" customHeight="false" outlineLevel="0" collapsed="false">
      <c r="A178" s="62" t="n">
        <v>176</v>
      </c>
      <c r="B178" s="63" t="s">
        <v>2956</v>
      </c>
      <c r="C178" s="62" t="s">
        <v>203</v>
      </c>
      <c r="D178" s="63" t="s">
        <v>197</v>
      </c>
      <c r="E178" s="71"/>
      <c r="F178" s="57"/>
      <c r="G178" s="57"/>
      <c r="H178" s="72"/>
      <c r="I178" s="72"/>
      <c r="J178" s="72"/>
      <c r="K178" s="72"/>
      <c r="L178" s="72"/>
      <c r="M178" s="57"/>
      <c r="N178" s="57"/>
      <c r="O178" s="62" t="s">
        <v>197</v>
      </c>
      <c r="P178" s="78"/>
      <c r="Q178" s="78" t="s">
        <v>2490</v>
      </c>
      <c r="R178" s="62" t="s">
        <v>2491</v>
      </c>
      <c r="S178" s="62" t="s">
        <v>2491</v>
      </c>
      <c r="T178" s="62" t="s">
        <v>2491</v>
      </c>
      <c r="U178" s="79" t="n">
        <v>-15.8231247</v>
      </c>
      <c r="V178" s="79" t="n">
        <v>-70.0202555</v>
      </c>
      <c r="W178" s="75" t="s">
        <v>2492</v>
      </c>
      <c r="X178" s="80" t="str">
        <f aca="false">HYPERLINK(IF(AND(ISNUMBER(U178),ISNUMBER(V178)),"https://www.google.com/maps/search/?api=1&amp;query="&amp;U178&amp;","&amp;V178,"https://www.google.com/maps/search/?api=1&amp;query="&amp;SUBSTITUTE(SUBSTITUTE(SUBSTITUTE(B178&amp;", "&amp;M178&amp;", Puno, Peru"," ","+"),"&amp;","y"),"#","")),"Ver en mapa")</f>
        <v>Ver en mapa</v>
      </c>
      <c r="Y178" s="72"/>
      <c r="Z178" s="57"/>
      <c r="AA178" s="72"/>
      <c r="AB178" s="59"/>
      <c r="AC178" s="59"/>
      <c r="AD178" s="72"/>
      <c r="AE178" s="72"/>
      <c r="AF178" s="72"/>
      <c r="AG178" s="72"/>
      <c r="AH178" s="62" t="s">
        <v>2494</v>
      </c>
      <c r="AI178" s="72"/>
      <c r="AJ178" s="63" t="s">
        <v>2884</v>
      </c>
      <c r="AK178" s="81" t="n">
        <f aca="false">IF(AND(ISNUMBER(U178),ISNUMBER(V178),ISNUMBER(14_Cercania!$C$13),ISNUMBER(14_Cercania!$C$14)),6371*2*ASIN(SQRT(SIN(RADIANS(14_Cercania!$C$13-U178)/2)^2+COS(RADIANS(U178))*COS(RADIANS(14_Cercania!$C$13))*SIN(RADIANS(14_Cercania!$C$14-V178)/2)^2))+ROW()*0.000000001,"")</f>
        <v>1.19885907973185</v>
      </c>
    </row>
    <row r="179" customFormat="false" ht="23.85" hidden="false" customHeight="false" outlineLevel="0" collapsed="false">
      <c r="A179" s="55" t="n">
        <v>177</v>
      </c>
      <c r="B179" s="56" t="s">
        <v>2957</v>
      </c>
      <c r="C179" s="55" t="s">
        <v>203</v>
      </c>
      <c r="D179" s="56" t="s">
        <v>197</v>
      </c>
      <c r="E179" s="71"/>
      <c r="F179" s="57"/>
      <c r="G179" s="57"/>
      <c r="H179" s="72"/>
      <c r="I179" s="72"/>
      <c r="J179" s="72"/>
      <c r="K179" s="72"/>
      <c r="L179" s="72"/>
      <c r="M179" s="57"/>
      <c r="N179" s="57"/>
      <c r="O179" s="55" t="s">
        <v>197</v>
      </c>
      <c r="P179" s="73"/>
      <c r="Q179" s="73" t="s">
        <v>2490</v>
      </c>
      <c r="R179" s="55" t="s">
        <v>2491</v>
      </c>
      <c r="S179" s="55" t="s">
        <v>2491</v>
      </c>
      <c r="T179" s="55" t="s">
        <v>2491</v>
      </c>
      <c r="U179" s="74" t="n">
        <v>-15.8428939</v>
      </c>
      <c r="V179" s="74" t="n">
        <v>-70.0276098</v>
      </c>
      <c r="W179" s="75" t="s">
        <v>2492</v>
      </c>
      <c r="X179" s="76" t="str">
        <f aca="false">HYPERLINK(IF(AND(ISNUMBER(U179),ISNUMBER(V179)),"https://www.google.com/maps/search/?api=1&amp;query="&amp;U179&amp;","&amp;V179,"https://www.google.com/maps/search/?api=1&amp;query="&amp;SUBSTITUTE(SUBSTITUTE(SUBSTITUTE(B179&amp;", "&amp;M179&amp;", Puno, Peru"," ","+"),"&amp;","y"),"#","")),"Ver en mapa")</f>
        <v>Ver en mapa</v>
      </c>
      <c r="Y179" s="72"/>
      <c r="Z179" s="57"/>
      <c r="AA179" s="72"/>
      <c r="AB179" s="59"/>
      <c r="AC179" s="59"/>
      <c r="AD179" s="72"/>
      <c r="AE179" s="72"/>
      <c r="AF179" s="72"/>
      <c r="AG179" s="72"/>
      <c r="AH179" s="55" t="s">
        <v>2494</v>
      </c>
      <c r="AI179" s="72"/>
      <c r="AJ179" s="56" t="s">
        <v>2884</v>
      </c>
      <c r="AK179" s="77" t="n">
        <f aca="false">IF(AND(ISNUMBER(U179),ISNUMBER(V179),ISNUMBER(14_Cercania!$C$13),ISNUMBER(14_Cercania!$C$14)),6371*2*ASIN(SQRT(SIN(RADIANS(14_Cercania!$C$13-U179)/2)^2+COS(RADIANS(U179))*COS(RADIANS(14_Cercania!$C$13))*SIN(RADIANS(14_Cercania!$C$14-V179)/2)^2))+ROW()*0.000000001,"")</f>
        <v>1.13972987580274</v>
      </c>
    </row>
    <row r="180" customFormat="false" ht="23.85" hidden="false" customHeight="false" outlineLevel="0" collapsed="false">
      <c r="A180" s="62" t="n">
        <v>178</v>
      </c>
      <c r="B180" s="63" t="s">
        <v>2958</v>
      </c>
      <c r="C180" s="62" t="s">
        <v>167</v>
      </c>
      <c r="D180" s="63" t="s">
        <v>1083</v>
      </c>
      <c r="E180" s="71"/>
      <c r="F180" s="57"/>
      <c r="G180" s="57"/>
      <c r="H180" s="72"/>
      <c r="I180" s="72"/>
      <c r="J180" s="72"/>
      <c r="K180" s="72"/>
      <c r="L180" s="72"/>
      <c r="M180" s="57"/>
      <c r="N180" s="57"/>
      <c r="O180" s="62" t="s">
        <v>197</v>
      </c>
      <c r="P180" s="78"/>
      <c r="Q180" s="78" t="s">
        <v>2490</v>
      </c>
      <c r="R180" s="62" t="s">
        <v>2491</v>
      </c>
      <c r="S180" s="62" t="s">
        <v>2491</v>
      </c>
      <c r="T180" s="62" t="s">
        <v>2491</v>
      </c>
      <c r="U180" s="79" t="n">
        <v>-15.8464315</v>
      </c>
      <c r="V180" s="79" t="n">
        <v>-70.0267245</v>
      </c>
      <c r="W180" s="75" t="s">
        <v>2492</v>
      </c>
      <c r="X180" s="80" t="str">
        <f aca="false">HYPERLINK(IF(AND(ISNUMBER(U180),ISNUMBER(V180)),"https://www.google.com/maps/search/?api=1&amp;query="&amp;U180&amp;","&amp;V180,"https://www.google.com/maps/search/?api=1&amp;query="&amp;SUBSTITUTE(SUBSTITUTE(SUBSTITUTE(B180&amp;", "&amp;M180&amp;", Puno, Peru"," ","+"),"&amp;","y"),"#","")),"Ver en mapa")</f>
        <v>Ver en mapa</v>
      </c>
      <c r="Y180" s="72"/>
      <c r="Z180" s="57"/>
      <c r="AA180" s="72"/>
      <c r="AB180" s="59"/>
      <c r="AC180" s="59"/>
      <c r="AD180" s="72"/>
      <c r="AE180" s="72"/>
      <c r="AF180" s="72"/>
      <c r="AG180" s="72"/>
      <c r="AH180" s="62" t="s">
        <v>2494</v>
      </c>
      <c r="AI180" s="72"/>
      <c r="AJ180" s="63" t="s">
        <v>2884</v>
      </c>
      <c r="AK180" s="81" t="n">
        <f aca="false">IF(AND(ISNUMBER(U180),ISNUMBER(V180),ISNUMBER(14_Cercania!$C$13),ISNUMBER(14_Cercania!$C$14)),6371*2*ASIN(SQRT(SIN(RADIANS(14_Cercania!$C$13-U180)/2)^2+COS(RADIANS(U180))*COS(RADIANS(14_Cercania!$C$13))*SIN(RADIANS(14_Cercania!$C$14-V180)/2)^2))+ROW()*0.000000001,"")</f>
        <v>1.48433734352508</v>
      </c>
    </row>
    <row r="181" customFormat="false" ht="23.85" hidden="false" customHeight="false" outlineLevel="0" collapsed="false">
      <c r="A181" s="55" t="n">
        <v>179</v>
      </c>
      <c r="B181" s="56" t="s">
        <v>2959</v>
      </c>
      <c r="C181" s="55" t="s">
        <v>203</v>
      </c>
      <c r="D181" s="56" t="s">
        <v>197</v>
      </c>
      <c r="E181" s="71"/>
      <c r="F181" s="57"/>
      <c r="G181" s="57"/>
      <c r="H181" s="72"/>
      <c r="I181" s="72"/>
      <c r="J181" s="72"/>
      <c r="K181" s="72"/>
      <c r="L181" s="72"/>
      <c r="M181" s="57"/>
      <c r="N181" s="57"/>
      <c r="O181" s="55" t="s">
        <v>197</v>
      </c>
      <c r="P181" s="73"/>
      <c r="Q181" s="73" t="s">
        <v>2490</v>
      </c>
      <c r="R181" s="55" t="s">
        <v>2491</v>
      </c>
      <c r="S181" s="55" t="s">
        <v>2491</v>
      </c>
      <c r="T181" s="55" t="s">
        <v>2491</v>
      </c>
      <c r="U181" s="74" t="n">
        <v>-15.8432841</v>
      </c>
      <c r="V181" s="74" t="n">
        <v>-70.0275794</v>
      </c>
      <c r="W181" s="75" t="s">
        <v>2492</v>
      </c>
      <c r="X181" s="76" t="str">
        <f aca="false">HYPERLINK(IF(AND(ISNUMBER(U181),ISNUMBER(V181)),"https://www.google.com/maps/search/?api=1&amp;query="&amp;U181&amp;","&amp;V181,"https://www.google.com/maps/search/?api=1&amp;query="&amp;SUBSTITUTE(SUBSTITUTE(SUBSTITUTE(B181&amp;", "&amp;M181&amp;", Puno, Peru"," ","+"),"&amp;","y"),"#","")),"Ver en mapa")</f>
        <v>Ver en mapa</v>
      </c>
      <c r="Y181" s="72"/>
      <c r="Z181" s="57"/>
      <c r="AA181" s="72"/>
      <c r="AB181" s="59"/>
      <c r="AC181" s="59"/>
      <c r="AD181" s="72"/>
      <c r="AE181" s="72"/>
      <c r="AF181" s="72"/>
      <c r="AG181" s="72"/>
      <c r="AH181" s="55" t="s">
        <v>2494</v>
      </c>
      <c r="AI181" s="72"/>
      <c r="AJ181" s="56" t="s">
        <v>2884</v>
      </c>
      <c r="AK181" s="77" t="n">
        <f aca="false">IF(AND(ISNUMBER(U181),ISNUMBER(V181),ISNUMBER(14_Cercania!$C$13),ISNUMBER(14_Cercania!$C$14)),6371*2*ASIN(SQRT(SIN(RADIANS(14_Cercania!$C$13-U181)/2)^2+COS(RADIANS(U181))*COS(RADIANS(14_Cercania!$C$13))*SIN(RADIANS(14_Cercania!$C$14-V181)/2)^2))+ROW()*0.000000001,"")</f>
        <v>1.17855096676091</v>
      </c>
    </row>
    <row r="182" customFormat="false" ht="23.85" hidden="false" customHeight="false" outlineLevel="0" collapsed="false">
      <c r="A182" s="62" t="n">
        <v>180</v>
      </c>
      <c r="B182" s="63" t="s">
        <v>2960</v>
      </c>
      <c r="C182" s="62" t="s">
        <v>167</v>
      </c>
      <c r="D182" s="63" t="s">
        <v>1083</v>
      </c>
      <c r="E182" s="71"/>
      <c r="F182" s="57"/>
      <c r="G182" s="57"/>
      <c r="H182" s="72"/>
      <c r="I182" s="72"/>
      <c r="J182" s="72"/>
      <c r="K182" s="72"/>
      <c r="L182" s="72"/>
      <c r="M182" s="57"/>
      <c r="N182" s="57"/>
      <c r="O182" s="62" t="s">
        <v>197</v>
      </c>
      <c r="P182" s="78"/>
      <c r="Q182" s="78" t="s">
        <v>2490</v>
      </c>
      <c r="R182" s="62" t="s">
        <v>2491</v>
      </c>
      <c r="S182" s="62" t="s">
        <v>2491</v>
      </c>
      <c r="T182" s="62" t="s">
        <v>2491</v>
      </c>
      <c r="U182" s="79" t="n">
        <v>-15.8405626</v>
      </c>
      <c r="V182" s="79" t="n">
        <v>-70.0268615</v>
      </c>
      <c r="W182" s="75" t="s">
        <v>2492</v>
      </c>
      <c r="X182" s="80" t="str">
        <f aca="false">HYPERLINK(IF(AND(ISNUMBER(U182),ISNUMBER(V182)),"https://www.google.com/maps/search/?api=1&amp;query="&amp;U182&amp;","&amp;V182,"https://www.google.com/maps/search/?api=1&amp;query="&amp;SUBSTITUTE(SUBSTITUTE(SUBSTITUTE(B182&amp;", "&amp;M182&amp;", Puno, Peru"," ","+"),"&amp;","y"),"#","")),"Ver en mapa")</f>
        <v>Ver en mapa</v>
      </c>
      <c r="Y182" s="72"/>
      <c r="Z182" s="57"/>
      <c r="AA182" s="72"/>
      <c r="AB182" s="59"/>
      <c r="AC182" s="59"/>
      <c r="AD182" s="72"/>
      <c r="AE182" s="72"/>
      <c r="AF182" s="72"/>
      <c r="AG182" s="72"/>
      <c r="AH182" s="62" t="s">
        <v>2494</v>
      </c>
      <c r="AI182" s="72"/>
      <c r="AJ182" s="63" t="s">
        <v>2884</v>
      </c>
      <c r="AK182" s="81" t="n">
        <f aca="false">IF(AND(ISNUMBER(U182),ISNUMBER(V182),ISNUMBER(14_Cercania!$C$13),ISNUMBER(14_Cercania!$C$14)),6371*2*ASIN(SQRT(SIN(RADIANS(14_Cercania!$C$13-U182)/2)^2+COS(RADIANS(U182))*COS(RADIANS(14_Cercania!$C$13))*SIN(RADIANS(14_Cercania!$C$14-V182)/2)^2))+ROW()*0.000000001,"")</f>
        <v>0.870300072734748</v>
      </c>
    </row>
    <row r="183" customFormat="false" ht="23.85" hidden="false" customHeight="false" outlineLevel="0" collapsed="false">
      <c r="A183" s="55" t="n">
        <v>181</v>
      </c>
      <c r="B183" s="56" t="s">
        <v>2961</v>
      </c>
      <c r="C183" s="55" t="s">
        <v>174</v>
      </c>
      <c r="D183" s="56" t="s">
        <v>174</v>
      </c>
      <c r="E183" s="71"/>
      <c r="F183" s="57"/>
      <c r="G183" s="57"/>
      <c r="H183" s="72"/>
      <c r="I183" s="72"/>
      <c r="J183" s="72"/>
      <c r="K183" s="72"/>
      <c r="L183" s="72"/>
      <c r="M183" s="57"/>
      <c r="N183" s="57"/>
      <c r="O183" s="55" t="s">
        <v>197</v>
      </c>
      <c r="P183" s="73"/>
      <c r="Q183" s="73" t="s">
        <v>2490</v>
      </c>
      <c r="R183" s="55" t="s">
        <v>2491</v>
      </c>
      <c r="S183" s="55" t="s">
        <v>2491</v>
      </c>
      <c r="T183" s="55" t="s">
        <v>2491</v>
      </c>
      <c r="U183" s="74" t="n">
        <v>-15.8462701</v>
      </c>
      <c r="V183" s="74" t="n">
        <v>-70.0220476</v>
      </c>
      <c r="W183" s="75" t="s">
        <v>2492</v>
      </c>
      <c r="X183" s="76" t="str">
        <f aca="false">HYPERLINK(IF(AND(ISNUMBER(U183),ISNUMBER(V183)),"https://www.google.com/maps/search/?api=1&amp;query="&amp;U183&amp;","&amp;V183,"https://www.google.com/maps/search/?api=1&amp;query="&amp;SUBSTITUTE(SUBSTITUTE(SUBSTITUTE(B183&amp;", "&amp;M183&amp;", Puno, Peru"," ","+"),"&amp;","y"),"#","")),"Ver en mapa")</f>
        <v>Ver en mapa</v>
      </c>
      <c r="Y183" s="72"/>
      <c r="Z183" s="57"/>
      <c r="AA183" s="72"/>
      <c r="AB183" s="59"/>
      <c r="AC183" s="59"/>
      <c r="AD183" s="72"/>
      <c r="AE183" s="72"/>
      <c r="AF183" s="72"/>
      <c r="AG183" s="72"/>
      <c r="AH183" s="55" t="s">
        <v>2494</v>
      </c>
      <c r="AI183" s="72"/>
      <c r="AJ183" s="56" t="s">
        <v>2884</v>
      </c>
      <c r="AK183" s="77" t="n">
        <f aca="false">IF(AND(ISNUMBER(U183),ISNUMBER(V183),ISNUMBER(14_Cercania!$C$13),ISNUMBER(14_Cercania!$C$14)),6371*2*ASIN(SQRT(SIN(RADIANS(14_Cercania!$C$13-U183)/2)^2+COS(RADIANS(U183))*COS(RADIANS(14_Cercania!$C$13))*SIN(RADIANS(14_Cercania!$C$14-V183)/2)^2))+ROW()*0.000000001,"")</f>
        <v>1.43192702500521</v>
      </c>
    </row>
    <row r="184" customFormat="false" ht="23.85" hidden="false" customHeight="false" outlineLevel="0" collapsed="false">
      <c r="A184" s="62" t="n">
        <v>182</v>
      </c>
      <c r="B184" s="63" t="s">
        <v>2962</v>
      </c>
      <c r="C184" s="62" t="s">
        <v>180</v>
      </c>
      <c r="D184" s="63" t="s">
        <v>2757</v>
      </c>
      <c r="E184" s="71"/>
      <c r="F184" s="57"/>
      <c r="G184" s="57"/>
      <c r="H184" s="72"/>
      <c r="I184" s="72"/>
      <c r="J184" s="72"/>
      <c r="K184" s="72"/>
      <c r="L184" s="72"/>
      <c r="M184" s="57"/>
      <c r="N184" s="57"/>
      <c r="O184" s="62" t="s">
        <v>197</v>
      </c>
      <c r="P184" s="78"/>
      <c r="Q184" s="78" t="s">
        <v>2490</v>
      </c>
      <c r="R184" s="62" t="s">
        <v>2491</v>
      </c>
      <c r="S184" s="62" t="s">
        <v>2491</v>
      </c>
      <c r="T184" s="62" t="s">
        <v>2491</v>
      </c>
      <c r="U184" s="79" t="n">
        <v>-15.839984</v>
      </c>
      <c r="V184" s="79" t="n">
        <v>-70.0273276</v>
      </c>
      <c r="W184" s="75" t="s">
        <v>2492</v>
      </c>
      <c r="X184" s="80" t="str">
        <f aca="false">HYPERLINK(IF(AND(ISNUMBER(U184),ISNUMBER(V184)),"https://www.google.com/maps/search/?api=1&amp;query="&amp;U184&amp;","&amp;V184,"https://www.google.com/maps/search/?api=1&amp;query="&amp;SUBSTITUTE(SUBSTITUTE(SUBSTITUTE(B184&amp;", "&amp;M184&amp;", Puno, Peru"," ","+"),"&amp;","y"),"#","")),"Ver en mapa")</f>
        <v>Ver en mapa</v>
      </c>
      <c r="Y184" s="72"/>
      <c r="Z184" s="57"/>
      <c r="AA184" s="72"/>
      <c r="AB184" s="59"/>
      <c r="AC184" s="59"/>
      <c r="AD184" s="72"/>
      <c r="AE184" s="72"/>
      <c r="AF184" s="72"/>
      <c r="AG184" s="72"/>
      <c r="AH184" s="62" t="s">
        <v>2494</v>
      </c>
      <c r="AI184" s="72"/>
      <c r="AJ184" s="63" t="s">
        <v>2884</v>
      </c>
      <c r="AK184" s="81" t="n">
        <f aca="false">IF(AND(ISNUMBER(U184),ISNUMBER(V184),ISNUMBER(14_Cercania!$C$13),ISNUMBER(14_Cercania!$C$14)),6371*2*ASIN(SQRT(SIN(RADIANS(14_Cercania!$C$13-U184)/2)^2+COS(RADIANS(U184))*COS(RADIANS(14_Cercania!$C$13))*SIN(RADIANS(14_Cercania!$C$14-V184)/2)^2))+ROW()*0.000000001,"")</f>
        <v>0.836043529140156</v>
      </c>
    </row>
    <row r="185" customFormat="false" ht="23.85" hidden="false" customHeight="false" outlineLevel="0" collapsed="false">
      <c r="A185" s="55" t="n">
        <v>183</v>
      </c>
      <c r="B185" s="56" t="s">
        <v>2963</v>
      </c>
      <c r="C185" s="55" t="s">
        <v>203</v>
      </c>
      <c r="D185" s="56" t="s">
        <v>197</v>
      </c>
      <c r="E185" s="71"/>
      <c r="F185" s="57"/>
      <c r="G185" s="57"/>
      <c r="H185" s="72"/>
      <c r="I185" s="72"/>
      <c r="J185" s="72"/>
      <c r="K185" s="72"/>
      <c r="L185" s="72"/>
      <c r="M185" s="57"/>
      <c r="N185" s="57"/>
      <c r="O185" s="55" t="s">
        <v>197</v>
      </c>
      <c r="P185" s="73"/>
      <c r="Q185" s="73" t="s">
        <v>2490</v>
      </c>
      <c r="R185" s="55" t="s">
        <v>2491</v>
      </c>
      <c r="S185" s="55" t="s">
        <v>2491</v>
      </c>
      <c r="T185" s="55" t="s">
        <v>2491</v>
      </c>
      <c r="U185" s="74" t="n">
        <v>-15.8382318</v>
      </c>
      <c r="V185" s="74" t="n">
        <v>-70.0285815</v>
      </c>
      <c r="W185" s="75" t="s">
        <v>2492</v>
      </c>
      <c r="X185" s="76" t="str">
        <f aca="false">HYPERLINK(IF(AND(ISNUMBER(U185),ISNUMBER(V185)),"https://www.google.com/maps/search/?api=1&amp;query="&amp;U185&amp;","&amp;V185,"https://www.google.com/maps/search/?api=1&amp;query="&amp;SUBSTITUTE(SUBSTITUTE(SUBSTITUTE(B185&amp;", "&amp;M185&amp;", Puno, Peru"," ","+"),"&amp;","y"),"#","")),"Ver en mapa")</f>
        <v>Ver en mapa</v>
      </c>
      <c r="Y185" s="72"/>
      <c r="Z185" s="57"/>
      <c r="AA185" s="72"/>
      <c r="AB185" s="59"/>
      <c r="AC185" s="59"/>
      <c r="AD185" s="72"/>
      <c r="AE185" s="72"/>
      <c r="AF185" s="72"/>
      <c r="AG185" s="72"/>
      <c r="AH185" s="55" t="s">
        <v>2494</v>
      </c>
      <c r="AI185" s="72"/>
      <c r="AJ185" s="56" t="s">
        <v>2884</v>
      </c>
      <c r="AK185" s="77" t="n">
        <f aca="false">IF(AND(ISNUMBER(U185),ISNUMBER(V185),ISNUMBER(14_Cercania!$C$13),ISNUMBER(14_Cercania!$C$14)),6371*2*ASIN(SQRT(SIN(RADIANS(14_Cercania!$C$13-U185)/2)^2+COS(RADIANS(U185))*COS(RADIANS(14_Cercania!$C$13))*SIN(RADIANS(14_Cercania!$C$14-V185)/2)^2))+ROW()*0.000000001,"")</f>
        <v>0.764161011716378</v>
      </c>
    </row>
    <row r="186" customFormat="false" ht="23.85" hidden="false" customHeight="false" outlineLevel="0" collapsed="false">
      <c r="A186" s="62" t="n">
        <v>184</v>
      </c>
      <c r="B186" s="63" t="s">
        <v>2964</v>
      </c>
      <c r="C186" s="62" t="s">
        <v>203</v>
      </c>
      <c r="D186" s="63" t="s">
        <v>197</v>
      </c>
      <c r="E186" s="71"/>
      <c r="F186" s="57"/>
      <c r="G186" s="57"/>
      <c r="H186" s="72"/>
      <c r="I186" s="72"/>
      <c r="J186" s="72"/>
      <c r="K186" s="72"/>
      <c r="L186" s="72"/>
      <c r="M186" s="57"/>
      <c r="N186" s="57"/>
      <c r="O186" s="62" t="s">
        <v>197</v>
      </c>
      <c r="P186" s="78"/>
      <c r="Q186" s="78" t="s">
        <v>2490</v>
      </c>
      <c r="R186" s="62" t="s">
        <v>2491</v>
      </c>
      <c r="S186" s="62" t="s">
        <v>2491</v>
      </c>
      <c r="T186" s="62" t="s">
        <v>2491</v>
      </c>
      <c r="U186" s="79" t="n">
        <v>-15.8395239</v>
      </c>
      <c r="V186" s="79" t="n">
        <v>-70.026555</v>
      </c>
      <c r="W186" s="75" t="s">
        <v>2492</v>
      </c>
      <c r="X186" s="80" t="str">
        <f aca="false">HYPERLINK(IF(AND(ISNUMBER(U186),ISNUMBER(V186)),"https://www.google.com/maps/search/?api=1&amp;query="&amp;U186&amp;","&amp;V186,"https://www.google.com/maps/search/?api=1&amp;query="&amp;SUBSTITUTE(SUBSTITUTE(SUBSTITUTE(B186&amp;", "&amp;M186&amp;", Puno, Peru"," ","+"),"&amp;","y"),"#","")),"Ver en mapa")</f>
        <v>Ver en mapa</v>
      </c>
      <c r="Y186" s="72"/>
      <c r="Z186" s="57"/>
      <c r="AA186" s="72"/>
      <c r="AB186" s="59"/>
      <c r="AC186" s="59"/>
      <c r="AD186" s="72"/>
      <c r="AE186" s="72"/>
      <c r="AF186" s="72"/>
      <c r="AG186" s="72"/>
      <c r="AH186" s="62" t="s">
        <v>2494</v>
      </c>
      <c r="AI186" s="72"/>
      <c r="AJ186" s="63" t="s">
        <v>2884</v>
      </c>
      <c r="AK186" s="81" t="n">
        <f aca="false">IF(AND(ISNUMBER(U186),ISNUMBER(V186),ISNUMBER(14_Cercania!$C$13),ISNUMBER(14_Cercania!$C$14)),6371*2*ASIN(SQRT(SIN(RADIANS(14_Cercania!$C$13-U186)/2)^2+COS(RADIANS(U186))*COS(RADIANS(14_Cercania!$C$13))*SIN(RADIANS(14_Cercania!$C$14-V186)/2)^2))+ROW()*0.000000001,"")</f>
        <v>0.75196342384101</v>
      </c>
    </row>
    <row r="187" customFormat="false" ht="23.85" hidden="false" customHeight="false" outlineLevel="0" collapsed="false">
      <c r="A187" s="55" t="n">
        <v>185</v>
      </c>
      <c r="B187" s="56" t="s">
        <v>2965</v>
      </c>
      <c r="C187" s="55" t="s">
        <v>203</v>
      </c>
      <c r="D187" s="56" t="s">
        <v>2596</v>
      </c>
      <c r="E187" s="71"/>
      <c r="F187" s="57"/>
      <c r="G187" s="57"/>
      <c r="H187" s="72"/>
      <c r="I187" s="72"/>
      <c r="J187" s="72"/>
      <c r="K187" s="72"/>
      <c r="L187" s="72"/>
      <c r="M187" s="57"/>
      <c r="N187" s="57"/>
      <c r="O187" s="55" t="s">
        <v>197</v>
      </c>
      <c r="P187" s="73"/>
      <c r="Q187" s="73" t="s">
        <v>2490</v>
      </c>
      <c r="R187" s="55" t="s">
        <v>2491</v>
      </c>
      <c r="S187" s="55" t="s">
        <v>2491</v>
      </c>
      <c r="T187" s="55" t="s">
        <v>2491</v>
      </c>
      <c r="U187" s="74" t="n">
        <v>-15.8400733</v>
      </c>
      <c r="V187" s="74" t="n">
        <v>-70.0275146</v>
      </c>
      <c r="W187" s="75" t="s">
        <v>2492</v>
      </c>
      <c r="X187" s="76" t="str">
        <f aca="false">HYPERLINK(IF(AND(ISNUMBER(U187),ISNUMBER(V187)),"https://www.google.com/maps/search/?api=1&amp;query="&amp;U187&amp;","&amp;V187,"https://www.google.com/maps/search/?api=1&amp;query="&amp;SUBSTITUTE(SUBSTITUTE(SUBSTITUTE(B187&amp;", "&amp;M187&amp;", Puno, Peru"," ","+"),"&amp;","y"),"#","")),"Ver en mapa")</f>
        <v>Ver en mapa</v>
      </c>
      <c r="Y187" s="72"/>
      <c r="Z187" s="57"/>
      <c r="AA187" s="72"/>
      <c r="AB187" s="59"/>
      <c r="AC187" s="59"/>
      <c r="AD187" s="72"/>
      <c r="AE187" s="72"/>
      <c r="AF187" s="72"/>
      <c r="AG187" s="72"/>
      <c r="AH187" s="55" t="s">
        <v>2494</v>
      </c>
      <c r="AI187" s="72"/>
      <c r="AJ187" s="56" t="s">
        <v>2884</v>
      </c>
      <c r="AK187" s="77" t="n">
        <f aca="false">IF(AND(ISNUMBER(U187),ISNUMBER(V187),ISNUMBER(14_Cercania!$C$13),ISNUMBER(14_Cercania!$C$14)),6371*2*ASIN(SQRT(SIN(RADIANS(14_Cercania!$C$13-U187)/2)^2+COS(RADIANS(U187))*COS(RADIANS(14_Cercania!$C$13))*SIN(RADIANS(14_Cercania!$C$14-V187)/2)^2))+ROW()*0.000000001,"")</f>
        <v>0.854700731879191</v>
      </c>
    </row>
    <row r="188" customFormat="false" ht="23.85" hidden="false" customHeight="false" outlineLevel="0" collapsed="false">
      <c r="A188" s="62" t="n">
        <v>186</v>
      </c>
      <c r="B188" s="63" t="s">
        <v>2966</v>
      </c>
      <c r="C188" s="62" t="s">
        <v>180</v>
      </c>
      <c r="D188" s="63" t="s">
        <v>2757</v>
      </c>
      <c r="E188" s="71"/>
      <c r="F188" s="57"/>
      <c r="G188" s="57"/>
      <c r="H188" s="72"/>
      <c r="I188" s="72"/>
      <c r="J188" s="72"/>
      <c r="K188" s="72"/>
      <c r="L188" s="72"/>
      <c r="M188" s="57"/>
      <c r="N188" s="57"/>
      <c r="O188" s="62" t="s">
        <v>197</v>
      </c>
      <c r="P188" s="78"/>
      <c r="Q188" s="78" t="s">
        <v>2490</v>
      </c>
      <c r="R188" s="62" t="s">
        <v>2491</v>
      </c>
      <c r="S188" s="62" t="s">
        <v>2491</v>
      </c>
      <c r="T188" s="62" t="s">
        <v>2491</v>
      </c>
      <c r="U188" s="79" t="n">
        <v>-15.8385805</v>
      </c>
      <c r="V188" s="79" t="n">
        <v>-70.0261259</v>
      </c>
      <c r="W188" s="75" t="s">
        <v>2492</v>
      </c>
      <c r="X188" s="80" t="str">
        <f aca="false">HYPERLINK(IF(AND(ISNUMBER(U188),ISNUMBER(V188)),"https://www.google.com/maps/search/?api=1&amp;query="&amp;U188&amp;","&amp;V188,"https://www.google.com/maps/search/?api=1&amp;query="&amp;SUBSTITUTE(SUBSTITUTE(SUBSTITUTE(B188&amp;", "&amp;M188&amp;", Puno, Peru"," ","+"),"&amp;","y"),"#","")),"Ver en mapa")</f>
        <v>Ver en mapa</v>
      </c>
      <c r="Y188" s="72"/>
      <c r="Z188" s="57"/>
      <c r="AA188" s="72"/>
      <c r="AB188" s="59"/>
      <c r="AC188" s="59"/>
      <c r="AD188" s="72"/>
      <c r="AE188" s="72"/>
      <c r="AF188" s="72"/>
      <c r="AG188" s="72"/>
      <c r="AH188" s="62" t="s">
        <v>2494</v>
      </c>
      <c r="AI188" s="72"/>
      <c r="AJ188" s="63" t="s">
        <v>2884</v>
      </c>
      <c r="AK188" s="81" t="n">
        <f aca="false">IF(AND(ISNUMBER(U188),ISNUMBER(V188),ISNUMBER(14_Cercania!$C$13),ISNUMBER(14_Cercania!$C$14)),6371*2*ASIN(SQRT(SIN(RADIANS(14_Cercania!$C$13-U188)/2)^2+COS(RADIANS(U188))*COS(RADIANS(14_Cercania!$C$13))*SIN(RADIANS(14_Cercania!$C$14-V188)/2)^2))+ROW()*0.000000001,"")</f>
        <v>0.637607007077549</v>
      </c>
    </row>
    <row r="189" customFormat="false" ht="23.85" hidden="false" customHeight="false" outlineLevel="0" collapsed="false">
      <c r="A189" s="55" t="n">
        <v>187</v>
      </c>
      <c r="B189" s="56" t="s">
        <v>2967</v>
      </c>
      <c r="C189" s="55" t="s">
        <v>203</v>
      </c>
      <c r="D189" s="56" t="s">
        <v>197</v>
      </c>
      <c r="E189" s="71"/>
      <c r="F189" s="57"/>
      <c r="G189" s="57"/>
      <c r="H189" s="72"/>
      <c r="I189" s="72"/>
      <c r="J189" s="72"/>
      <c r="K189" s="72"/>
      <c r="L189" s="72"/>
      <c r="M189" s="57"/>
      <c r="N189" s="57"/>
      <c r="O189" s="55" t="s">
        <v>197</v>
      </c>
      <c r="P189" s="73"/>
      <c r="Q189" s="73" t="s">
        <v>2490</v>
      </c>
      <c r="R189" s="55" t="s">
        <v>2491</v>
      </c>
      <c r="S189" s="55" t="s">
        <v>2491</v>
      </c>
      <c r="T189" s="55" t="s">
        <v>2491</v>
      </c>
      <c r="U189" s="74" t="n">
        <v>-15.8305833</v>
      </c>
      <c r="V189" s="74" t="n">
        <v>-70.0186221</v>
      </c>
      <c r="W189" s="75" t="s">
        <v>2492</v>
      </c>
      <c r="X189" s="76" t="str">
        <f aca="false">HYPERLINK(IF(AND(ISNUMBER(U189),ISNUMBER(V189)),"https://www.google.com/maps/search/?api=1&amp;query="&amp;U189&amp;","&amp;V189,"https://www.google.com/maps/search/?api=1&amp;query="&amp;SUBSTITUTE(SUBSTITUTE(SUBSTITUTE(B189&amp;", "&amp;M189&amp;", Puno, Peru"," ","+"),"&amp;","y"),"#","")),"Ver en mapa")</f>
        <v>Ver en mapa</v>
      </c>
      <c r="Y189" s="72"/>
      <c r="Z189" s="57"/>
      <c r="AA189" s="72"/>
      <c r="AB189" s="59"/>
      <c r="AC189" s="59"/>
      <c r="AD189" s="72"/>
      <c r="AE189" s="72"/>
      <c r="AF189" s="72"/>
      <c r="AG189" s="72"/>
      <c r="AH189" s="55" t="s">
        <v>2494</v>
      </c>
      <c r="AI189" s="72"/>
      <c r="AJ189" s="56" t="s">
        <v>2884</v>
      </c>
      <c r="AK189" s="77" t="n">
        <f aca="false">IF(AND(ISNUMBER(U189),ISNUMBER(V189),ISNUMBER(14_Cercania!$C$13),ISNUMBER(14_Cercania!$C$14)),6371*2*ASIN(SQRT(SIN(RADIANS(14_Cercania!$C$13-U189)/2)^2+COS(RADIANS(U189))*COS(RADIANS(14_Cercania!$C$13))*SIN(RADIANS(14_Cercania!$C$14-V189)/2)^2))+ROW()*0.000000001,"")</f>
        <v>0.606608616803513</v>
      </c>
    </row>
    <row r="190" customFormat="false" ht="23.85" hidden="false" customHeight="false" outlineLevel="0" collapsed="false">
      <c r="A190" s="62" t="n">
        <v>188</v>
      </c>
      <c r="B190" s="63" t="s">
        <v>2968</v>
      </c>
      <c r="C190" s="62" t="s">
        <v>203</v>
      </c>
      <c r="D190" s="63" t="s">
        <v>197</v>
      </c>
      <c r="E190" s="71"/>
      <c r="F190" s="57"/>
      <c r="G190" s="57"/>
      <c r="H190" s="72"/>
      <c r="I190" s="72"/>
      <c r="J190" s="72"/>
      <c r="K190" s="72"/>
      <c r="L190" s="72"/>
      <c r="M190" s="57"/>
      <c r="N190" s="57"/>
      <c r="O190" s="62" t="s">
        <v>197</v>
      </c>
      <c r="P190" s="78"/>
      <c r="Q190" s="78" t="s">
        <v>2490</v>
      </c>
      <c r="R190" s="62" t="s">
        <v>2491</v>
      </c>
      <c r="S190" s="62" t="s">
        <v>2491</v>
      </c>
      <c r="T190" s="62" t="s">
        <v>2491</v>
      </c>
      <c r="U190" s="79" t="n">
        <v>-15.8394425</v>
      </c>
      <c r="V190" s="79" t="n">
        <v>-70.0276212</v>
      </c>
      <c r="W190" s="75" t="s">
        <v>2492</v>
      </c>
      <c r="X190" s="80" t="str">
        <f aca="false">HYPERLINK(IF(AND(ISNUMBER(U190),ISNUMBER(V190)),"https://www.google.com/maps/search/?api=1&amp;query="&amp;U190&amp;","&amp;V190,"https://www.google.com/maps/search/?api=1&amp;query="&amp;SUBSTITUTE(SUBSTITUTE(SUBSTITUTE(B190&amp;", "&amp;M190&amp;", Puno, Peru"," ","+"),"&amp;","y"),"#","")),"Ver en mapa")</f>
        <v>Ver en mapa</v>
      </c>
      <c r="Y190" s="72"/>
      <c r="Z190" s="57"/>
      <c r="AA190" s="72"/>
      <c r="AB190" s="59"/>
      <c r="AC190" s="59"/>
      <c r="AD190" s="72"/>
      <c r="AE190" s="72"/>
      <c r="AF190" s="72"/>
      <c r="AG190" s="72"/>
      <c r="AH190" s="62" t="s">
        <v>2494</v>
      </c>
      <c r="AI190" s="72"/>
      <c r="AJ190" s="63" t="s">
        <v>2884</v>
      </c>
      <c r="AK190" s="81" t="n">
        <f aca="false">IF(AND(ISNUMBER(U190),ISNUMBER(V190),ISNUMBER(14_Cercania!$C$13),ISNUMBER(14_Cercania!$C$14)),6371*2*ASIN(SQRT(SIN(RADIANS(14_Cercania!$C$13-U190)/2)^2+COS(RADIANS(U190))*COS(RADIANS(14_Cercania!$C$13))*SIN(RADIANS(14_Cercania!$C$14-V190)/2)^2))+ROW()*0.000000001,"")</f>
        <v>0.80148781828127</v>
      </c>
    </row>
    <row r="191" customFormat="false" ht="23.85" hidden="false" customHeight="false" outlineLevel="0" collapsed="false">
      <c r="A191" s="55" t="n">
        <v>189</v>
      </c>
      <c r="B191" s="56" t="s">
        <v>2969</v>
      </c>
      <c r="C191" s="55" t="s">
        <v>203</v>
      </c>
      <c r="D191" s="56" t="s">
        <v>197</v>
      </c>
      <c r="E191" s="71"/>
      <c r="F191" s="57"/>
      <c r="G191" s="57"/>
      <c r="H191" s="72"/>
      <c r="I191" s="72"/>
      <c r="J191" s="72"/>
      <c r="K191" s="72"/>
      <c r="L191" s="72"/>
      <c r="M191" s="57"/>
      <c r="N191" s="57"/>
      <c r="O191" s="55" t="s">
        <v>197</v>
      </c>
      <c r="P191" s="73"/>
      <c r="Q191" s="73" t="s">
        <v>2490</v>
      </c>
      <c r="R191" s="55" t="s">
        <v>2491</v>
      </c>
      <c r="S191" s="55" t="s">
        <v>2491</v>
      </c>
      <c r="T191" s="55" t="s">
        <v>2491</v>
      </c>
      <c r="U191" s="74" t="n">
        <v>-15.8361493</v>
      </c>
      <c r="V191" s="74" t="n">
        <v>-70.0233894</v>
      </c>
      <c r="W191" s="75" t="s">
        <v>2492</v>
      </c>
      <c r="X191" s="76" t="str">
        <f aca="false">HYPERLINK(IF(AND(ISNUMBER(U191),ISNUMBER(V191)),"https://www.google.com/maps/search/?api=1&amp;query="&amp;U191&amp;","&amp;V191,"https://www.google.com/maps/search/?api=1&amp;query="&amp;SUBSTITUTE(SUBSTITUTE(SUBSTITUTE(B191&amp;", "&amp;M191&amp;", Puno, Peru"," ","+"),"&amp;","y"),"#","")),"Ver en mapa")</f>
        <v>Ver en mapa</v>
      </c>
      <c r="Y191" s="72"/>
      <c r="Z191" s="57"/>
      <c r="AA191" s="72"/>
      <c r="AB191" s="59"/>
      <c r="AC191" s="59"/>
      <c r="AD191" s="72"/>
      <c r="AE191" s="72"/>
      <c r="AF191" s="72"/>
      <c r="AG191" s="72"/>
      <c r="AH191" s="55" t="s">
        <v>2494</v>
      </c>
      <c r="AI191" s="72"/>
      <c r="AJ191" s="56" t="s">
        <v>2884</v>
      </c>
      <c r="AK191" s="77" t="n">
        <f aca="false">IF(AND(ISNUMBER(U191),ISNUMBER(V191),ISNUMBER(14_Cercania!$C$13),ISNUMBER(14_Cercania!$C$14)),6371*2*ASIN(SQRT(SIN(RADIANS(14_Cercania!$C$13-U191)/2)^2+COS(RADIANS(U191))*COS(RADIANS(14_Cercania!$C$13))*SIN(RADIANS(14_Cercania!$C$14-V191)/2)^2))+ROW()*0.000000001,"")</f>
        <v>0.29883861862802</v>
      </c>
    </row>
    <row r="192" customFormat="false" ht="15" hidden="false" customHeight="false" outlineLevel="0" collapsed="false">
      <c r="A192" s="62" t="n">
        <v>190</v>
      </c>
      <c r="B192" s="63"/>
      <c r="C192" s="62"/>
      <c r="D192" s="63"/>
      <c r="E192" s="71"/>
      <c r="F192" s="57"/>
      <c r="G192" s="57"/>
      <c r="H192" s="72"/>
      <c r="I192" s="72"/>
      <c r="J192" s="72"/>
      <c r="K192" s="72"/>
      <c r="L192" s="72"/>
      <c r="M192" s="57"/>
      <c r="N192" s="57"/>
      <c r="O192" s="62"/>
      <c r="P192" s="78"/>
      <c r="Q192" s="78" t="s">
        <v>2490</v>
      </c>
      <c r="R192" s="62" t="s">
        <v>2491</v>
      </c>
      <c r="S192" s="62" t="s">
        <v>2491</v>
      </c>
      <c r="T192" s="62" t="s">
        <v>2491</v>
      </c>
      <c r="U192" s="83"/>
      <c r="V192" s="83"/>
      <c r="W192" s="57" t="s">
        <v>2538</v>
      </c>
      <c r="X192" s="80" t="str">
        <f aca="false">HYPERLINK(IF(AND(ISNUMBER(U192),ISNUMBER(V192)),"https://www.google.com/maps/search/?api=1&amp;query="&amp;U192&amp;","&amp;V192,"https://www.google.com/maps/search/?api=1&amp;query="&amp;SUBSTITUTE(SUBSTITUTE(SUBSTITUTE(B192&amp;", "&amp;M192&amp;", Puno, Peru"," ","+"),"&amp;","y"),"#","")),"Ver en mapa")</f>
        <v>Ver en mapa</v>
      </c>
      <c r="Y192" s="72"/>
      <c r="Z192" s="57"/>
      <c r="AA192" s="72"/>
      <c r="AB192" s="59"/>
      <c r="AC192" s="59"/>
      <c r="AD192" s="72"/>
      <c r="AE192" s="72"/>
      <c r="AF192" s="72"/>
      <c r="AG192" s="72"/>
      <c r="AH192" s="62" t="s">
        <v>2494</v>
      </c>
      <c r="AI192" s="72"/>
      <c r="AJ192" s="63" t="s">
        <v>2970</v>
      </c>
      <c r="AK192" s="81" t="str">
        <f aca="false">IF(AND(ISNUMBER(U192),ISNUMBER(V192),ISNUMBER(14_Cercania!$C$13),ISNUMBER(14_Cercania!$C$14)),6371*2*ASIN(SQRT(SIN(RADIANS(14_Cercania!$C$13-U192)/2)^2+COS(RADIANS(U192))*COS(RADIANS(14_Cercania!$C$13))*SIN(RADIANS(14_Cercania!$C$14-V192)/2)^2))+ROW()*0.000000001,"")</f>
        <v/>
      </c>
    </row>
    <row r="193" customFormat="false" ht="15" hidden="false" customHeight="false" outlineLevel="0" collapsed="false">
      <c r="A193" s="55" t="n">
        <v>191</v>
      </c>
      <c r="B193" s="56"/>
      <c r="C193" s="55"/>
      <c r="D193" s="56"/>
      <c r="E193" s="71"/>
      <c r="F193" s="57"/>
      <c r="G193" s="57"/>
      <c r="H193" s="72"/>
      <c r="I193" s="72"/>
      <c r="J193" s="72"/>
      <c r="K193" s="72"/>
      <c r="L193" s="72"/>
      <c r="M193" s="57"/>
      <c r="N193" s="57"/>
      <c r="O193" s="55"/>
      <c r="P193" s="73"/>
      <c r="Q193" s="73" t="s">
        <v>2490</v>
      </c>
      <c r="R193" s="55" t="s">
        <v>2491</v>
      </c>
      <c r="S193" s="55" t="s">
        <v>2491</v>
      </c>
      <c r="T193" s="55" t="s">
        <v>2491</v>
      </c>
      <c r="U193" s="83"/>
      <c r="V193" s="83"/>
      <c r="W193" s="57" t="s">
        <v>2538</v>
      </c>
      <c r="X193" s="76" t="str">
        <f aca="false">HYPERLINK(IF(AND(ISNUMBER(U193),ISNUMBER(V193)),"https://www.google.com/maps/search/?api=1&amp;query="&amp;U193&amp;","&amp;V193,"https://www.google.com/maps/search/?api=1&amp;query="&amp;SUBSTITUTE(SUBSTITUTE(SUBSTITUTE(B193&amp;", "&amp;M193&amp;", Puno, Peru"," ","+"),"&amp;","y"),"#","")),"Ver en mapa")</f>
        <v>Ver en mapa</v>
      </c>
      <c r="Y193" s="72"/>
      <c r="Z193" s="57"/>
      <c r="AA193" s="72"/>
      <c r="AB193" s="59"/>
      <c r="AC193" s="59"/>
      <c r="AD193" s="72"/>
      <c r="AE193" s="72"/>
      <c r="AF193" s="72"/>
      <c r="AG193" s="72"/>
      <c r="AH193" s="55" t="s">
        <v>2494</v>
      </c>
      <c r="AI193" s="72"/>
      <c r="AJ193" s="56" t="s">
        <v>2970</v>
      </c>
      <c r="AK193" s="77" t="str">
        <f aca="false">IF(AND(ISNUMBER(U193),ISNUMBER(V193),ISNUMBER(14_Cercania!$C$13),ISNUMBER(14_Cercania!$C$14)),6371*2*ASIN(SQRT(SIN(RADIANS(14_Cercania!$C$13-U193)/2)^2+COS(RADIANS(U193))*COS(RADIANS(14_Cercania!$C$13))*SIN(RADIANS(14_Cercania!$C$14-V193)/2)^2))+ROW()*0.000000001,"")</f>
        <v/>
      </c>
    </row>
    <row r="194" customFormat="false" ht="15" hidden="false" customHeight="false" outlineLevel="0" collapsed="false">
      <c r="A194" s="62" t="n">
        <v>192</v>
      </c>
      <c r="B194" s="63"/>
      <c r="C194" s="62"/>
      <c r="D194" s="63"/>
      <c r="E194" s="71"/>
      <c r="F194" s="57"/>
      <c r="G194" s="57"/>
      <c r="H194" s="72"/>
      <c r="I194" s="72"/>
      <c r="J194" s="72"/>
      <c r="K194" s="72"/>
      <c r="L194" s="72"/>
      <c r="M194" s="57"/>
      <c r="N194" s="57"/>
      <c r="O194" s="62"/>
      <c r="P194" s="78"/>
      <c r="Q194" s="78" t="s">
        <v>2490</v>
      </c>
      <c r="R194" s="62" t="s">
        <v>2491</v>
      </c>
      <c r="S194" s="62" t="s">
        <v>2491</v>
      </c>
      <c r="T194" s="62" t="s">
        <v>2491</v>
      </c>
      <c r="U194" s="83"/>
      <c r="V194" s="83"/>
      <c r="W194" s="57" t="s">
        <v>2538</v>
      </c>
      <c r="X194" s="80" t="str">
        <f aca="false">HYPERLINK(IF(AND(ISNUMBER(U194),ISNUMBER(V194)),"https://www.google.com/maps/search/?api=1&amp;query="&amp;U194&amp;","&amp;V194,"https://www.google.com/maps/search/?api=1&amp;query="&amp;SUBSTITUTE(SUBSTITUTE(SUBSTITUTE(B194&amp;", "&amp;M194&amp;", Puno, Peru"," ","+"),"&amp;","y"),"#","")),"Ver en mapa")</f>
        <v>Ver en mapa</v>
      </c>
      <c r="Y194" s="72"/>
      <c r="Z194" s="57"/>
      <c r="AA194" s="72"/>
      <c r="AB194" s="59"/>
      <c r="AC194" s="59"/>
      <c r="AD194" s="72"/>
      <c r="AE194" s="72"/>
      <c r="AF194" s="72"/>
      <c r="AG194" s="72"/>
      <c r="AH194" s="62" t="s">
        <v>2494</v>
      </c>
      <c r="AI194" s="72"/>
      <c r="AJ194" s="63" t="s">
        <v>2970</v>
      </c>
      <c r="AK194" s="81" t="str">
        <f aca="false">IF(AND(ISNUMBER(U194),ISNUMBER(V194),ISNUMBER(14_Cercania!$C$13),ISNUMBER(14_Cercania!$C$14)),6371*2*ASIN(SQRT(SIN(RADIANS(14_Cercania!$C$13-U194)/2)^2+COS(RADIANS(U194))*COS(RADIANS(14_Cercania!$C$13))*SIN(RADIANS(14_Cercania!$C$14-V194)/2)^2))+ROW()*0.000000001,"")</f>
        <v/>
      </c>
    </row>
    <row r="195" customFormat="false" ht="15" hidden="false" customHeight="false" outlineLevel="0" collapsed="false">
      <c r="A195" s="55" t="n">
        <v>193</v>
      </c>
      <c r="B195" s="56"/>
      <c r="C195" s="55"/>
      <c r="D195" s="56"/>
      <c r="E195" s="71"/>
      <c r="F195" s="57"/>
      <c r="G195" s="57"/>
      <c r="H195" s="72"/>
      <c r="I195" s="72"/>
      <c r="J195" s="72"/>
      <c r="K195" s="72"/>
      <c r="L195" s="72"/>
      <c r="M195" s="57"/>
      <c r="N195" s="57"/>
      <c r="O195" s="55"/>
      <c r="P195" s="73"/>
      <c r="Q195" s="73" t="s">
        <v>2490</v>
      </c>
      <c r="R195" s="55" t="s">
        <v>2491</v>
      </c>
      <c r="S195" s="55" t="s">
        <v>2491</v>
      </c>
      <c r="T195" s="55" t="s">
        <v>2491</v>
      </c>
      <c r="U195" s="83"/>
      <c r="V195" s="83"/>
      <c r="W195" s="57" t="s">
        <v>2538</v>
      </c>
      <c r="X195" s="76" t="str">
        <f aca="false">HYPERLINK(IF(AND(ISNUMBER(U195),ISNUMBER(V195)),"https://www.google.com/maps/search/?api=1&amp;query="&amp;U195&amp;","&amp;V195,"https://www.google.com/maps/search/?api=1&amp;query="&amp;SUBSTITUTE(SUBSTITUTE(SUBSTITUTE(B195&amp;", "&amp;M195&amp;", Puno, Peru"," ","+"),"&amp;","y"),"#","")),"Ver en mapa")</f>
        <v>Ver en mapa</v>
      </c>
      <c r="Y195" s="72"/>
      <c r="Z195" s="57"/>
      <c r="AA195" s="72"/>
      <c r="AB195" s="59"/>
      <c r="AC195" s="59"/>
      <c r="AD195" s="72"/>
      <c r="AE195" s="72"/>
      <c r="AF195" s="72"/>
      <c r="AG195" s="72"/>
      <c r="AH195" s="55" t="s">
        <v>2494</v>
      </c>
      <c r="AI195" s="72"/>
      <c r="AJ195" s="56" t="s">
        <v>2970</v>
      </c>
      <c r="AK195" s="77" t="str">
        <f aca="false">IF(AND(ISNUMBER(U195),ISNUMBER(V195),ISNUMBER(14_Cercania!$C$13),ISNUMBER(14_Cercania!$C$14)),6371*2*ASIN(SQRT(SIN(RADIANS(14_Cercania!$C$13-U195)/2)^2+COS(RADIANS(U195))*COS(RADIANS(14_Cercania!$C$13))*SIN(RADIANS(14_Cercania!$C$14-V195)/2)^2))+ROW()*0.000000001,"")</f>
        <v/>
      </c>
    </row>
    <row r="196" customFormat="false" ht="15" hidden="false" customHeight="false" outlineLevel="0" collapsed="false">
      <c r="A196" s="62" t="n">
        <v>194</v>
      </c>
      <c r="B196" s="63"/>
      <c r="C196" s="62"/>
      <c r="D196" s="63"/>
      <c r="E196" s="71"/>
      <c r="F196" s="57"/>
      <c r="G196" s="57"/>
      <c r="H196" s="72"/>
      <c r="I196" s="72"/>
      <c r="J196" s="72"/>
      <c r="K196" s="72"/>
      <c r="L196" s="72"/>
      <c r="M196" s="57"/>
      <c r="N196" s="57"/>
      <c r="O196" s="62"/>
      <c r="P196" s="78"/>
      <c r="Q196" s="78" t="s">
        <v>2490</v>
      </c>
      <c r="R196" s="62" t="s">
        <v>2491</v>
      </c>
      <c r="S196" s="62" t="s">
        <v>2491</v>
      </c>
      <c r="T196" s="62" t="s">
        <v>2491</v>
      </c>
      <c r="U196" s="83"/>
      <c r="V196" s="83"/>
      <c r="W196" s="57" t="s">
        <v>2538</v>
      </c>
      <c r="X196" s="80" t="str">
        <f aca="false">HYPERLINK(IF(AND(ISNUMBER(U196),ISNUMBER(V196)),"https://www.google.com/maps/search/?api=1&amp;query="&amp;U196&amp;","&amp;V196,"https://www.google.com/maps/search/?api=1&amp;query="&amp;SUBSTITUTE(SUBSTITUTE(SUBSTITUTE(B196&amp;", "&amp;M196&amp;", Puno, Peru"," ","+"),"&amp;","y"),"#","")),"Ver en mapa")</f>
        <v>Ver en mapa</v>
      </c>
      <c r="Y196" s="72"/>
      <c r="Z196" s="57"/>
      <c r="AA196" s="72"/>
      <c r="AB196" s="59"/>
      <c r="AC196" s="59"/>
      <c r="AD196" s="72"/>
      <c r="AE196" s="72"/>
      <c r="AF196" s="72"/>
      <c r="AG196" s="72"/>
      <c r="AH196" s="62" t="s">
        <v>2494</v>
      </c>
      <c r="AI196" s="72"/>
      <c r="AJ196" s="63" t="s">
        <v>2970</v>
      </c>
      <c r="AK196" s="81" t="str">
        <f aca="false">IF(AND(ISNUMBER(U196),ISNUMBER(V196),ISNUMBER(14_Cercania!$C$13),ISNUMBER(14_Cercania!$C$14)),6371*2*ASIN(SQRT(SIN(RADIANS(14_Cercania!$C$13-U196)/2)^2+COS(RADIANS(U196))*COS(RADIANS(14_Cercania!$C$13))*SIN(RADIANS(14_Cercania!$C$14-V196)/2)^2))+ROW()*0.000000001,"")</f>
        <v/>
      </c>
    </row>
    <row r="197" customFormat="false" ht="15" hidden="false" customHeight="false" outlineLevel="0" collapsed="false">
      <c r="A197" s="55" t="n">
        <v>195</v>
      </c>
      <c r="B197" s="56"/>
      <c r="C197" s="55"/>
      <c r="D197" s="56"/>
      <c r="E197" s="71"/>
      <c r="F197" s="57"/>
      <c r="G197" s="57"/>
      <c r="H197" s="72"/>
      <c r="I197" s="72"/>
      <c r="J197" s="72"/>
      <c r="K197" s="72"/>
      <c r="L197" s="72"/>
      <c r="M197" s="57"/>
      <c r="N197" s="57"/>
      <c r="O197" s="55"/>
      <c r="P197" s="73"/>
      <c r="Q197" s="73" t="s">
        <v>2490</v>
      </c>
      <c r="R197" s="55" t="s">
        <v>2491</v>
      </c>
      <c r="S197" s="55" t="s">
        <v>2491</v>
      </c>
      <c r="T197" s="55" t="s">
        <v>2491</v>
      </c>
      <c r="U197" s="83"/>
      <c r="V197" s="83"/>
      <c r="W197" s="57" t="s">
        <v>2538</v>
      </c>
      <c r="X197" s="76" t="str">
        <f aca="false">HYPERLINK(IF(AND(ISNUMBER(U197),ISNUMBER(V197)),"https://www.google.com/maps/search/?api=1&amp;query="&amp;U197&amp;","&amp;V197,"https://www.google.com/maps/search/?api=1&amp;query="&amp;SUBSTITUTE(SUBSTITUTE(SUBSTITUTE(B197&amp;", "&amp;M197&amp;", Puno, Peru"," ","+"),"&amp;","y"),"#","")),"Ver en mapa")</f>
        <v>Ver en mapa</v>
      </c>
      <c r="Y197" s="72"/>
      <c r="Z197" s="57"/>
      <c r="AA197" s="72"/>
      <c r="AB197" s="59"/>
      <c r="AC197" s="59"/>
      <c r="AD197" s="72"/>
      <c r="AE197" s="72"/>
      <c r="AF197" s="72"/>
      <c r="AG197" s="72"/>
      <c r="AH197" s="55" t="s">
        <v>2494</v>
      </c>
      <c r="AI197" s="72"/>
      <c r="AJ197" s="56" t="s">
        <v>2970</v>
      </c>
      <c r="AK197" s="77" t="str">
        <f aca="false">IF(AND(ISNUMBER(U197),ISNUMBER(V197),ISNUMBER(14_Cercania!$C$13),ISNUMBER(14_Cercania!$C$14)),6371*2*ASIN(SQRT(SIN(RADIANS(14_Cercania!$C$13-U197)/2)^2+COS(RADIANS(U197))*COS(RADIANS(14_Cercania!$C$13))*SIN(RADIANS(14_Cercania!$C$14-V197)/2)^2))+ROW()*0.000000001,"")</f>
        <v/>
      </c>
    </row>
    <row r="198" customFormat="false" ht="15" hidden="false" customHeight="false" outlineLevel="0" collapsed="false">
      <c r="A198" s="62" t="n">
        <v>196</v>
      </c>
      <c r="B198" s="63"/>
      <c r="C198" s="62"/>
      <c r="D198" s="63"/>
      <c r="E198" s="71"/>
      <c r="F198" s="57"/>
      <c r="G198" s="57"/>
      <c r="H198" s="72"/>
      <c r="I198" s="72"/>
      <c r="J198" s="72"/>
      <c r="K198" s="72"/>
      <c r="L198" s="72"/>
      <c r="M198" s="57"/>
      <c r="N198" s="57"/>
      <c r="O198" s="62"/>
      <c r="P198" s="78"/>
      <c r="Q198" s="78" t="s">
        <v>2490</v>
      </c>
      <c r="R198" s="62" t="s">
        <v>2491</v>
      </c>
      <c r="S198" s="62" t="s">
        <v>2491</v>
      </c>
      <c r="T198" s="62" t="s">
        <v>2491</v>
      </c>
      <c r="U198" s="83"/>
      <c r="V198" s="83"/>
      <c r="W198" s="57" t="s">
        <v>2538</v>
      </c>
      <c r="X198" s="80" t="str">
        <f aca="false">HYPERLINK(IF(AND(ISNUMBER(U198),ISNUMBER(V198)),"https://www.google.com/maps/search/?api=1&amp;query="&amp;U198&amp;","&amp;V198,"https://www.google.com/maps/search/?api=1&amp;query="&amp;SUBSTITUTE(SUBSTITUTE(SUBSTITUTE(B198&amp;", "&amp;M198&amp;", Puno, Peru"," ","+"),"&amp;","y"),"#","")),"Ver en mapa")</f>
        <v>Ver en mapa</v>
      </c>
      <c r="Y198" s="72"/>
      <c r="Z198" s="57"/>
      <c r="AA198" s="72"/>
      <c r="AB198" s="59"/>
      <c r="AC198" s="59"/>
      <c r="AD198" s="72"/>
      <c r="AE198" s="72"/>
      <c r="AF198" s="72"/>
      <c r="AG198" s="72"/>
      <c r="AH198" s="62" t="s">
        <v>2494</v>
      </c>
      <c r="AI198" s="72"/>
      <c r="AJ198" s="63" t="s">
        <v>2970</v>
      </c>
      <c r="AK198" s="81" t="str">
        <f aca="false">IF(AND(ISNUMBER(U198),ISNUMBER(V198),ISNUMBER(14_Cercania!$C$13),ISNUMBER(14_Cercania!$C$14)),6371*2*ASIN(SQRT(SIN(RADIANS(14_Cercania!$C$13-U198)/2)^2+COS(RADIANS(U198))*COS(RADIANS(14_Cercania!$C$13))*SIN(RADIANS(14_Cercania!$C$14-V198)/2)^2))+ROW()*0.000000001,"")</f>
        <v/>
      </c>
    </row>
    <row r="199" customFormat="false" ht="15" hidden="false" customHeight="false" outlineLevel="0" collapsed="false">
      <c r="A199" s="55" t="n">
        <v>197</v>
      </c>
      <c r="B199" s="56"/>
      <c r="C199" s="55"/>
      <c r="D199" s="56"/>
      <c r="E199" s="71"/>
      <c r="F199" s="57"/>
      <c r="G199" s="57"/>
      <c r="H199" s="72"/>
      <c r="I199" s="72"/>
      <c r="J199" s="72"/>
      <c r="K199" s="72"/>
      <c r="L199" s="72"/>
      <c r="M199" s="57"/>
      <c r="N199" s="57"/>
      <c r="O199" s="55"/>
      <c r="P199" s="73"/>
      <c r="Q199" s="73" t="s">
        <v>2490</v>
      </c>
      <c r="R199" s="55" t="s">
        <v>2491</v>
      </c>
      <c r="S199" s="55" t="s">
        <v>2491</v>
      </c>
      <c r="T199" s="55" t="s">
        <v>2491</v>
      </c>
      <c r="U199" s="83"/>
      <c r="V199" s="83"/>
      <c r="W199" s="57" t="s">
        <v>2538</v>
      </c>
      <c r="X199" s="76" t="str">
        <f aca="false">HYPERLINK(IF(AND(ISNUMBER(U199),ISNUMBER(V199)),"https://www.google.com/maps/search/?api=1&amp;query="&amp;U199&amp;","&amp;V199,"https://www.google.com/maps/search/?api=1&amp;query="&amp;SUBSTITUTE(SUBSTITUTE(SUBSTITUTE(B199&amp;", "&amp;M199&amp;", Puno, Peru"," ","+"),"&amp;","y"),"#","")),"Ver en mapa")</f>
        <v>Ver en mapa</v>
      </c>
      <c r="Y199" s="72"/>
      <c r="Z199" s="57"/>
      <c r="AA199" s="72"/>
      <c r="AB199" s="59"/>
      <c r="AC199" s="59"/>
      <c r="AD199" s="72"/>
      <c r="AE199" s="72"/>
      <c r="AF199" s="72"/>
      <c r="AG199" s="72"/>
      <c r="AH199" s="55" t="s">
        <v>2494</v>
      </c>
      <c r="AI199" s="72"/>
      <c r="AJ199" s="56" t="s">
        <v>2970</v>
      </c>
      <c r="AK199" s="77" t="str">
        <f aca="false">IF(AND(ISNUMBER(U199),ISNUMBER(V199),ISNUMBER(14_Cercania!$C$13),ISNUMBER(14_Cercania!$C$14)),6371*2*ASIN(SQRT(SIN(RADIANS(14_Cercania!$C$13-U199)/2)^2+COS(RADIANS(U199))*COS(RADIANS(14_Cercania!$C$13))*SIN(RADIANS(14_Cercania!$C$14-V199)/2)^2))+ROW()*0.000000001,"")</f>
        <v/>
      </c>
    </row>
    <row r="200" customFormat="false" ht="15" hidden="false" customHeight="false" outlineLevel="0" collapsed="false">
      <c r="A200" s="62" t="n">
        <v>198</v>
      </c>
      <c r="B200" s="63"/>
      <c r="C200" s="62"/>
      <c r="D200" s="63"/>
      <c r="E200" s="71"/>
      <c r="F200" s="57"/>
      <c r="G200" s="57"/>
      <c r="H200" s="72"/>
      <c r="I200" s="72"/>
      <c r="J200" s="72"/>
      <c r="K200" s="72"/>
      <c r="L200" s="72"/>
      <c r="M200" s="57"/>
      <c r="N200" s="57"/>
      <c r="O200" s="62"/>
      <c r="P200" s="78"/>
      <c r="Q200" s="78" t="s">
        <v>2490</v>
      </c>
      <c r="R200" s="62" t="s">
        <v>2491</v>
      </c>
      <c r="S200" s="62" t="s">
        <v>2491</v>
      </c>
      <c r="T200" s="62" t="s">
        <v>2491</v>
      </c>
      <c r="U200" s="83"/>
      <c r="V200" s="83"/>
      <c r="W200" s="57" t="s">
        <v>2538</v>
      </c>
      <c r="X200" s="80" t="str">
        <f aca="false">HYPERLINK(IF(AND(ISNUMBER(U200),ISNUMBER(V200)),"https://www.google.com/maps/search/?api=1&amp;query="&amp;U200&amp;","&amp;V200,"https://www.google.com/maps/search/?api=1&amp;query="&amp;SUBSTITUTE(SUBSTITUTE(SUBSTITUTE(B200&amp;", "&amp;M200&amp;", Puno, Peru"," ","+"),"&amp;","y"),"#","")),"Ver en mapa")</f>
        <v>Ver en mapa</v>
      </c>
      <c r="Y200" s="72"/>
      <c r="Z200" s="57"/>
      <c r="AA200" s="72"/>
      <c r="AB200" s="59"/>
      <c r="AC200" s="59"/>
      <c r="AD200" s="72"/>
      <c r="AE200" s="72"/>
      <c r="AF200" s="72"/>
      <c r="AG200" s="72"/>
      <c r="AH200" s="62" t="s">
        <v>2494</v>
      </c>
      <c r="AI200" s="72"/>
      <c r="AJ200" s="63" t="s">
        <v>2970</v>
      </c>
      <c r="AK200" s="81" t="str">
        <f aca="false">IF(AND(ISNUMBER(U200),ISNUMBER(V200),ISNUMBER(14_Cercania!$C$13),ISNUMBER(14_Cercania!$C$14)),6371*2*ASIN(SQRT(SIN(RADIANS(14_Cercania!$C$13-U200)/2)^2+COS(RADIANS(U200))*COS(RADIANS(14_Cercania!$C$13))*SIN(RADIANS(14_Cercania!$C$14-V200)/2)^2))+ROW()*0.000000001,"")</f>
        <v/>
      </c>
    </row>
    <row r="201" customFormat="false" ht="15" hidden="false" customHeight="false" outlineLevel="0" collapsed="false">
      <c r="A201" s="55" t="n">
        <v>199</v>
      </c>
      <c r="B201" s="56"/>
      <c r="C201" s="55"/>
      <c r="D201" s="56"/>
      <c r="E201" s="71"/>
      <c r="F201" s="57"/>
      <c r="G201" s="57"/>
      <c r="H201" s="72"/>
      <c r="I201" s="72"/>
      <c r="J201" s="72"/>
      <c r="K201" s="72"/>
      <c r="L201" s="72"/>
      <c r="M201" s="57"/>
      <c r="N201" s="57"/>
      <c r="O201" s="55"/>
      <c r="P201" s="73"/>
      <c r="Q201" s="73" t="s">
        <v>2490</v>
      </c>
      <c r="R201" s="55" t="s">
        <v>2491</v>
      </c>
      <c r="S201" s="55" t="s">
        <v>2491</v>
      </c>
      <c r="T201" s="55" t="s">
        <v>2491</v>
      </c>
      <c r="U201" s="83"/>
      <c r="V201" s="83"/>
      <c r="W201" s="57" t="s">
        <v>2538</v>
      </c>
      <c r="X201" s="76" t="str">
        <f aca="false">HYPERLINK(IF(AND(ISNUMBER(U201),ISNUMBER(V201)),"https://www.google.com/maps/search/?api=1&amp;query="&amp;U201&amp;","&amp;V201,"https://www.google.com/maps/search/?api=1&amp;query="&amp;SUBSTITUTE(SUBSTITUTE(SUBSTITUTE(B201&amp;", "&amp;M201&amp;", Puno, Peru"," ","+"),"&amp;","y"),"#","")),"Ver en mapa")</f>
        <v>Ver en mapa</v>
      </c>
      <c r="Y201" s="72"/>
      <c r="Z201" s="57"/>
      <c r="AA201" s="72"/>
      <c r="AB201" s="59"/>
      <c r="AC201" s="59"/>
      <c r="AD201" s="72"/>
      <c r="AE201" s="72"/>
      <c r="AF201" s="72"/>
      <c r="AG201" s="72"/>
      <c r="AH201" s="55" t="s">
        <v>2494</v>
      </c>
      <c r="AI201" s="72"/>
      <c r="AJ201" s="56" t="s">
        <v>2970</v>
      </c>
      <c r="AK201" s="77" t="str">
        <f aca="false">IF(AND(ISNUMBER(U201),ISNUMBER(V201),ISNUMBER(14_Cercania!$C$13),ISNUMBER(14_Cercania!$C$14)),6371*2*ASIN(SQRT(SIN(RADIANS(14_Cercania!$C$13-U201)/2)^2+COS(RADIANS(U201))*COS(RADIANS(14_Cercania!$C$13))*SIN(RADIANS(14_Cercania!$C$14-V201)/2)^2))+ROW()*0.000000001,"")</f>
        <v/>
      </c>
    </row>
    <row r="202" customFormat="false" ht="15" hidden="false" customHeight="false" outlineLevel="0" collapsed="false">
      <c r="A202" s="62" t="n">
        <v>200</v>
      </c>
      <c r="B202" s="63"/>
      <c r="C202" s="62"/>
      <c r="D202" s="63"/>
      <c r="E202" s="71"/>
      <c r="F202" s="57"/>
      <c r="G202" s="57"/>
      <c r="H202" s="72"/>
      <c r="I202" s="72"/>
      <c r="J202" s="72"/>
      <c r="K202" s="72"/>
      <c r="L202" s="72"/>
      <c r="M202" s="57"/>
      <c r="N202" s="57"/>
      <c r="O202" s="62"/>
      <c r="P202" s="78"/>
      <c r="Q202" s="78" t="s">
        <v>2490</v>
      </c>
      <c r="R202" s="62" t="s">
        <v>2491</v>
      </c>
      <c r="S202" s="62" t="s">
        <v>2491</v>
      </c>
      <c r="T202" s="62" t="s">
        <v>2491</v>
      </c>
      <c r="U202" s="83"/>
      <c r="V202" s="83"/>
      <c r="W202" s="57" t="s">
        <v>2538</v>
      </c>
      <c r="X202" s="80" t="str">
        <f aca="false">HYPERLINK(IF(AND(ISNUMBER(U202),ISNUMBER(V202)),"https://www.google.com/maps/search/?api=1&amp;query="&amp;U202&amp;","&amp;V202,"https://www.google.com/maps/search/?api=1&amp;query="&amp;SUBSTITUTE(SUBSTITUTE(SUBSTITUTE(B202&amp;", "&amp;M202&amp;", Puno, Peru"," ","+"),"&amp;","y"),"#","")),"Ver en mapa")</f>
        <v>Ver en mapa</v>
      </c>
      <c r="Y202" s="72"/>
      <c r="Z202" s="57"/>
      <c r="AA202" s="72"/>
      <c r="AB202" s="59"/>
      <c r="AC202" s="59"/>
      <c r="AD202" s="72"/>
      <c r="AE202" s="72"/>
      <c r="AF202" s="72"/>
      <c r="AG202" s="72"/>
      <c r="AH202" s="62" t="s">
        <v>2494</v>
      </c>
      <c r="AI202" s="72"/>
      <c r="AJ202" s="63" t="s">
        <v>2970</v>
      </c>
      <c r="AK202" s="81" t="str">
        <f aca="false">IF(AND(ISNUMBER(U202),ISNUMBER(V202),ISNUMBER(14_Cercania!$C$13),ISNUMBER(14_Cercania!$C$14)),6371*2*ASIN(SQRT(SIN(RADIANS(14_Cercania!$C$13-U202)/2)^2+COS(RADIANS(U202))*COS(RADIANS(14_Cercania!$C$13))*SIN(RADIANS(14_Cercania!$C$14-V202)/2)^2))+ROW()*0.000000001,"")</f>
        <v/>
      </c>
    </row>
    <row r="203" customFormat="false" ht="15" hidden="false" customHeight="false" outlineLevel="0" collapsed="false">
      <c r="A203" s="55" t="n">
        <v>201</v>
      </c>
      <c r="B203" s="56"/>
      <c r="C203" s="55"/>
      <c r="D203" s="56"/>
      <c r="E203" s="71"/>
      <c r="F203" s="57"/>
      <c r="G203" s="57"/>
      <c r="H203" s="72"/>
      <c r="I203" s="72"/>
      <c r="J203" s="72"/>
      <c r="K203" s="72"/>
      <c r="L203" s="72"/>
      <c r="M203" s="57"/>
      <c r="N203" s="57"/>
      <c r="O203" s="55"/>
      <c r="P203" s="73"/>
      <c r="Q203" s="73" t="s">
        <v>2490</v>
      </c>
      <c r="R203" s="55" t="s">
        <v>2491</v>
      </c>
      <c r="S203" s="55" t="s">
        <v>2491</v>
      </c>
      <c r="T203" s="55" t="s">
        <v>2491</v>
      </c>
      <c r="U203" s="83"/>
      <c r="V203" s="83"/>
      <c r="W203" s="57" t="s">
        <v>2538</v>
      </c>
      <c r="X203" s="76" t="str">
        <f aca="false">HYPERLINK(IF(AND(ISNUMBER(U203),ISNUMBER(V203)),"https://www.google.com/maps/search/?api=1&amp;query="&amp;U203&amp;","&amp;V203,"https://www.google.com/maps/search/?api=1&amp;query="&amp;SUBSTITUTE(SUBSTITUTE(SUBSTITUTE(B203&amp;", "&amp;M203&amp;", Puno, Peru"," ","+"),"&amp;","y"),"#","")),"Ver en mapa")</f>
        <v>Ver en mapa</v>
      </c>
      <c r="Y203" s="72"/>
      <c r="Z203" s="57"/>
      <c r="AA203" s="72"/>
      <c r="AB203" s="59"/>
      <c r="AC203" s="59"/>
      <c r="AD203" s="72"/>
      <c r="AE203" s="72"/>
      <c r="AF203" s="72"/>
      <c r="AG203" s="72"/>
      <c r="AH203" s="55" t="s">
        <v>2494</v>
      </c>
      <c r="AI203" s="72"/>
      <c r="AJ203" s="56" t="s">
        <v>2970</v>
      </c>
      <c r="AK203" s="77" t="str">
        <f aca="false">IF(AND(ISNUMBER(U203),ISNUMBER(V203),ISNUMBER(14_Cercania!$C$13),ISNUMBER(14_Cercania!$C$14)),6371*2*ASIN(SQRT(SIN(RADIANS(14_Cercania!$C$13-U203)/2)^2+COS(RADIANS(U203))*COS(RADIANS(14_Cercania!$C$13))*SIN(RADIANS(14_Cercania!$C$14-V203)/2)^2))+ROW()*0.000000001,"")</f>
        <v/>
      </c>
    </row>
    <row r="204" customFormat="false" ht="15" hidden="false" customHeight="false" outlineLevel="0" collapsed="false">
      <c r="A204" s="62" t="n">
        <v>202</v>
      </c>
      <c r="B204" s="63"/>
      <c r="C204" s="62"/>
      <c r="D204" s="63"/>
      <c r="E204" s="71"/>
      <c r="F204" s="57"/>
      <c r="G204" s="57"/>
      <c r="H204" s="72"/>
      <c r="I204" s="72"/>
      <c r="J204" s="72"/>
      <c r="K204" s="72"/>
      <c r="L204" s="72"/>
      <c r="M204" s="57"/>
      <c r="N204" s="57"/>
      <c r="O204" s="62"/>
      <c r="P204" s="78"/>
      <c r="Q204" s="78" t="s">
        <v>2490</v>
      </c>
      <c r="R204" s="62" t="s">
        <v>2491</v>
      </c>
      <c r="S204" s="62" t="s">
        <v>2491</v>
      </c>
      <c r="T204" s="62" t="s">
        <v>2491</v>
      </c>
      <c r="U204" s="83"/>
      <c r="V204" s="83"/>
      <c r="W204" s="57" t="s">
        <v>2538</v>
      </c>
      <c r="X204" s="80" t="str">
        <f aca="false">HYPERLINK(IF(AND(ISNUMBER(U204),ISNUMBER(V204)),"https://www.google.com/maps/search/?api=1&amp;query="&amp;U204&amp;","&amp;V204,"https://www.google.com/maps/search/?api=1&amp;query="&amp;SUBSTITUTE(SUBSTITUTE(SUBSTITUTE(B204&amp;", "&amp;M204&amp;", Puno, Peru"," ","+"),"&amp;","y"),"#","")),"Ver en mapa")</f>
        <v>Ver en mapa</v>
      </c>
      <c r="Y204" s="72"/>
      <c r="Z204" s="57"/>
      <c r="AA204" s="72"/>
      <c r="AB204" s="59"/>
      <c r="AC204" s="59"/>
      <c r="AD204" s="72"/>
      <c r="AE204" s="72"/>
      <c r="AF204" s="72"/>
      <c r="AG204" s="72"/>
      <c r="AH204" s="62" t="s">
        <v>2494</v>
      </c>
      <c r="AI204" s="72"/>
      <c r="AJ204" s="63" t="s">
        <v>2970</v>
      </c>
      <c r="AK204" s="81" t="str">
        <f aca="false">IF(AND(ISNUMBER(U204),ISNUMBER(V204),ISNUMBER(14_Cercania!$C$13),ISNUMBER(14_Cercania!$C$14)),6371*2*ASIN(SQRT(SIN(RADIANS(14_Cercania!$C$13-U204)/2)^2+COS(RADIANS(U204))*COS(RADIANS(14_Cercania!$C$13))*SIN(RADIANS(14_Cercania!$C$14-V204)/2)^2))+ROW()*0.000000001,"")</f>
        <v/>
      </c>
    </row>
    <row r="205" customFormat="false" ht="15" hidden="false" customHeight="false" outlineLevel="0" collapsed="false">
      <c r="A205" s="55" t="n">
        <v>203</v>
      </c>
      <c r="B205" s="56"/>
      <c r="C205" s="55"/>
      <c r="D205" s="56"/>
      <c r="E205" s="71"/>
      <c r="F205" s="57"/>
      <c r="G205" s="57"/>
      <c r="H205" s="72"/>
      <c r="I205" s="72"/>
      <c r="J205" s="72"/>
      <c r="K205" s="72"/>
      <c r="L205" s="72"/>
      <c r="M205" s="57"/>
      <c r="N205" s="57"/>
      <c r="O205" s="55"/>
      <c r="P205" s="73"/>
      <c r="Q205" s="73" t="s">
        <v>2490</v>
      </c>
      <c r="R205" s="55" t="s">
        <v>2491</v>
      </c>
      <c r="S205" s="55" t="s">
        <v>2491</v>
      </c>
      <c r="T205" s="55" t="s">
        <v>2491</v>
      </c>
      <c r="U205" s="83"/>
      <c r="V205" s="83"/>
      <c r="W205" s="57" t="s">
        <v>2538</v>
      </c>
      <c r="X205" s="76" t="str">
        <f aca="false">HYPERLINK(IF(AND(ISNUMBER(U205),ISNUMBER(V205)),"https://www.google.com/maps/search/?api=1&amp;query="&amp;U205&amp;","&amp;V205,"https://www.google.com/maps/search/?api=1&amp;query="&amp;SUBSTITUTE(SUBSTITUTE(SUBSTITUTE(B205&amp;", "&amp;M205&amp;", Puno, Peru"," ","+"),"&amp;","y"),"#","")),"Ver en mapa")</f>
        <v>Ver en mapa</v>
      </c>
      <c r="Y205" s="72"/>
      <c r="Z205" s="57"/>
      <c r="AA205" s="72"/>
      <c r="AB205" s="59"/>
      <c r="AC205" s="59"/>
      <c r="AD205" s="72"/>
      <c r="AE205" s="72"/>
      <c r="AF205" s="72"/>
      <c r="AG205" s="72"/>
      <c r="AH205" s="55" t="s">
        <v>2494</v>
      </c>
      <c r="AI205" s="72"/>
      <c r="AJ205" s="56" t="s">
        <v>2970</v>
      </c>
      <c r="AK205" s="77" t="str">
        <f aca="false">IF(AND(ISNUMBER(U205),ISNUMBER(V205),ISNUMBER(14_Cercania!$C$13),ISNUMBER(14_Cercania!$C$14)),6371*2*ASIN(SQRT(SIN(RADIANS(14_Cercania!$C$13-U205)/2)^2+COS(RADIANS(U205))*COS(RADIANS(14_Cercania!$C$13))*SIN(RADIANS(14_Cercania!$C$14-V205)/2)^2))+ROW()*0.000000001,"")</f>
        <v/>
      </c>
    </row>
    <row r="206" customFormat="false" ht="15" hidden="false" customHeight="false" outlineLevel="0" collapsed="false">
      <c r="A206" s="62" t="n">
        <v>204</v>
      </c>
      <c r="B206" s="63"/>
      <c r="C206" s="62"/>
      <c r="D206" s="63"/>
      <c r="E206" s="71"/>
      <c r="F206" s="57"/>
      <c r="G206" s="57"/>
      <c r="H206" s="72"/>
      <c r="I206" s="72"/>
      <c r="J206" s="72"/>
      <c r="K206" s="72"/>
      <c r="L206" s="72"/>
      <c r="M206" s="57"/>
      <c r="N206" s="57"/>
      <c r="O206" s="62"/>
      <c r="P206" s="78"/>
      <c r="Q206" s="78" t="s">
        <v>2490</v>
      </c>
      <c r="R206" s="62" t="s">
        <v>2491</v>
      </c>
      <c r="S206" s="62" t="s">
        <v>2491</v>
      </c>
      <c r="T206" s="62" t="s">
        <v>2491</v>
      </c>
      <c r="U206" s="83"/>
      <c r="V206" s="83"/>
      <c r="W206" s="57" t="s">
        <v>2538</v>
      </c>
      <c r="X206" s="80" t="str">
        <f aca="false">HYPERLINK(IF(AND(ISNUMBER(U206),ISNUMBER(V206)),"https://www.google.com/maps/search/?api=1&amp;query="&amp;U206&amp;","&amp;V206,"https://www.google.com/maps/search/?api=1&amp;query="&amp;SUBSTITUTE(SUBSTITUTE(SUBSTITUTE(B206&amp;", "&amp;M206&amp;", Puno, Peru"," ","+"),"&amp;","y"),"#","")),"Ver en mapa")</f>
        <v>Ver en mapa</v>
      </c>
      <c r="Y206" s="72"/>
      <c r="Z206" s="57"/>
      <c r="AA206" s="72"/>
      <c r="AB206" s="59"/>
      <c r="AC206" s="59"/>
      <c r="AD206" s="72"/>
      <c r="AE206" s="72"/>
      <c r="AF206" s="72"/>
      <c r="AG206" s="72"/>
      <c r="AH206" s="62" t="s">
        <v>2494</v>
      </c>
      <c r="AI206" s="72"/>
      <c r="AJ206" s="63" t="s">
        <v>2970</v>
      </c>
      <c r="AK206" s="81" t="str">
        <f aca="false">IF(AND(ISNUMBER(U206),ISNUMBER(V206),ISNUMBER(14_Cercania!$C$13),ISNUMBER(14_Cercania!$C$14)),6371*2*ASIN(SQRT(SIN(RADIANS(14_Cercania!$C$13-U206)/2)^2+COS(RADIANS(U206))*COS(RADIANS(14_Cercania!$C$13))*SIN(RADIANS(14_Cercania!$C$14-V206)/2)^2))+ROW()*0.000000001,"")</f>
        <v/>
      </c>
    </row>
    <row r="207" customFormat="false" ht="15" hidden="false" customHeight="false" outlineLevel="0" collapsed="false">
      <c r="A207" s="55" t="n">
        <v>205</v>
      </c>
      <c r="B207" s="56"/>
      <c r="C207" s="55"/>
      <c r="D207" s="56"/>
      <c r="E207" s="71"/>
      <c r="F207" s="57"/>
      <c r="G207" s="57"/>
      <c r="H207" s="72"/>
      <c r="I207" s="72"/>
      <c r="J207" s="72"/>
      <c r="K207" s="72"/>
      <c r="L207" s="72"/>
      <c r="M207" s="57"/>
      <c r="N207" s="57"/>
      <c r="O207" s="55"/>
      <c r="P207" s="73"/>
      <c r="Q207" s="73" t="s">
        <v>2490</v>
      </c>
      <c r="R207" s="55" t="s">
        <v>2491</v>
      </c>
      <c r="S207" s="55" t="s">
        <v>2491</v>
      </c>
      <c r="T207" s="55" t="s">
        <v>2491</v>
      </c>
      <c r="U207" s="83"/>
      <c r="V207" s="83"/>
      <c r="W207" s="57" t="s">
        <v>2538</v>
      </c>
      <c r="X207" s="76" t="str">
        <f aca="false">HYPERLINK(IF(AND(ISNUMBER(U207),ISNUMBER(V207)),"https://www.google.com/maps/search/?api=1&amp;query="&amp;U207&amp;","&amp;V207,"https://www.google.com/maps/search/?api=1&amp;query="&amp;SUBSTITUTE(SUBSTITUTE(SUBSTITUTE(B207&amp;", "&amp;M207&amp;", Puno, Peru"," ","+"),"&amp;","y"),"#","")),"Ver en mapa")</f>
        <v>Ver en mapa</v>
      </c>
      <c r="Y207" s="72"/>
      <c r="Z207" s="57"/>
      <c r="AA207" s="72"/>
      <c r="AB207" s="59"/>
      <c r="AC207" s="59"/>
      <c r="AD207" s="72"/>
      <c r="AE207" s="72"/>
      <c r="AF207" s="72"/>
      <c r="AG207" s="72"/>
      <c r="AH207" s="55" t="s">
        <v>2494</v>
      </c>
      <c r="AI207" s="72"/>
      <c r="AJ207" s="56" t="s">
        <v>2970</v>
      </c>
      <c r="AK207" s="77" t="str">
        <f aca="false">IF(AND(ISNUMBER(U207),ISNUMBER(V207),ISNUMBER(14_Cercania!$C$13),ISNUMBER(14_Cercania!$C$14)),6371*2*ASIN(SQRT(SIN(RADIANS(14_Cercania!$C$13-U207)/2)^2+COS(RADIANS(U207))*COS(RADIANS(14_Cercania!$C$13))*SIN(RADIANS(14_Cercania!$C$14-V207)/2)^2))+ROW()*0.000000001,"")</f>
        <v/>
      </c>
    </row>
    <row r="208" customFormat="false" ht="15" hidden="false" customHeight="false" outlineLevel="0" collapsed="false">
      <c r="A208" s="62" t="n">
        <v>206</v>
      </c>
      <c r="B208" s="63"/>
      <c r="C208" s="62"/>
      <c r="D208" s="63"/>
      <c r="E208" s="71"/>
      <c r="F208" s="57"/>
      <c r="G208" s="57"/>
      <c r="H208" s="72"/>
      <c r="I208" s="72"/>
      <c r="J208" s="72"/>
      <c r="K208" s="72"/>
      <c r="L208" s="72"/>
      <c r="M208" s="57"/>
      <c r="N208" s="57"/>
      <c r="O208" s="62"/>
      <c r="P208" s="78"/>
      <c r="Q208" s="78" t="s">
        <v>2490</v>
      </c>
      <c r="R208" s="62" t="s">
        <v>2491</v>
      </c>
      <c r="S208" s="62" t="s">
        <v>2491</v>
      </c>
      <c r="T208" s="62" t="s">
        <v>2491</v>
      </c>
      <c r="U208" s="83"/>
      <c r="V208" s="83"/>
      <c r="W208" s="57" t="s">
        <v>2538</v>
      </c>
      <c r="X208" s="80" t="str">
        <f aca="false">HYPERLINK(IF(AND(ISNUMBER(U208),ISNUMBER(V208)),"https://www.google.com/maps/search/?api=1&amp;query="&amp;U208&amp;","&amp;V208,"https://www.google.com/maps/search/?api=1&amp;query="&amp;SUBSTITUTE(SUBSTITUTE(SUBSTITUTE(B208&amp;", "&amp;M208&amp;", Puno, Peru"," ","+"),"&amp;","y"),"#","")),"Ver en mapa")</f>
        <v>Ver en mapa</v>
      </c>
      <c r="Y208" s="72"/>
      <c r="Z208" s="57"/>
      <c r="AA208" s="72"/>
      <c r="AB208" s="59"/>
      <c r="AC208" s="59"/>
      <c r="AD208" s="72"/>
      <c r="AE208" s="72"/>
      <c r="AF208" s="72"/>
      <c r="AG208" s="72"/>
      <c r="AH208" s="62" t="s">
        <v>2494</v>
      </c>
      <c r="AI208" s="72"/>
      <c r="AJ208" s="63" t="s">
        <v>2970</v>
      </c>
      <c r="AK208" s="81" t="str">
        <f aca="false">IF(AND(ISNUMBER(U208),ISNUMBER(V208),ISNUMBER(14_Cercania!$C$13),ISNUMBER(14_Cercania!$C$14)),6371*2*ASIN(SQRT(SIN(RADIANS(14_Cercania!$C$13-U208)/2)^2+COS(RADIANS(U208))*COS(RADIANS(14_Cercania!$C$13))*SIN(RADIANS(14_Cercania!$C$14-V208)/2)^2))+ROW()*0.000000001,"")</f>
        <v/>
      </c>
    </row>
    <row r="209" customFormat="false" ht="15" hidden="false" customHeight="false" outlineLevel="0" collapsed="false">
      <c r="A209" s="55" t="n">
        <v>207</v>
      </c>
      <c r="B209" s="56"/>
      <c r="C209" s="55"/>
      <c r="D209" s="56"/>
      <c r="E209" s="71"/>
      <c r="F209" s="57"/>
      <c r="G209" s="57"/>
      <c r="H209" s="72"/>
      <c r="I209" s="72"/>
      <c r="J209" s="72"/>
      <c r="K209" s="72"/>
      <c r="L209" s="72"/>
      <c r="M209" s="57"/>
      <c r="N209" s="57"/>
      <c r="O209" s="55"/>
      <c r="P209" s="73"/>
      <c r="Q209" s="73" t="s">
        <v>2490</v>
      </c>
      <c r="R209" s="55" t="s">
        <v>2491</v>
      </c>
      <c r="S209" s="55" t="s">
        <v>2491</v>
      </c>
      <c r="T209" s="55" t="s">
        <v>2491</v>
      </c>
      <c r="U209" s="83"/>
      <c r="V209" s="83"/>
      <c r="W209" s="57" t="s">
        <v>2538</v>
      </c>
      <c r="X209" s="76" t="str">
        <f aca="false">HYPERLINK(IF(AND(ISNUMBER(U209),ISNUMBER(V209)),"https://www.google.com/maps/search/?api=1&amp;query="&amp;U209&amp;","&amp;V209,"https://www.google.com/maps/search/?api=1&amp;query="&amp;SUBSTITUTE(SUBSTITUTE(SUBSTITUTE(B209&amp;", "&amp;M209&amp;", Puno, Peru"," ","+"),"&amp;","y"),"#","")),"Ver en mapa")</f>
        <v>Ver en mapa</v>
      </c>
      <c r="Y209" s="72"/>
      <c r="Z209" s="57"/>
      <c r="AA209" s="72"/>
      <c r="AB209" s="59"/>
      <c r="AC209" s="59"/>
      <c r="AD209" s="72"/>
      <c r="AE209" s="72"/>
      <c r="AF209" s="72"/>
      <c r="AG209" s="72"/>
      <c r="AH209" s="55" t="s">
        <v>2494</v>
      </c>
      <c r="AI209" s="72"/>
      <c r="AJ209" s="56" t="s">
        <v>2970</v>
      </c>
      <c r="AK209" s="77" t="str">
        <f aca="false">IF(AND(ISNUMBER(U209),ISNUMBER(V209),ISNUMBER(14_Cercania!$C$13),ISNUMBER(14_Cercania!$C$14)),6371*2*ASIN(SQRT(SIN(RADIANS(14_Cercania!$C$13-U209)/2)^2+COS(RADIANS(U209))*COS(RADIANS(14_Cercania!$C$13))*SIN(RADIANS(14_Cercania!$C$14-V209)/2)^2))+ROW()*0.000000001,"")</f>
        <v/>
      </c>
    </row>
    <row r="210" customFormat="false" ht="15" hidden="false" customHeight="false" outlineLevel="0" collapsed="false">
      <c r="A210" s="62" t="n">
        <v>208</v>
      </c>
      <c r="B210" s="63"/>
      <c r="C210" s="62"/>
      <c r="D210" s="63"/>
      <c r="E210" s="71"/>
      <c r="F210" s="57"/>
      <c r="G210" s="57"/>
      <c r="H210" s="72"/>
      <c r="I210" s="72"/>
      <c r="J210" s="72"/>
      <c r="K210" s="72"/>
      <c r="L210" s="72"/>
      <c r="M210" s="57"/>
      <c r="N210" s="57"/>
      <c r="O210" s="62"/>
      <c r="P210" s="78"/>
      <c r="Q210" s="78" t="s">
        <v>2490</v>
      </c>
      <c r="R210" s="62" t="s">
        <v>2491</v>
      </c>
      <c r="S210" s="62" t="s">
        <v>2491</v>
      </c>
      <c r="T210" s="62" t="s">
        <v>2491</v>
      </c>
      <c r="U210" s="83"/>
      <c r="V210" s="83"/>
      <c r="W210" s="57" t="s">
        <v>2538</v>
      </c>
      <c r="X210" s="80" t="str">
        <f aca="false">HYPERLINK(IF(AND(ISNUMBER(U210),ISNUMBER(V210)),"https://www.google.com/maps/search/?api=1&amp;query="&amp;U210&amp;","&amp;V210,"https://www.google.com/maps/search/?api=1&amp;query="&amp;SUBSTITUTE(SUBSTITUTE(SUBSTITUTE(B210&amp;", "&amp;M210&amp;", Puno, Peru"," ","+"),"&amp;","y"),"#","")),"Ver en mapa")</f>
        <v>Ver en mapa</v>
      </c>
      <c r="Y210" s="72"/>
      <c r="Z210" s="57"/>
      <c r="AA210" s="72"/>
      <c r="AB210" s="59"/>
      <c r="AC210" s="59"/>
      <c r="AD210" s="72"/>
      <c r="AE210" s="72"/>
      <c r="AF210" s="72"/>
      <c r="AG210" s="72"/>
      <c r="AH210" s="62" t="s">
        <v>2494</v>
      </c>
      <c r="AI210" s="72"/>
      <c r="AJ210" s="63" t="s">
        <v>2970</v>
      </c>
      <c r="AK210" s="81" t="str">
        <f aca="false">IF(AND(ISNUMBER(U210),ISNUMBER(V210),ISNUMBER(14_Cercania!$C$13),ISNUMBER(14_Cercania!$C$14)),6371*2*ASIN(SQRT(SIN(RADIANS(14_Cercania!$C$13-U210)/2)^2+COS(RADIANS(U210))*COS(RADIANS(14_Cercania!$C$13))*SIN(RADIANS(14_Cercania!$C$14-V210)/2)^2))+ROW()*0.000000001,"")</f>
        <v/>
      </c>
    </row>
    <row r="211" customFormat="false" ht="15" hidden="false" customHeight="false" outlineLevel="0" collapsed="false">
      <c r="A211" s="55" t="n">
        <v>209</v>
      </c>
      <c r="B211" s="56"/>
      <c r="C211" s="55"/>
      <c r="D211" s="56"/>
      <c r="E211" s="71"/>
      <c r="F211" s="57"/>
      <c r="G211" s="57"/>
      <c r="H211" s="72"/>
      <c r="I211" s="72"/>
      <c r="J211" s="72"/>
      <c r="K211" s="72"/>
      <c r="L211" s="72"/>
      <c r="M211" s="57"/>
      <c r="N211" s="57"/>
      <c r="O211" s="55"/>
      <c r="P211" s="73"/>
      <c r="Q211" s="73" t="s">
        <v>2490</v>
      </c>
      <c r="R211" s="55" t="s">
        <v>2491</v>
      </c>
      <c r="S211" s="55" t="s">
        <v>2491</v>
      </c>
      <c r="T211" s="55" t="s">
        <v>2491</v>
      </c>
      <c r="U211" s="83"/>
      <c r="V211" s="83"/>
      <c r="W211" s="57" t="s">
        <v>2538</v>
      </c>
      <c r="X211" s="76" t="str">
        <f aca="false">HYPERLINK(IF(AND(ISNUMBER(U211),ISNUMBER(V211)),"https://www.google.com/maps/search/?api=1&amp;query="&amp;U211&amp;","&amp;V211,"https://www.google.com/maps/search/?api=1&amp;query="&amp;SUBSTITUTE(SUBSTITUTE(SUBSTITUTE(B211&amp;", "&amp;M211&amp;", Puno, Peru"," ","+"),"&amp;","y"),"#","")),"Ver en mapa")</f>
        <v>Ver en mapa</v>
      </c>
      <c r="Y211" s="72"/>
      <c r="Z211" s="57"/>
      <c r="AA211" s="72"/>
      <c r="AB211" s="59"/>
      <c r="AC211" s="59"/>
      <c r="AD211" s="72"/>
      <c r="AE211" s="72"/>
      <c r="AF211" s="72"/>
      <c r="AG211" s="72"/>
      <c r="AH211" s="55" t="s">
        <v>2494</v>
      </c>
      <c r="AI211" s="72"/>
      <c r="AJ211" s="56" t="s">
        <v>2970</v>
      </c>
      <c r="AK211" s="77" t="str">
        <f aca="false">IF(AND(ISNUMBER(U211),ISNUMBER(V211),ISNUMBER(14_Cercania!$C$13),ISNUMBER(14_Cercania!$C$14)),6371*2*ASIN(SQRT(SIN(RADIANS(14_Cercania!$C$13-U211)/2)^2+COS(RADIANS(U211))*COS(RADIANS(14_Cercania!$C$13))*SIN(RADIANS(14_Cercania!$C$14-V211)/2)^2))+ROW()*0.000000001,"")</f>
        <v/>
      </c>
    </row>
    <row r="212" customFormat="false" ht="15" hidden="false" customHeight="false" outlineLevel="0" collapsed="false">
      <c r="A212" s="62" t="n">
        <v>210</v>
      </c>
      <c r="B212" s="63"/>
      <c r="C212" s="62"/>
      <c r="D212" s="63"/>
      <c r="E212" s="71"/>
      <c r="F212" s="57"/>
      <c r="G212" s="57"/>
      <c r="H212" s="72"/>
      <c r="I212" s="72"/>
      <c r="J212" s="72"/>
      <c r="K212" s="72"/>
      <c r="L212" s="72"/>
      <c r="M212" s="57"/>
      <c r="N212" s="57"/>
      <c r="O212" s="62"/>
      <c r="P212" s="78"/>
      <c r="Q212" s="78" t="s">
        <v>2490</v>
      </c>
      <c r="R212" s="62" t="s">
        <v>2491</v>
      </c>
      <c r="S212" s="62" t="s">
        <v>2491</v>
      </c>
      <c r="T212" s="62" t="s">
        <v>2491</v>
      </c>
      <c r="U212" s="83"/>
      <c r="V212" s="83"/>
      <c r="W212" s="57" t="s">
        <v>2538</v>
      </c>
      <c r="X212" s="80" t="str">
        <f aca="false">HYPERLINK(IF(AND(ISNUMBER(U212),ISNUMBER(V212)),"https://www.google.com/maps/search/?api=1&amp;query="&amp;U212&amp;","&amp;V212,"https://www.google.com/maps/search/?api=1&amp;query="&amp;SUBSTITUTE(SUBSTITUTE(SUBSTITUTE(B212&amp;", "&amp;M212&amp;", Puno, Peru"," ","+"),"&amp;","y"),"#","")),"Ver en mapa")</f>
        <v>Ver en mapa</v>
      </c>
      <c r="Y212" s="72"/>
      <c r="Z212" s="57"/>
      <c r="AA212" s="72"/>
      <c r="AB212" s="59"/>
      <c r="AC212" s="59"/>
      <c r="AD212" s="72"/>
      <c r="AE212" s="72"/>
      <c r="AF212" s="72"/>
      <c r="AG212" s="72"/>
      <c r="AH212" s="62" t="s">
        <v>2494</v>
      </c>
      <c r="AI212" s="72"/>
      <c r="AJ212" s="63" t="s">
        <v>2970</v>
      </c>
      <c r="AK212" s="81" t="str">
        <f aca="false">IF(AND(ISNUMBER(U212),ISNUMBER(V212),ISNUMBER(14_Cercania!$C$13),ISNUMBER(14_Cercania!$C$14)),6371*2*ASIN(SQRT(SIN(RADIANS(14_Cercania!$C$13-U212)/2)^2+COS(RADIANS(U212))*COS(RADIANS(14_Cercania!$C$13))*SIN(RADIANS(14_Cercania!$C$14-V212)/2)^2))+ROW()*0.000000001,"")</f>
        <v/>
      </c>
    </row>
    <row r="213" customFormat="false" ht="15" hidden="false" customHeight="false" outlineLevel="0" collapsed="false">
      <c r="A213" s="55" t="n">
        <v>211</v>
      </c>
      <c r="B213" s="56"/>
      <c r="C213" s="55"/>
      <c r="D213" s="56"/>
      <c r="E213" s="71"/>
      <c r="F213" s="57"/>
      <c r="G213" s="57"/>
      <c r="H213" s="72"/>
      <c r="I213" s="72"/>
      <c r="J213" s="72"/>
      <c r="K213" s="72"/>
      <c r="L213" s="72"/>
      <c r="M213" s="57"/>
      <c r="N213" s="57"/>
      <c r="O213" s="55"/>
      <c r="P213" s="73"/>
      <c r="Q213" s="73" t="s">
        <v>2490</v>
      </c>
      <c r="R213" s="55" t="s">
        <v>2491</v>
      </c>
      <c r="S213" s="55" t="s">
        <v>2491</v>
      </c>
      <c r="T213" s="55" t="s">
        <v>2491</v>
      </c>
      <c r="U213" s="83"/>
      <c r="V213" s="83"/>
      <c r="W213" s="57" t="s">
        <v>2538</v>
      </c>
      <c r="X213" s="76" t="str">
        <f aca="false">HYPERLINK(IF(AND(ISNUMBER(U213),ISNUMBER(V213)),"https://www.google.com/maps/search/?api=1&amp;query="&amp;U213&amp;","&amp;V213,"https://www.google.com/maps/search/?api=1&amp;query="&amp;SUBSTITUTE(SUBSTITUTE(SUBSTITUTE(B213&amp;", "&amp;M213&amp;", Puno, Peru"," ","+"),"&amp;","y"),"#","")),"Ver en mapa")</f>
        <v>Ver en mapa</v>
      </c>
      <c r="Y213" s="72"/>
      <c r="Z213" s="57"/>
      <c r="AA213" s="72"/>
      <c r="AB213" s="59"/>
      <c r="AC213" s="59"/>
      <c r="AD213" s="72"/>
      <c r="AE213" s="72"/>
      <c r="AF213" s="72"/>
      <c r="AG213" s="72"/>
      <c r="AH213" s="55" t="s">
        <v>2494</v>
      </c>
      <c r="AI213" s="72"/>
      <c r="AJ213" s="56" t="s">
        <v>2970</v>
      </c>
      <c r="AK213" s="77" t="str">
        <f aca="false">IF(AND(ISNUMBER(U213),ISNUMBER(V213),ISNUMBER(14_Cercania!$C$13),ISNUMBER(14_Cercania!$C$14)),6371*2*ASIN(SQRT(SIN(RADIANS(14_Cercania!$C$13-U213)/2)^2+COS(RADIANS(U213))*COS(RADIANS(14_Cercania!$C$13))*SIN(RADIANS(14_Cercania!$C$14-V213)/2)^2))+ROW()*0.000000001,"")</f>
        <v/>
      </c>
    </row>
    <row r="214" customFormat="false" ht="15" hidden="false" customHeight="false" outlineLevel="0" collapsed="false">
      <c r="A214" s="62" t="n">
        <v>212</v>
      </c>
      <c r="B214" s="63"/>
      <c r="C214" s="62"/>
      <c r="D214" s="63"/>
      <c r="E214" s="71"/>
      <c r="F214" s="57"/>
      <c r="G214" s="57"/>
      <c r="H214" s="72"/>
      <c r="I214" s="72"/>
      <c r="J214" s="72"/>
      <c r="K214" s="72"/>
      <c r="L214" s="72"/>
      <c r="M214" s="57"/>
      <c r="N214" s="57"/>
      <c r="O214" s="62"/>
      <c r="P214" s="78"/>
      <c r="Q214" s="78" t="s">
        <v>2490</v>
      </c>
      <c r="R214" s="62" t="s">
        <v>2491</v>
      </c>
      <c r="S214" s="62" t="s">
        <v>2491</v>
      </c>
      <c r="T214" s="62" t="s">
        <v>2491</v>
      </c>
      <c r="U214" s="83"/>
      <c r="V214" s="83"/>
      <c r="W214" s="57" t="s">
        <v>2538</v>
      </c>
      <c r="X214" s="80" t="str">
        <f aca="false">HYPERLINK(IF(AND(ISNUMBER(U214),ISNUMBER(V214)),"https://www.google.com/maps/search/?api=1&amp;query="&amp;U214&amp;","&amp;V214,"https://www.google.com/maps/search/?api=1&amp;query="&amp;SUBSTITUTE(SUBSTITUTE(SUBSTITUTE(B214&amp;", "&amp;M214&amp;", Puno, Peru"," ","+"),"&amp;","y"),"#","")),"Ver en mapa")</f>
        <v>Ver en mapa</v>
      </c>
      <c r="Y214" s="72"/>
      <c r="Z214" s="57"/>
      <c r="AA214" s="72"/>
      <c r="AB214" s="59"/>
      <c r="AC214" s="59"/>
      <c r="AD214" s="72"/>
      <c r="AE214" s="72"/>
      <c r="AF214" s="72"/>
      <c r="AG214" s="72"/>
      <c r="AH214" s="62" t="s">
        <v>2494</v>
      </c>
      <c r="AI214" s="72"/>
      <c r="AJ214" s="63" t="s">
        <v>2970</v>
      </c>
      <c r="AK214" s="81" t="str">
        <f aca="false">IF(AND(ISNUMBER(U214),ISNUMBER(V214),ISNUMBER(14_Cercania!$C$13),ISNUMBER(14_Cercania!$C$14)),6371*2*ASIN(SQRT(SIN(RADIANS(14_Cercania!$C$13-U214)/2)^2+COS(RADIANS(U214))*COS(RADIANS(14_Cercania!$C$13))*SIN(RADIANS(14_Cercania!$C$14-V214)/2)^2))+ROW()*0.000000001,"")</f>
        <v/>
      </c>
    </row>
    <row r="215" customFormat="false" ht="15" hidden="false" customHeight="false" outlineLevel="0" collapsed="false">
      <c r="A215" s="55" t="n">
        <v>213</v>
      </c>
      <c r="B215" s="56"/>
      <c r="C215" s="55"/>
      <c r="D215" s="56"/>
      <c r="E215" s="71"/>
      <c r="F215" s="57"/>
      <c r="G215" s="57"/>
      <c r="H215" s="72"/>
      <c r="I215" s="72"/>
      <c r="J215" s="72"/>
      <c r="K215" s="72"/>
      <c r="L215" s="72"/>
      <c r="M215" s="57"/>
      <c r="N215" s="57"/>
      <c r="O215" s="55"/>
      <c r="P215" s="73"/>
      <c r="Q215" s="73" t="s">
        <v>2490</v>
      </c>
      <c r="R215" s="55" t="s">
        <v>2491</v>
      </c>
      <c r="S215" s="55" t="s">
        <v>2491</v>
      </c>
      <c r="T215" s="55" t="s">
        <v>2491</v>
      </c>
      <c r="U215" s="83"/>
      <c r="V215" s="83"/>
      <c r="W215" s="57" t="s">
        <v>2538</v>
      </c>
      <c r="X215" s="76" t="str">
        <f aca="false">HYPERLINK(IF(AND(ISNUMBER(U215),ISNUMBER(V215)),"https://www.google.com/maps/search/?api=1&amp;query="&amp;U215&amp;","&amp;V215,"https://www.google.com/maps/search/?api=1&amp;query="&amp;SUBSTITUTE(SUBSTITUTE(SUBSTITUTE(B215&amp;", "&amp;M215&amp;", Puno, Peru"," ","+"),"&amp;","y"),"#","")),"Ver en mapa")</f>
        <v>Ver en mapa</v>
      </c>
      <c r="Y215" s="72"/>
      <c r="Z215" s="57"/>
      <c r="AA215" s="72"/>
      <c r="AB215" s="59"/>
      <c r="AC215" s="59"/>
      <c r="AD215" s="72"/>
      <c r="AE215" s="72"/>
      <c r="AF215" s="72"/>
      <c r="AG215" s="72"/>
      <c r="AH215" s="55" t="s">
        <v>2494</v>
      </c>
      <c r="AI215" s="72"/>
      <c r="AJ215" s="56" t="s">
        <v>2970</v>
      </c>
      <c r="AK215" s="77" t="str">
        <f aca="false">IF(AND(ISNUMBER(U215),ISNUMBER(V215),ISNUMBER(14_Cercania!$C$13),ISNUMBER(14_Cercania!$C$14)),6371*2*ASIN(SQRT(SIN(RADIANS(14_Cercania!$C$13-U215)/2)^2+COS(RADIANS(U215))*COS(RADIANS(14_Cercania!$C$13))*SIN(RADIANS(14_Cercania!$C$14-V215)/2)^2))+ROW()*0.000000001,"")</f>
        <v/>
      </c>
    </row>
    <row r="216" customFormat="false" ht="15" hidden="false" customHeight="false" outlineLevel="0" collapsed="false">
      <c r="A216" s="62" t="n">
        <v>214</v>
      </c>
      <c r="B216" s="63"/>
      <c r="C216" s="62"/>
      <c r="D216" s="63"/>
      <c r="E216" s="71"/>
      <c r="F216" s="57"/>
      <c r="G216" s="57"/>
      <c r="H216" s="72"/>
      <c r="I216" s="72"/>
      <c r="J216" s="72"/>
      <c r="K216" s="72"/>
      <c r="L216" s="72"/>
      <c r="M216" s="57"/>
      <c r="N216" s="57"/>
      <c r="O216" s="62"/>
      <c r="P216" s="78"/>
      <c r="Q216" s="78" t="s">
        <v>2490</v>
      </c>
      <c r="R216" s="62" t="s">
        <v>2491</v>
      </c>
      <c r="S216" s="62" t="s">
        <v>2491</v>
      </c>
      <c r="T216" s="62" t="s">
        <v>2491</v>
      </c>
      <c r="U216" s="83"/>
      <c r="V216" s="83"/>
      <c r="W216" s="57" t="s">
        <v>2538</v>
      </c>
      <c r="X216" s="80" t="str">
        <f aca="false">HYPERLINK(IF(AND(ISNUMBER(U216),ISNUMBER(V216)),"https://www.google.com/maps/search/?api=1&amp;query="&amp;U216&amp;","&amp;V216,"https://www.google.com/maps/search/?api=1&amp;query="&amp;SUBSTITUTE(SUBSTITUTE(SUBSTITUTE(B216&amp;", "&amp;M216&amp;", Puno, Peru"," ","+"),"&amp;","y"),"#","")),"Ver en mapa")</f>
        <v>Ver en mapa</v>
      </c>
      <c r="Y216" s="72"/>
      <c r="Z216" s="57"/>
      <c r="AA216" s="72"/>
      <c r="AB216" s="59"/>
      <c r="AC216" s="59"/>
      <c r="AD216" s="72"/>
      <c r="AE216" s="72"/>
      <c r="AF216" s="72"/>
      <c r="AG216" s="72"/>
      <c r="AH216" s="62" t="s">
        <v>2494</v>
      </c>
      <c r="AI216" s="72"/>
      <c r="AJ216" s="63" t="s">
        <v>2970</v>
      </c>
      <c r="AK216" s="81" t="str">
        <f aca="false">IF(AND(ISNUMBER(U216),ISNUMBER(V216),ISNUMBER(14_Cercania!$C$13),ISNUMBER(14_Cercania!$C$14)),6371*2*ASIN(SQRT(SIN(RADIANS(14_Cercania!$C$13-U216)/2)^2+COS(RADIANS(U216))*COS(RADIANS(14_Cercania!$C$13))*SIN(RADIANS(14_Cercania!$C$14-V216)/2)^2))+ROW()*0.000000001,"")</f>
        <v/>
      </c>
    </row>
    <row r="217" customFormat="false" ht="15" hidden="false" customHeight="false" outlineLevel="0" collapsed="false">
      <c r="A217" s="55" t="n">
        <v>215</v>
      </c>
      <c r="B217" s="56"/>
      <c r="C217" s="55"/>
      <c r="D217" s="56"/>
      <c r="E217" s="71"/>
      <c r="F217" s="57"/>
      <c r="G217" s="57"/>
      <c r="H217" s="72"/>
      <c r="I217" s="72"/>
      <c r="J217" s="72"/>
      <c r="K217" s="72"/>
      <c r="L217" s="72"/>
      <c r="M217" s="57"/>
      <c r="N217" s="57"/>
      <c r="O217" s="55"/>
      <c r="P217" s="73"/>
      <c r="Q217" s="73" t="s">
        <v>2490</v>
      </c>
      <c r="R217" s="55" t="s">
        <v>2491</v>
      </c>
      <c r="S217" s="55" t="s">
        <v>2491</v>
      </c>
      <c r="T217" s="55" t="s">
        <v>2491</v>
      </c>
      <c r="U217" s="83"/>
      <c r="V217" s="83"/>
      <c r="W217" s="57" t="s">
        <v>2538</v>
      </c>
      <c r="X217" s="76" t="str">
        <f aca="false">HYPERLINK(IF(AND(ISNUMBER(U217),ISNUMBER(V217)),"https://www.google.com/maps/search/?api=1&amp;query="&amp;U217&amp;","&amp;V217,"https://www.google.com/maps/search/?api=1&amp;query="&amp;SUBSTITUTE(SUBSTITUTE(SUBSTITUTE(B217&amp;", "&amp;M217&amp;", Puno, Peru"," ","+"),"&amp;","y"),"#","")),"Ver en mapa")</f>
        <v>Ver en mapa</v>
      </c>
      <c r="Y217" s="72"/>
      <c r="Z217" s="57"/>
      <c r="AA217" s="72"/>
      <c r="AB217" s="59"/>
      <c r="AC217" s="59"/>
      <c r="AD217" s="72"/>
      <c r="AE217" s="72"/>
      <c r="AF217" s="72"/>
      <c r="AG217" s="72"/>
      <c r="AH217" s="55" t="s">
        <v>2494</v>
      </c>
      <c r="AI217" s="72"/>
      <c r="AJ217" s="56" t="s">
        <v>2970</v>
      </c>
      <c r="AK217" s="77" t="str">
        <f aca="false">IF(AND(ISNUMBER(U217),ISNUMBER(V217),ISNUMBER(14_Cercania!$C$13),ISNUMBER(14_Cercania!$C$14)),6371*2*ASIN(SQRT(SIN(RADIANS(14_Cercania!$C$13-U217)/2)^2+COS(RADIANS(U217))*COS(RADIANS(14_Cercania!$C$13))*SIN(RADIANS(14_Cercania!$C$14-V217)/2)^2))+ROW()*0.000000001,"")</f>
        <v/>
      </c>
    </row>
    <row r="218" customFormat="false" ht="15" hidden="false" customHeight="false" outlineLevel="0" collapsed="false">
      <c r="A218" s="62" t="n">
        <v>216</v>
      </c>
      <c r="B218" s="63"/>
      <c r="C218" s="62"/>
      <c r="D218" s="63"/>
      <c r="E218" s="71"/>
      <c r="F218" s="57"/>
      <c r="G218" s="57"/>
      <c r="H218" s="72"/>
      <c r="I218" s="72"/>
      <c r="J218" s="72"/>
      <c r="K218" s="72"/>
      <c r="L218" s="72"/>
      <c r="M218" s="57"/>
      <c r="N218" s="57"/>
      <c r="O218" s="62"/>
      <c r="P218" s="78"/>
      <c r="Q218" s="78" t="s">
        <v>2490</v>
      </c>
      <c r="R218" s="62" t="s">
        <v>2491</v>
      </c>
      <c r="S218" s="62" t="s">
        <v>2491</v>
      </c>
      <c r="T218" s="62" t="s">
        <v>2491</v>
      </c>
      <c r="U218" s="83"/>
      <c r="V218" s="83"/>
      <c r="W218" s="57" t="s">
        <v>2538</v>
      </c>
      <c r="X218" s="80" t="str">
        <f aca="false">HYPERLINK(IF(AND(ISNUMBER(U218),ISNUMBER(V218)),"https://www.google.com/maps/search/?api=1&amp;query="&amp;U218&amp;","&amp;V218,"https://www.google.com/maps/search/?api=1&amp;query="&amp;SUBSTITUTE(SUBSTITUTE(SUBSTITUTE(B218&amp;", "&amp;M218&amp;", Puno, Peru"," ","+"),"&amp;","y"),"#","")),"Ver en mapa")</f>
        <v>Ver en mapa</v>
      </c>
      <c r="Y218" s="72"/>
      <c r="Z218" s="57"/>
      <c r="AA218" s="72"/>
      <c r="AB218" s="59"/>
      <c r="AC218" s="59"/>
      <c r="AD218" s="72"/>
      <c r="AE218" s="72"/>
      <c r="AF218" s="72"/>
      <c r="AG218" s="72"/>
      <c r="AH218" s="62" t="s">
        <v>2494</v>
      </c>
      <c r="AI218" s="72"/>
      <c r="AJ218" s="63" t="s">
        <v>2970</v>
      </c>
      <c r="AK218" s="81" t="str">
        <f aca="false">IF(AND(ISNUMBER(U218),ISNUMBER(V218),ISNUMBER(14_Cercania!$C$13),ISNUMBER(14_Cercania!$C$14)),6371*2*ASIN(SQRT(SIN(RADIANS(14_Cercania!$C$13-U218)/2)^2+COS(RADIANS(U218))*COS(RADIANS(14_Cercania!$C$13))*SIN(RADIANS(14_Cercania!$C$14-V218)/2)^2))+ROW()*0.000000001,"")</f>
        <v/>
      </c>
    </row>
    <row r="219" customFormat="false" ht="15" hidden="false" customHeight="false" outlineLevel="0" collapsed="false">
      <c r="A219" s="55" t="n">
        <v>217</v>
      </c>
      <c r="B219" s="56"/>
      <c r="C219" s="55"/>
      <c r="D219" s="56"/>
      <c r="E219" s="71"/>
      <c r="F219" s="57"/>
      <c r="G219" s="57"/>
      <c r="H219" s="72"/>
      <c r="I219" s="72"/>
      <c r="J219" s="72"/>
      <c r="K219" s="72"/>
      <c r="L219" s="72"/>
      <c r="M219" s="57"/>
      <c r="N219" s="57"/>
      <c r="O219" s="55"/>
      <c r="P219" s="73"/>
      <c r="Q219" s="73" t="s">
        <v>2490</v>
      </c>
      <c r="R219" s="55" t="s">
        <v>2491</v>
      </c>
      <c r="S219" s="55" t="s">
        <v>2491</v>
      </c>
      <c r="T219" s="55" t="s">
        <v>2491</v>
      </c>
      <c r="U219" s="83"/>
      <c r="V219" s="83"/>
      <c r="W219" s="57" t="s">
        <v>2538</v>
      </c>
      <c r="X219" s="76" t="str">
        <f aca="false">HYPERLINK(IF(AND(ISNUMBER(U219),ISNUMBER(V219)),"https://www.google.com/maps/search/?api=1&amp;query="&amp;U219&amp;","&amp;V219,"https://www.google.com/maps/search/?api=1&amp;query="&amp;SUBSTITUTE(SUBSTITUTE(SUBSTITUTE(B219&amp;", "&amp;M219&amp;", Puno, Peru"," ","+"),"&amp;","y"),"#","")),"Ver en mapa")</f>
        <v>Ver en mapa</v>
      </c>
      <c r="Y219" s="72"/>
      <c r="Z219" s="57"/>
      <c r="AA219" s="72"/>
      <c r="AB219" s="59"/>
      <c r="AC219" s="59"/>
      <c r="AD219" s="72"/>
      <c r="AE219" s="72"/>
      <c r="AF219" s="72"/>
      <c r="AG219" s="72"/>
      <c r="AH219" s="55" t="s">
        <v>2494</v>
      </c>
      <c r="AI219" s="72"/>
      <c r="AJ219" s="56" t="s">
        <v>2970</v>
      </c>
      <c r="AK219" s="77" t="str">
        <f aca="false">IF(AND(ISNUMBER(U219),ISNUMBER(V219),ISNUMBER(14_Cercania!$C$13),ISNUMBER(14_Cercania!$C$14)),6371*2*ASIN(SQRT(SIN(RADIANS(14_Cercania!$C$13-U219)/2)^2+COS(RADIANS(U219))*COS(RADIANS(14_Cercania!$C$13))*SIN(RADIANS(14_Cercania!$C$14-V219)/2)^2))+ROW()*0.000000001,"")</f>
        <v/>
      </c>
    </row>
    <row r="220" customFormat="false" ht="15" hidden="false" customHeight="false" outlineLevel="0" collapsed="false">
      <c r="A220" s="62" t="n">
        <v>218</v>
      </c>
      <c r="B220" s="63"/>
      <c r="C220" s="62"/>
      <c r="D220" s="63"/>
      <c r="E220" s="71"/>
      <c r="F220" s="57"/>
      <c r="G220" s="57"/>
      <c r="H220" s="72"/>
      <c r="I220" s="72"/>
      <c r="J220" s="72"/>
      <c r="K220" s="72"/>
      <c r="L220" s="72"/>
      <c r="M220" s="57"/>
      <c r="N220" s="57"/>
      <c r="O220" s="62"/>
      <c r="P220" s="78"/>
      <c r="Q220" s="78" t="s">
        <v>2490</v>
      </c>
      <c r="R220" s="62" t="s">
        <v>2491</v>
      </c>
      <c r="S220" s="62" t="s">
        <v>2491</v>
      </c>
      <c r="T220" s="62" t="s">
        <v>2491</v>
      </c>
      <c r="U220" s="83"/>
      <c r="V220" s="83"/>
      <c r="W220" s="57" t="s">
        <v>2538</v>
      </c>
      <c r="X220" s="80" t="str">
        <f aca="false">HYPERLINK(IF(AND(ISNUMBER(U220),ISNUMBER(V220)),"https://www.google.com/maps/search/?api=1&amp;query="&amp;U220&amp;","&amp;V220,"https://www.google.com/maps/search/?api=1&amp;query="&amp;SUBSTITUTE(SUBSTITUTE(SUBSTITUTE(B220&amp;", "&amp;M220&amp;", Puno, Peru"," ","+"),"&amp;","y"),"#","")),"Ver en mapa")</f>
        <v>Ver en mapa</v>
      </c>
      <c r="Y220" s="72"/>
      <c r="Z220" s="57"/>
      <c r="AA220" s="72"/>
      <c r="AB220" s="59"/>
      <c r="AC220" s="59"/>
      <c r="AD220" s="72"/>
      <c r="AE220" s="72"/>
      <c r="AF220" s="72"/>
      <c r="AG220" s="72"/>
      <c r="AH220" s="62" t="s">
        <v>2494</v>
      </c>
      <c r="AI220" s="72"/>
      <c r="AJ220" s="63" t="s">
        <v>2970</v>
      </c>
      <c r="AK220" s="81" t="str">
        <f aca="false">IF(AND(ISNUMBER(U220),ISNUMBER(V220),ISNUMBER(14_Cercania!$C$13),ISNUMBER(14_Cercania!$C$14)),6371*2*ASIN(SQRT(SIN(RADIANS(14_Cercania!$C$13-U220)/2)^2+COS(RADIANS(U220))*COS(RADIANS(14_Cercania!$C$13))*SIN(RADIANS(14_Cercania!$C$14-V220)/2)^2))+ROW()*0.000000001,"")</f>
        <v/>
      </c>
    </row>
    <row r="221" customFormat="false" ht="15" hidden="false" customHeight="false" outlineLevel="0" collapsed="false">
      <c r="A221" s="55" t="n">
        <v>219</v>
      </c>
      <c r="B221" s="56"/>
      <c r="C221" s="55"/>
      <c r="D221" s="56"/>
      <c r="E221" s="71"/>
      <c r="F221" s="57"/>
      <c r="G221" s="57"/>
      <c r="H221" s="72"/>
      <c r="I221" s="72"/>
      <c r="J221" s="72"/>
      <c r="K221" s="72"/>
      <c r="L221" s="72"/>
      <c r="M221" s="57"/>
      <c r="N221" s="57"/>
      <c r="O221" s="55"/>
      <c r="P221" s="73"/>
      <c r="Q221" s="73" t="s">
        <v>2490</v>
      </c>
      <c r="R221" s="55" t="s">
        <v>2491</v>
      </c>
      <c r="S221" s="55" t="s">
        <v>2491</v>
      </c>
      <c r="T221" s="55" t="s">
        <v>2491</v>
      </c>
      <c r="U221" s="83"/>
      <c r="V221" s="83"/>
      <c r="W221" s="57" t="s">
        <v>2538</v>
      </c>
      <c r="X221" s="76" t="str">
        <f aca="false">HYPERLINK(IF(AND(ISNUMBER(U221),ISNUMBER(V221)),"https://www.google.com/maps/search/?api=1&amp;query="&amp;U221&amp;","&amp;V221,"https://www.google.com/maps/search/?api=1&amp;query="&amp;SUBSTITUTE(SUBSTITUTE(SUBSTITUTE(B221&amp;", "&amp;M221&amp;", Puno, Peru"," ","+"),"&amp;","y"),"#","")),"Ver en mapa")</f>
        <v>Ver en mapa</v>
      </c>
      <c r="Y221" s="72"/>
      <c r="Z221" s="57"/>
      <c r="AA221" s="72"/>
      <c r="AB221" s="59"/>
      <c r="AC221" s="59"/>
      <c r="AD221" s="72"/>
      <c r="AE221" s="72"/>
      <c r="AF221" s="72"/>
      <c r="AG221" s="72"/>
      <c r="AH221" s="55" t="s">
        <v>2494</v>
      </c>
      <c r="AI221" s="72"/>
      <c r="AJ221" s="56" t="s">
        <v>2970</v>
      </c>
      <c r="AK221" s="77" t="str">
        <f aca="false">IF(AND(ISNUMBER(U221),ISNUMBER(V221),ISNUMBER(14_Cercania!$C$13),ISNUMBER(14_Cercania!$C$14)),6371*2*ASIN(SQRT(SIN(RADIANS(14_Cercania!$C$13-U221)/2)^2+COS(RADIANS(U221))*COS(RADIANS(14_Cercania!$C$13))*SIN(RADIANS(14_Cercania!$C$14-V221)/2)^2))+ROW()*0.000000001,"")</f>
        <v/>
      </c>
    </row>
    <row r="222" customFormat="false" ht="15" hidden="false" customHeight="false" outlineLevel="0" collapsed="false">
      <c r="A222" s="62" t="n">
        <v>220</v>
      </c>
      <c r="B222" s="63"/>
      <c r="C222" s="62"/>
      <c r="D222" s="63"/>
      <c r="E222" s="71"/>
      <c r="F222" s="57"/>
      <c r="G222" s="57"/>
      <c r="H222" s="72"/>
      <c r="I222" s="72"/>
      <c r="J222" s="72"/>
      <c r="K222" s="72"/>
      <c r="L222" s="72"/>
      <c r="M222" s="57"/>
      <c r="N222" s="57"/>
      <c r="O222" s="62"/>
      <c r="P222" s="78"/>
      <c r="Q222" s="78" t="s">
        <v>2490</v>
      </c>
      <c r="R222" s="62" t="s">
        <v>2491</v>
      </c>
      <c r="S222" s="62" t="s">
        <v>2491</v>
      </c>
      <c r="T222" s="62" t="s">
        <v>2491</v>
      </c>
      <c r="U222" s="83"/>
      <c r="V222" s="83"/>
      <c r="W222" s="57" t="s">
        <v>2538</v>
      </c>
      <c r="X222" s="80" t="str">
        <f aca="false">HYPERLINK(IF(AND(ISNUMBER(U222),ISNUMBER(V222)),"https://www.google.com/maps/search/?api=1&amp;query="&amp;U222&amp;","&amp;V222,"https://www.google.com/maps/search/?api=1&amp;query="&amp;SUBSTITUTE(SUBSTITUTE(SUBSTITUTE(B222&amp;", "&amp;M222&amp;", Puno, Peru"," ","+"),"&amp;","y"),"#","")),"Ver en mapa")</f>
        <v>Ver en mapa</v>
      </c>
      <c r="Y222" s="72"/>
      <c r="Z222" s="57"/>
      <c r="AA222" s="72"/>
      <c r="AB222" s="59"/>
      <c r="AC222" s="59"/>
      <c r="AD222" s="72"/>
      <c r="AE222" s="72"/>
      <c r="AF222" s="72"/>
      <c r="AG222" s="72"/>
      <c r="AH222" s="62" t="s">
        <v>2494</v>
      </c>
      <c r="AI222" s="72"/>
      <c r="AJ222" s="63" t="s">
        <v>2970</v>
      </c>
      <c r="AK222" s="81" t="str">
        <f aca="false">IF(AND(ISNUMBER(U222),ISNUMBER(V222),ISNUMBER(14_Cercania!$C$13),ISNUMBER(14_Cercania!$C$14)),6371*2*ASIN(SQRT(SIN(RADIANS(14_Cercania!$C$13-U222)/2)^2+COS(RADIANS(U222))*COS(RADIANS(14_Cercania!$C$13))*SIN(RADIANS(14_Cercania!$C$14-V222)/2)^2))+ROW()*0.000000001,"")</f>
        <v/>
      </c>
    </row>
    <row r="223" customFormat="false" ht="15" hidden="false" customHeight="false" outlineLevel="0" collapsed="false">
      <c r="A223" s="55" t="n">
        <v>221</v>
      </c>
      <c r="B223" s="56"/>
      <c r="C223" s="55"/>
      <c r="D223" s="56"/>
      <c r="E223" s="71"/>
      <c r="F223" s="57"/>
      <c r="G223" s="57"/>
      <c r="H223" s="72"/>
      <c r="I223" s="72"/>
      <c r="J223" s="72"/>
      <c r="K223" s="72"/>
      <c r="L223" s="72"/>
      <c r="M223" s="57"/>
      <c r="N223" s="57"/>
      <c r="O223" s="55"/>
      <c r="P223" s="73"/>
      <c r="Q223" s="73" t="s">
        <v>2490</v>
      </c>
      <c r="R223" s="55" t="s">
        <v>2491</v>
      </c>
      <c r="S223" s="55" t="s">
        <v>2491</v>
      </c>
      <c r="T223" s="55" t="s">
        <v>2491</v>
      </c>
      <c r="U223" s="83"/>
      <c r="V223" s="83"/>
      <c r="W223" s="57" t="s">
        <v>2538</v>
      </c>
      <c r="X223" s="76" t="str">
        <f aca="false">HYPERLINK(IF(AND(ISNUMBER(U223),ISNUMBER(V223)),"https://www.google.com/maps/search/?api=1&amp;query="&amp;U223&amp;","&amp;V223,"https://www.google.com/maps/search/?api=1&amp;query="&amp;SUBSTITUTE(SUBSTITUTE(SUBSTITUTE(B223&amp;", "&amp;M223&amp;", Puno, Peru"," ","+"),"&amp;","y"),"#","")),"Ver en mapa")</f>
        <v>Ver en mapa</v>
      </c>
      <c r="Y223" s="72"/>
      <c r="Z223" s="57"/>
      <c r="AA223" s="72"/>
      <c r="AB223" s="59"/>
      <c r="AC223" s="59"/>
      <c r="AD223" s="72"/>
      <c r="AE223" s="72"/>
      <c r="AF223" s="72"/>
      <c r="AG223" s="72"/>
      <c r="AH223" s="55" t="s">
        <v>2494</v>
      </c>
      <c r="AI223" s="72"/>
      <c r="AJ223" s="56" t="s">
        <v>2970</v>
      </c>
      <c r="AK223" s="77" t="str">
        <f aca="false">IF(AND(ISNUMBER(U223),ISNUMBER(V223),ISNUMBER(14_Cercania!$C$13),ISNUMBER(14_Cercania!$C$14)),6371*2*ASIN(SQRT(SIN(RADIANS(14_Cercania!$C$13-U223)/2)^2+COS(RADIANS(U223))*COS(RADIANS(14_Cercania!$C$13))*SIN(RADIANS(14_Cercania!$C$14-V223)/2)^2))+ROW()*0.000000001,"")</f>
        <v/>
      </c>
    </row>
    <row r="224" customFormat="false" ht="15" hidden="false" customHeight="false" outlineLevel="0" collapsed="false">
      <c r="A224" s="62" t="n">
        <v>222</v>
      </c>
      <c r="B224" s="63"/>
      <c r="C224" s="62"/>
      <c r="D224" s="63"/>
      <c r="E224" s="71"/>
      <c r="F224" s="57"/>
      <c r="G224" s="57"/>
      <c r="H224" s="72"/>
      <c r="I224" s="72"/>
      <c r="J224" s="72"/>
      <c r="K224" s="72"/>
      <c r="L224" s="72"/>
      <c r="M224" s="57"/>
      <c r="N224" s="57"/>
      <c r="O224" s="62"/>
      <c r="P224" s="78"/>
      <c r="Q224" s="78" t="s">
        <v>2490</v>
      </c>
      <c r="R224" s="62" t="s">
        <v>2491</v>
      </c>
      <c r="S224" s="62" t="s">
        <v>2491</v>
      </c>
      <c r="T224" s="62" t="s">
        <v>2491</v>
      </c>
      <c r="U224" s="83"/>
      <c r="V224" s="83"/>
      <c r="W224" s="57" t="s">
        <v>2538</v>
      </c>
      <c r="X224" s="80" t="str">
        <f aca="false">HYPERLINK(IF(AND(ISNUMBER(U224),ISNUMBER(V224)),"https://www.google.com/maps/search/?api=1&amp;query="&amp;U224&amp;","&amp;V224,"https://www.google.com/maps/search/?api=1&amp;query="&amp;SUBSTITUTE(SUBSTITUTE(SUBSTITUTE(B224&amp;", "&amp;M224&amp;", Puno, Peru"," ","+"),"&amp;","y"),"#","")),"Ver en mapa")</f>
        <v>Ver en mapa</v>
      </c>
      <c r="Y224" s="72"/>
      <c r="Z224" s="57"/>
      <c r="AA224" s="72"/>
      <c r="AB224" s="59"/>
      <c r="AC224" s="59"/>
      <c r="AD224" s="72"/>
      <c r="AE224" s="72"/>
      <c r="AF224" s="72"/>
      <c r="AG224" s="72"/>
      <c r="AH224" s="62" t="s">
        <v>2494</v>
      </c>
      <c r="AI224" s="72"/>
      <c r="AJ224" s="63" t="s">
        <v>2970</v>
      </c>
      <c r="AK224" s="81" t="str">
        <f aca="false">IF(AND(ISNUMBER(U224),ISNUMBER(V224),ISNUMBER(14_Cercania!$C$13),ISNUMBER(14_Cercania!$C$14)),6371*2*ASIN(SQRT(SIN(RADIANS(14_Cercania!$C$13-U224)/2)^2+COS(RADIANS(U224))*COS(RADIANS(14_Cercania!$C$13))*SIN(RADIANS(14_Cercania!$C$14-V224)/2)^2))+ROW()*0.000000001,"")</f>
        <v/>
      </c>
    </row>
    <row r="225" customFormat="false" ht="15" hidden="false" customHeight="false" outlineLevel="0" collapsed="false">
      <c r="A225" s="55" t="n">
        <v>223</v>
      </c>
      <c r="B225" s="56"/>
      <c r="C225" s="55"/>
      <c r="D225" s="56"/>
      <c r="E225" s="71"/>
      <c r="F225" s="57"/>
      <c r="G225" s="57"/>
      <c r="H225" s="72"/>
      <c r="I225" s="72"/>
      <c r="J225" s="72"/>
      <c r="K225" s="72"/>
      <c r="L225" s="72"/>
      <c r="M225" s="57"/>
      <c r="N225" s="57"/>
      <c r="O225" s="55"/>
      <c r="P225" s="73"/>
      <c r="Q225" s="73" t="s">
        <v>2490</v>
      </c>
      <c r="R225" s="55" t="s">
        <v>2491</v>
      </c>
      <c r="S225" s="55" t="s">
        <v>2491</v>
      </c>
      <c r="T225" s="55" t="s">
        <v>2491</v>
      </c>
      <c r="U225" s="83"/>
      <c r="V225" s="83"/>
      <c r="W225" s="57" t="s">
        <v>2538</v>
      </c>
      <c r="X225" s="76" t="str">
        <f aca="false">HYPERLINK(IF(AND(ISNUMBER(U225),ISNUMBER(V225)),"https://www.google.com/maps/search/?api=1&amp;query="&amp;U225&amp;","&amp;V225,"https://www.google.com/maps/search/?api=1&amp;query="&amp;SUBSTITUTE(SUBSTITUTE(SUBSTITUTE(B225&amp;", "&amp;M225&amp;", Puno, Peru"," ","+"),"&amp;","y"),"#","")),"Ver en mapa")</f>
        <v>Ver en mapa</v>
      </c>
      <c r="Y225" s="72"/>
      <c r="Z225" s="57"/>
      <c r="AA225" s="72"/>
      <c r="AB225" s="59"/>
      <c r="AC225" s="59"/>
      <c r="AD225" s="72"/>
      <c r="AE225" s="72"/>
      <c r="AF225" s="72"/>
      <c r="AG225" s="72"/>
      <c r="AH225" s="55" t="s">
        <v>2494</v>
      </c>
      <c r="AI225" s="72"/>
      <c r="AJ225" s="56" t="s">
        <v>2970</v>
      </c>
      <c r="AK225" s="77" t="str">
        <f aca="false">IF(AND(ISNUMBER(U225),ISNUMBER(V225),ISNUMBER(14_Cercania!$C$13),ISNUMBER(14_Cercania!$C$14)),6371*2*ASIN(SQRT(SIN(RADIANS(14_Cercania!$C$13-U225)/2)^2+COS(RADIANS(U225))*COS(RADIANS(14_Cercania!$C$13))*SIN(RADIANS(14_Cercania!$C$14-V225)/2)^2))+ROW()*0.000000001,"")</f>
        <v/>
      </c>
    </row>
    <row r="226" customFormat="false" ht="15" hidden="false" customHeight="false" outlineLevel="0" collapsed="false">
      <c r="A226" s="62" t="n">
        <v>224</v>
      </c>
      <c r="B226" s="63"/>
      <c r="C226" s="62"/>
      <c r="D226" s="63"/>
      <c r="E226" s="71"/>
      <c r="F226" s="57"/>
      <c r="G226" s="57"/>
      <c r="H226" s="72"/>
      <c r="I226" s="72"/>
      <c r="J226" s="72"/>
      <c r="K226" s="72"/>
      <c r="L226" s="72"/>
      <c r="M226" s="57"/>
      <c r="N226" s="57"/>
      <c r="O226" s="62"/>
      <c r="P226" s="78"/>
      <c r="Q226" s="78" t="s">
        <v>2490</v>
      </c>
      <c r="R226" s="62" t="s">
        <v>2491</v>
      </c>
      <c r="S226" s="62" t="s">
        <v>2491</v>
      </c>
      <c r="T226" s="62" t="s">
        <v>2491</v>
      </c>
      <c r="U226" s="83"/>
      <c r="V226" s="83"/>
      <c r="W226" s="57" t="s">
        <v>2538</v>
      </c>
      <c r="X226" s="80" t="str">
        <f aca="false">HYPERLINK(IF(AND(ISNUMBER(U226),ISNUMBER(V226)),"https://www.google.com/maps/search/?api=1&amp;query="&amp;U226&amp;","&amp;V226,"https://www.google.com/maps/search/?api=1&amp;query="&amp;SUBSTITUTE(SUBSTITUTE(SUBSTITUTE(B226&amp;", "&amp;M226&amp;", Puno, Peru"," ","+"),"&amp;","y"),"#","")),"Ver en mapa")</f>
        <v>Ver en mapa</v>
      </c>
      <c r="Y226" s="72"/>
      <c r="Z226" s="57"/>
      <c r="AA226" s="72"/>
      <c r="AB226" s="59"/>
      <c r="AC226" s="59"/>
      <c r="AD226" s="72"/>
      <c r="AE226" s="72"/>
      <c r="AF226" s="72"/>
      <c r="AG226" s="72"/>
      <c r="AH226" s="62" t="s">
        <v>2494</v>
      </c>
      <c r="AI226" s="72"/>
      <c r="AJ226" s="63" t="s">
        <v>2970</v>
      </c>
      <c r="AK226" s="81" t="str">
        <f aca="false">IF(AND(ISNUMBER(U226),ISNUMBER(V226),ISNUMBER(14_Cercania!$C$13),ISNUMBER(14_Cercania!$C$14)),6371*2*ASIN(SQRT(SIN(RADIANS(14_Cercania!$C$13-U226)/2)^2+COS(RADIANS(U226))*COS(RADIANS(14_Cercania!$C$13))*SIN(RADIANS(14_Cercania!$C$14-V226)/2)^2))+ROW()*0.000000001,"")</f>
        <v/>
      </c>
    </row>
    <row r="227" customFormat="false" ht="15" hidden="false" customHeight="false" outlineLevel="0" collapsed="false">
      <c r="A227" s="55" t="n">
        <v>225</v>
      </c>
      <c r="B227" s="56"/>
      <c r="C227" s="55"/>
      <c r="D227" s="56"/>
      <c r="E227" s="71"/>
      <c r="F227" s="57"/>
      <c r="G227" s="57"/>
      <c r="H227" s="72"/>
      <c r="I227" s="72"/>
      <c r="J227" s="72"/>
      <c r="K227" s="72"/>
      <c r="L227" s="72"/>
      <c r="M227" s="57"/>
      <c r="N227" s="57"/>
      <c r="O227" s="55"/>
      <c r="P227" s="73"/>
      <c r="Q227" s="73" t="s">
        <v>2490</v>
      </c>
      <c r="R227" s="55" t="s">
        <v>2491</v>
      </c>
      <c r="S227" s="55" t="s">
        <v>2491</v>
      </c>
      <c r="T227" s="55" t="s">
        <v>2491</v>
      </c>
      <c r="U227" s="83"/>
      <c r="V227" s="83"/>
      <c r="W227" s="57" t="s">
        <v>2538</v>
      </c>
      <c r="X227" s="76" t="str">
        <f aca="false">HYPERLINK(IF(AND(ISNUMBER(U227),ISNUMBER(V227)),"https://www.google.com/maps/search/?api=1&amp;query="&amp;U227&amp;","&amp;V227,"https://www.google.com/maps/search/?api=1&amp;query="&amp;SUBSTITUTE(SUBSTITUTE(SUBSTITUTE(B227&amp;", "&amp;M227&amp;", Puno, Peru"," ","+"),"&amp;","y"),"#","")),"Ver en mapa")</f>
        <v>Ver en mapa</v>
      </c>
      <c r="Y227" s="72"/>
      <c r="Z227" s="57"/>
      <c r="AA227" s="72"/>
      <c r="AB227" s="59"/>
      <c r="AC227" s="59"/>
      <c r="AD227" s="72"/>
      <c r="AE227" s="72"/>
      <c r="AF227" s="72"/>
      <c r="AG227" s="72"/>
      <c r="AH227" s="55" t="s">
        <v>2494</v>
      </c>
      <c r="AI227" s="72"/>
      <c r="AJ227" s="56" t="s">
        <v>2970</v>
      </c>
      <c r="AK227" s="77" t="str">
        <f aca="false">IF(AND(ISNUMBER(U227),ISNUMBER(V227),ISNUMBER(14_Cercania!$C$13),ISNUMBER(14_Cercania!$C$14)),6371*2*ASIN(SQRT(SIN(RADIANS(14_Cercania!$C$13-U227)/2)^2+COS(RADIANS(U227))*COS(RADIANS(14_Cercania!$C$13))*SIN(RADIANS(14_Cercania!$C$14-V227)/2)^2))+ROW()*0.000000001,"")</f>
        <v/>
      </c>
    </row>
    <row r="228" customFormat="false" ht="15" hidden="false" customHeight="false" outlineLevel="0" collapsed="false">
      <c r="A228" s="62" t="n">
        <v>226</v>
      </c>
      <c r="B228" s="63"/>
      <c r="C228" s="62"/>
      <c r="D228" s="63"/>
      <c r="E228" s="71"/>
      <c r="F228" s="57"/>
      <c r="G228" s="57"/>
      <c r="H228" s="72"/>
      <c r="I228" s="72"/>
      <c r="J228" s="72"/>
      <c r="K228" s="72"/>
      <c r="L228" s="72"/>
      <c r="M228" s="57"/>
      <c r="N228" s="57"/>
      <c r="O228" s="62"/>
      <c r="P228" s="78"/>
      <c r="Q228" s="78" t="s">
        <v>2490</v>
      </c>
      <c r="R228" s="62" t="s">
        <v>2491</v>
      </c>
      <c r="S228" s="62" t="s">
        <v>2491</v>
      </c>
      <c r="T228" s="62" t="s">
        <v>2491</v>
      </c>
      <c r="U228" s="83"/>
      <c r="V228" s="83"/>
      <c r="W228" s="57" t="s">
        <v>2538</v>
      </c>
      <c r="X228" s="80" t="str">
        <f aca="false">HYPERLINK(IF(AND(ISNUMBER(U228),ISNUMBER(V228)),"https://www.google.com/maps/search/?api=1&amp;query="&amp;U228&amp;","&amp;V228,"https://www.google.com/maps/search/?api=1&amp;query="&amp;SUBSTITUTE(SUBSTITUTE(SUBSTITUTE(B228&amp;", "&amp;M228&amp;", Puno, Peru"," ","+"),"&amp;","y"),"#","")),"Ver en mapa")</f>
        <v>Ver en mapa</v>
      </c>
      <c r="Y228" s="72"/>
      <c r="Z228" s="57"/>
      <c r="AA228" s="72"/>
      <c r="AB228" s="59"/>
      <c r="AC228" s="59"/>
      <c r="AD228" s="72"/>
      <c r="AE228" s="72"/>
      <c r="AF228" s="72"/>
      <c r="AG228" s="72"/>
      <c r="AH228" s="62" t="s">
        <v>2494</v>
      </c>
      <c r="AI228" s="72"/>
      <c r="AJ228" s="63" t="s">
        <v>2970</v>
      </c>
      <c r="AK228" s="81" t="str">
        <f aca="false">IF(AND(ISNUMBER(U228),ISNUMBER(V228),ISNUMBER(14_Cercania!$C$13),ISNUMBER(14_Cercania!$C$14)),6371*2*ASIN(SQRT(SIN(RADIANS(14_Cercania!$C$13-U228)/2)^2+COS(RADIANS(U228))*COS(RADIANS(14_Cercania!$C$13))*SIN(RADIANS(14_Cercania!$C$14-V228)/2)^2))+ROW()*0.000000001,"")</f>
        <v/>
      </c>
    </row>
    <row r="229" customFormat="false" ht="15" hidden="false" customHeight="false" outlineLevel="0" collapsed="false">
      <c r="A229" s="55" t="n">
        <v>227</v>
      </c>
      <c r="B229" s="56"/>
      <c r="C229" s="55"/>
      <c r="D229" s="56"/>
      <c r="E229" s="71"/>
      <c r="F229" s="57"/>
      <c r="G229" s="57"/>
      <c r="H229" s="72"/>
      <c r="I229" s="72"/>
      <c r="J229" s="72"/>
      <c r="K229" s="72"/>
      <c r="L229" s="72"/>
      <c r="M229" s="57"/>
      <c r="N229" s="57"/>
      <c r="O229" s="55"/>
      <c r="P229" s="73"/>
      <c r="Q229" s="73" t="s">
        <v>2490</v>
      </c>
      <c r="R229" s="55" t="s">
        <v>2491</v>
      </c>
      <c r="S229" s="55" t="s">
        <v>2491</v>
      </c>
      <c r="T229" s="55" t="s">
        <v>2491</v>
      </c>
      <c r="U229" s="83"/>
      <c r="V229" s="83"/>
      <c r="W229" s="57" t="s">
        <v>2538</v>
      </c>
      <c r="X229" s="76" t="str">
        <f aca="false">HYPERLINK(IF(AND(ISNUMBER(U229),ISNUMBER(V229)),"https://www.google.com/maps/search/?api=1&amp;query="&amp;U229&amp;","&amp;V229,"https://www.google.com/maps/search/?api=1&amp;query="&amp;SUBSTITUTE(SUBSTITUTE(SUBSTITUTE(B229&amp;", "&amp;M229&amp;", Puno, Peru"," ","+"),"&amp;","y"),"#","")),"Ver en mapa")</f>
        <v>Ver en mapa</v>
      </c>
      <c r="Y229" s="72"/>
      <c r="Z229" s="57"/>
      <c r="AA229" s="72"/>
      <c r="AB229" s="59"/>
      <c r="AC229" s="59"/>
      <c r="AD229" s="72"/>
      <c r="AE229" s="72"/>
      <c r="AF229" s="72"/>
      <c r="AG229" s="72"/>
      <c r="AH229" s="55" t="s">
        <v>2494</v>
      </c>
      <c r="AI229" s="72"/>
      <c r="AJ229" s="56" t="s">
        <v>2970</v>
      </c>
      <c r="AK229" s="77" t="str">
        <f aca="false">IF(AND(ISNUMBER(U229),ISNUMBER(V229),ISNUMBER(14_Cercania!$C$13),ISNUMBER(14_Cercania!$C$14)),6371*2*ASIN(SQRT(SIN(RADIANS(14_Cercania!$C$13-U229)/2)^2+COS(RADIANS(U229))*COS(RADIANS(14_Cercania!$C$13))*SIN(RADIANS(14_Cercania!$C$14-V229)/2)^2))+ROW()*0.000000001,"")</f>
        <v/>
      </c>
    </row>
    <row r="230" customFormat="false" ht="15" hidden="false" customHeight="false" outlineLevel="0" collapsed="false">
      <c r="A230" s="62" t="n">
        <v>228</v>
      </c>
      <c r="B230" s="63"/>
      <c r="C230" s="62"/>
      <c r="D230" s="63"/>
      <c r="E230" s="71"/>
      <c r="F230" s="57"/>
      <c r="G230" s="57"/>
      <c r="H230" s="72"/>
      <c r="I230" s="72"/>
      <c r="J230" s="72"/>
      <c r="K230" s="72"/>
      <c r="L230" s="72"/>
      <c r="M230" s="57"/>
      <c r="N230" s="57"/>
      <c r="O230" s="62"/>
      <c r="P230" s="78"/>
      <c r="Q230" s="78" t="s">
        <v>2490</v>
      </c>
      <c r="R230" s="62" t="s">
        <v>2491</v>
      </c>
      <c r="S230" s="62" t="s">
        <v>2491</v>
      </c>
      <c r="T230" s="62" t="s">
        <v>2491</v>
      </c>
      <c r="U230" s="83"/>
      <c r="V230" s="83"/>
      <c r="W230" s="57" t="s">
        <v>2538</v>
      </c>
      <c r="X230" s="80" t="str">
        <f aca="false">HYPERLINK(IF(AND(ISNUMBER(U230),ISNUMBER(V230)),"https://www.google.com/maps/search/?api=1&amp;query="&amp;U230&amp;","&amp;V230,"https://www.google.com/maps/search/?api=1&amp;query="&amp;SUBSTITUTE(SUBSTITUTE(SUBSTITUTE(B230&amp;", "&amp;M230&amp;", Puno, Peru"," ","+"),"&amp;","y"),"#","")),"Ver en mapa")</f>
        <v>Ver en mapa</v>
      </c>
      <c r="Y230" s="72"/>
      <c r="Z230" s="57"/>
      <c r="AA230" s="72"/>
      <c r="AB230" s="59"/>
      <c r="AC230" s="59"/>
      <c r="AD230" s="72"/>
      <c r="AE230" s="72"/>
      <c r="AF230" s="72"/>
      <c r="AG230" s="72"/>
      <c r="AH230" s="62" t="s">
        <v>2494</v>
      </c>
      <c r="AI230" s="72"/>
      <c r="AJ230" s="63" t="s">
        <v>2970</v>
      </c>
      <c r="AK230" s="81" t="str">
        <f aca="false">IF(AND(ISNUMBER(U230),ISNUMBER(V230),ISNUMBER(14_Cercania!$C$13),ISNUMBER(14_Cercania!$C$14)),6371*2*ASIN(SQRT(SIN(RADIANS(14_Cercania!$C$13-U230)/2)^2+COS(RADIANS(U230))*COS(RADIANS(14_Cercania!$C$13))*SIN(RADIANS(14_Cercania!$C$14-V230)/2)^2))+ROW()*0.000000001,"")</f>
        <v/>
      </c>
    </row>
    <row r="231" customFormat="false" ht="15" hidden="false" customHeight="false" outlineLevel="0" collapsed="false">
      <c r="A231" s="55" t="n">
        <v>229</v>
      </c>
      <c r="B231" s="56"/>
      <c r="C231" s="55"/>
      <c r="D231" s="56"/>
      <c r="E231" s="71"/>
      <c r="F231" s="57"/>
      <c r="G231" s="57"/>
      <c r="H231" s="72"/>
      <c r="I231" s="72"/>
      <c r="J231" s="72"/>
      <c r="K231" s="72"/>
      <c r="L231" s="72"/>
      <c r="M231" s="57"/>
      <c r="N231" s="57"/>
      <c r="O231" s="55"/>
      <c r="P231" s="73"/>
      <c r="Q231" s="73" t="s">
        <v>2490</v>
      </c>
      <c r="R231" s="55" t="s">
        <v>2491</v>
      </c>
      <c r="S231" s="55" t="s">
        <v>2491</v>
      </c>
      <c r="T231" s="55" t="s">
        <v>2491</v>
      </c>
      <c r="U231" s="83"/>
      <c r="V231" s="83"/>
      <c r="W231" s="57" t="s">
        <v>2538</v>
      </c>
      <c r="X231" s="76" t="str">
        <f aca="false">HYPERLINK(IF(AND(ISNUMBER(U231),ISNUMBER(V231)),"https://www.google.com/maps/search/?api=1&amp;query="&amp;U231&amp;","&amp;V231,"https://www.google.com/maps/search/?api=1&amp;query="&amp;SUBSTITUTE(SUBSTITUTE(SUBSTITUTE(B231&amp;", "&amp;M231&amp;", Puno, Peru"," ","+"),"&amp;","y"),"#","")),"Ver en mapa")</f>
        <v>Ver en mapa</v>
      </c>
      <c r="Y231" s="72"/>
      <c r="Z231" s="57"/>
      <c r="AA231" s="72"/>
      <c r="AB231" s="59"/>
      <c r="AC231" s="59"/>
      <c r="AD231" s="72"/>
      <c r="AE231" s="72"/>
      <c r="AF231" s="72"/>
      <c r="AG231" s="72"/>
      <c r="AH231" s="55" t="s">
        <v>2494</v>
      </c>
      <c r="AI231" s="72"/>
      <c r="AJ231" s="56" t="s">
        <v>2970</v>
      </c>
      <c r="AK231" s="77" t="str">
        <f aca="false">IF(AND(ISNUMBER(U231),ISNUMBER(V231),ISNUMBER(14_Cercania!$C$13),ISNUMBER(14_Cercania!$C$14)),6371*2*ASIN(SQRT(SIN(RADIANS(14_Cercania!$C$13-U231)/2)^2+COS(RADIANS(U231))*COS(RADIANS(14_Cercania!$C$13))*SIN(RADIANS(14_Cercania!$C$14-V231)/2)^2))+ROW()*0.000000001,"")</f>
        <v/>
      </c>
    </row>
    <row r="232" customFormat="false" ht="15" hidden="false" customHeight="false" outlineLevel="0" collapsed="false">
      <c r="A232" s="62" t="n">
        <v>230</v>
      </c>
      <c r="B232" s="63"/>
      <c r="C232" s="62"/>
      <c r="D232" s="63"/>
      <c r="E232" s="71"/>
      <c r="F232" s="57"/>
      <c r="G232" s="57"/>
      <c r="H232" s="72"/>
      <c r="I232" s="72"/>
      <c r="J232" s="72"/>
      <c r="K232" s="72"/>
      <c r="L232" s="72"/>
      <c r="M232" s="57"/>
      <c r="N232" s="57"/>
      <c r="O232" s="62"/>
      <c r="P232" s="78"/>
      <c r="Q232" s="78" t="s">
        <v>2490</v>
      </c>
      <c r="R232" s="62" t="s">
        <v>2491</v>
      </c>
      <c r="S232" s="62" t="s">
        <v>2491</v>
      </c>
      <c r="T232" s="62" t="s">
        <v>2491</v>
      </c>
      <c r="U232" s="83"/>
      <c r="V232" s="83"/>
      <c r="W232" s="57" t="s">
        <v>2538</v>
      </c>
      <c r="X232" s="80" t="str">
        <f aca="false">HYPERLINK(IF(AND(ISNUMBER(U232),ISNUMBER(V232)),"https://www.google.com/maps/search/?api=1&amp;query="&amp;U232&amp;","&amp;V232,"https://www.google.com/maps/search/?api=1&amp;query="&amp;SUBSTITUTE(SUBSTITUTE(SUBSTITUTE(B232&amp;", "&amp;M232&amp;", Puno, Peru"," ","+"),"&amp;","y"),"#","")),"Ver en mapa")</f>
        <v>Ver en mapa</v>
      </c>
      <c r="Y232" s="72"/>
      <c r="Z232" s="57"/>
      <c r="AA232" s="72"/>
      <c r="AB232" s="59"/>
      <c r="AC232" s="59"/>
      <c r="AD232" s="72"/>
      <c r="AE232" s="72"/>
      <c r="AF232" s="72"/>
      <c r="AG232" s="72"/>
      <c r="AH232" s="62" t="s">
        <v>2494</v>
      </c>
      <c r="AI232" s="72"/>
      <c r="AJ232" s="63" t="s">
        <v>2970</v>
      </c>
      <c r="AK232" s="81" t="str">
        <f aca="false">IF(AND(ISNUMBER(U232),ISNUMBER(V232),ISNUMBER(14_Cercania!$C$13),ISNUMBER(14_Cercania!$C$14)),6371*2*ASIN(SQRT(SIN(RADIANS(14_Cercania!$C$13-U232)/2)^2+COS(RADIANS(U232))*COS(RADIANS(14_Cercania!$C$13))*SIN(RADIANS(14_Cercania!$C$14-V232)/2)^2))+ROW()*0.000000001,"")</f>
        <v/>
      </c>
    </row>
    <row r="233" customFormat="false" ht="15" hidden="false" customHeight="false" outlineLevel="0" collapsed="false">
      <c r="A233" s="55" t="n">
        <v>231</v>
      </c>
      <c r="B233" s="56"/>
      <c r="C233" s="55"/>
      <c r="D233" s="56"/>
      <c r="E233" s="71"/>
      <c r="F233" s="57"/>
      <c r="G233" s="57"/>
      <c r="H233" s="72"/>
      <c r="I233" s="72"/>
      <c r="J233" s="72"/>
      <c r="K233" s="72"/>
      <c r="L233" s="72"/>
      <c r="M233" s="57"/>
      <c r="N233" s="57"/>
      <c r="O233" s="55"/>
      <c r="P233" s="73"/>
      <c r="Q233" s="73" t="s">
        <v>2490</v>
      </c>
      <c r="R233" s="55" t="s">
        <v>2491</v>
      </c>
      <c r="S233" s="55" t="s">
        <v>2491</v>
      </c>
      <c r="T233" s="55" t="s">
        <v>2491</v>
      </c>
      <c r="U233" s="83"/>
      <c r="V233" s="83"/>
      <c r="W233" s="57" t="s">
        <v>2538</v>
      </c>
      <c r="X233" s="76" t="str">
        <f aca="false">HYPERLINK(IF(AND(ISNUMBER(U233),ISNUMBER(V233)),"https://www.google.com/maps/search/?api=1&amp;query="&amp;U233&amp;","&amp;V233,"https://www.google.com/maps/search/?api=1&amp;query="&amp;SUBSTITUTE(SUBSTITUTE(SUBSTITUTE(B233&amp;", "&amp;M233&amp;", Puno, Peru"," ","+"),"&amp;","y"),"#","")),"Ver en mapa")</f>
        <v>Ver en mapa</v>
      </c>
      <c r="Y233" s="72"/>
      <c r="Z233" s="57"/>
      <c r="AA233" s="72"/>
      <c r="AB233" s="59"/>
      <c r="AC233" s="59"/>
      <c r="AD233" s="72"/>
      <c r="AE233" s="72"/>
      <c r="AF233" s="72"/>
      <c r="AG233" s="72"/>
      <c r="AH233" s="55" t="s">
        <v>2494</v>
      </c>
      <c r="AI233" s="72"/>
      <c r="AJ233" s="56" t="s">
        <v>2970</v>
      </c>
      <c r="AK233" s="77" t="str">
        <f aca="false">IF(AND(ISNUMBER(U233),ISNUMBER(V233),ISNUMBER(14_Cercania!$C$13),ISNUMBER(14_Cercania!$C$14)),6371*2*ASIN(SQRT(SIN(RADIANS(14_Cercania!$C$13-U233)/2)^2+COS(RADIANS(U233))*COS(RADIANS(14_Cercania!$C$13))*SIN(RADIANS(14_Cercania!$C$14-V233)/2)^2))+ROW()*0.000000001,"")</f>
        <v/>
      </c>
    </row>
    <row r="234" customFormat="false" ht="15" hidden="false" customHeight="false" outlineLevel="0" collapsed="false">
      <c r="A234" s="62" t="n">
        <v>232</v>
      </c>
      <c r="B234" s="63"/>
      <c r="C234" s="62"/>
      <c r="D234" s="63"/>
      <c r="E234" s="71"/>
      <c r="F234" s="57"/>
      <c r="G234" s="57"/>
      <c r="H234" s="72"/>
      <c r="I234" s="72"/>
      <c r="J234" s="72"/>
      <c r="K234" s="72"/>
      <c r="L234" s="72"/>
      <c r="M234" s="57"/>
      <c r="N234" s="57"/>
      <c r="O234" s="62"/>
      <c r="P234" s="78"/>
      <c r="Q234" s="78" t="s">
        <v>2490</v>
      </c>
      <c r="R234" s="62" t="s">
        <v>2491</v>
      </c>
      <c r="S234" s="62" t="s">
        <v>2491</v>
      </c>
      <c r="T234" s="62" t="s">
        <v>2491</v>
      </c>
      <c r="U234" s="83"/>
      <c r="V234" s="83"/>
      <c r="W234" s="57" t="s">
        <v>2538</v>
      </c>
      <c r="X234" s="80" t="str">
        <f aca="false">HYPERLINK(IF(AND(ISNUMBER(U234),ISNUMBER(V234)),"https://www.google.com/maps/search/?api=1&amp;query="&amp;U234&amp;","&amp;V234,"https://www.google.com/maps/search/?api=1&amp;query="&amp;SUBSTITUTE(SUBSTITUTE(SUBSTITUTE(B234&amp;", "&amp;M234&amp;", Puno, Peru"," ","+"),"&amp;","y"),"#","")),"Ver en mapa")</f>
        <v>Ver en mapa</v>
      </c>
      <c r="Y234" s="72"/>
      <c r="Z234" s="57"/>
      <c r="AA234" s="72"/>
      <c r="AB234" s="59"/>
      <c r="AC234" s="59"/>
      <c r="AD234" s="72"/>
      <c r="AE234" s="72"/>
      <c r="AF234" s="72"/>
      <c r="AG234" s="72"/>
      <c r="AH234" s="62" t="s">
        <v>2494</v>
      </c>
      <c r="AI234" s="72"/>
      <c r="AJ234" s="63" t="s">
        <v>2970</v>
      </c>
      <c r="AK234" s="81" t="str">
        <f aca="false">IF(AND(ISNUMBER(U234),ISNUMBER(V234),ISNUMBER(14_Cercania!$C$13),ISNUMBER(14_Cercania!$C$14)),6371*2*ASIN(SQRT(SIN(RADIANS(14_Cercania!$C$13-U234)/2)^2+COS(RADIANS(U234))*COS(RADIANS(14_Cercania!$C$13))*SIN(RADIANS(14_Cercania!$C$14-V234)/2)^2))+ROW()*0.000000001,"")</f>
        <v/>
      </c>
    </row>
    <row r="235" customFormat="false" ht="15" hidden="false" customHeight="false" outlineLevel="0" collapsed="false">
      <c r="A235" s="55" t="n">
        <v>233</v>
      </c>
      <c r="B235" s="56"/>
      <c r="C235" s="55"/>
      <c r="D235" s="56"/>
      <c r="E235" s="71"/>
      <c r="F235" s="57"/>
      <c r="G235" s="57"/>
      <c r="H235" s="72"/>
      <c r="I235" s="72"/>
      <c r="J235" s="72"/>
      <c r="K235" s="72"/>
      <c r="L235" s="72"/>
      <c r="M235" s="57"/>
      <c r="N235" s="57"/>
      <c r="O235" s="55"/>
      <c r="P235" s="73"/>
      <c r="Q235" s="73" t="s">
        <v>2490</v>
      </c>
      <c r="R235" s="55" t="s">
        <v>2491</v>
      </c>
      <c r="S235" s="55" t="s">
        <v>2491</v>
      </c>
      <c r="T235" s="55" t="s">
        <v>2491</v>
      </c>
      <c r="U235" s="83"/>
      <c r="V235" s="83"/>
      <c r="W235" s="57" t="s">
        <v>2538</v>
      </c>
      <c r="X235" s="76" t="str">
        <f aca="false">HYPERLINK(IF(AND(ISNUMBER(U235),ISNUMBER(V235)),"https://www.google.com/maps/search/?api=1&amp;query="&amp;U235&amp;","&amp;V235,"https://www.google.com/maps/search/?api=1&amp;query="&amp;SUBSTITUTE(SUBSTITUTE(SUBSTITUTE(B235&amp;", "&amp;M235&amp;", Puno, Peru"," ","+"),"&amp;","y"),"#","")),"Ver en mapa")</f>
        <v>Ver en mapa</v>
      </c>
      <c r="Y235" s="72"/>
      <c r="Z235" s="57"/>
      <c r="AA235" s="72"/>
      <c r="AB235" s="59"/>
      <c r="AC235" s="59"/>
      <c r="AD235" s="72"/>
      <c r="AE235" s="72"/>
      <c r="AF235" s="72"/>
      <c r="AG235" s="72"/>
      <c r="AH235" s="55" t="s">
        <v>2494</v>
      </c>
      <c r="AI235" s="72"/>
      <c r="AJ235" s="56" t="s">
        <v>2970</v>
      </c>
      <c r="AK235" s="77" t="str">
        <f aca="false">IF(AND(ISNUMBER(U235),ISNUMBER(V235),ISNUMBER(14_Cercania!$C$13),ISNUMBER(14_Cercania!$C$14)),6371*2*ASIN(SQRT(SIN(RADIANS(14_Cercania!$C$13-U235)/2)^2+COS(RADIANS(U235))*COS(RADIANS(14_Cercania!$C$13))*SIN(RADIANS(14_Cercania!$C$14-V235)/2)^2))+ROW()*0.000000001,"")</f>
        <v/>
      </c>
    </row>
    <row r="236" customFormat="false" ht="15" hidden="false" customHeight="false" outlineLevel="0" collapsed="false">
      <c r="A236" s="62" t="n">
        <v>234</v>
      </c>
      <c r="B236" s="63"/>
      <c r="C236" s="62"/>
      <c r="D236" s="63"/>
      <c r="E236" s="71"/>
      <c r="F236" s="57"/>
      <c r="G236" s="57"/>
      <c r="H236" s="72"/>
      <c r="I236" s="72"/>
      <c r="J236" s="72"/>
      <c r="K236" s="72"/>
      <c r="L236" s="72"/>
      <c r="M236" s="57"/>
      <c r="N236" s="57"/>
      <c r="O236" s="62"/>
      <c r="P236" s="78"/>
      <c r="Q236" s="78" t="s">
        <v>2490</v>
      </c>
      <c r="R236" s="62" t="s">
        <v>2491</v>
      </c>
      <c r="S236" s="62" t="s">
        <v>2491</v>
      </c>
      <c r="T236" s="62" t="s">
        <v>2491</v>
      </c>
      <c r="U236" s="83"/>
      <c r="V236" s="83"/>
      <c r="W236" s="57" t="s">
        <v>2538</v>
      </c>
      <c r="X236" s="80" t="str">
        <f aca="false">HYPERLINK(IF(AND(ISNUMBER(U236),ISNUMBER(V236)),"https://www.google.com/maps/search/?api=1&amp;query="&amp;U236&amp;","&amp;V236,"https://www.google.com/maps/search/?api=1&amp;query="&amp;SUBSTITUTE(SUBSTITUTE(SUBSTITUTE(B236&amp;", "&amp;M236&amp;", Puno, Peru"," ","+"),"&amp;","y"),"#","")),"Ver en mapa")</f>
        <v>Ver en mapa</v>
      </c>
      <c r="Y236" s="72"/>
      <c r="Z236" s="57"/>
      <c r="AA236" s="72"/>
      <c r="AB236" s="59"/>
      <c r="AC236" s="59"/>
      <c r="AD236" s="72"/>
      <c r="AE236" s="72"/>
      <c r="AF236" s="72"/>
      <c r="AG236" s="72"/>
      <c r="AH236" s="62" t="s">
        <v>2494</v>
      </c>
      <c r="AI236" s="72"/>
      <c r="AJ236" s="63" t="s">
        <v>2970</v>
      </c>
      <c r="AK236" s="81" t="str">
        <f aca="false">IF(AND(ISNUMBER(U236),ISNUMBER(V236),ISNUMBER(14_Cercania!$C$13),ISNUMBER(14_Cercania!$C$14)),6371*2*ASIN(SQRT(SIN(RADIANS(14_Cercania!$C$13-U236)/2)^2+COS(RADIANS(U236))*COS(RADIANS(14_Cercania!$C$13))*SIN(RADIANS(14_Cercania!$C$14-V236)/2)^2))+ROW()*0.000000001,"")</f>
        <v/>
      </c>
    </row>
    <row r="237" customFormat="false" ht="15" hidden="false" customHeight="false" outlineLevel="0" collapsed="false">
      <c r="A237" s="55" t="n">
        <v>235</v>
      </c>
      <c r="B237" s="56"/>
      <c r="C237" s="55"/>
      <c r="D237" s="56"/>
      <c r="E237" s="71"/>
      <c r="F237" s="57"/>
      <c r="G237" s="57"/>
      <c r="H237" s="72"/>
      <c r="I237" s="72"/>
      <c r="J237" s="72"/>
      <c r="K237" s="72"/>
      <c r="L237" s="72"/>
      <c r="M237" s="57"/>
      <c r="N237" s="57"/>
      <c r="O237" s="55"/>
      <c r="P237" s="73"/>
      <c r="Q237" s="73" t="s">
        <v>2490</v>
      </c>
      <c r="R237" s="55" t="s">
        <v>2491</v>
      </c>
      <c r="S237" s="55" t="s">
        <v>2491</v>
      </c>
      <c r="T237" s="55" t="s">
        <v>2491</v>
      </c>
      <c r="U237" s="83"/>
      <c r="V237" s="83"/>
      <c r="W237" s="57" t="s">
        <v>2538</v>
      </c>
      <c r="X237" s="76" t="str">
        <f aca="false">HYPERLINK(IF(AND(ISNUMBER(U237),ISNUMBER(V237)),"https://www.google.com/maps/search/?api=1&amp;query="&amp;U237&amp;","&amp;V237,"https://www.google.com/maps/search/?api=1&amp;query="&amp;SUBSTITUTE(SUBSTITUTE(SUBSTITUTE(B237&amp;", "&amp;M237&amp;", Puno, Peru"," ","+"),"&amp;","y"),"#","")),"Ver en mapa")</f>
        <v>Ver en mapa</v>
      </c>
      <c r="Y237" s="72"/>
      <c r="Z237" s="57"/>
      <c r="AA237" s="72"/>
      <c r="AB237" s="59"/>
      <c r="AC237" s="59"/>
      <c r="AD237" s="72"/>
      <c r="AE237" s="72"/>
      <c r="AF237" s="72"/>
      <c r="AG237" s="72"/>
      <c r="AH237" s="55" t="s">
        <v>2494</v>
      </c>
      <c r="AI237" s="72"/>
      <c r="AJ237" s="56" t="s">
        <v>2970</v>
      </c>
      <c r="AK237" s="77" t="str">
        <f aca="false">IF(AND(ISNUMBER(U237),ISNUMBER(V237),ISNUMBER(14_Cercania!$C$13),ISNUMBER(14_Cercania!$C$14)),6371*2*ASIN(SQRT(SIN(RADIANS(14_Cercania!$C$13-U237)/2)^2+COS(RADIANS(U237))*COS(RADIANS(14_Cercania!$C$13))*SIN(RADIANS(14_Cercania!$C$14-V237)/2)^2))+ROW()*0.000000001,"")</f>
        <v/>
      </c>
    </row>
    <row r="238" customFormat="false" ht="15" hidden="false" customHeight="false" outlineLevel="0" collapsed="false">
      <c r="A238" s="62" t="n">
        <v>236</v>
      </c>
      <c r="B238" s="63"/>
      <c r="C238" s="62"/>
      <c r="D238" s="63"/>
      <c r="E238" s="71"/>
      <c r="F238" s="57"/>
      <c r="G238" s="57"/>
      <c r="H238" s="72"/>
      <c r="I238" s="72"/>
      <c r="J238" s="72"/>
      <c r="K238" s="72"/>
      <c r="L238" s="72"/>
      <c r="M238" s="57"/>
      <c r="N238" s="57"/>
      <c r="O238" s="62"/>
      <c r="P238" s="78"/>
      <c r="Q238" s="78" t="s">
        <v>2490</v>
      </c>
      <c r="R238" s="62" t="s">
        <v>2491</v>
      </c>
      <c r="S238" s="62" t="s">
        <v>2491</v>
      </c>
      <c r="T238" s="62" t="s">
        <v>2491</v>
      </c>
      <c r="U238" s="83"/>
      <c r="V238" s="83"/>
      <c r="W238" s="57" t="s">
        <v>2538</v>
      </c>
      <c r="X238" s="80" t="str">
        <f aca="false">HYPERLINK(IF(AND(ISNUMBER(U238),ISNUMBER(V238)),"https://www.google.com/maps/search/?api=1&amp;query="&amp;U238&amp;","&amp;V238,"https://www.google.com/maps/search/?api=1&amp;query="&amp;SUBSTITUTE(SUBSTITUTE(SUBSTITUTE(B238&amp;", "&amp;M238&amp;", Puno, Peru"," ","+"),"&amp;","y"),"#","")),"Ver en mapa")</f>
        <v>Ver en mapa</v>
      </c>
      <c r="Y238" s="72"/>
      <c r="Z238" s="57"/>
      <c r="AA238" s="72"/>
      <c r="AB238" s="59"/>
      <c r="AC238" s="59"/>
      <c r="AD238" s="72"/>
      <c r="AE238" s="72"/>
      <c r="AF238" s="72"/>
      <c r="AG238" s="72"/>
      <c r="AH238" s="62" t="s">
        <v>2494</v>
      </c>
      <c r="AI238" s="72"/>
      <c r="AJ238" s="63" t="s">
        <v>2970</v>
      </c>
      <c r="AK238" s="81" t="str">
        <f aca="false">IF(AND(ISNUMBER(U238),ISNUMBER(V238),ISNUMBER(14_Cercania!$C$13),ISNUMBER(14_Cercania!$C$14)),6371*2*ASIN(SQRT(SIN(RADIANS(14_Cercania!$C$13-U238)/2)^2+COS(RADIANS(U238))*COS(RADIANS(14_Cercania!$C$13))*SIN(RADIANS(14_Cercania!$C$14-V238)/2)^2))+ROW()*0.000000001,"")</f>
        <v/>
      </c>
    </row>
    <row r="239" customFormat="false" ht="15" hidden="false" customHeight="false" outlineLevel="0" collapsed="false">
      <c r="A239" s="55" t="n">
        <v>237</v>
      </c>
      <c r="B239" s="56"/>
      <c r="C239" s="55"/>
      <c r="D239" s="56"/>
      <c r="E239" s="71"/>
      <c r="F239" s="57"/>
      <c r="G239" s="57"/>
      <c r="H239" s="72"/>
      <c r="I239" s="72"/>
      <c r="J239" s="72"/>
      <c r="K239" s="72"/>
      <c r="L239" s="72"/>
      <c r="M239" s="57"/>
      <c r="N239" s="57"/>
      <c r="O239" s="55"/>
      <c r="P239" s="73"/>
      <c r="Q239" s="73" t="s">
        <v>2490</v>
      </c>
      <c r="R239" s="55" t="s">
        <v>2491</v>
      </c>
      <c r="S239" s="55" t="s">
        <v>2491</v>
      </c>
      <c r="T239" s="55" t="s">
        <v>2491</v>
      </c>
      <c r="U239" s="83"/>
      <c r="V239" s="83"/>
      <c r="W239" s="57" t="s">
        <v>2538</v>
      </c>
      <c r="X239" s="76" t="str">
        <f aca="false">HYPERLINK(IF(AND(ISNUMBER(U239),ISNUMBER(V239)),"https://www.google.com/maps/search/?api=1&amp;query="&amp;U239&amp;","&amp;V239,"https://www.google.com/maps/search/?api=1&amp;query="&amp;SUBSTITUTE(SUBSTITUTE(SUBSTITUTE(B239&amp;", "&amp;M239&amp;", Puno, Peru"," ","+"),"&amp;","y"),"#","")),"Ver en mapa")</f>
        <v>Ver en mapa</v>
      </c>
      <c r="Y239" s="72"/>
      <c r="Z239" s="57"/>
      <c r="AA239" s="72"/>
      <c r="AB239" s="59"/>
      <c r="AC239" s="59"/>
      <c r="AD239" s="72"/>
      <c r="AE239" s="72"/>
      <c r="AF239" s="72"/>
      <c r="AG239" s="72"/>
      <c r="AH239" s="55" t="s">
        <v>2494</v>
      </c>
      <c r="AI239" s="72"/>
      <c r="AJ239" s="56" t="s">
        <v>2970</v>
      </c>
      <c r="AK239" s="77" t="str">
        <f aca="false">IF(AND(ISNUMBER(U239),ISNUMBER(V239),ISNUMBER(14_Cercania!$C$13),ISNUMBER(14_Cercania!$C$14)),6371*2*ASIN(SQRT(SIN(RADIANS(14_Cercania!$C$13-U239)/2)^2+COS(RADIANS(U239))*COS(RADIANS(14_Cercania!$C$13))*SIN(RADIANS(14_Cercania!$C$14-V239)/2)^2))+ROW()*0.000000001,"")</f>
        <v/>
      </c>
    </row>
    <row r="240" customFormat="false" ht="15" hidden="false" customHeight="false" outlineLevel="0" collapsed="false">
      <c r="A240" s="62" t="n">
        <v>238</v>
      </c>
      <c r="B240" s="63"/>
      <c r="C240" s="62"/>
      <c r="D240" s="63"/>
      <c r="E240" s="71"/>
      <c r="F240" s="57"/>
      <c r="G240" s="57"/>
      <c r="H240" s="72"/>
      <c r="I240" s="72"/>
      <c r="J240" s="72"/>
      <c r="K240" s="72"/>
      <c r="L240" s="72"/>
      <c r="M240" s="57"/>
      <c r="N240" s="57"/>
      <c r="O240" s="62"/>
      <c r="P240" s="78"/>
      <c r="Q240" s="78" t="s">
        <v>2490</v>
      </c>
      <c r="R240" s="62" t="s">
        <v>2491</v>
      </c>
      <c r="S240" s="62" t="s">
        <v>2491</v>
      </c>
      <c r="T240" s="62" t="s">
        <v>2491</v>
      </c>
      <c r="U240" s="83"/>
      <c r="V240" s="83"/>
      <c r="W240" s="57" t="s">
        <v>2538</v>
      </c>
      <c r="X240" s="80" t="str">
        <f aca="false">HYPERLINK(IF(AND(ISNUMBER(U240),ISNUMBER(V240)),"https://www.google.com/maps/search/?api=1&amp;query="&amp;U240&amp;","&amp;V240,"https://www.google.com/maps/search/?api=1&amp;query="&amp;SUBSTITUTE(SUBSTITUTE(SUBSTITUTE(B240&amp;", "&amp;M240&amp;", Puno, Peru"," ","+"),"&amp;","y"),"#","")),"Ver en mapa")</f>
        <v>Ver en mapa</v>
      </c>
      <c r="Y240" s="72"/>
      <c r="Z240" s="57"/>
      <c r="AA240" s="72"/>
      <c r="AB240" s="59"/>
      <c r="AC240" s="59"/>
      <c r="AD240" s="72"/>
      <c r="AE240" s="72"/>
      <c r="AF240" s="72"/>
      <c r="AG240" s="72"/>
      <c r="AH240" s="62" t="s">
        <v>2494</v>
      </c>
      <c r="AI240" s="72"/>
      <c r="AJ240" s="63" t="s">
        <v>2970</v>
      </c>
      <c r="AK240" s="81" t="str">
        <f aca="false">IF(AND(ISNUMBER(U240),ISNUMBER(V240),ISNUMBER(14_Cercania!$C$13),ISNUMBER(14_Cercania!$C$14)),6371*2*ASIN(SQRT(SIN(RADIANS(14_Cercania!$C$13-U240)/2)^2+COS(RADIANS(U240))*COS(RADIANS(14_Cercania!$C$13))*SIN(RADIANS(14_Cercania!$C$14-V240)/2)^2))+ROW()*0.000000001,"")</f>
        <v/>
      </c>
    </row>
    <row r="241" customFormat="false" ht="15" hidden="false" customHeight="false" outlineLevel="0" collapsed="false">
      <c r="A241" s="55" t="n">
        <v>239</v>
      </c>
      <c r="B241" s="56"/>
      <c r="C241" s="55"/>
      <c r="D241" s="56"/>
      <c r="E241" s="71"/>
      <c r="F241" s="57"/>
      <c r="G241" s="57"/>
      <c r="H241" s="72"/>
      <c r="I241" s="72"/>
      <c r="J241" s="72"/>
      <c r="K241" s="72"/>
      <c r="L241" s="72"/>
      <c r="M241" s="57"/>
      <c r="N241" s="57"/>
      <c r="O241" s="55"/>
      <c r="P241" s="73"/>
      <c r="Q241" s="73" t="s">
        <v>2490</v>
      </c>
      <c r="R241" s="55" t="s">
        <v>2491</v>
      </c>
      <c r="S241" s="55" t="s">
        <v>2491</v>
      </c>
      <c r="T241" s="55" t="s">
        <v>2491</v>
      </c>
      <c r="U241" s="83"/>
      <c r="V241" s="83"/>
      <c r="W241" s="57" t="s">
        <v>2538</v>
      </c>
      <c r="X241" s="76" t="str">
        <f aca="false">HYPERLINK(IF(AND(ISNUMBER(U241),ISNUMBER(V241)),"https://www.google.com/maps/search/?api=1&amp;query="&amp;U241&amp;","&amp;V241,"https://www.google.com/maps/search/?api=1&amp;query="&amp;SUBSTITUTE(SUBSTITUTE(SUBSTITUTE(B241&amp;", "&amp;M241&amp;", Puno, Peru"," ","+"),"&amp;","y"),"#","")),"Ver en mapa")</f>
        <v>Ver en mapa</v>
      </c>
      <c r="Y241" s="72"/>
      <c r="Z241" s="57"/>
      <c r="AA241" s="72"/>
      <c r="AB241" s="59"/>
      <c r="AC241" s="59"/>
      <c r="AD241" s="72"/>
      <c r="AE241" s="72"/>
      <c r="AF241" s="72"/>
      <c r="AG241" s="72"/>
      <c r="AH241" s="55" t="s">
        <v>2494</v>
      </c>
      <c r="AI241" s="72"/>
      <c r="AJ241" s="56" t="s">
        <v>2970</v>
      </c>
      <c r="AK241" s="77" t="str">
        <f aca="false">IF(AND(ISNUMBER(U241),ISNUMBER(V241),ISNUMBER(14_Cercania!$C$13),ISNUMBER(14_Cercania!$C$14)),6371*2*ASIN(SQRT(SIN(RADIANS(14_Cercania!$C$13-U241)/2)^2+COS(RADIANS(U241))*COS(RADIANS(14_Cercania!$C$13))*SIN(RADIANS(14_Cercania!$C$14-V241)/2)^2))+ROW()*0.000000001,"")</f>
        <v/>
      </c>
    </row>
    <row r="242" customFormat="false" ht="15" hidden="false" customHeight="false" outlineLevel="0" collapsed="false">
      <c r="A242" s="62" t="n">
        <v>240</v>
      </c>
      <c r="B242" s="63"/>
      <c r="C242" s="62"/>
      <c r="D242" s="63"/>
      <c r="E242" s="71"/>
      <c r="F242" s="57"/>
      <c r="G242" s="57"/>
      <c r="H242" s="72"/>
      <c r="I242" s="72"/>
      <c r="J242" s="72"/>
      <c r="K242" s="72"/>
      <c r="L242" s="72"/>
      <c r="M242" s="57"/>
      <c r="N242" s="57"/>
      <c r="O242" s="62"/>
      <c r="P242" s="78"/>
      <c r="Q242" s="78" t="s">
        <v>2490</v>
      </c>
      <c r="R242" s="62" t="s">
        <v>2491</v>
      </c>
      <c r="S242" s="62" t="s">
        <v>2491</v>
      </c>
      <c r="T242" s="62" t="s">
        <v>2491</v>
      </c>
      <c r="U242" s="83"/>
      <c r="V242" s="83"/>
      <c r="W242" s="57" t="s">
        <v>2538</v>
      </c>
      <c r="X242" s="80" t="str">
        <f aca="false">HYPERLINK(IF(AND(ISNUMBER(U242),ISNUMBER(V242)),"https://www.google.com/maps/search/?api=1&amp;query="&amp;U242&amp;","&amp;V242,"https://www.google.com/maps/search/?api=1&amp;query="&amp;SUBSTITUTE(SUBSTITUTE(SUBSTITUTE(B242&amp;", "&amp;M242&amp;", Puno, Peru"," ","+"),"&amp;","y"),"#","")),"Ver en mapa")</f>
        <v>Ver en mapa</v>
      </c>
      <c r="Y242" s="72"/>
      <c r="Z242" s="57"/>
      <c r="AA242" s="72"/>
      <c r="AB242" s="59"/>
      <c r="AC242" s="59"/>
      <c r="AD242" s="72"/>
      <c r="AE242" s="72"/>
      <c r="AF242" s="72"/>
      <c r="AG242" s="72"/>
      <c r="AH242" s="62" t="s">
        <v>2494</v>
      </c>
      <c r="AI242" s="72"/>
      <c r="AJ242" s="63" t="s">
        <v>2970</v>
      </c>
      <c r="AK242" s="81" t="str">
        <f aca="false">IF(AND(ISNUMBER(U242),ISNUMBER(V242),ISNUMBER(14_Cercania!$C$13),ISNUMBER(14_Cercania!$C$14)),6371*2*ASIN(SQRT(SIN(RADIANS(14_Cercania!$C$13-U242)/2)^2+COS(RADIANS(U242))*COS(RADIANS(14_Cercania!$C$13))*SIN(RADIANS(14_Cercania!$C$14-V242)/2)^2))+ROW()*0.000000001,"")</f>
        <v/>
      </c>
    </row>
    <row r="243" customFormat="false" ht="15" hidden="false" customHeight="false" outlineLevel="0" collapsed="false">
      <c r="A243" s="55" t="n">
        <v>241</v>
      </c>
      <c r="B243" s="56"/>
      <c r="C243" s="55"/>
      <c r="D243" s="56"/>
      <c r="E243" s="71"/>
      <c r="F243" s="57"/>
      <c r="G243" s="57"/>
      <c r="H243" s="72"/>
      <c r="I243" s="72"/>
      <c r="J243" s="72"/>
      <c r="K243" s="72"/>
      <c r="L243" s="72"/>
      <c r="M243" s="57"/>
      <c r="N243" s="57"/>
      <c r="O243" s="55"/>
      <c r="P243" s="73"/>
      <c r="Q243" s="73" t="s">
        <v>2490</v>
      </c>
      <c r="R243" s="55" t="s">
        <v>2491</v>
      </c>
      <c r="S243" s="55" t="s">
        <v>2491</v>
      </c>
      <c r="T243" s="55" t="s">
        <v>2491</v>
      </c>
      <c r="U243" s="83"/>
      <c r="V243" s="83"/>
      <c r="W243" s="57" t="s">
        <v>2538</v>
      </c>
      <c r="X243" s="76" t="str">
        <f aca="false">HYPERLINK(IF(AND(ISNUMBER(U243),ISNUMBER(V243)),"https://www.google.com/maps/search/?api=1&amp;query="&amp;U243&amp;","&amp;V243,"https://www.google.com/maps/search/?api=1&amp;query="&amp;SUBSTITUTE(SUBSTITUTE(SUBSTITUTE(B243&amp;", "&amp;M243&amp;", Puno, Peru"," ","+"),"&amp;","y"),"#","")),"Ver en mapa")</f>
        <v>Ver en mapa</v>
      </c>
      <c r="Y243" s="72"/>
      <c r="Z243" s="57"/>
      <c r="AA243" s="72"/>
      <c r="AB243" s="59"/>
      <c r="AC243" s="59"/>
      <c r="AD243" s="72"/>
      <c r="AE243" s="72"/>
      <c r="AF243" s="72"/>
      <c r="AG243" s="72"/>
      <c r="AH243" s="55" t="s">
        <v>2494</v>
      </c>
      <c r="AI243" s="72"/>
      <c r="AJ243" s="56" t="s">
        <v>2970</v>
      </c>
      <c r="AK243" s="77" t="str">
        <f aca="false">IF(AND(ISNUMBER(U243),ISNUMBER(V243),ISNUMBER(14_Cercania!$C$13),ISNUMBER(14_Cercania!$C$14)),6371*2*ASIN(SQRT(SIN(RADIANS(14_Cercania!$C$13-U243)/2)^2+COS(RADIANS(U243))*COS(RADIANS(14_Cercania!$C$13))*SIN(RADIANS(14_Cercania!$C$14-V243)/2)^2))+ROW()*0.000000001,"")</f>
        <v/>
      </c>
    </row>
    <row r="244" customFormat="false" ht="15" hidden="false" customHeight="false" outlineLevel="0" collapsed="false">
      <c r="A244" s="62" t="n">
        <v>242</v>
      </c>
      <c r="B244" s="63"/>
      <c r="C244" s="62"/>
      <c r="D244" s="63"/>
      <c r="E244" s="71"/>
      <c r="F244" s="57"/>
      <c r="G244" s="57"/>
      <c r="H244" s="72"/>
      <c r="I244" s="72"/>
      <c r="J244" s="72"/>
      <c r="K244" s="72"/>
      <c r="L244" s="72"/>
      <c r="M244" s="57"/>
      <c r="N244" s="57"/>
      <c r="O244" s="62"/>
      <c r="P244" s="78"/>
      <c r="Q244" s="78" t="s">
        <v>2490</v>
      </c>
      <c r="R244" s="62" t="s">
        <v>2491</v>
      </c>
      <c r="S244" s="62" t="s">
        <v>2491</v>
      </c>
      <c r="T244" s="62" t="s">
        <v>2491</v>
      </c>
      <c r="U244" s="83"/>
      <c r="V244" s="83"/>
      <c r="W244" s="57" t="s">
        <v>2538</v>
      </c>
      <c r="X244" s="80" t="str">
        <f aca="false">HYPERLINK(IF(AND(ISNUMBER(U244),ISNUMBER(V244)),"https://www.google.com/maps/search/?api=1&amp;query="&amp;U244&amp;","&amp;V244,"https://www.google.com/maps/search/?api=1&amp;query="&amp;SUBSTITUTE(SUBSTITUTE(SUBSTITUTE(B244&amp;", "&amp;M244&amp;", Puno, Peru"," ","+"),"&amp;","y"),"#","")),"Ver en mapa")</f>
        <v>Ver en mapa</v>
      </c>
      <c r="Y244" s="72"/>
      <c r="Z244" s="57"/>
      <c r="AA244" s="72"/>
      <c r="AB244" s="59"/>
      <c r="AC244" s="59"/>
      <c r="AD244" s="72"/>
      <c r="AE244" s="72"/>
      <c r="AF244" s="72"/>
      <c r="AG244" s="72"/>
      <c r="AH244" s="62" t="s">
        <v>2494</v>
      </c>
      <c r="AI244" s="72"/>
      <c r="AJ244" s="63" t="s">
        <v>2970</v>
      </c>
      <c r="AK244" s="81" t="str">
        <f aca="false">IF(AND(ISNUMBER(U244),ISNUMBER(V244),ISNUMBER(14_Cercania!$C$13),ISNUMBER(14_Cercania!$C$14)),6371*2*ASIN(SQRT(SIN(RADIANS(14_Cercania!$C$13-U244)/2)^2+COS(RADIANS(U244))*COS(RADIANS(14_Cercania!$C$13))*SIN(RADIANS(14_Cercania!$C$14-V244)/2)^2))+ROW()*0.000000001,"")</f>
        <v/>
      </c>
    </row>
    <row r="245" customFormat="false" ht="15" hidden="false" customHeight="false" outlineLevel="0" collapsed="false">
      <c r="A245" s="55" t="n">
        <v>243</v>
      </c>
      <c r="B245" s="56"/>
      <c r="C245" s="55"/>
      <c r="D245" s="56"/>
      <c r="E245" s="71"/>
      <c r="F245" s="57"/>
      <c r="G245" s="57"/>
      <c r="H245" s="72"/>
      <c r="I245" s="72"/>
      <c r="J245" s="72"/>
      <c r="K245" s="72"/>
      <c r="L245" s="72"/>
      <c r="M245" s="57"/>
      <c r="N245" s="57"/>
      <c r="O245" s="55"/>
      <c r="P245" s="73"/>
      <c r="Q245" s="73" t="s">
        <v>2490</v>
      </c>
      <c r="R245" s="55" t="s">
        <v>2491</v>
      </c>
      <c r="S245" s="55" t="s">
        <v>2491</v>
      </c>
      <c r="T245" s="55" t="s">
        <v>2491</v>
      </c>
      <c r="U245" s="83"/>
      <c r="V245" s="83"/>
      <c r="W245" s="57" t="s">
        <v>2538</v>
      </c>
      <c r="X245" s="76" t="str">
        <f aca="false">HYPERLINK(IF(AND(ISNUMBER(U245),ISNUMBER(V245)),"https://www.google.com/maps/search/?api=1&amp;query="&amp;U245&amp;","&amp;V245,"https://www.google.com/maps/search/?api=1&amp;query="&amp;SUBSTITUTE(SUBSTITUTE(SUBSTITUTE(B245&amp;", "&amp;M245&amp;", Puno, Peru"," ","+"),"&amp;","y"),"#","")),"Ver en mapa")</f>
        <v>Ver en mapa</v>
      </c>
      <c r="Y245" s="72"/>
      <c r="Z245" s="57"/>
      <c r="AA245" s="72"/>
      <c r="AB245" s="59"/>
      <c r="AC245" s="59"/>
      <c r="AD245" s="72"/>
      <c r="AE245" s="72"/>
      <c r="AF245" s="72"/>
      <c r="AG245" s="72"/>
      <c r="AH245" s="55" t="s">
        <v>2494</v>
      </c>
      <c r="AI245" s="72"/>
      <c r="AJ245" s="56" t="s">
        <v>2970</v>
      </c>
      <c r="AK245" s="77" t="str">
        <f aca="false">IF(AND(ISNUMBER(U245),ISNUMBER(V245),ISNUMBER(14_Cercania!$C$13),ISNUMBER(14_Cercania!$C$14)),6371*2*ASIN(SQRT(SIN(RADIANS(14_Cercania!$C$13-U245)/2)^2+COS(RADIANS(U245))*COS(RADIANS(14_Cercania!$C$13))*SIN(RADIANS(14_Cercania!$C$14-V245)/2)^2))+ROW()*0.000000001,"")</f>
        <v/>
      </c>
    </row>
    <row r="246" customFormat="false" ht="15" hidden="false" customHeight="false" outlineLevel="0" collapsed="false">
      <c r="A246" s="62" t="n">
        <v>244</v>
      </c>
      <c r="B246" s="63"/>
      <c r="C246" s="62"/>
      <c r="D246" s="63"/>
      <c r="E246" s="71"/>
      <c r="F246" s="57"/>
      <c r="G246" s="57"/>
      <c r="H246" s="72"/>
      <c r="I246" s="72"/>
      <c r="J246" s="72"/>
      <c r="K246" s="72"/>
      <c r="L246" s="72"/>
      <c r="M246" s="57"/>
      <c r="N246" s="57"/>
      <c r="O246" s="62"/>
      <c r="P246" s="78"/>
      <c r="Q246" s="78" t="s">
        <v>2490</v>
      </c>
      <c r="R246" s="62" t="s">
        <v>2491</v>
      </c>
      <c r="S246" s="62" t="s">
        <v>2491</v>
      </c>
      <c r="T246" s="62" t="s">
        <v>2491</v>
      </c>
      <c r="U246" s="83"/>
      <c r="V246" s="83"/>
      <c r="W246" s="57" t="s">
        <v>2538</v>
      </c>
      <c r="X246" s="80" t="str">
        <f aca="false">HYPERLINK(IF(AND(ISNUMBER(U246),ISNUMBER(V246)),"https://www.google.com/maps/search/?api=1&amp;query="&amp;U246&amp;","&amp;V246,"https://www.google.com/maps/search/?api=1&amp;query="&amp;SUBSTITUTE(SUBSTITUTE(SUBSTITUTE(B246&amp;", "&amp;M246&amp;", Puno, Peru"," ","+"),"&amp;","y"),"#","")),"Ver en mapa")</f>
        <v>Ver en mapa</v>
      </c>
      <c r="Y246" s="72"/>
      <c r="Z246" s="57"/>
      <c r="AA246" s="72"/>
      <c r="AB246" s="59"/>
      <c r="AC246" s="59"/>
      <c r="AD246" s="72"/>
      <c r="AE246" s="72"/>
      <c r="AF246" s="72"/>
      <c r="AG246" s="72"/>
      <c r="AH246" s="62" t="s">
        <v>2494</v>
      </c>
      <c r="AI246" s="72"/>
      <c r="AJ246" s="63" t="s">
        <v>2970</v>
      </c>
      <c r="AK246" s="81" t="str">
        <f aca="false">IF(AND(ISNUMBER(U246),ISNUMBER(V246),ISNUMBER(14_Cercania!$C$13),ISNUMBER(14_Cercania!$C$14)),6371*2*ASIN(SQRT(SIN(RADIANS(14_Cercania!$C$13-U246)/2)^2+COS(RADIANS(U246))*COS(RADIANS(14_Cercania!$C$13))*SIN(RADIANS(14_Cercania!$C$14-V246)/2)^2))+ROW()*0.000000001,"")</f>
        <v/>
      </c>
    </row>
    <row r="247" customFormat="false" ht="15" hidden="false" customHeight="false" outlineLevel="0" collapsed="false">
      <c r="A247" s="55" t="n">
        <v>245</v>
      </c>
      <c r="B247" s="56"/>
      <c r="C247" s="55"/>
      <c r="D247" s="56"/>
      <c r="E247" s="71"/>
      <c r="F247" s="57"/>
      <c r="G247" s="57"/>
      <c r="H247" s="72"/>
      <c r="I247" s="72"/>
      <c r="J247" s="72"/>
      <c r="K247" s="72"/>
      <c r="L247" s="72"/>
      <c r="M247" s="57"/>
      <c r="N247" s="57"/>
      <c r="O247" s="55"/>
      <c r="P247" s="73"/>
      <c r="Q247" s="73" t="s">
        <v>2490</v>
      </c>
      <c r="R247" s="55" t="s">
        <v>2491</v>
      </c>
      <c r="S247" s="55" t="s">
        <v>2491</v>
      </c>
      <c r="T247" s="55" t="s">
        <v>2491</v>
      </c>
      <c r="U247" s="83"/>
      <c r="V247" s="83"/>
      <c r="W247" s="57" t="s">
        <v>2538</v>
      </c>
      <c r="X247" s="76" t="str">
        <f aca="false">HYPERLINK(IF(AND(ISNUMBER(U247),ISNUMBER(V247)),"https://www.google.com/maps/search/?api=1&amp;query="&amp;U247&amp;","&amp;V247,"https://www.google.com/maps/search/?api=1&amp;query="&amp;SUBSTITUTE(SUBSTITUTE(SUBSTITUTE(B247&amp;", "&amp;M247&amp;", Puno, Peru"," ","+"),"&amp;","y"),"#","")),"Ver en mapa")</f>
        <v>Ver en mapa</v>
      </c>
      <c r="Y247" s="72"/>
      <c r="Z247" s="57"/>
      <c r="AA247" s="72"/>
      <c r="AB247" s="59"/>
      <c r="AC247" s="59"/>
      <c r="AD247" s="72"/>
      <c r="AE247" s="72"/>
      <c r="AF247" s="72"/>
      <c r="AG247" s="72"/>
      <c r="AH247" s="55" t="s">
        <v>2494</v>
      </c>
      <c r="AI247" s="72"/>
      <c r="AJ247" s="56" t="s">
        <v>2970</v>
      </c>
      <c r="AK247" s="77" t="str">
        <f aca="false">IF(AND(ISNUMBER(U247),ISNUMBER(V247),ISNUMBER(14_Cercania!$C$13),ISNUMBER(14_Cercania!$C$14)),6371*2*ASIN(SQRT(SIN(RADIANS(14_Cercania!$C$13-U247)/2)^2+COS(RADIANS(U247))*COS(RADIANS(14_Cercania!$C$13))*SIN(RADIANS(14_Cercania!$C$14-V247)/2)^2))+ROW()*0.000000001,"")</f>
        <v/>
      </c>
    </row>
    <row r="248" customFormat="false" ht="15" hidden="false" customHeight="false" outlineLevel="0" collapsed="false">
      <c r="A248" s="62" t="n">
        <v>246</v>
      </c>
      <c r="B248" s="63"/>
      <c r="C248" s="62"/>
      <c r="D248" s="63"/>
      <c r="E248" s="71"/>
      <c r="F248" s="57"/>
      <c r="G248" s="57"/>
      <c r="H248" s="72"/>
      <c r="I248" s="72"/>
      <c r="J248" s="72"/>
      <c r="K248" s="72"/>
      <c r="L248" s="72"/>
      <c r="M248" s="57"/>
      <c r="N248" s="57"/>
      <c r="O248" s="62"/>
      <c r="P248" s="78"/>
      <c r="Q248" s="78" t="s">
        <v>2490</v>
      </c>
      <c r="R248" s="62" t="s">
        <v>2491</v>
      </c>
      <c r="S248" s="62" t="s">
        <v>2491</v>
      </c>
      <c r="T248" s="62" t="s">
        <v>2491</v>
      </c>
      <c r="U248" s="83"/>
      <c r="V248" s="83"/>
      <c r="W248" s="57" t="s">
        <v>2538</v>
      </c>
      <c r="X248" s="80" t="str">
        <f aca="false">HYPERLINK(IF(AND(ISNUMBER(U248),ISNUMBER(V248)),"https://www.google.com/maps/search/?api=1&amp;query="&amp;U248&amp;","&amp;V248,"https://www.google.com/maps/search/?api=1&amp;query="&amp;SUBSTITUTE(SUBSTITUTE(SUBSTITUTE(B248&amp;", "&amp;M248&amp;", Puno, Peru"," ","+"),"&amp;","y"),"#","")),"Ver en mapa")</f>
        <v>Ver en mapa</v>
      </c>
      <c r="Y248" s="72"/>
      <c r="Z248" s="57"/>
      <c r="AA248" s="72"/>
      <c r="AB248" s="59"/>
      <c r="AC248" s="59"/>
      <c r="AD248" s="72"/>
      <c r="AE248" s="72"/>
      <c r="AF248" s="72"/>
      <c r="AG248" s="72"/>
      <c r="AH248" s="62" t="s">
        <v>2494</v>
      </c>
      <c r="AI248" s="72"/>
      <c r="AJ248" s="63" t="s">
        <v>2970</v>
      </c>
      <c r="AK248" s="81" t="str">
        <f aca="false">IF(AND(ISNUMBER(U248),ISNUMBER(V248),ISNUMBER(14_Cercania!$C$13),ISNUMBER(14_Cercania!$C$14)),6371*2*ASIN(SQRT(SIN(RADIANS(14_Cercania!$C$13-U248)/2)^2+COS(RADIANS(U248))*COS(RADIANS(14_Cercania!$C$13))*SIN(RADIANS(14_Cercania!$C$14-V248)/2)^2))+ROW()*0.000000001,"")</f>
        <v/>
      </c>
    </row>
    <row r="249" customFormat="false" ht="15" hidden="false" customHeight="false" outlineLevel="0" collapsed="false">
      <c r="A249" s="55" t="n">
        <v>247</v>
      </c>
      <c r="B249" s="56"/>
      <c r="C249" s="55"/>
      <c r="D249" s="56"/>
      <c r="E249" s="71"/>
      <c r="F249" s="57"/>
      <c r="G249" s="57"/>
      <c r="H249" s="72"/>
      <c r="I249" s="72"/>
      <c r="J249" s="72"/>
      <c r="K249" s="72"/>
      <c r="L249" s="72"/>
      <c r="M249" s="57"/>
      <c r="N249" s="57"/>
      <c r="O249" s="55"/>
      <c r="P249" s="73"/>
      <c r="Q249" s="73" t="s">
        <v>2490</v>
      </c>
      <c r="R249" s="55" t="s">
        <v>2491</v>
      </c>
      <c r="S249" s="55" t="s">
        <v>2491</v>
      </c>
      <c r="T249" s="55" t="s">
        <v>2491</v>
      </c>
      <c r="U249" s="83"/>
      <c r="V249" s="83"/>
      <c r="W249" s="57" t="s">
        <v>2538</v>
      </c>
      <c r="X249" s="76" t="str">
        <f aca="false">HYPERLINK(IF(AND(ISNUMBER(U249),ISNUMBER(V249)),"https://www.google.com/maps/search/?api=1&amp;query="&amp;U249&amp;","&amp;V249,"https://www.google.com/maps/search/?api=1&amp;query="&amp;SUBSTITUTE(SUBSTITUTE(SUBSTITUTE(B249&amp;", "&amp;M249&amp;", Puno, Peru"," ","+"),"&amp;","y"),"#","")),"Ver en mapa")</f>
        <v>Ver en mapa</v>
      </c>
      <c r="Y249" s="72"/>
      <c r="Z249" s="57"/>
      <c r="AA249" s="72"/>
      <c r="AB249" s="59"/>
      <c r="AC249" s="59"/>
      <c r="AD249" s="72"/>
      <c r="AE249" s="72"/>
      <c r="AF249" s="72"/>
      <c r="AG249" s="72"/>
      <c r="AH249" s="55" t="s">
        <v>2494</v>
      </c>
      <c r="AI249" s="72"/>
      <c r="AJ249" s="56" t="s">
        <v>2970</v>
      </c>
      <c r="AK249" s="77" t="str">
        <f aca="false">IF(AND(ISNUMBER(U249),ISNUMBER(V249),ISNUMBER(14_Cercania!$C$13),ISNUMBER(14_Cercania!$C$14)),6371*2*ASIN(SQRT(SIN(RADIANS(14_Cercania!$C$13-U249)/2)^2+COS(RADIANS(U249))*COS(RADIANS(14_Cercania!$C$13))*SIN(RADIANS(14_Cercania!$C$14-V249)/2)^2))+ROW()*0.000000001,"")</f>
        <v/>
      </c>
    </row>
    <row r="250" customFormat="false" ht="15" hidden="false" customHeight="false" outlineLevel="0" collapsed="false">
      <c r="A250" s="62" t="n">
        <v>248</v>
      </c>
      <c r="B250" s="63"/>
      <c r="C250" s="62"/>
      <c r="D250" s="63"/>
      <c r="E250" s="71"/>
      <c r="F250" s="57"/>
      <c r="G250" s="57"/>
      <c r="H250" s="72"/>
      <c r="I250" s="72"/>
      <c r="J250" s="72"/>
      <c r="K250" s="72"/>
      <c r="L250" s="72"/>
      <c r="M250" s="57"/>
      <c r="N250" s="57"/>
      <c r="O250" s="62"/>
      <c r="P250" s="78"/>
      <c r="Q250" s="78" t="s">
        <v>2490</v>
      </c>
      <c r="R250" s="62" t="s">
        <v>2491</v>
      </c>
      <c r="S250" s="62" t="s">
        <v>2491</v>
      </c>
      <c r="T250" s="62" t="s">
        <v>2491</v>
      </c>
      <c r="U250" s="83"/>
      <c r="V250" s="83"/>
      <c r="W250" s="57" t="s">
        <v>2538</v>
      </c>
      <c r="X250" s="80" t="str">
        <f aca="false">HYPERLINK(IF(AND(ISNUMBER(U250),ISNUMBER(V250)),"https://www.google.com/maps/search/?api=1&amp;query="&amp;U250&amp;","&amp;V250,"https://www.google.com/maps/search/?api=1&amp;query="&amp;SUBSTITUTE(SUBSTITUTE(SUBSTITUTE(B250&amp;", "&amp;M250&amp;", Puno, Peru"," ","+"),"&amp;","y"),"#","")),"Ver en mapa")</f>
        <v>Ver en mapa</v>
      </c>
      <c r="Y250" s="72"/>
      <c r="Z250" s="57"/>
      <c r="AA250" s="72"/>
      <c r="AB250" s="59"/>
      <c r="AC250" s="59"/>
      <c r="AD250" s="72"/>
      <c r="AE250" s="72"/>
      <c r="AF250" s="72"/>
      <c r="AG250" s="72"/>
      <c r="AH250" s="62" t="s">
        <v>2494</v>
      </c>
      <c r="AI250" s="72"/>
      <c r="AJ250" s="63" t="s">
        <v>2970</v>
      </c>
      <c r="AK250" s="81" t="str">
        <f aca="false">IF(AND(ISNUMBER(U250),ISNUMBER(V250),ISNUMBER(14_Cercania!$C$13),ISNUMBER(14_Cercania!$C$14)),6371*2*ASIN(SQRT(SIN(RADIANS(14_Cercania!$C$13-U250)/2)^2+COS(RADIANS(U250))*COS(RADIANS(14_Cercania!$C$13))*SIN(RADIANS(14_Cercania!$C$14-V250)/2)^2))+ROW()*0.000000001,"")</f>
        <v/>
      </c>
    </row>
    <row r="251" customFormat="false" ht="15" hidden="false" customHeight="false" outlineLevel="0" collapsed="false">
      <c r="A251" s="55" t="n">
        <v>249</v>
      </c>
      <c r="B251" s="56"/>
      <c r="C251" s="55"/>
      <c r="D251" s="56"/>
      <c r="E251" s="71"/>
      <c r="F251" s="57"/>
      <c r="G251" s="57"/>
      <c r="H251" s="72"/>
      <c r="I251" s="72"/>
      <c r="J251" s="72"/>
      <c r="K251" s="72"/>
      <c r="L251" s="72"/>
      <c r="M251" s="57"/>
      <c r="N251" s="57"/>
      <c r="O251" s="55"/>
      <c r="P251" s="73"/>
      <c r="Q251" s="73" t="s">
        <v>2490</v>
      </c>
      <c r="R251" s="55" t="s">
        <v>2491</v>
      </c>
      <c r="S251" s="55" t="s">
        <v>2491</v>
      </c>
      <c r="T251" s="55" t="s">
        <v>2491</v>
      </c>
      <c r="U251" s="83"/>
      <c r="V251" s="83"/>
      <c r="W251" s="57" t="s">
        <v>2538</v>
      </c>
      <c r="X251" s="76" t="str">
        <f aca="false">HYPERLINK(IF(AND(ISNUMBER(U251),ISNUMBER(V251)),"https://www.google.com/maps/search/?api=1&amp;query="&amp;U251&amp;","&amp;V251,"https://www.google.com/maps/search/?api=1&amp;query="&amp;SUBSTITUTE(SUBSTITUTE(SUBSTITUTE(B251&amp;", "&amp;M251&amp;", Puno, Peru"," ","+"),"&amp;","y"),"#","")),"Ver en mapa")</f>
        <v>Ver en mapa</v>
      </c>
      <c r="Y251" s="72"/>
      <c r="Z251" s="57"/>
      <c r="AA251" s="72"/>
      <c r="AB251" s="59"/>
      <c r="AC251" s="59"/>
      <c r="AD251" s="72"/>
      <c r="AE251" s="72"/>
      <c r="AF251" s="72"/>
      <c r="AG251" s="72"/>
      <c r="AH251" s="55" t="s">
        <v>2494</v>
      </c>
      <c r="AI251" s="72"/>
      <c r="AJ251" s="56" t="s">
        <v>2970</v>
      </c>
      <c r="AK251" s="77" t="str">
        <f aca="false">IF(AND(ISNUMBER(U251),ISNUMBER(V251),ISNUMBER(14_Cercania!$C$13),ISNUMBER(14_Cercania!$C$14)),6371*2*ASIN(SQRT(SIN(RADIANS(14_Cercania!$C$13-U251)/2)^2+COS(RADIANS(U251))*COS(RADIANS(14_Cercania!$C$13))*SIN(RADIANS(14_Cercania!$C$14-V251)/2)^2))+ROW()*0.000000001,"")</f>
        <v/>
      </c>
    </row>
    <row r="252" customFormat="false" ht="15" hidden="false" customHeight="false" outlineLevel="0" collapsed="false">
      <c r="A252" s="62" t="n">
        <v>250</v>
      </c>
      <c r="B252" s="63"/>
      <c r="C252" s="62"/>
      <c r="D252" s="63"/>
      <c r="E252" s="71"/>
      <c r="F252" s="57"/>
      <c r="G252" s="57"/>
      <c r="H252" s="72"/>
      <c r="I252" s="72"/>
      <c r="J252" s="72"/>
      <c r="K252" s="72"/>
      <c r="L252" s="72"/>
      <c r="M252" s="57"/>
      <c r="N252" s="57"/>
      <c r="O252" s="62"/>
      <c r="P252" s="78"/>
      <c r="Q252" s="78" t="s">
        <v>2490</v>
      </c>
      <c r="R252" s="62" t="s">
        <v>2491</v>
      </c>
      <c r="S252" s="62" t="s">
        <v>2491</v>
      </c>
      <c r="T252" s="62" t="s">
        <v>2491</v>
      </c>
      <c r="U252" s="83"/>
      <c r="V252" s="83"/>
      <c r="W252" s="57" t="s">
        <v>2538</v>
      </c>
      <c r="X252" s="80" t="str">
        <f aca="false">HYPERLINK(IF(AND(ISNUMBER(U252),ISNUMBER(V252)),"https://www.google.com/maps/search/?api=1&amp;query="&amp;U252&amp;","&amp;V252,"https://www.google.com/maps/search/?api=1&amp;query="&amp;SUBSTITUTE(SUBSTITUTE(SUBSTITUTE(B252&amp;", "&amp;M252&amp;", Puno, Peru"," ","+"),"&amp;","y"),"#","")),"Ver en mapa")</f>
        <v>Ver en mapa</v>
      </c>
      <c r="Y252" s="72"/>
      <c r="Z252" s="57"/>
      <c r="AA252" s="72"/>
      <c r="AB252" s="59"/>
      <c r="AC252" s="59"/>
      <c r="AD252" s="72"/>
      <c r="AE252" s="72"/>
      <c r="AF252" s="72"/>
      <c r="AG252" s="72"/>
      <c r="AH252" s="62" t="s">
        <v>2494</v>
      </c>
      <c r="AI252" s="72"/>
      <c r="AJ252" s="63" t="s">
        <v>2970</v>
      </c>
      <c r="AK252" s="81" t="str">
        <f aca="false">IF(AND(ISNUMBER(U252),ISNUMBER(V252),ISNUMBER(14_Cercania!$C$13),ISNUMBER(14_Cercania!$C$14)),6371*2*ASIN(SQRT(SIN(RADIANS(14_Cercania!$C$13-U252)/2)^2+COS(RADIANS(U252))*COS(RADIANS(14_Cercania!$C$13))*SIN(RADIANS(14_Cercania!$C$14-V252)/2)^2))+ROW()*0.000000001,"")</f>
        <v/>
      </c>
    </row>
    <row r="253" customFormat="false" ht="15" hidden="false" customHeight="false" outlineLevel="0" collapsed="false">
      <c r="A253" s="55" t="n">
        <v>251</v>
      </c>
      <c r="B253" s="56"/>
      <c r="C253" s="55"/>
      <c r="D253" s="56"/>
      <c r="E253" s="71"/>
      <c r="F253" s="57"/>
      <c r="G253" s="57"/>
      <c r="H253" s="72"/>
      <c r="I253" s="72"/>
      <c r="J253" s="72"/>
      <c r="K253" s="72"/>
      <c r="L253" s="72"/>
      <c r="M253" s="57"/>
      <c r="N253" s="57"/>
      <c r="O253" s="55"/>
      <c r="P253" s="73"/>
      <c r="Q253" s="73" t="s">
        <v>2490</v>
      </c>
      <c r="R253" s="55" t="s">
        <v>2491</v>
      </c>
      <c r="S253" s="55" t="s">
        <v>2491</v>
      </c>
      <c r="T253" s="55" t="s">
        <v>2491</v>
      </c>
      <c r="U253" s="83"/>
      <c r="V253" s="83"/>
      <c r="W253" s="57" t="s">
        <v>2538</v>
      </c>
      <c r="X253" s="76" t="str">
        <f aca="false">HYPERLINK(IF(AND(ISNUMBER(U253),ISNUMBER(V253)),"https://www.google.com/maps/search/?api=1&amp;query="&amp;U253&amp;","&amp;V253,"https://www.google.com/maps/search/?api=1&amp;query="&amp;SUBSTITUTE(SUBSTITUTE(SUBSTITUTE(B253&amp;", "&amp;M253&amp;", Puno, Peru"," ","+"),"&amp;","y"),"#","")),"Ver en mapa")</f>
        <v>Ver en mapa</v>
      </c>
      <c r="Y253" s="72"/>
      <c r="Z253" s="57"/>
      <c r="AA253" s="72"/>
      <c r="AB253" s="59"/>
      <c r="AC253" s="59"/>
      <c r="AD253" s="72"/>
      <c r="AE253" s="72"/>
      <c r="AF253" s="72"/>
      <c r="AG253" s="72"/>
      <c r="AH253" s="55" t="s">
        <v>2494</v>
      </c>
      <c r="AI253" s="72"/>
      <c r="AJ253" s="56" t="s">
        <v>2970</v>
      </c>
      <c r="AK253" s="77" t="str">
        <f aca="false">IF(AND(ISNUMBER(U253),ISNUMBER(V253),ISNUMBER(14_Cercania!$C$13),ISNUMBER(14_Cercania!$C$14)),6371*2*ASIN(SQRT(SIN(RADIANS(14_Cercania!$C$13-U253)/2)^2+COS(RADIANS(U253))*COS(RADIANS(14_Cercania!$C$13))*SIN(RADIANS(14_Cercania!$C$14-V253)/2)^2))+ROW()*0.000000001,"")</f>
        <v/>
      </c>
    </row>
    <row r="254" customFormat="false" ht="15" hidden="false" customHeight="false" outlineLevel="0" collapsed="false">
      <c r="A254" s="62" t="n">
        <v>252</v>
      </c>
      <c r="B254" s="63"/>
      <c r="C254" s="62"/>
      <c r="D254" s="63"/>
      <c r="E254" s="71"/>
      <c r="F254" s="57"/>
      <c r="G254" s="57"/>
      <c r="H254" s="72"/>
      <c r="I254" s="72"/>
      <c r="J254" s="72"/>
      <c r="K254" s="72"/>
      <c r="L254" s="72"/>
      <c r="M254" s="57"/>
      <c r="N254" s="57"/>
      <c r="O254" s="62"/>
      <c r="P254" s="78"/>
      <c r="Q254" s="78" t="s">
        <v>2490</v>
      </c>
      <c r="R254" s="62" t="s">
        <v>2491</v>
      </c>
      <c r="S254" s="62" t="s">
        <v>2491</v>
      </c>
      <c r="T254" s="62" t="s">
        <v>2491</v>
      </c>
      <c r="U254" s="83"/>
      <c r="V254" s="83"/>
      <c r="W254" s="57" t="s">
        <v>2538</v>
      </c>
      <c r="X254" s="80" t="str">
        <f aca="false">HYPERLINK(IF(AND(ISNUMBER(U254),ISNUMBER(V254)),"https://www.google.com/maps/search/?api=1&amp;query="&amp;U254&amp;","&amp;V254,"https://www.google.com/maps/search/?api=1&amp;query="&amp;SUBSTITUTE(SUBSTITUTE(SUBSTITUTE(B254&amp;", "&amp;M254&amp;", Puno, Peru"," ","+"),"&amp;","y"),"#","")),"Ver en mapa")</f>
        <v>Ver en mapa</v>
      </c>
      <c r="Y254" s="72"/>
      <c r="Z254" s="57"/>
      <c r="AA254" s="72"/>
      <c r="AB254" s="59"/>
      <c r="AC254" s="59"/>
      <c r="AD254" s="72"/>
      <c r="AE254" s="72"/>
      <c r="AF254" s="72"/>
      <c r="AG254" s="72"/>
      <c r="AH254" s="62" t="s">
        <v>2494</v>
      </c>
      <c r="AI254" s="72"/>
      <c r="AJ254" s="63" t="s">
        <v>2970</v>
      </c>
      <c r="AK254" s="81" t="str">
        <f aca="false">IF(AND(ISNUMBER(U254),ISNUMBER(V254),ISNUMBER(14_Cercania!$C$13),ISNUMBER(14_Cercania!$C$14)),6371*2*ASIN(SQRT(SIN(RADIANS(14_Cercania!$C$13-U254)/2)^2+COS(RADIANS(U254))*COS(RADIANS(14_Cercania!$C$13))*SIN(RADIANS(14_Cercania!$C$14-V254)/2)^2))+ROW()*0.000000001,"")</f>
        <v/>
      </c>
    </row>
    <row r="255" customFormat="false" ht="15" hidden="false" customHeight="false" outlineLevel="0" collapsed="false">
      <c r="A255" s="55" t="n">
        <v>253</v>
      </c>
      <c r="B255" s="56"/>
      <c r="C255" s="55"/>
      <c r="D255" s="56"/>
      <c r="E255" s="71"/>
      <c r="F255" s="57"/>
      <c r="G255" s="57"/>
      <c r="H255" s="72"/>
      <c r="I255" s="72"/>
      <c r="J255" s="72"/>
      <c r="K255" s="72"/>
      <c r="L255" s="72"/>
      <c r="M255" s="57"/>
      <c r="N255" s="57"/>
      <c r="O255" s="55"/>
      <c r="P255" s="73"/>
      <c r="Q255" s="73" t="s">
        <v>2490</v>
      </c>
      <c r="R255" s="55" t="s">
        <v>2491</v>
      </c>
      <c r="S255" s="55" t="s">
        <v>2491</v>
      </c>
      <c r="T255" s="55" t="s">
        <v>2491</v>
      </c>
      <c r="U255" s="83"/>
      <c r="V255" s="83"/>
      <c r="W255" s="57" t="s">
        <v>2538</v>
      </c>
      <c r="X255" s="76" t="str">
        <f aca="false">HYPERLINK(IF(AND(ISNUMBER(U255),ISNUMBER(V255)),"https://www.google.com/maps/search/?api=1&amp;query="&amp;U255&amp;","&amp;V255,"https://www.google.com/maps/search/?api=1&amp;query="&amp;SUBSTITUTE(SUBSTITUTE(SUBSTITUTE(B255&amp;", "&amp;M255&amp;", Puno, Peru"," ","+"),"&amp;","y"),"#","")),"Ver en mapa")</f>
        <v>Ver en mapa</v>
      </c>
      <c r="Y255" s="72"/>
      <c r="Z255" s="57"/>
      <c r="AA255" s="72"/>
      <c r="AB255" s="59"/>
      <c r="AC255" s="59"/>
      <c r="AD255" s="72"/>
      <c r="AE255" s="72"/>
      <c r="AF255" s="72"/>
      <c r="AG255" s="72"/>
      <c r="AH255" s="55" t="s">
        <v>2494</v>
      </c>
      <c r="AI255" s="72"/>
      <c r="AJ255" s="56" t="s">
        <v>2970</v>
      </c>
      <c r="AK255" s="77" t="str">
        <f aca="false">IF(AND(ISNUMBER(U255),ISNUMBER(V255),ISNUMBER(14_Cercania!$C$13),ISNUMBER(14_Cercania!$C$14)),6371*2*ASIN(SQRT(SIN(RADIANS(14_Cercania!$C$13-U255)/2)^2+COS(RADIANS(U255))*COS(RADIANS(14_Cercania!$C$13))*SIN(RADIANS(14_Cercania!$C$14-V255)/2)^2))+ROW()*0.000000001,"")</f>
        <v/>
      </c>
    </row>
    <row r="256" customFormat="false" ht="15" hidden="false" customHeight="false" outlineLevel="0" collapsed="false">
      <c r="A256" s="62" t="n">
        <v>254</v>
      </c>
      <c r="B256" s="63"/>
      <c r="C256" s="62"/>
      <c r="D256" s="63"/>
      <c r="E256" s="71"/>
      <c r="F256" s="57"/>
      <c r="G256" s="57"/>
      <c r="H256" s="72"/>
      <c r="I256" s="72"/>
      <c r="J256" s="72"/>
      <c r="K256" s="72"/>
      <c r="L256" s="72"/>
      <c r="M256" s="57"/>
      <c r="N256" s="57"/>
      <c r="O256" s="62"/>
      <c r="P256" s="78"/>
      <c r="Q256" s="78" t="s">
        <v>2490</v>
      </c>
      <c r="R256" s="62" t="s">
        <v>2491</v>
      </c>
      <c r="S256" s="62" t="s">
        <v>2491</v>
      </c>
      <c r="T256" s="62" t="s">
        <v>2491</v>
      </c>
      <c r="U256" s="83"/>
      <c r="V256" s="83"/>
      <c r="W256" s="57" t="s">
        <v>2538</v>
      </c>
      <c r="X256" s="80" t="str">
        <f aca="false">HYPERLINK(IF(AND(ISNUMBER(U256),ISNUMBER(V256)),"https://www.google.com/maps/search/?api=1&amp;query="&amp;U256&amp;","&amp;V256,"https://www.google.com/maps/search/?api=1&amp;query="&amp;SUBSTITUTE(SUBSTITUTE(SUBSTITUTE(B256&amp;", "&amp;M256&amp;", Puno, Peru"," ","+"),"&amp;","y"),"#","")),"Ver en mapa")</f>
        <v>Ver en mapa</v>
      </c>
      <c r="Y256" s="72"/>
      <c r="Z256" s="57"/>
      <c r="AA256" s="72"/>
      <c r="AB256" s="59"/>
      <c r="AC256" s="59"/>
      <c r="AD256" s="72"/>
      <c r="AE256" s="72"/>
      <c r="AF256" s="72"/>
      <c r="AG256" s="72"/>
      <c r="AH256" s="62" t="s">
        <v>2494</v>
      </c>
      <c r="AI256" s="72"/>
      <c r="AJ256" s="63" t="s">
        <v>2970</v>
      </c>
      <c r="AK256" s="81" t="str">
        <f aca="false">IF(AND(ISNUMBER(U256),ISNUMBER(V256),ISNUMBER(14_Cercania!$C$13),ISNUMBER(14_Cercania!$C$14)),6371*2*ASIN(SQRT(SIN(RADIANS(14_Cercania!$C$13-U256)/2)^2+COS(RADIANS(U256))*COS(RADIANS(14_Cercania!$C$13))*SIN(RADIANS(14_Cercania!$C$14-V256)/2)^2))+ROW()*0.000000001,"")</f>
        <v/>
      </c>
    </row>
    <row r="257" customFormat="false" ht="15" hidden="false" customHeight="false" outlineLevel="0" collapsed="false">
      <c r="A257" s="55" t="n">
        <v>255</v>
      </c>
      <c r="B257" s="56"/>
      <c r="C257" s="55"/>
      <c r="D257" s="56"/>
      <c r="E257" s="71"/>
      <c r="F257" s="57"/>
      <c r="G257" s="57"/>
      <c r="H257" s="72"/>
      <c r="I257" s="72"/>
      <c r="J257" s="72"/>
      <c r="K257" s="72"/>
      <c r="L257" s="72"/>
      <c r="M257" s="57"/>
      <c r="N257" s="57"/>
      <c r="O257" s="55"/>
      <c r="P257" s="73"/>
      <c r="Q257" s="73" t="s">
        <v>2490</v>
      </c>
      <c r="R257" s="55" t="s">
        <v>2491</v>
      </c>
      <c r="S257" s="55" t="s">
        <v>2491</v>
      </c>
      <c r="T257" s="55" t="s">
        <v>2491</v>
      </c>
      <c r="U257" s="83"/>
      <c r="V257" s="83"/>
      <c r="W257" s="57" t="s">
        <v>2538</v>
      </c>
      <c r="X257" s="76" t="str">
        <f aca="false">HYPERLINK(IF(AND(ISNUMBER(U257),ISNUMBER(V257)),"https://www.google.com/maps/search/?api=1&amp;query="&amp;U257&amp;","&amp;V257,"https://www.google.com/maps/search/?api=1&amp;query="&amp;SUBSTITUTE(SUBSTITUTE(SUBSTITUTE(B257&amp;", "&amp;M257&amp;", Puno, Peru"," ","+"),"&amp;","y"),"#","")),"Ver en mapa")</f>
        <v>Ver en mapa</v>
      </c>
      <c r="Y257" s="72"/>
      <c r="Z257" s="57"/>
      <c r="AA257" s="72"/>
      <c r="AB257" s="59"/>
      <c r="AC257" s="59"/>
      <c r="AD257" s="72"/>
      <c r="AE257" s="72"/>
      <c r="AF257" s="72"/>
      <c r="AG257" s="72"/>
      <c r="AH257" s="55" t="s">
        <v>2494</v>
      </c>
      <c r="AI257" s="72"/>
      <c r="AJ257" s="56" t="s">
        <v>2970</v>
      </c>
      <c r="AK257" s="77" t="str">
        <f aca="false">IF(AND(ISNUMBER(U257),ISNUMBER(V257),ISNUMBER(14_Cercania!$C$13),ISNUMBER(14_Cercania!$C$14)),6371*2*ASIN(SQRT(SIN(RADIANS(14_Cercania!$C$13-U257)/2)^2+COS(RADIANS(U257))*COS(RADIANS(14_Cercania!$C$13))*SIN(RADIANS(14_Cercania!$C$14-V257)/2)^2))+ROW()*0.000000001,"")</f>
        <v/>
      </c>
    </row>
    <row r="258" customFormat="false" ht="15" hidden="false" customHeight="false" outlineLevel="0" collapsed="false">
      <c r="A258" s="62" t="n">
        <v>256</v>
      </c>
      <c r="B258" s="63"/>
      <c r="C258" s="62"/>
      <c r="D258" s="63"/>
      <c r="E258" s="71"/>
      <c r="F258" s="57"/>
      <c r="G258" s="57"/>
      <c r="H258" s="72"/>
      <c r="I258" s="72"/>
      <c r="J258" s="72"/>
      <c r="K258" s="72"/>
      <c r="L258" s="72"/>
      <c r="M258" s="57"/>
      <c r="N258" s="57"/>
      <c r="O258" s="62"/>
      <c r="P258" s="78"/>
      <c r="Q258" s="78" t="s">
        <v>2490</v>
      </c>
      <c r="R258" s="62" t="s">
        <v>2491</v>
      </c>
      <c r="S258" s="62" t="s">
        <v>2491</v>
      </c>
      <c r="T258" s="62" t="s">
        <v>2491</v>
      </c>
      <c r="U258" s="83"/>
      <c r="V258" s="83"/>
      <c r="W258" s="57" t="s">
        <v>2538</v>
      </c>
      <c r="X258" s="80" t="str">
        <f aca="false">HYPERLINK(IF(AND(ISNUMBER(U258),ISNUMBER(V258)),"https://www.google.com/maps/search/?api=1&amp;query="&amp;U258&amp;","&amp;V258,"https://www.google.com/maps/search/?api=1&amp;query="&amp;SUBSTITUTE(SUBSTITUTE(SUBSTITUTE(B258&amp;", "&amp;M258&amp;", Puno, Peru"," ","+"),"&amp;","y"),"#","")),"Ver en mapa")</f>
        <v>Ver en mapa</v>
      </c>
      <c r="Y258" s="72"/>
      <c r="Z258" s="57"/>
      <c r="AA258" s="72"/>
      <c r="AB258" s="59"/>
      <c r="AC258" s="59"/>
      <c r="AD258" s="72"/>
      <c r="AE258" s="72"/>
      <c r="AF258" s="72"/>
      <c r="AG258" s="72"/>
      <c r="AH258" s="62" t="s">
        <v>2494</v>
      </c>
      <c r="AI258" s="72"/>
      <c r="AJ258" s="63" t="s">
        <v>2970</v>
      </c>
      <c r="AK258" s="81" t="str">
        <f aca="false">IF(AND(ISNUMBER(U258),ISNUMBER(V258),ISNUMBER(14_Cercania!$C$13),ISNUMBER(14_Cercania!$C$14)),6371*2*ASIN(SQRT(SIN(RADIANS(14_Cercania!$C$13-U258)/2)^2+COS(RADIANS(U258))*COS(RADIANS(14_Cercania!$C$13))*SIN(RADIANS(14_Cercania!$C$14-V258)/2)^2))+ROW()*0.000000001,"")</f>
        <v/>
      </c>
    </row>
    <row r="259" customFormat="false" ht="15" hidden="false" customHeight="false" outlineLevel="0" collapsed="false">
      <c r="A259" s="55" t="n">
        <v>257</v>
      </c>
      <c r="B259" s="56"/>
      <c r="C259" s="55"/>
      <c r="D259" s="56"/>
      <c r="E259" s="71"/>
      <c r="F259" s="57"/>
      <c r="G259" s="57"/>
      <c r="H259" s="72"/>
      <c r="I259" s="72"/>
      <c r="J259" s="72"/>
      <c r="K259" s="72"/>
      <c r="L259" s="72"/>
      <c r="M259" s="57"/>
      <c r="N259" s="57"/>
      <c r="O259" s="55"/>
      <c r="P259" s="73"/>
      <c r="Q259" s="73" t="s">
        <v>2490</v>
      </c>
      <c r="R259" s="55" t="s">
        <v>2491</v>
      </c>
      <c r="S259" s="55" t="s">
        <v>2491</v>
      </c>
      <c r="T259" s="55" t="s">
        <v>2491</v>
      </c>
      <c r="U259" s="83"/>
      <c r="V259" s="83"/>
      <c r="W259" s="57" t="s">
        <v>2538</v>
      </c>
      <c r="X259" s="76" t="str">
        <f aca="false">HYPERLINK(IF(AND(ISNUMBER(U259),ISNUMBER(V259)),"https://www.google.com/maps/search/?api=1&amp;query="&amp;U259&amp;","&amp;V259,"https://www.google.com/maps/search/?api=1&amp;query="&amp;SUBSTITUTE(SUBSTITUTE(SUBSTITUTE(B259&amp;", "&amp;M259&amp;", Puno, Peru"," ","+"),"&amp;","y"),"#","")),"Ver en mapa")</f>
        <v>Ver en mapa</v>
      </c>
      <c r="Y259" s="72"/>
      <c r="Z259" s="57"/>
      <c r="AA259" s="72"/>
      <c r="AB259" s="59"/>
      <c r="AC259" s="59"/>
      <c r="AD259" s="72"/>
      <c r="AE259" s="72"/>
      <c r="AF259" s="72"/>
      <c r="AG259" s="72"/>
      <c r="AH259" s="55" t="s">
        <v>2494</v>
      </c>
      <c r="AI259" s="72"/>
      <c r="AJ259" s="56" t="s">
        <v>2970</v>
      </c>
      <c r="AK259" s="77" t="str">
        <f aca="false">IF(AND(ISNUMBER(U259),ISNUMBER(V259),ISNUMBER(14_Cercania!$C$13),ISNUMBER(14_Cercania!$C$14)),6371*2*ASIN(SQRT(SIN(RADIANS(14_Cercania!$C$13-U259)/2)^2+COS(RADIANS(U259))*COS(RADIANS(14_Cercania!$C$13))*SIN(RADIANS(14_Cercania!$C$14-V259)/2)^2))+ROW()*0.000000001,"")</f>
        <v/>
      </c>
    </row>
    <row r="260" customFormat="false" ht="15" hidden="false" customHeight="false" outlineLevel="0" collapsed="false">
      <c r="A260" s="62" t="n">
        <v>258</v>
      </c>
      <c r="B260" s="63"/>
      <c r="C260" s="62"/>
      <c r="D260" s="63"/>
      <c r="E260" s="71"/>
      <c r="F260" s="57"/>
      <c r="G260" s="57"/>
      <c r="H260" s="72"/>
      <c r="I260" s="72"/>
      <c r="J260" s="72"/>
      <c r="K260" s="72"/>
      <c r="L260" s="72"/>
      <c r="M260" s="57"/>
      <c r="N260" s="57"/>
      <c r="O260" s="62"/>
      <c r="P260" s="78"/>
      <c r="Q260" s="78" t="s">
        <v>2490</v>
      </c>
      <c r="R260" s="62" t="s">
        <v>2491</v>
      </c>
      <c r="S260" s="62" t="s">
        <v>2491</v>
      </c>
      <c r="T260" s="62" t="s">
        <v>2491</v>
      </c>
      <c r="U260" s="83"/>
      <c r="V260" s="83"/>
      <c r="W260" s="57" t="s">
        <v>2538</v>
      </c>
      <c r="X260" s="80" t="str">
        <f aca="false">HYPERLINK(IF(AND(ISNUMBER(U260),ISNUMBER(V260)),"https://www.google.com/maps/search/?api=1&amp;query="&amp;U260&amp;","&amp;V260,"https://www.google.com/maps/search/?api=1&amp;query="&amp;SUBSTITUTE(SUBSTITUTE(SUBSTITUTE(B260&amp;", "&amp;M260&amp;", Puno, Peru"," ","+"),"&amp;","y"),"#","")),"Ver en mapa")</f>
        <v>Ver en mapa</v>
      </c>
      <c r="Y260" s="72"/>
      <c r="Z260" s="57"/>
      <c r="AA260" s="72"/>
      <c r="AB260" s="59"/>
      <c r="AC260" s="59"/>
      <c r="AD260" s="72"/>
      <c r="AE260" s="72"/>
      <c r="AF260" s="72"/>
      <c r="AG260" s="72"/>
      <c r="AH260" s="62" t="s">
        <v>2494</v>
      </c>
      <c r="AI260" s="72"/>
      <c r="AJ260" s="63" t="s">
        <v>2970</v>
      </c>
      <c r="AK260" s="81" t="str">
        <f aca="false">IF(AND(ISNUMBER(U260),ISNUMBER(V260),ISNUMBER(14_Cercania!$C$13),ISNUMBER(14_Cercania!$C$14)),6371*2*ASIN(SQRT(SIN(RADIANS(14_Cercania!$C$13-U260)/2)^2+COS(RADIANS(U260))*COS(RADIANS(14_Cercania!$C$13))*SIN(RADIANS(14_Cercania!$C$14-V260)/2)^2))+ROW()*0.000000001,"")</f>
        <v/>
      </c>
    </row>
    <row r="261" customFormat="false" ht="15" hidden="false" customHeight="false" outlineLevel="0" collapsed="false">
      <c r="A261" s="55" t="n">
        <v>259</v>
      </c>
      <c r="B261" s="56"/>
      <c r="C261" s="55"/>
      <c r="D261" s="56"/>
      <c r="E261" s="71"/>
      <c r="F261" s="57"/>
      <c r="G261" s="57"/>
      <c r="H261" s="72"/>
      <c r="I261" s="72"/>
      <c r="J261" s="72"/>
      <c r="K261" s="72"/>
      <c r="L261" s="72"/>
      <c r="M261" s="57"/>
      <c r="N261" s="57"/>
      <c r="O261" s="55"/>
      <c r="P261" s="73"/>
      <c r="Q261" s="73" t="s">
        <v>2490</v>
      </c>
      <c r="R261" s="55" t="s">
        <v>2491</v>
      </c>
      <c r="S261" s="55" t="s">
        <v>2491</v>
      </c>
      <c r="T261" s="55" t="s">
        <v>2491</v>
      </c>
      <c r="U261" s="83"/>
      <c r="V261" s="83"/>
      <c r="W261" s="57" t="s">
        <v>2538</v>
      </c>
      <c r="X261" s="76" t="str">
        <f aca="false">HYPERLINK(IF(AND(ISNUMBER(U261),ISNUMBER(V261)),"https://www.google.com/maps/search/?api=1&amp;query="&amp;U261&amp;","&amp;V261,"https://www.google.com/maps/search/?api=1&amp;query="&amp;SUBSTITUTE(SUBSTITUTE(SUBSTITUTE(B261&amp;", "&amp;M261&amp;", Puno, Peru"," ","+"),"&amp;","y"),"#","")),"Ver en mapa")</f>
        <v>Ver en mapa</v>
      </c>
      <c r="Y261" s="72"/>
      <c r="Z261" s="57"/>
      <c r="AA261" s="72"/>
      <c r="AB261" s="59"/>
      <c r="AC261" s="59"/>
      <c r="AD261" s="72"/>
      <c r="AE261" s="72"/>
      <c r="AF261" s="72"/>
      <c r="AG261" s="72"/>
      <c r="AH261" s="55" t="s">
        <v>2494</v>
      </c>
      <c r="AI261" s="72"/>
      <c r="AJ261" s="56" t="s">
        <v>2970</v>
      </c>
      <c r="AK261" s="77" t="str">
        <f aca="false">IF(AND(ISNUMBER(U261),ISNUMBER(V261),ISNUMBER(14_Cercania!$C$13),ISNUMBER(14_Cercania!$C$14)),6371*2*ASIN(SQRT(SIN(RADIANS(14_Cercania!$C$13-U261)/2)^2+COS(RADIANS(U261))*COS(RADIANS(14_Cercania!$C$13))*SIN(RADIANS(14_Cercania!$C$14-V261)/2)^2))+ROW()*0.000000001,"")</f>
        <v/>
      </c>
    </row>
    <row r="262" customFormat="false" ht="15" hidden="false" customHeight="false" outlineLevel="0" collapsed="false">
      <c r="A262" s="62" t="n">
        <v>260</v>
      </c>
      <c r="B262" s="63"/>
      <c r="C262" s="62"/>
      <c r="D262" s="63"/>
      <c r="E262" s="71"/>
      <c r="F262" s="57"/>
      <c r="G262" s="57"/>
      <c r="H262" s="72"/>
      <c r="I262" s="72"/>
      <c r="J262" s="72"/>
      <c r="K262" s="72"/>
      <c r="L262" s="72"/>
      <c r="M262" s="57"/>
      <c r="N262" s="57"/>
      <c r="O262" s="62"/>
      <c r="P262" s="78"/>
      <c r="Q262" s="78" t="s">
        <v>2490</v>
      </c>
      <c r="R262" s="62" t="s">
        <v>2491</v>
      </c>
      <c r="S262" s="62" t="s">
        <v>2491</v>
      </c>
      <c r="T262" s="62" t="s">
        <v>2491</v>
      </c>
      <c r="U262" s="83"/>
      <c r="V262" s="83"/>
      <c r="W262" s="57" t="s">
        <v>2538</v>
      </c>
      <c r="X262" s="80" t="str">
        <f aca="false">HYPERLINK(IF(AND(ISNUMBER(U262),ISNUMBER(V262)),"https://www.google.com/maps/search/?api=1&amp;query="&amp;U262&amp;","&amp;V262,"https://www.google.com/maps/search/?api=1&amp;query="&amp;SUBSTITUTE(SUBSTITUTE(SUBSTITUTE(B262&amp;", "&amp;M262&amp;", Puno, Peru"," ","+"),"&amp;","y"),"#","")),"Ver en mapa")</f>
        <v>Ver en mapa</v>
      </c>
      <c r="Y262" s="72"/>
      <c r="Z262" s="57"/>
      <c r="AA262" s="72"/>
      <c r="AB262" s="59"/>
      <c r="AC262" s="59"/>
      <c r="AD262" s="72"/>
      <c r="AE262" s="72"/>
      <c r="AF262" s="72"/>
      <c r="AG262" s="72"/>
      <c r="AH262" s="62" t="s">
        <v>2494</v>
      </c>
      <c r="AI262" s="72"/>
      <c r="AJ262" s="63" t="s">
        <v>2970</v>
      </c>
      <c r="AK262" s="81" t="str">
        <f aca="false">IF(AND(ISNUMBER(U262),ISNUMBER(V262),ISNUMBER(14_Cercania!$C$13),ISNUMBER(14_Cercania!$C$14)),6371*2*ASIN(SQRT(SIN(RADIANS(14_Cercania!$C$13-U262)/2)^2+COS(RADIANS(U262))*COS(RADIANS(14_Cercania!$C$13))*SIN(RADIANS(14_Cercania!$C$14-V262)/2)^2))+ROW()*0.000000001,"")</f>
        <v/>
      </c>
    </row>
    <row r="263" customFormat="false" ht="15" hidden="false" customHeight="false" outlineLevel="0" collapsed="false">
      <c r="A263" s="55" t="n">
        <v>261</v>
      </c>
      <c r="B263" s="56"/>
      <c r="C263" s="55"/>
      <c r="D263" s="56"/>
      <c r="E263" s="71"/>
      <c r="F263" s="57"/>
      <c r="G263" s="57"/>
      <c r="H263" s="72"/>
      <c r="I263" s="72"/>
      <c r="J263" s="72"/>
      <c r="K263" s="72"/>
      <c r="L263" s="72"/>
      <c r="M263" s="57"/>
      <c r="N263" s="57"/>
      <c r="O263" s="55"/>
      <c r="P263" s="73"/>
      <c r="Q263" s="73" t="s">
        <v>2490</v>
      </c>
      <c r="R263" s="55" t="s">
        <v>2491</v>
      </c>
      <c r="S263" s="55" t="s">
        <v>2491</v>
      </c>
      <c r="T263" s="55" t="s">
        <v>2491</v>
      </c>
      <c r="U263" s="83"/>
      <c r="V263" s="83"/>
      <c r="W263" s="57" t="s">
        <v>2538</v>
      </c>
      <c r="X263" s="76" t="str">
        <f aca="false">HYPERLINK(IF(AND(ISNUMBER(U263),ISNUMBER(V263)),"https://www.google.com/maps/search/?api=1&amp;query="&amp;U263&amp;","&amp;V263,"https://www.google.com/maps/search/?api=1&amp;query="&amp;SUBSTITUTE(SUBSTITUTE(SUBSTITUTE(B263&amp;", "&amp;M263&amp;", Puno, Peru"," ","+"),"&amp;","y"),"#","")),"Ver en mapa")</f>
        <v>Ver en mapa</v>
      </c>
      <c r="Y263" s="72"/>
      <c r="Z263" s="57"/>
      <c r="AA263" s="72"/>
      <c r="AB263" s="59"/>
      <c r="AC263" s="59"/>
      <c r="AD263" s="72"/>
      <c r="AE263" s="72"/>
      <c r="AF263" s="72"/>
      <c r="AG263" s="72"/>
      <c r="AH263" s="55" t="s">
        <v>2494</v>
      </c>
      <c r="AI263" s="72"/>
      <c r="AJ263" s="56" t="s">
        <v>2970</v>
      </c>
      <c r="AK263" s="77" t="str">
        <f aca="false">IF(AND(ISNUMBER(U263),ISNUMBER(V263),ISNUMBER(14_Cercania!$C$13),ISNUMBER(14_Cercania!$C$14)),6371*2*ASIN(SQRT(SIN(RADIANS(14_Cercania!$C$13-U263)/2)^2+COS(RADIANS(U263))*COS(RADIANS(14_Cercania!$C$13))*SIN(RADIANS(14_Cercania!$C$14-V263)/2)^2))+ROW()*0.000000001,"")</f>
        <v/>
      </c>
    </row>
    <row r="264" customFormat="false" ht="15" hidden="false" customHeight="false" outlineLevel="0" collapsed="false">
      <c r="A264" s="62" t="n">
        <v>262</v>
      </c>
      <c r="B264" s="63"/>
      <c r="C264" s="62"/>
      <c r="D264" s="63"/>
      <c r="E264" s="71"/>
      <c r="F264" s="57"/>
      <c r="G264" s="57"/>
      <c r="H264" s="72"/>
      <c r="I264" s="72"/>
      <c r="J264" s="72"/>
      <c r="K264" s="72"/>
      <c r="L264" s="72"/>
      <c r="M264" s="57"/>
      <c r="N264" s="57"/>
      <c r="O264" s="62"/>
      <c r="P264" s="78"/>
      <c r="Q264" s="78" t="s">
        <v>2490</v>
      </c>
      <c r="R264" s="62" t="s">
        <v>2491</v>
      </c>
      <c r="S264" s="62" t="s">
        <v>2491</v>
      </c>
      <c r="T264" s="62" t="s">
        <v>2491</v>
      </c>
      <c r="U264" s="83"/>
      <c r="V264" s="83"/>
      <c r="W264" s="57" t="s">
        <v>2538</v>
      </c>
      <c r="X264" s="80" t="str">
        <f aca="false">HYPERLINK(IF(AND(ISNUMBER(U264),ISNUMBER(V264)),"https://www.google.com/maps/search/?api=1&amp;query="&amp;U264&amp;","&amp;V264,"https://www.google.com/maps/search/?api=1&amp;query="&amp;SUBSTITUTE(SUBSTITUTE(SUBSTITUTE(B264&amp;", "&amp;M264&amp;", Puno, Peru"," ","+"),"&amp;","y"),"#","")),"Ver en mapa")</f>
        <v>Ver en mapa</v>
      </c>
      <c r="Y264" s="72"/>
      <c r="Z264" s="57"/>
      <c r="AA264" s="72"/>
      <c r="AB264" s="59"/>
      <c r="AC264" s="59"/>
      <c r="AD264" s="72"/>
      <c r="AE264" s="72"/>
      <c r="AF264" s="72"/>
      <c r="AG264" s="72"/>
      <c r="AH264" s="62" t="s">
        <v>2494</v>
      </c>
      <c r="AI264" s="72"/>
      <c r="AJ264" s="63" t="s">
        <v>2970</v>
      </c>
      <c r="AK264" s="81" t="str">
        <f aca="false">IF(AND(ISNUMBER(U264),ISNUMBER(V264),ISNUMBER(14_Cercania!$C$13),ISNUMBER(14_Cercania!$C$14)),6371*2*ASIN(SQRT(SIN(RADIANS(14_Cercania!$C$13-U264)/2)^2+COS(RADIANS(U264))*COS(RADIANS(14_Cercania!$C$13))*SIN(RADIANS(14_Cercania!$C$14-V264)/2)^2))+ROW()*0.000000001,"")</f>
        <v/>
      </c>
    </row>
    <row r="265" customFormat="false" ht="15" hidden="false" customHeight="false" outlineLevel="0" collapsed="false">
      <c r="A265" s="55" t="n">
        <v>263</v>
      </c>
      <c r="B265" s="56"/>
      <c r="C265" s="55"/>
      <c r="D265" s="56"/>
      <c r="E265" s="71"/>
      <c r="F265" s="57"/>
      <c r="G265" s="57"/>
      <c r="H265" s="72"/>
      <c r="I265" s="72"/>
      <c r="J265" s="72"/>
      <c r="K265" s="72"/>
      <c r="L265" s="72"/>
      <c r="M265" s="57"/>
      <c r="N265" s="57"/>
      <c r="O265" s="55"/>
      <c r="P265" s="73"/>
      <c r="Q265" s="73" t="s">
        <v>2490</v>
      </c>
      <c r="R265" s="55" t="s">
        <v>2491</v>
      </c>
      <c r="S265" s="55" t="s">
        <v>2491</v>
      </c>
      <c r="T265" s="55" t="s">
        <v>2491</v>
      </c>
      <c r="U265" s="83"/>
      <c r="V265" s="83"/>
      <c r="W265" s="57" t="s">
        <v>2538</v>
      </c>
      <c r="X265" s="76" t="str">
        <f aca="false">HYPERLINK(IF(AND(ISNUMBER(U265),ISNUMBER(V265)),"https://www.google.com/maps/search/?api=1&amp;query="&amp;U265&amp;","&amp;V265,"https://www.google.com/maps/search/?api=1&amp;query="&amp;SUBSTITUTE(SUBSTITUTE(SUBSTITUTE(B265&amp;", "&amp;M265&amp;", Puno, Peru"," ","+"),"&amp;","y"),"#","")),"Ver en mapa")</f>
        <v>Ver en mapa</v>
      </c>
      <c r="Y265" s="72"/>
      <c r="Z265" s="57"/>
      <c r="AA265" s="72"/>
      <c r="AB265" s="59"/>
      <c r="AC265" s="59"/>
      <c r="AD265" s="72"/>
      <c r="AE265" s="72"/>
      <c r="AF265" s="72"/>
      <c r="AG265" s="72"/>
      <c r="AH265" s="55" t="s">
        <v>2494</v>
      </c>
      <c r="AI265" s="72"/>
      <c r="AJ265" s="56" t="s">
        <v>2970</v>
      </c>
      <c r="AK265" s="77" t="str">
        <f aca="false">IF(AND(ISNUMBER(U265),ISNUMBER(V265),ISNUMBER(14_Cercania!$C$13),ISNUMBER(14_Cercania!$C$14)),6371*2*ASIN(SQRT(SIN(RADIANS(14_Cercania!$C$13-U265)/2)^2+COS(RADIANS(U265))*COS(RADIANS(14_Cercania!$C$13))*SIN(RADIANS(14_Cercania!$C$14-V265)/2)^2))+ROW()*0.000000001,"")</f>
        <v/>
      </c>
    </row>
    <row r="266" customFormat="false" ht="15" hidden="false" customHeight="false" outlineLevel="0" collapsed="false">
      <c r="A266" s="62" t="n">
        <v>264</v>
      </c>
      <c r="B266" s="63"/>
      <c r="C266" s="62"/>
      <c r="D266" s="63"/>
      <c r="E266" s="71"/>
      <c r="F266" s="57"/>
      <c r="G266" s="57"/>
      <c r="H266" s="72"/>
      <c r="I266" s="72"/>
      <c r="J266" s="72"/>
      <c r="K266" s="72"/>
      <c r="L266" s="72"/>
      <c r="M266" s="57"/>
      <c r="N266" s="57"/>
      <c r="O266" s="62"/>
      <c r="P266" s="78"/>
      <c r="Q266" s="78" t="s">
        <v>2490</v>
      </c>
      <c r="R266" s="62" t="s">
        <v>2491</v>
      </c>
      <c r="S266" s="62" t="s">
        <v>2491</v>
      </c>
      <c r="T266" s="62" t="s">
        <v>2491</v>
      </c>
      <c r="U266" s="83"/>
      <c r="V266" s="83"/>
      <c r="W266" s="57" t="s">
        <v>2538</v>
      </c>
      <c r="X266" s="80" t="str">
        <f aca="false">HYPERLINK(IF(AND(ISNUMBER(U266),ISNUMBER(V266)),"https://www.google.com/maps/search/?api=1&amp;query="&amp;U266&amp;","&amp;V266,"https://www.google.com/maps/search/?api=1&amp;query="&amp;SUBSTITUTE(SUBSTITUTE(SUBSTITUTE(B266&amp;", "&amp;M266&amp;", Puno, Peru"," ","+"),"&amp;","y"),"#","")),"Ver en mapa")</f>
        <v>Ver en mapa</v>
      </c>
      <c r="Y266" s="72"/>
      <c r="Z266" s="57"/>
      <c r="AA266" s="72"/>
      <c r="AB266" s="59"/>
      <c r="AC266" s="59"/>
      <c r="AD266" s="72"/>
      <c r="AE266" s="72"/>
      <c r="AF266" s="72"/>
      <c r="AG266" s="72"/>
      <c r="AH266" s="62" t="s">
        <v>2494</v>
      </c>
      <c r="AI266" s="72"/>
      <c r="AJ266" s="63" t="s">
        <v>2970</v>
      </c>
      <c r="AK266" s="81" t="str">
        <f aca="false">IF(AND(ISNUMBER(U266),ISNUMBER(V266),ISNUMBER(14_Cercania!$C$13),ISNUMBER(14_Cercania!$C$14)),6371*2*ASIN(SQRT(SIN(RADIANS(14_Cercania!$C$13-U266)/2)^2+COS(RADIANS(U266))*COS(RADIANS(14_Cercania!$C$13))*SIN(RADIANS(14_Cercania!$C$14-V266)/2)^2))+ROW()*0.000000001,"")</f>
        <v/>
      </c>
    </row>
    <row r="267" customFormat="false" ht="15" hidden="false" customHeight="false" outlineLevel="0" collapsed="false">
      <c r="A267" s="55" t="n">
        <v>265</v>
      </c>
      <c r="B267" s="56"/>
      <c r="C267" s="55"/>
      <c r="D267" s="56"/>
      <c r="E267" s="71"/>
      <c r="F267" s="57"/>
      <c r="G267" s="57"/>
      <c r="H267" s="72"/>
      <c r="I267" s="72"/>
      <c r="J267" s="72"/>
      <c r="K267" s="72"/>
      <c r="L267" s="72"/>
      <c r="M267" s="57"/>
      <c r="N267" s="57"/>
      <c r="O267" s="55"/>
      <c r="P267" s="73"/>
      <c r="Q267" s="73" t="s">
        <v>2490</v>
      </c>
      <c r="R267" s="55" t="s">
        <v>2491</v>
      </c>
      <c r="S267" s="55" t="s">
        <v>2491</v>
      </c>
      <c r="T267" s="55" t="s">
        <v>2491</v>
      </c>
      <c r="U267" s="83"/>
      <c r="V267" s="83"/>
      <c r="W267" s="57" t="s">
        <v>2538</v>
      </c>
      <c r="X267" s="76" t="str">
        <f aca="false">HYPERLINK(IF(AND(ISNUMBER(U267),ISNUMBER(V267)),"https://www.google.com/maps/search/?api=1&amp;query="&amp;U267&amp;","&amp;V267,"https://www.google.com/maps/search/?api=1&amp;query="&amp;SUBSTITUTE(SUBSTITUTE(SUBSTITUTE(B267&amp;", "&amp;M267&amp;", Puno, Peru"," ","+"),"&amp;","y"),"#","")),"Ver en mapa")</f>
        <v>Ver en mapa</v>
      </c>
      <c r="Y267" s="72"/>
      <c r="Z267" s="57"/>
      <c r="AA267" s="72"/>
      <c r="AB267" s="59"/>
      <c r="AC267" s="59"/>
      <c r="AD267" s="72"/>
      <c r="AE267" s="72"/>
      <c r="AF267" s="72"/>
      <c r="AG267" s="72"/>
      <c r="AH267" s="55" t="s">
        <v>2494</v>
      </c>
      <c r="AI267" s="72"/>
      <c r="AJ267" s="56" t="s">
        <v>2970</v>
      </c>
      <c r="AK267" s="77" t="str">
        <f aca="false">IF(AND(ISNUMBER(U267),ISNUMBER(V267),ISNUMBER(14_Cercania!$C$13),ISNUMBER(14_Cercania!$C$14)),6371*2*ASIN(SQRT(SIN(RADIANS(14_Cercania!$C$13-U267)/2)^2+COS(RADIANS(U267))*COS(RADIANS(14_Cercania!$C$13))*SIN(RADIANS(14_Cercania!$C$14-V267)/2)^2))+ROW()*0.000000001,"")</f>
        <v/>
      </c>
    </row>
    <row r="268" customFormat="false" ht="15" hidden="false" customHeight="false" outlineLevel="0" collapsed="false">
      <c r="A268" s="62" t="n">
        <v>266</v>
      </c>
      <c r="B268" s="63"/>
      <c r="C268" s="62"/>
      <c r="D268" s="63"/>
      <c r="E268" s="71"/>
      <c r="F268" s="57"/>
      <c r="G268" s="57"/>
      <c r="H268" s="72"/>
      <c r="I268" s="72"/>
      <c r="J268" s="72"/>
      <c r="K268" s="72"/>
      <c r="L268" s="72"/>
      <c r="M268" s="57"/>
      <c r="N268" s="57"/>
      <c r="O268" s="62"/>
      <c r="P268" s="78"/>
      <c r="Q268" s="78" t="s">
        <v>2490</v>
      </c>
      <c r="R268" s="62" t="s">
        <v>2491</v>
      </c>
      <c r="S268" s="62" t="s">
        <v>2491</v>
      </c>
      <c r="T268" s="62" t="s">
        <v>2491</v>
      </c>
      <c r="U268" s="83"/>
      <c r="V268" s="83"/>
      <c r="W268" s="57" t="s">
        <v>2538</v>
      </c>
      <c r="X268" s="80" t="str">
        <f aca="false">HYPERLINK(IF(AND(ISNUMBER(U268),ISNUMBER(V268)),"https://www.google.com/maps/search/?api=1&amp;query="&amp;U268&amp;","&amp;V268,"https://www.google.com/maps/search/?api=1&amp;query="&amp;SUBSTITUTE(SUBSTITUTE(SUBSTITUTE(B268&amp;", "&amp;M268&amp;", Puno, Peru"," ","+"),"&amp;","y"),"#","")),"Ver en mapa")</f>
        <v>Ver en mapa</v>
      </c>
      <c r="Y268" s="72"/>
      <c r="Z268" s="57"/>
      <c r="AA268" s="72"/>
      <c r="AB268" s="59"/>
      <c r="AC268" s="59"/>
      <c r="AD268" s="72"/>
      <c r="AE268" s="72"/>
      <c r="AF268" s="72"/>
      <c r="AG268" s="72"/>
      <c r="AH268" s="62" t="s">
        <v>2494</v>
      </c>
      <c r="AI268" s="72"/>
      <c r="AJ268" s="63" t="s">
        <v>2970</v>
      </c>
      <c r="AK268" s="81" t="str">
        <f aca="false">IF(AND(ISNUMBER(U268),ISNUMBER(V268),ISNUMBER(14_Cercania!$C$13),ISNUMBER(14_Cercania!$C$14)),6371*2*ASIN(SQRT(SIN(RADIANS(14_Cercania!$C$13-U268)/2)^2+COS(RADIANS(U268))*COS(RADIANS(14_Cercania!$C$13))*SIN(RADIANS(14_Cercania!$C$14-V268)/2)^2))+ROW()*0.000000001,"")</f>
        <v/>
      </c>
    </row>
    <row r="269" customFormat="false" ht="15" hidden="false" customHeight="false" outlineLevel="0" collapsed="false">
      <c r="A269" s="55" t="n">
        <v>267</v>
      </c>
      <c r="B269" s="56"/>
      <c r="C269" s="55"/>
      <c r="D269" s="56"/>
      <c r="E269" s="71"/>
      <c r="F269" s="57"/>
      <c r="G269" s="57"/>
      <c r="H269" s="72"/>
      <c r="I269" s="72"/>
      <c r="J269" s="72"/>
      <c r="K269" s="72"/>
      <c r="L269" s="72"/>
      <c r="M269" s="57"/>
      <c r="N269" s="57"/>
      <c r="O269" s="55"/>
      <c r="P269" s="73"/>
      <c r="Q269" s="73" t="s">
        <v>2490</v>
      </c>
      <c r="R269" s="55" t="s">
        <v>2491</v>
      </c>
      <c r="S269" s="55" t="s">
        <v>2491</v>
      </c>
      <c r="T269" s="55" t="s">
        <v>2491</v>
      </c>
      <c r="U269" s="83"/>
      <c r="V269" s="83"/>
      <c r="W269" s="57" t="s">
        <v>2538</v>
      </c>
      <c r="X269" s="76" t="str">
        <f aca="false">HYPERLINK(IF(AND(ISNUMBER(U269),ISNUMBER(V269)),"https://www.google.com/maps/search/?api=1&amp;query="&amp;U269&amp;","&amp;V269,"https://www.google.com/maps/search/?api=1&amp;query="&amp;SUBSTITUTE(SUBSTITUTE(SUBSTITUTE(B269&amp;", "&amp;M269&amp;", Puno, Peru"," ","+"),"&amp;","y"),"#","")),"Ver en mapa")</f>
        <v>Ver en mapa</v>
      </c>
      <c r="Y269" s="72"/>
      <c r="Z269" s="57"/>
      <c r="AA269" s="72"/>
      <c r="AB269" s="59"/>
      <c r="AC269" s="59"/>
      <c r="AD269" s="72"/>
      <c r="AE269" s="72"/>
      <c r="AF269" s="72"/>
      <c r="AG269" s="72"/>
      <c r="AH269" s="55" t="s">
        <v>2494</v>
      </c>
      <c r="AI269" s="72"/>
      <c r="AJ269" s="56" t="s">
        <v>2970</v>
      </c>
      <c r="AK269" s="77" t="str">
        <f aca="false">IF(AND(ISNUMBER(U269),ISNUMBER(V269),ISNUMBER(14_Cercania!$C$13),ISNUMBER(14_Cercania!$C$14)),6371*2*ASIN(SQRT(SIN(RADIANS(14_Cercania!$C$13-U269)/2)^2+COS(RADIANS(U269))*COS(RADIANS(14_Cercania!$C$13))*SIN(RADIANS(14_Cercania!$C$14-V269)/2)^2))+ROW()*0.000000001,"")</f>
        <v/>
      </c>
    </row>
    <row r="270" customFormat="false" ht="15" hidden="false" customHeight="false" outlineLevel="0" collapsed="false">
      <c r="A270" s="62" t="n">
        <v>268</v>
      </c>
      <c r="B270" s="63"/>
      <c r="C270" s="62"/>
      <c r="D270" s="63"/>
      <c r="E270" s="71"/>
      <c r="F270" s="57"/>
      <c r="G270" s="57"/>
      <c r="H270" s="72"/>
      <c r="I270" s="72"/>
      <c r="J270" s="72"/>
      <c r="K270" s="72"/>
      <c r="L270" s="72"/>
      <c r="M270" s="57"/>
      <c r="N270" s="57"/>
      <c r="O270" s="62"/>
      <c r="P270" s="78"/>
      <c r="Q270" s="78" t="s">
        <v>2490</v>
      </c>
      <c r="R270" s="62" t="s">
        <v>2491</v>
      </c>
      <c r="S270" s="62" t="s">
        <v>2491</v>
      </c>
      <c r="T270" s="62" t="s">
        <v>2491</v>
      </c>
      <c r="U270" s="83"/>
      <c r="V270" s="83"/>
      <c r="W270" s="57" t="s">
        <v>2538</v>
      </c>
      <c r="X270" s="80" t="str">
        <f aca="false">HYPERLINK(IF(AND(ISNUMBER(U270),ISNUMBER(V270)),"https://www.google.com/maps/search/?api=1&amp;query="&amp;U270&amp;","&amp;V270,"https://www.google.com/maps/search/?api=1&amp;query="&amp;SUBSTITUTE(SUBSTITUTE(SUBSTITUTE(B270&amp;", "&amp;M270&amp;", Puno, Peru"," ","+"),"&amp;","y"),"#","")),"Ver en mapa")</f>
        <v>Ver en mapa</v>
      </c>
      <c r="Y270" s="72"/>
      <c r="Z270" s="57"/>
      <c r="AA270" s="72"/>
      <c r="AB270" s="59"/>
      <c r="AC270" s="59"/>
      <c r="AD270" s="72"/>
      <c r="AE270" s="72"/>
      <c r="AF270" s="72"/>
      <c r="AG270" s="72"/>
      <c r="AH270" s="62" t="s">
        <v>2494</v>
      </c>
      <c r="AI270" s="72"/>
      <c r="AJ270" s="63" t="s">
        <v>2970</v>
      </c>
      <c r="AK270" s="81" t="str">
        <f aca="false">IF(AND(ISNUMBER(U270),ISNUMBER(V270),ISNUMBER(14_Cercania!$C$13),ISNUMBER(14_Cercania!$C$14)),6371*2*ASIN(SQRT(SIN(RADIANS(14_Cercania!$C$13-U270)/2)^2+COS(RADIANS(U270))*COS(RADIANS(14_Cercania!$C$13))*SIN(RADIANS(14_Cercania!$C$14-V270)/2)^2))+ROW()*0.000000001,"")</f>
        <v/>
      </c>
    </row>
    <row r="271" customFormat="false" ht="15" hidden="false" customHeight="false" outlineLevel="0" collapsed="false">
      <c r="A271" s="55" t="n">
        <v>269</v>
      </c>
      <c r="B271" s="56"/>
      <c r="C271" s="55"/>
      <c r="D271" s="56"/>
      <c r="E271" s="71"/>
      <c r="F271" s="57"/>
      <c r="G271" s="57"/>
      <c r="H271" s="72"/>
      <c r="I271" s="72"/>
      <c r="J271" s="72"/>
      <c r="K271" s="72"/>
      <c r="L271" s="72"/>
      <c r="M271" s="57"/>
      <c r="N271" s="57"/>
      <c r="O271" s="55"/>
      <c r="P271" s="73"/>
      <c r="Q271" s="73" t="s">
        <v>2490</v>
      </c>
      <c r="R271" s="55" t="s">
        <v>2491</v>
      </c>
      <c r="S271" s="55" t="s">
        <v>2491</v>
      </c>
      <c r="T271" s="55" t="s">
        <v>2491</v>
      </c>
      <c r="U271" s="83"/>
      <c r="V271" s="83"/>
      <c r="W271" s="57" t="s">
        <v>2538</v>
      </c>
      <c r="X271" s="76" t="str">
        <f aca="false">HYPERLINK(IF(AND(ISNUMBER(U271),ISNUMBER(V271)),"https://www.google.com/maps/search/?api=1&amp;query="&amp;U271&amp;","&amp;V271,"https://www.google.com/maps/search/?api=1&amp;query="&amp;SUBSTITUTE(SUBSTITUTE(SUBSTITUTE(B271&amp;", "&amp;M271&amp;", Puno, Peru"," ","+"),"&amp;","y"),"#","")),"Ver en mapa")</f>
        <v>Ver en mapa</v>
      </c>
      <c r="Y271" s="72"/>
      <c r="Z271" s="57"/>
      <c r="AA271" s="72"/>
      <c r="AB271" s="59"/>
      <c r="AC271" s="59"/>
      <c r="AD271" s="72"/>
      <c r="AE271" s="72"/>
      <c r="AF271" s="72"/>
      <c r="AG271" s="72"/>
      <c r="AH271" s="55" t="s">
        <v>2494</v>
      </c>
      <c r="AI271" s="72"/>
      <c r="AJ271" s="56" t="s">
        <v>2970</v>
      </c>
      <c r="AK271" s="77" t="str">
        <f aca="false">IF(AND(ISNUMBER(U271),ISNUMBER(V271),ISNUMBER(14_Cercania!$C$13),ISNUMBER(14_Cercania!$C$14)),6371*2*ASIN(SQRT(SIN(RADIANS(14_Cercania!$C$13-U271)/2)^2+COS(RADIANS(U271))*COS(RADIANS(14_Cercania!$C$13))*SIN(RADIANS(14_Cercania!$C$14-V271)/2)^2))+ROW()*0.000000001,"")</f>
        <v/>
      </c>
    </row>
    <row r="272" customFormat="false" ht="15" hidden="false" customHeight="false" outlineLevel="0" collapsed="false">
      <c r="A272" s="62" t="n">
        <v>270</v>
      </c>
      <c r="B272" s="63"/>
      <c r="C272" s="62"/>
      <c r="D272" s="63"/>
      <c r="E272" s="71"/>
      <c r="F272" s="57"/>
      <c r="G272" s="57"/>
      <c r="H272" s="72"/>
      <c r="I272" s="72"/>
      <c r="J272" s="72"/>
      <c r="K272" s="72"/>
      <c r="L272" s="72"/>
      <c r="M272" s="57"/>
      <c r="N272" s="57"/>
      <c r="O272" s="62"/>
      <c r="P272" s="78"/>
      <c r="Q272" s="78" t="s">
        <v>2490</v>
      </c>
      <c r="R272" s="62" t="s">
        <v>2491</v>
      </c>
      <c r="S272" s="62" t="s">
        <v>2491</v>
      </c>
      <c r="T272" s="62" t="s">
        <v>2491</v>
      </c>
      <c r="U272" s="83"/>
      <c r="V272" s="83"/>
      <c r="W272" s="57" t="s">
        <v>2538</v>
      </c>
      <c r="X272" s="80" t="str">
        <f aca="false">HYPERLINK(IF(AND(ISNUMBER(U272),ISNUMBER(V272)),"https://www.google.com/maps/search/?api=1&amp;query="&amp;U272&amp;","&amp;V272,"https://www.google.com/maps/search/?api=1&amp;query="&amp;SUBSTITUTE(SUBSTITUTE(SUBSTITUTE(B272&amp;", "&amp;M272&amp;", Puno, Peru"," ","+"),"&amp;","y"),"#","")),"Ver en mapa")</f>
        <v>Ver en mapa</v>
      </c>
      <c r="Y272" s="72"/>
      <c r="Z272" s="57"/>
      <c r="AA272" s="72"/>
      <c r="AB272" s="59"/>
      <c r="AC272" s="59"/>
      <c r="AD272" s="72"/>
      <c r="AE272" s="72"/>
      <c r="AF272" s="72"/>
      <c r="AG272" s="72"/>
      <c r="AH272" s="62" t="s">
        <v>2494</v>
      </c>
      <c r="AI272" s="72"/>
      <c r="AJ272" s="63" t="s">
        <v>2970</v>
      </c>
      <c r="AK272" s="81" t="str">
        <f aca="false">IF(AND(ISNUMBER(U272),ISNUMBER(V272),ISNUMBER(14_Cercania!$C$13),ISNUMBER(14_Cercania!$C$14)),6371*2*ASIN(SQRT(SIN(RADIANS(14_Cercania!$C$13-U272)/2)^2+COS(RADIANS(U272))*COS(RADIANS(14_Cercania!$C$13))*SIN(RADIANS(14_Cercania!$C$14-V272)/2)^2))+ROW()*0.000000001,"")</f>
        <v/>
      </c>
    </row>
    <row r="273" customFormat="false" ht="15" hidden="false" customHeight="false" outlineLevel="0" collapsed="false">
      <c r="A273" s="55" t="n">
        <v>271</v>
      </c>
      <c r="B273" s="56"/>
      <c r="C273" s="55"/>
      <c r="D273" s="56"/>
      <c r="E273" s="71"/>
      <c r="F273" s="57"/>
      <c r="G273" s="57"/>
      <c r="H273" s="72"/>
      <c r="I273" s="72"/>
      <c r="J273" s="72"/>
      <c r="K273" s="72"/>
      <c r="L273" s="72"/>
      <c r="M273" s="57"/>
      <c r="N273" s="57"/>
      <c r="O273" s="55"/>
      <c r="P273" s="73"/>
      <c r="Q273" s="73" t="s">
        <v>2490</v>
      </c>
      <c r="R273" s="55" t="s">
        <v>2491</v>
      </c>
      <c r="S273" s="55" t="s">
        <v>2491</v>
      </c>
      <c r="T273" s="55" t="s">
        <v>2491</v>
      </c>
      <c r="U273" s="83"/>
      <c r="V273" s="83"/>
      <c r="W273" s="57" t="s">
        <v>2538</v>
      </c>
      <c r="X273" s="76" t="str">
        <f aca="false">HYPERLINK(IF(AND(ISNUMBER(U273),ISNUMBER(V273)),"https://www.google.com/maps/search/?api=1&amp;query="&amp;U273&amp;","&amp;V273,"https://www.google.com/maps/search/?api=1&amp;query="&amp;SUBSTITUTE(SUBSTITUTE(SUBSTITUTE(B273&amp;", "&amp;M273&amp;", Puno, Peru"," ","+"),"&amp;","y"),"#","")),"Ver en mapa")</f>
        <v>Ver en mapa</v>
      </c>
      <c r="Y273" s="72"/>
      <c r="Z273" s="57"/>
      <c r="AA273" s="72"/>
      <c r="AB273" s="59"/>
      <c r="AC273" s="59"/>
      <c r="AD273" s="72"/>
      <c r="AE273" s="72"/>
      <c r="AF273" s="72"/>
      <c r="AG273" s="72"/>
      <c r="AH273" s="55" t="s">
        <v>2494</v>
      </c>
      <c r="AI273" s="72"/>
      <c r="AJ273" s="56" t="s">
        <v>2970</v>
      </c>
      <c r="AK273" s="77" t="str">
        <f aca="false">IF(AND(ISNUMBER(U273),ISNUMBER(V273),ISNUMBER(14_Cercania!$C$13),ISNUMBER(14_Cercania!$C$14)),6371*2*ASIN(SQRT(SIN(RADIANS(14_Cercania!$C$13-U273)/2)^2+COS(RADIANS(U273))*COS(RADIANS(14_Cercania!$C$13))*SIN(RADIANS(14_Cercania!$C$14-V273)/2)^2))+ROW()*0.000000001,"")</f>
        <v/>
      </c>
    </row>
    <row r="274" customFormat="false" ht="15" hidden="false" customHeight="false" outlineLevel="0" collapsed="false">
      <c r="A274" s="62" t="n">
        <v>272</v>
      </c>
      <c r="B274" s="63"/>
      <c r="C274" s="62"/>
      <c r="D274" s="63"/>
      <c r="E274" s="71"/>
      <c r="F274" s="57"/>
      <c r="G274" s="57"/>
      <c r="H274" s="72"/>
      <c r="I274" s="72"/>
      <c r="J274" s="72"/>
      <c r="K274" s="72"/>
      <c r="L274" s="72"/>
      <c r="M274" s="57"/>
      <c r="N274" s="57"/>
      <c r="O274" s="62"/>
      <c r="P274" s="78"/>
      <c r="Q274" s="78" t="s">
        <v>2490</v>
      </c>
      <c r="R274" s="62" t="s">
        <v>2491</v>
      </c>
      <c r="S274" s="62" t="s">
        <v>2491</v>
      </c>
      <c r="T274" s="62" t="s">
        <v>2491</v>
      </c>
      <c r="U274" s="83"/>
      <c r="V274" s="83"/>
      <c r="W274" s="57" t="s">
        <v>2538</v>
      </c>
      <c r="X274" s="80" t="str">
        <f aca="false">HYPERLINK(IF(AND(ISNUMBER(U274),ISNUMBER(V274)),"https://www.google.com/maps/search/?api=1&amp;query="&amp;U274&amp;","&amp;V274,"https://www.google.com/maps/search/?api=1&amp;query="&amp;SUBSTITUTE(SUBSTITUTE(SUBSTITUTE(B274&amp;", "&amp;M274&amp;", Puno, Peru"," ","+"),"&amp;","y"),"#","")),"Ver en mapa")</f>
        <v>Ver en mapa</v>
      </c>
      <c r="Y274" s="72"/>
      <c r="Z274" s="57"/>
      <c r="AA274" s="72"/>
      <c r="AB274" s="59"/>
      <c r="AC274" s="59"/>
      <c r="AD274" s="72"/>
      <c r="AE274" s="72"/>
      <c r="AF274" s="72"/>
      <c r="AG274" s="72"/>
      <c r="AH274" s="62" t="s">
        <v>2494</v>
      </c>
      <c r="AI274" s="72"/>
      <c r="AJ274" s="63" t="s">
        <v>2970</v>
      </c>
      <c r="AK274" s="81" t="str">
        <f aca="false">IF(AND(ISNUMBER(U274),ISNUMBER(V274),ISNUMBER(14_Cercania!$C$13),ISNUMBER(14_Cercania!$C$14)),6371*2*ASIN(SQRT(SIN(RADIANS(14_Cercania!$C$13-U274)/2)^2+COS(RADIANS(U274))*COS(RADIANS(14_Cercania!$C$13))*SIN(RADIANS(14_Cercania!$C$14-V274)/2)^2))+ROW()*0.000000001,"")</f>
        <v/>
      </c>
    </row>
    <row r="275" customFormat="false" ht="15" hidden="false" customHeight="false" outlineLevel="0" collapsed="false">
      <c r="A275" s="55" t="n">
        <v>273</v>
      </c>
      <c r="B275" s="56"/>
      <c r="C275" s="55"/>
      <c r="D275" s="56"/>
      <c r="E275" s="71"/>
      <c r="F275" s="57"/>
      <c r="G275" s="57"/>
      <c r="H275" s="72"/>
      <c r="I275" s="72"/>
      <c r="J275" s="72"/>
      <c r="K275" s="72"/>
      <c r="L275" s="72"/>
      <c r="M275" s="57"/>
      <c r="N275" s="57"/>
      <c r="O275" s="55"/>
      <c r="P275" s="73"/>
      <c r="Q275" s="73" t="s">
        <v>2490</v>
      </c>
      <c r="R275" s="55" t="s">
        <v>2491</v>
      </c>
      <c r="S275" s="55" t="s">
        <v>2491</v>
      </c>
      <c r="T275" s="55" t="s">
        <v>2491</v>
      </c>
      <c r="U275" s="83"/>
      <c r="V275" s="83"/>
      <c r="W275" s="57" t="s">
        <v>2538</v>
      </c>
      <c r="X275" s="76" t="str">
        <f aca="false">HYPERLINK(IF(AND(ISNUMBER(U275),ISNUMBER(V275)),"https://www.google.com/maps/search/?api=1&amp;query="&amp;U275&amp;","&amp;V275,"https://www.google.com/maps/search/?api=1&amp;query="&amp;SUBSTITUTE(SUBSTITUTE(SUBSTITUTE(B275&amp;", "&amp;M275&amp;", Puno, Peru"," ","+"),"&amp;","y"),"#","")),"Ver en mapa")</f>
        <v>Ver en mapa</v>
      </c>
      <c r="Y275" s="72"/>
      <c r="Z275" s="57"/>
      <c r="AA275" s="72"/>
      <c r="AB275" s="59"/>
      <c r="AC275" s="59"/>
      <c r="AD275" s="72"/>
      <c r="AE275" s="72"/>
      <c r="AF275" s="72"/>
      <c r="AG275" s="72"/>
      <c r="AH275" s="55" t="s">
        <v>2494</v>
      </c>
      <c r="AI275" s="72"/>
      <c r="AJ275" s="56" t="s">
        <v>2970</v>
      </c>
      <c r="AK275" s="77" t="str">
        <f aca="false">IF(AND(ISNUMBER(U275),ISNUMBER(V275),ISNUMBER(14_Cercania!$C$13),ISNUMBER(14_Cercania!$C$14)),6371*2*ASIN(SQRT(SIN(RADIANS(14_Cercania!$C$13-U275)/2)^2+COS(RADIANS(U275))*COS(RADIANS(14_Cercania!$C$13))*SIN(RADIANS(14_Cercania!$C$14-V275)/2)^2))+ROW()*0.000000001,"")</f>
        <v/>
      </c>
    </row>
    <row r="276" customFormat="false" ht="15" hidden="false" customHeight="false" outlineLevel="0" collapsed="false">
      <c r="A276" s="62" t="n">
        <v>274</v>
      </c>
      <c r="B276" s="63"/>
      <c r="C276" s="62"/>
      <c r="D276" s="63"/>
      <c r="E276" s="71"/>
      <c r="F276" s="57"/>
      <c r="G276" s="57"/>
      <c r="H276" s="72"/>
      <c r="I276" s="72"/>
      <c r="J276" s="72"/>
      <c r="K276" s="72"/>
      <c r="L276" s="72"/>
      <c r="M276" s="57"/>
      <c r="N276" s="57"/>
      <c r="O276" s="62"/>
      <c r="P276" s="78"/>
      <c r="Q276" s="78" t="s">
        <v>2490</v>
      </c>
      <c r="R276" s="62" t="s">
        <v>2491</v>
      </c>
      <c r="S276" s="62" t="s">
        <v>2491</v>
      </c>
      <c r="T276" s="62" t="s">
        <v>2491</v>
      </c>
      <c r="U276" s="83"/>
      <c r="V276" s="83"/>
      <c r="W276" s="57" t="s">
        <v>2538</v>
      </c>
      <c r="X276" s="80" t="str">
        <f aca="false">HYPERLINK(IF(AND(ISNUMBER(U276),ISNUMBER(V276)),"https://www.google.com/maps/search/?api=1&amp;query="&amp;U276&amp;","&amp;V276,"https://www.google.com/maps/search/?api=1&amp;query="&amp;SUBSTITUTE(SUBSTITUTE(SUBSTITUTE(B276&amp;", "&amp;M276&amp;", Puno, Peru"," ","+"),"&amp;","y"),"#","")),"Ver en mapa")</f>
        <v>Ver en mapa</v>
      </c>
      <c r="Y276" s="72"/>
      <c r="Z276" s="57"/>
      <c r="AA276" s="72"/>
      <c r="AB276" s="59"/>
      <c r="AC276" s="59"/>
      <c r="AD276" s="72"/>
      <c r="AE276" s="72"/>
      <c r="AF276" s="72"/>
      <c r="AG276" s="72"/>
      <c r="AH276" s="62" t="s">
        <v>2494</v>
      </c>
      <c r="AI276" s="72"/>
      <c r="AJ276" s="63" t="s">
        <v>2970</v>
      </c>
      <c r="AK276" s="81" t="str">
        <f aca="false">IF(AND(ISNUMBER(U276),ISNUMBER(V276),ISNUMBER(14_Cercania!$C$13),ISNUMBER(14_Cercania!$C$14)),6371*2*ASIN(SQRT(SIN(RADIANS(14_Cercania!$C$13-U276)/2)^2+COS(RADIANS(U276))*COS(RADIANS(14_Cercania!$C$13))*SIN(RADIANS(14_Cercania!$C$14-V276)/2)^2))+ROW()*0.000000001,"")</f>
        <v/>
      </c>
    </row>
    <row r="277" customFormat="false" ht="15" hidden="false" customHeight="false" outlineLevel="0" collapsed="false">
      <c r="A277" s="55" t="n">
        <v>275</v>
      </c>
      <c r="B277" s="56"/>
      <c r="C277" s="55"/>
      <c r="D277" s="56"/>
      <c r="E277" s="71"/>
      <c r="F277" s="57"/>
      <c r="G277" s="57"/>
      <c r="H277" s="72"/>
      <c r="I277" s="72"/>
      <c r="J277" s="72"/>
      <c r="K277" s="72"/>
      <c r="L277" s="72"/>
      <c r="M277" s="57"/>
      <c r="N277" s="57"/>
      <c r="O277" s="55"/>
      <c r="P277" s="73"/>
      <c r="Q277" s="73" t="s">
        <v>2490</v>
      </c>
      <c r="R277" s="55" t="s">
        <v>2491</v>
      </c>
      <c r="S277" s="55" t="s">
        <v>2491</v>
      </c>
      <c r="T277" s="55" t="s">
        <v>2491</v>
      </c>
      <c r="U277" s="83"/>
      <c r="V277" s="83"/>
      <c r="W277" s="57" t="s">
        <v>2538</v>
      </c>
      <c r="X277" s="76" t="str">
        <f aca="false">HYPERLINK(IF(AND(ISNUMBER(U277),ISNUMBER(V277)),"https://www.google.com/maps/search/?api=1&amp;query="&amp;U277&amp;","&amp;V277,"https://www.google.com/maps/search/?api=1&amp;query="&amp;SUBSTITUTE(SUBSTITUTE(SUBSTITUTE(B277&amp;", "&amp;M277&amp;", Puno, Peru"," ","+"),"&amp;","y"),"#","")),"Ver en mapa")</f>
        <v>Ver en mapa</v>
      </c>
      <c r="Y277" s="72"/>
      <c r="Z277" s="57"/>
      <c r="AA277" s="72"/>
      <c r="AB277" s="59"/>
      <c r="AC277" s="59"/>
      <c r="AD277" s="72"/>
      <c r="AE277" s="72"/>
      <c r="AF277" s="72"/>
      <c r="AG277" s="72"/>
      <c r="AH277" s="55" t="s">
        <v>2494</v>
      </c>
      <c r="AI277" s="72"/>
      <c r="AJ277" s="56" t="s">
        <v>2970</v>
      </c>
      <c r="AK277" s="77" t="str">
        <f aca="false">IF(AND(ISNUMBER(U277),ISNUMBER(V277),ISNUMBER(14_Cercania!$C$13),ISNUMBER(14_Cercania!$C$14)),6371*2*ASIN(SQRT(SIN(RADIANS(14_Cercania!$C$13-U277)/2)^2+COS(RADIANS(U277))*COS(RADIANS(14_Cercania!$C$13))*SIN(RADIANS(14_Cercania!$C$14-V277)/2)^2))+ROW()*0.000000001,"")</f>
        <v/>
      </c>
    </row>
    <row r="278" customFormat="false" ht="15" hidden="false" customHeight="false" outlineLevel="0" collapsed="false">
      <c r="A278" s="62" t="n">
        <v>276</v>
      </c>
      <c r="B278" s="63"/>
      <c r="C278" s="62"/>
      <c r="D278" s="63"/>
      <c r="E278" s="71"/>
      <c r="F278" s="57"/>
      <c r="G278" s="57"/>
      <c r="H278" s="72"/>
      <c r="I278" s="72"/>
      <c r="J278" s="72"/>
      <c r="K278" s="72"/>
      <c r="L278" s="72"/>
      <c r="M278" s="57"/>
      <c r="N278" s="57"/>
      <c r="O278" s="62"/>
      <c r="P278" s="78"/>
      <c r="Q278" s="78" t="s">
        <v>2490</v>
      </c>
      <c r="R278" s="62" t="s">
        <v>2491</v>
      </c>
      <c r="S278" s="62" t="s">
        <v>2491</v>
      </c>
      <c r="T278" s="62" t="s">
        <v>2491</v>
      </c>
      <c r="U278" s="83"/>
      <c r="V278" s="83"/>
      <c r="W278" s="57" t="s">
        <v>2538</v>
      </c>
      <c r="X278" s="80" t="str">
        <f aca="false">HYPERLINK(IF(AND(ISNUMBER(U278),ISNUMBER(V278)),"https://www.google.com/maps/search/?api=1&amp;query="&amp;U278&amp;","&amp;V278,"https://www.google.com/maps/search/?api=1&amp;query="&amp;SUBSTITUTE(SUBSTITUTE(SUBSTITUTE(B278&amp;", "&amp;M278&amp;", Puno, Peru"," ","+"),"&amp;","y"),"#","")),"Ver en mapa")</f>
        <v>Ver en mapa</v>
      </c>
      <c r="Y278" s="72"/>
      <c r="Z278" s="57"/>
      <c r="AA278" s="72"/>
      <c r="AB278" s="59"/>
      <c r="AC278" s="59"/>
      <c r="AD278" s="72"/>
      <c r="AE278" s="72"/>
      <c r="AF278" s="72"/>
      <c r="AG278" s="72"/>
      <c r="AH278" s="62" t="s">
        <v>2494</v>
      </c>
      <c r="AI278" s="72"/>
      <c r="AJ278" s="63" t="s">
        <v>2970</v>
      </c>
      <c r="AK278" s="81" t="str">
        <f aca="false">IF(AND(ISNUMBER(U278),ISNUMBER(V278),ISNUMBER(14_Cercania!$C$13),ISNUMBER(14_Cercania!$C$14)),6371*2*ASIN(SQRT(SIN(RADIANS(14_Cercania!$C$13-U278)/2)^2+COS(RADIANS(U278))*COS(RADIANS(14_Cercania!$C$13))*SIN(RADIANS(14_Cercania!$C$14-V278)/2)^2))+ROW()*0.000000001,"")</f>
        <v/>
      </c>
    </row>
    <row r="279" customFormat="false" ht="15" hidden="false" customHeight="false" outlineLevel="0" collapsed="false">
      <c r="A279" s="55" t="n">
        <v>277</v>
      </c>
      <c r="B279" s="56"/>
      <c r="C279" s="55"/>
      <c r="D279" s="56"/>
      <c r="E279" s="71"/>
      <c r="F279" s="57"/>
      <c r="G279" s="57"/>
      <c r="H279" s="72"/>
      <c r="I279" s="72"/>
      <c r="J279" s="72"/>
      <c r="K279" s="72"/>
      <c r="L279" s="72"/>
      <c r="M279" s="57"/>
      <c r="N279" s="57"/>
      <c r="O279" s="55"/>
      <c r="P279" s="73"/>
      <c r="Q279" s="73" t="s">
        <v>2490</v>
      </c>
      <c r="R279" s="55" t="s">
        <v>2491</v>
      </c>
      <c r="S279" s="55" t="s">
        <v>2491</v>
      </c>
      <c r="T279" s="55" t="s">
        <v>2491</v>
      </c>
      <c r="U279" s="83"/>
      <c r="V279" s="83"/>
      <c r="W279" s="57" t="s">
        <v>2538</v>
      </c>
      <c r="X279" s="76" t="str">
        <f aca="false">HYPERLINK(IF(AND(ISNUMBER(U279),ISNUMBER(V279)),"https://www.google.com/maps/search/?api=1&amp;query="&amp;U279&amp;","&amp;V279,"https://www.google.com/maps/search/?api=1&amp;query="&amp;SUBSTITUTE(SUBSTITUTE(SUBSTITUTE(B279&amp;", "&amp;M279&amp;", Puno, Peru"," ","+"),"&amp;","y"),"#","")),"Ver en mapa")</f>
        <v>Ver en mapa</v>
      </c>
      <c r="Y279" s="72"/>
      <c r="Z279" s="57"/>
      <c r="AA279" s="72"/>
      <c r="AB279" s="59"/>
      <c r="AC279" s="59"/>
      <c r="AD279" s="72"/>
      <c r="AE279" s="72"/>
      <c r="AF279" s="72"/>
      <c r="AG279" s="72"/>
      <c r="AH279" s="55" t="s">
        <v>2494</v>
      </c>
      <c r="AI279" s="72"/>
      <c r="AJ279" s="56" t="s">
        <v>2970</v>
      </c>
      <c r="AK279" s="77" t="str">
        <f aca="false">IF(AND(ISNUMBER(U279),ISNUMBER(V279),ISNUMBER(14_Cercania!$C$13),ISNUMBER(14_Cercania!$C$14)),6371*2*ASIN(SQRT(SIN(RADIANS(14_Cercania!$C$13-U279)/2)^2+COS(RADIANS(U279))*COS(RADIANS(14_Cercania!$C$13))*SIN(RADIANS(14_Cercania!$C$14-V279)/2)^2))+ROW()*0.000000001,"")</f>
        <v/>
      </c>
    </row>
    <row r="280" customFormat="false" ht="15" hidden="false" customHeight="false" outlineLevel="0" collapsed="false">
      <c r="A280" s="62" t="n">
        <v>278</v>
      </c>
      <c r="B280" s="63"/>
      <c r="C280" s="62"/>
      <c r="D280" s="63"/>
      <c r="E280" s="71"/>
      <c r="F280" s="57"/>
      <c r="G280" s="57"/>
      <c r="H280" s="72"/>
      <c r="I280" s="72"/>
      <c r="J280" s="72"/>
      <c r="K280" s="72"/>
      <c r="L280" s="72"/>
      <c r="M280" s="57"/>
      <c r="N280" s="57"/>
      <c r="O280" s="62"/>
      <c r="P280" s="78"/>
      <c r="Q280" s="78" t="s">
        <v>2490</v>
      </c>
      <c r="R280" s="62" t="s">
        <v>2491</v>
      </c>
      <c r="S280" s="62" t="s">
        <v>2491</v>
      </c>
      <c r="T280" s="62" t="s">
        <v>2491</v>
      </c>
      <c r="U280" s="83"/>
      <c r="V280" s="83"/>
      <c r="W280" s="57" t="s">
        <v>2538</v>
      </c>
      <c r="X280" s="80" t="str">
        <f aca="false">HYPERLINK(IF(AND(ISNUMBER(U280),ISNUMBER(V280)),"https://www.google.com/maps/search/?api=1&amp;query="&amp;U280&amp;","&amp;V280,"https://www.google.com/maps/search/?api=1&amp;query="&amp;SUBSTITUTE(SUBSTITUTE(SUBSTITUTE(B280&amp;", "&amp;M280&amp;", Puno, Peru"," ","+"),"&amp;","y"),"#","")),"Ver en mapa")</f>
        <v>Ver en mapa</v>
      </c>
      <c r="Y280" s="72"/>
      <c r="Z280" s="57"/>
      <c r="AA280" s="72"/>
      <c r="AB280" s="59"/>
      <c r="AC280" s="59"/>
      <c r="AD280" s="72"/>
      <c r="AE280" s="72"/>
      <c r="AF280" s="72"/>
      <c r="AG280" s="72"/>
      <c r="AH280" s="62" t="s">
        <v>2494</v>
      </c>
      <c r="AI280" s="72"/>
      <c r="AJ280" s="63" t="s">
        <v>2970</v>
      </c>
      <c r="AK280" s="81" t="str">
        <f aca="false">IF(AND(ISNUMBER(U280),ISNUMBER(V280),ISNUMBER(14_Cercania!$C$13),ISNUMBER(14_Cercania!$C$14)),6371*2*ASIN(SQRT(SIN(RADIANS(14_Cercania!$C$13-U280)/2)^2+COS(RADIANS(U280))*COS(RADIANS(14_Cercania!$C$13))*SIN(RADIANS(14_Cercania!$C$14-V280)/2)^2))+ROW()*0.000000001,"")</f>
        <v/>
      </c>
    </row>
    <row r="281" customFormat="false" ht="15" hidden="false" customHeight="false" outlineLevel="0" collapsed="false">
      <c r="A281" s="55" t="n">
        <v>279</v>
      </c>
      <c r="B281" s="56"/>
      <c r="C281" s="55"/>
      <c r="D281" s="56"/>
      <c r="E281" s="71"/>
      <c r="F281" s="57"/>
      <c r="G281" s="57"/>
      <c r="H281" s="72"/>
      <c r="I281" s="72"/>
      <c r="J281" s="72"/>
      <c r="K281" s="72"/>
      <c r="L281" s="72"/>
      <c r="M281" s="57"/>
      <c r="N281" s="57"/>
      <c r="O281" s="55"/>
      <c r="P281" s="73"/>
      <c r="Q281" s="73" t="s">
        <v>2490</v>
      </c>
      <c r="R281" s="55" t="s">
        <v>2491</v>
      </c>
      <c r="S281" s="55" t="s">
        <v>2491</v>
      </c>
      <c r="T281" s="55" t="s">
        <v>2491</v>
      </c>
      <c r="U281" s="83"/>
      <c r="V281" s="83"/>
      <c r="W281" s="57" t="s">
        <v>2538</v>
      </c>
      <c r="X281" s="76" t="str">
        <f aca="false">HYPERLINK(IF(AND(ISNUMBER(U281),ISNUMBER(V281)),"https://www.google.com/maps/search/?api=1&amp;query="&amp;U281&amp;","&amp;V281,"https://www.google.com/maps/search/?api=1&amp;query="&amp;SUBSTITUTE(SUBSTITUTE(SUBSTITUTE(B281&amp;", "&amp;M281&amp;", Puno, Peru"," ","+"),"&amp;","y"),"#","")),"Ver en mapa")</f>
        <v>Ver en mapa</v>
      </c>
      <c r="Y281" s="72"/>
      <c r="Z281" s="57"/>
      <c r="AA281" s="72"/>
      <c r="AB281" s="59"/>
      <c r="AC281" s="59"/>
      <c r="AD281" s="72"/>
      <c r="AE281" s="72"/>
      <c r="AF281" s="72"/>
      <c r="AG281" s="72"/>
      <c r="AH281" s="55" t="s">
        <v>2494</v>
      </c>
      <c r="AI281" s="72"/>
      <c r="AJ281" s="56" t="s">
        <v>2970</v>
      </c>
      <c r="AK281" s="77" t="str">
        <f aca="false">IF(AND(ISNUMBER(U281),ISNUMBER(V281),ISNUMBER(14_Cercania!$C$13),ISNUMBER(14_Cercania!$C$14)),6371*2*ASIN(SQRT(SIN(RADIANS(14_Cercania!$C$13-U281)/2)^2+COS(RADIANS(U281))*COS(RADIANS(14_Cercania!$C$13))*SIN(RADIANS(14_Cercania!$C$14-V281)/2)^2))+ROW()*0.000000001,"")</f>
        <v/>
      </c>
    </row>
    <row r="282" customFormat="false" ht="15" hidden="false" customHeight="false" outlineLevel="0" collapsed="false">
      <c r="A282" s="62" t="n">
        <v>280</v>
      </c>
      <c r="B282" s="63"/>
      <c r="C282" s="62"/>
      <c r="D282" s="63"/>
      <c r="E282" s="71"/>
      <c r="F282" s="57"/>
      <c r="G282" s="57"/>
      <c r="H282" s="72"/>
      <c r="I282" s="72"/>
      <c r="J282" s="72"/>
      <c r="K282" s="72"/>
      <c r="L282" s="72"/>
      <c r="M282" s="57"/>
      <c r="N282" s="57"/>
      <c r="O282" s="62"/>
      <c r="P282" s="78"/>
      <c r="Q282" s="78" t="s">
        <v>2490</v>
      </c>
      <c r="R282" s="62" t="s">
        <v>2491</v>
      </c>
      <c r="S282" s="62" t="s">
        <v>2491</v>
      </c>
      <c r="T282" s="62" t="s">
        <v>2491</v>
      </c>
      <c r="U282" s="83"/>
      <c r="V282" s="83"/>
      <c r="W282" s="57" t="s">
        <v>2538</v>
      </c>
      <c r="X282" s="80" t="str">
        <f aca="false">HYPERLINK(IF(AND(ISNUMBER(U282),ISNUMBER(V282)),"https://www.google.com/maps/search/?api=1&amp;query="&amp;U282&amp;","&amp;V282,"https://www.google.com/maps/search/?api=1&amp;query="&amp;SUBSTITUTE(SUBSTITUTE(SUBSTITUTE(B282&amp;", "&amp;M282&amp;", Puno, Peru"," ","+"),"&amp;","y"),"#","")),"Ver en mapa")</f>
        <v>Ver en mapa</v>
      </c>
      <c r="Y282" s="72"/>
      <c r="Z282" s="57"/>
      <c r="AA282" s="72"/>
      <c r="AB282" s="59"/>
      <c r="AC282" s="59"/>
      <c r="AD282" s="72"/>
      <c r="AE282" s="72"/>
      <c r="AF282" s="72"/>
      <c r="AG282" s="72"/>
      <c r="AH282" s="62" t="s">
        <v>2494</v>
      </c>
      <c r="AI282" s="72"/>
      <c r="AJ282" s="63" t="s">
        <v>2970</v>
      </c>
      <c r="AK282" s="81" t="str">
        <f aca="false">IF(AND(ISNUMBER(U282),ISNUMBER(V282),ISNUMBER(14_Cercania!$C$13),ISNUMBER(14_Cercania!$C$14)),6371*2*ASIN(SQRT(SIN(RADIANS(14_Cercania!$C$13-U282)/2)^2+COS(RADIANS(U282))*COS(RADIANS(14_Cercania!$C$13))*SIN(RADIANS(14_Cercania!$C$14-V282)/2)^2))+ROW()*0.000000001,"")</f>
        <v/>
      </c>
    </row>
    <row r="283" customFormat="false" ht="15" hidden="false" customHeight="false" outlineLevel="0" collapsed="false">
      <c r="A283" s="55" t="n">
        <v>281</v>
      </c>
      <c r="B283" s="56"/>
      <c r="C283" s="55"/>
      <c r="D283" s="56"/>
      <c r="E283" s="71"/>
      <c r="F283" s="57"/>
      <c r="G283" s="57"/>
      <c r="H283" s="72"/>
      <c r="I283" s="72"/>
      <c r="J283" s="72"/>
      <c r="K283" s="72"/>
      <c r="L283" s="72"/>
      <c r="M283" s="57"/>
      <c r="N283" s="57"/>
      <c r="O283" s="55"/>
      <c r="P283" s="73"/>
      <c r="Q283" s="73" t="s">
        <v>2490</v>
      </c>
      <c r="R283" s="55" t="s">
        <v>2491</v>
      </c>
      <c r="S283" s="55" t="s">
        <v>2491</v>
      </c>
      <c r="T283" s="55" t="s">
        <v>2491</v>
      </c>
      <c r="U283" s="83"/>
      <c r="V283" s="83"/>
      <c r="W283" s="57" t="s">
        <v>2538</v>
      </c>
      <c r="X283" s="76" t="str">
        <f aca="false">HYPERLINK(IF(AND(ISNUMBER(U283),ISNUMBER(V283)),"https://www.google.com/maps/search/?api=1&amp;query="&amp;U283&amp;","&amp;V283,"https://www.google.com/maps/search/?api=1&amp;query="&amp;SUBSTITUTE(SUBSTITUTE(SUBSTITUTE(B283&amp;", "&amp;M283&amp;", Puno, Peru"," ","+"),"&amp;","y"),"#","")),"Ver en mapa")</f>
        <v>Ver en mapa</v>
      </c>
      <c r="Y283" s="72"/>
      <c r="Z283" s="57"/>
      <c r="AA283" s="72"/>
      <c r="AB283" s="59"/>
      <c r="AC283" s="59"/>
      <c r="AD283" s="72"/>
      <c r="AE283" s="72"/>
      <c r="AF283" s="72"/>
      <c r="AG283" s="72"/>
      <c r="AH283" s="55" t="s">
        <v>2494</v>
      </c>
      <c r="AI283" s="72"/>
      <c r="AJ283" s="56" t="s">
        <v>2970</v>
      </c>
      <c r="AK283" s="77" t="str">
        <f aca="false">IF(AND(ISNUMBER(U283),ISNUMBER(V283),ISNUMBER(14_Cercania!$C$13),ISNUMBER(14_Cercania!$C$14)),6371*2*ASIN(SQRT(SIN(RADIANS(14_Cercania!$C$13-U283)/2)^2+COS(RADIANS(U283))*COS(RADIANS(14_Cercania!$C$13))*SIN(RADIANS(14_Cercania!$C$14-V283)/2)^2))+ROW()*0.000000001,"")</f>
        <v/>
      </c>
    </row>
    <row r="284" customFormat="false" ht="15" hidden="false" customHeight="false" outlineLevel="0" collapsed="false">
      <c r="A284" s="62" t="n">
        <v>282</v>
      </c>
      <c r="B284" s="63"/>
      <c r="C284" s="62"/>
      <c r="D284" s="63"/>
      <c r="E284" s="71"/>
      <c r="F284" s="57"/>
      <c r="G284" s="57"/>
      <c r="H284" s="72"/>
      <c r="I284" s="72"/>
      <c r="J284" s="72"/>
      <c r="K284" s="72"/>
      <c r="L284" s="72"/>
      <c r="M284" s="57"/>
      <c r="N284" s="57"/>
      <c r="O284" s="62"/>
      <c r="P284" s="78"/>
      <c r="Q284" s="78" t="s">
        <v>2490</v>
      </c>
      <c r="R284" s="62" t="s">
        <v>2491</v>
      </c>
      <c r="S284" s="62" t="s">
        <v>2491</v>
      </c>
      <c r="T284" s="62" t="s">
        <v>2491</v>
      </c>
      <c r="U284" s="83"/>
      <c r="V284" s="83"/>
      <c r="W284" s="57" t="s">
        <v>2538</v>
      </c>
      <c r="X284" s="80" t="str">
        <f aca="false">HYPERLINK(IF(AND(ISNUMBER(U284),ISNUMBER(V284)),"https://www.google.com/maps/search/?api=1&amp;query="&amp;U284&amp;","&amp;V284,"https://www.google.com/maps/search/?api=1&amp;query="&amp;SUBSTITUTE(SUBSTITUTE(SUBSTITUTE(B284&amp;", "&amp;M284&amp;", Puno, Peru"," ","+"),"&amp;","y"),"#","")),"Ver en mapa")</f>
        <v>Ver en mapa</v>
      </c>
      <c r="Y284" s="72"/>
      <c r="Z284" s="57"/>
      <c r="AA284" s="72"/>
      <c r="AB284" s="59"/>
      <c r="AC284" s="59"/>
      <c r="AD284" s="72"/>
      <c r="AE284" s="72"/>
      <c r="AF284" s="72"/>
      <c r="AG284" s="72"/>
      <c r="AH284" s="62" t="s">
        <v>2494</v>
      </c>
      <c r="AI284" s="72"/>
      <c r="AJ284" s="63" t="s">
        <v>2970</v>
      </c>
      <c r="AK284" s="81" t="str">
        <f aca="false">IF(AND(ISNUMBER(U284),ISNUMBER(V284),ISNUMBER(14_Cercania!$C$13),ISNUMBER(14_Cercania!$C$14)),6371*2*ASIN(SQRT(SIN(RADIANS(14_Cercania!$C$13-U284)/2)^2+COS(RADIANS(U284))*COS(RADIANS(14_Cercania!$C$13))*SIN(RADIANS(14_Cercania!$C$14-V284)/2)^2))+ROW()*0.000000001,"")</f>
        <v/>
      </c>
    </row>
    <row r="285" customFormat="false" ht="15" hidden="false" customHeight="false" outlineLevel="0" collapsed="false">
      <c r="A285" s="55" t="n">
        <v>283</v>
      </c>
      <c r="B285" s="56"/>
      <c r="C285" s="55"/>
      <c r="D285" s="56"/>
      <c r="E285" s="71"/>
      <c r="F285" s="57"/>
      <c r="G285" s="57"/>
      <c r="H285" s="72"/>
      <c r="I285" s="72"/>
      <c r="J285" s="72"/>
      <c r="K285" s="72"/>
      <c r="L285" s="72"/>
      <c r="M285" s="57"/>
      <c r="N285" s="57"/>
      <c r="O285" s="55"/>
      <c r="P285" s="73"/>
      <c r="Q285" s="73" t="s">
        <v>2490</v>
      </c>
      <c r="R285" s="55" t="s">
        <v>2491</v>
      </c>
      <c r="S285" s="55" t="s">
        <v>2491</v>
      </c>
      <c r="T285" s="55" t="s">
        <v>2491</v>
      </c>
      <c r="U285" s="83"/>
      <c r="V285" s="83"/>
      <c r="W285" s="57" t="s">
        <v>2538</v>
      </c>
      <c r="X285" s="76" t="str">
        <f aca="false">HYPERLINK(IF(AND(ISNUMBER(U285),ISNUMBER(V285)),"https://www.google.com/maps/search/?api=1&amp;query="&amp;U285&amp;","&amp;V285,"https://www.google.com/maps/search/?api=1&amp;query="&amp;SUBSTITUTE(SUBSTITUTE(SUBSTITUTE(B285&amp;", "&amp;M285&amp;", Puno, Peru"," ","+"),"&amp;","y"),"#","")),"Ver en mapa")</f>
        <v>Ver en mapa</v>
      </c>
      <c r="Y285" s="72"/>
      <c r="Z285" s="57"/>
      <c r="AA285" s="72"/>
      <c r="AB285" s="59"/>
      <c r="AC285" s="59"/>
      <c r="AD285" s="72"/>
      <c r="AE285" s="72"/>
      <c r="AF285" s="72"/>
      <c r="AG285" s="72"/>
      <c r="AH285" s="55" t="s">
        <v>2494</v>
      </c>
      <c r="AI285" s="72"/>
      <c r="AJ285" s="56" t="s">
        <v>2970</v>
      </c>
      <c r="AK285" s="77" t="str">
        <f aca="false">IF(AND(ISNUMBER(U285),ISNUMBER(V285),ISNUMBER(14_Cercania!$C$13),ISNUMBER(14_Cercania!$C$14)),6371*2*ASIN(SQRT(SIN(RADIANS(14_Cercania!$C$13-U285)/2)^2+COS(RADIANS(U285))*COS(RADIANS(14_Cercania!$C$13))*SIN(RADIANS(14_Cercania!$C$14-V285)/2)^2))+ROW()*0.000000001,"")</f>
        <v/>
      </c>
    </row>
    <row r="286" customFormat="false" ht="15" hidden="false" customHeight="false" outlineLevel="0" collapsed="false">
      <c r="A286" s="62" t="n">
        <v>284</v>
      </c>
      <c r="B286" s="63"/>
      <c r="C286" s="62"/>
      <c r="D286" s="63"/>
      <c r="E286" s="71"/>
      <c r="F286" s="57"/>
      <c r="G286" s="57"/>
      <c r="H286" s="72"/>
      <c r="I286" s="72"/>
      <c r="J286" s="72"/>
      <c r="K286" s="72"/>
      <c r="L286" s="72"/>
      <c r="M286" s="57"/>
      <c r="N286" s="57"/>
      <c r="O286" s="62"/>
      <c r="P286" s="78"/>
      <c r="Q286" s="78" t="s">
        <v>2490</v>
      </c>
      <c r="R286" s="62" t="s">
        <v>2491</v>
      </c>
      <c r="S286" s="62" t="s">
        <v>2491</v>
      </c>
      <c r="T286" s="62" t="s">
        <v>2491</v>
      </c>
      <c r="U286" s="83"/>
      <c r="V286" s="83"/>
      <c r="W286" s="57" t="s">
        <v>2538</v>
      </c>
      <c r="X286" s="80" t="str">
        <f aca="false">HYPERLINK(IF(AND(ISNUMBER(U286),ISNUMBER(V286)),"https://www.google.com/maps/search/?api=1&amp;query="&amp;U286&amp;","&amp;V286,"https://www.google.com/maps/search/?api=1&amp;query="&amp;SUBSTITUTE(SUBSTITUTE(SUBSTITUTE(B286&amp;", "&amp;M286&amp;", Puno, Peru"," ","+"),"&amp;","y"),"#","")),"Ver en mapa")</f>
        <v>Ver en mapa</v>
      </c>
      <c r="Y286" s="72"/>
      <c r="Z286" s="57"/>
      <c r="AA286" s="72"/>
      <c r="AB286" s="59"/>
      <c r="AC286" s="59"/>
      <c r="AD286" s="72"/>
      <c r="AE286" s="72"/>
      <c r="AF286" s="72"/>
      <c r="AG286" s="72"/>
      <c r="AH286" s="62" t="s">
        <v>2494</v>
      </c>
      <c r="AI286" s="72"/>
      <c r="AJ286" s="63" t="s">
        <v>2970</v>
      </c>
      <c r="AK286" s="81" t="str">
        <f aca="false">IF(AND(ISNUMBER(U286),ISNUMBER(V286),ISNUMBER(14_Cercania!$C$13),ISNUMBER(14_Cercania!$C$14)),6371*2*ASIN(SQRT(SIN(RADIANS(14_Cercania!$C$13-U286)/2)^2+COS(RADIANS(U286))*COS(RADIANS(14_Cercania!$C$13))*SIN(RADIANS(14_Cercania!$C$14-V286)/2)^2))+ROW()*0.000000001,"")</f>
        <v/>
      </c>
    </row>
    <row r="287" customFormat="false" ht="15" hidden="false" customHeight="false" outlineLevel="0" collapsed="false">
      <c r="A287" s="55" t="n">
        <v>285</v>
      </c>
      <c r="B287" s="56"/>
      <c r="C287" s="55"/>
      <c r="D287" s="56"/>
      <c r="E287" s="71"/>
      <c r="F287" s="57"/>
      <c r="G287" s="57"/>
      <c r="H287" s="72"/>
      <c r="I287" s="72"/>
      <c r="J287" s="72"/>
      <c r="K287" s="72"/>
      <c r="L287" s="72"/>
      <c r="M287" s="57"/>
      <c r="N287" s="57"/>
      <c r="O287" s="55"/>
      <c r="P287" s="73"/>
      <c r="Q287" s="73" t="s">
        <v>2490</v>
      </c>
      <c r="R287" s="55" t="s">
        <v>2491</v>
      </c>
      <c r="S287" s="55" t="s">
        <v>2491</v>
      </c>
      <c r="T287" s="55" t="s">
        <v>2491</v>
      </c>
      <c r="U287" s="83"/>
      <c r="V287" s="83"/>
      <c r="W287" s="57" t="s">
        <v>2538</v>
      </c>
      <c r="X287" s="76" t="str">
        <f aca="false">HYPERLINK(IF(AND(ISNUMBER(U287),ISNUMBER(V287)),"https://www.google.com/maps/search/?api=1&amp;query="&amp;U287&amp;","&amp;V287,"https://www.google.com/maps/search/?api=1&amp;query="&amp;SUBSTITUTE(SUBSTITUTE(SUBSTITUTE(B287&amp;", "&amp;M287&amp;", Puno, Peru"," ","+"),"&amp;","y"),"#","")),"Ver en mapa")</f>
        <v>Ver en mapa</v>
      </c>
      <c r="Y287" s="72"/>
      <c r="Z287" s="57"/>
      <c r="AA287" s="72"/>
      <c r="AB287" s="59"/>
      <c r="AC287" s="59"/>
      <c r="AD287" s="72"/>
      <c r="AE287" s="72"/>
      <c r="AF287" s="72"/>
      <c r="AG287" s="72"/>
      <c r="AH287" s="55" t="s">
        <v>2494</v>
      </c>
      <c r="AI287" s="72"/>
      <c r="AJ287" s="56" t="s">
        <v>2970</v>
      </c>
      <c r="AK287" s="77" t="str">
        <f aca="false">IF(AND(ISNUMBER(U287),ISNUMBER(V287),ISNUMBER(14_Cercania!$C$13),ISNUMBER(14_Cercania!$C$14)),6371*2*ASIN(SQRT(SIN(RADIANS(14_Cercania!$C$13-U287)/2)^2+COS(RADIANS(U287))*COS(RADIANS(14_Cercania!$C$13))*SIN(RADIANS(14_Cercania!$C$14-V287)/2)^2))+ROW()*0.000000001,"")</f>
        <v/>
      </c>
    </row>
    <row r="288" customFormat="false" ht="15" hidden="false" customHeight="false" outlineLevel="0" collapsed="false">
      <c r="A288" s="62" t="n">
        <v>286</v>
      </c>
      <c r="B288" s="63"/>
      <c r="C288" s="62"/>
      <c r="D288" s="63"/>
      <c r="E288" s="71"/>
      <c r="F288" s="57"/>
      <c r="G288" s="57"/>
      <c r="H288" s="72"/>
      <c r="I288" s="72"/>
      <c r="J288" s="72"/>
      <c r="K288" s="72"/>
      <c r="L288" s="72"/>
      <c r="M288" s="57"/>
      <c r="N288" s="57"/>
      <c r="O288" s="62"/>
      <c r="P288" s="78"/>
      <c r="Q288" s="78" t="s">
        <v>2490</v>
      </c>
      <c r="R288" s="62" t="s">
        <v>2491</v>
      </c>
      <c r="S288" s="62" t="s">
        <v>2491</v>
      </c>
      <c r="T288" s="62" t="s">
        <v>2491</v>
      </c>
      <c r="U288" s="83"/>
      <c r="V288" s="83"/>
      <c r="W288" s="57" t="s">
        <v>2538</v>
      </c>
      <c r="X288" s="80" t="str">
        <f aca="false">HYPERLINK(IF(AND(ISNUMBER(U288),ISNUMBER(V288)),"https://www.google.com/maps/search/?api=1&amp;query="&amp;U288&amp;","&amp;V288,"https://www.google.com/maps/search/?api=1&amp;query="&amp;SUBSTITUTE(SUBSTITUTE(SUBSTITUTE(B288&amp;", "&amp;M288&amp;", Puno, Peru"," ","+"),"&amp;","y"),"#","")),"Ver en mapa")</f>
        <v>Ver en mapa</v>
      </c>
      <c r="Y288" s="72"/>
      <c r="Z288" s="57"/>
      <c r="AA288" s="72"/>
      <c r="AB288" s="59"/>
      <c r="AC288" s="59"/>
      <c r="AD288" s="72"/>
      <c r="AE288" s="72"/>
      <c r="AF288" s="72"/>
      <c r="AG288" s="72"/>
      <c r="AH288" s="62" t="s">
        <v>2494</v>
      </c>
      <c r="AI288" s="72"/>
      <c r="AJ288" s="63" t="s">
        <v>2970</v>
      </c>
      <c r="AK288" s="81" t="str">
        <f aca="false">IF(AND(ISNUMBER(U288),ISNUMBER(V288),ISNUMBER(14_Cercania!$C$13),ISNUMBER(14_Cercania!$C$14)),6371*2*ASIN(SQRT(SIN(RADIANS(14_Cercania!$C$13-U288)/2)^2+COS(RADIANS(U288))*COS(RADIANS(14_Cercania!$C$13))*SIN(RADIANS(14_Cercania!$C$14-V288)/2)^2))+ROW()*0.000000001,"")</f>
        <v/>
      </c>
    </row>
    <row r="289" customFormat="false" ht="15" hidden="false" customHeight="false" outlineLevel="0" collapsed="false">
      <c r="A289" s="55" t="n">
        <v>287</v>
      </c>
      <c r="B289" s="56"/>
      <c r="C289" s="55"/>
      <c r="D289" s="56"/>
      <c r="E289" s="71"/>
      <c r="F289" s="57"/>
      <c r="G289" s="57"/>
      <c r="H289" s="72"/>
      <c r="I289" s="72"/>
      <c r="J289" s="72"/>
      <c r="K289" s="72"/>
      <c r="L289" s="72"/>
      <c r="M289" s="57"/>
      <c r="N289" s="57"/>
      <c r="O289" s="55"/>
      <c r="P289" s="73"/>
      <c r="Q289" s="73" t="s">
        <v>2490</v>
      </c>
      <c r="R289" s="55" t="s">
        <v>2491</v>
      </c>
      <c r="S289" s="55" t="s">
        <v>2491</v>
      </c>
      <c r="T289" s="55" t="s">
        <v>2491</v>
      </c>
      <c r="U289" s="83"/>
      <c r="V289" s="83"/>
      <c r="W289" s="57" t="s">
        <v>2538</v>
      </c>
      <c r="X289" s="76" t="str">
        <f aca="false">HYPERLINK(IF(AND(ISNUMBER(U289),ISNUMBER(V289)),"https://www.google.com/maps/search/?api=1&amp;query="&amp;U289&amp;","&amp;V289,"https://www.google.com/maps/search/?api=1&amp;query="&amp;SUBSTITUTE(SUBSTITUTE(SUBSTITUTE(B289&amp;", "&amp;M289&amp;", Puno, Peru"," ","+"),"&amp;","y"),"#","")),"Ver en mapa")</f>
        <v>Ver en mapa</v>
      </c>
      <c r="Y289" s="72"/>
      <c r="Z289" s="57"/>
      <c r="AA289" s="72"/>
      <c r="AB289" s="59"/>
      <c r="AC289" s="59"/>
      <c r="AD289" s="72"/>
      <c r="AE289" s="72"/>
      <c r="AF289" s="72"/>
      <c r="AG289" s="72"/>
      <c r="AH289" s="55" t="s">
        <v>2494</v>
      </c>
      <c r="AI289" s="72"/>
      <c r="AJ289" s="56" t="s">
        <v>2970</v>
      </c>
      <c r="AK289" s="77" t="str">
        <f aca="false">IF(AND(ISNUMBER(U289),ISNUMBER(V289),ISNUMBER(14_Cercania!$C$13),ISNUMBER(14_Cercania!$C$14)),6371*2*ASIN(SQRT(SIN(RADIANS(14_Cercania!$C$13-U289)/2)^2+COS(RADIANS(U289))*COS(RADIANS(14_Cercania!$C$13))*SIN(RADIANS(14_Cercania!$C$14-V289)/2)^2))+ROW()*0.000000001,"")</f>
        <v/>
      </c>
    </row>
    <row r="290" customFormat="false" ht="15" hidden="false" customHeight="false" outlineLevel="0" collapsed="false">
      <c r="A290" s="62" t="n">
        <v>288</v>
      </c>
      <c r="B290" s="63"/>
      <c r="C290" s="62"/>
      <c r="D290" s="63"/>
      <c r="E290" s="71"/>
      <c r="F290" s="57"/>
      <c r="G290" s="57"/>
      <c r="H290" s="72"/>
      <c r="I290" s="72"/>
      <c r="J290" s="72"/>
      <c r="K290" s="72"/>
      <c r="L290" s="72"/>
      <c r="M290" s="57"/>
      <c r="N290" s="57"/>
      <c r="O290" s="62"/>
      <c r="P290" s="78"/>
      <c r="Q290" s="78" t="s">
        <v>2490</v>
      </c>
      <c r="R290" s="62" t="s">
        <v>2491</v>
      </c>
      <c r="S290" s="62" t="s">
        <v>2491</v>
      </c>
      <c r="T290" s="62" t="s">
        <v>2491</v>
      </c>
      <c r="U290" s="83"/>
      <c r="V290" s="83"/>
      <c r="W290" s="57" t="s">
        <v>2538</v>
      </c>
      <c r="X290" s="80" t="str">
        <f aca="false">HYPERLINK(IF(AND(ISNUMBER(U290),ISNUMBER(V290)),"https://www.google.com/maps/search/?api=1&amp;query="&amp;U290&amp;","&amp;V290,"https://www.google.com/maps/search/?api=1&amp;query="&amp;SUBSTITUTE(SUBSTITUTE(SUBSTITUTE(B290&amp;", "&amp;M290&amp;", Puno, Peru"," ","+"),"&amp;","y"),"#","")),"Ver en mapa")</f>
        <v>Ver en mapa</v>
      </c>
      <c r="Y290" s="72"/>
      <c r="Z290" s="57"/>
      <c r="AA290" s="72"/>
      <c r="AB290" s="59"/>
      <c r="AC290" s="59"/>
      <c r="AD290" s="72"/>
      <c r="AE290" s="72"/>
      <c r="AF290" s="72"/>
      <c r="AG290" s="72"/>
      <c r="AH290" s="62" t="s">
        <v>2494</v>
      </c>
      <c r="AI290" s="72"/>
      <c r="AJ290" s="63" t="s">
        <v>2970</v>
      </c>
      <c r="AK290" s="81" t="str">
        <f aca="false">IF(AND(ISNUMBER(U290),ISNUMBER(V290),ISNUMBER(14_Cercania!$C$13),ISNUMBER(14_Cercania!$C$14)),6371*2*ASIN(SQRT(SIN(RADIANS(14_Cercania!$C$13-U290)/2)^2+COS(RADIANS(U290))*COS(RADIANS(14_Cercania!$C$13))*SIN(RADIANS(14_Cercania!$C$14-V290)/2)^2))+ROW()*0.000000001,"")</f>
        <v/>
      </c>
    </row>
    <row r="291" customFormat="false" ht="15" hidden="false" customHeight="false" outlineLevel="0" collapsed="false">
      <c r="A291" s="55" t="n">
        <v>289</v>
      </c>
      <c r="B291" s="56"/>
      <c r="C291" s="55"/>
      <c r="D291" s="56"/>
      <c r="E291" s="71"/>
      <c r="F291" s="57"/>
      <c r="G291" s="57"/>
      <c r="H291" s="72"/>
      <c r="I291" s="72"/>
      <c r="J291" s="72"/>
      <c r="K291" s="72"/>
      <c r="L291" s="72"/>
      <c r="M291" s="57"/>
      <c r="N291" s="57"/>
      <c r="O291" s="55"/>
      <c r="P291" s="73"/>
      <c r="Q291" s="73" t="s">
        <v>2490</v>
      </c>
      <c r="R291" s="55" t="s">
        <v>2491</v>
      </c>
      <c r="S291" s="55" t="s">
        <v>2491</v>
      </c>
      <c r="T291" s="55" t="s">
        <v>2491</v>
      </c>
      <c r="U291" s="83"/>
      <c r="V291" s="83"/>
      <c r="W291" s="57" t="s">
        <v>2538</v>
      </c>
      <c r="X291" s="76" t="str">
        <f aca="false">HYPERLINK(IF(AND(ISNUMBER(U291),ISNUMBER(V291)),"https://www.google.com/maps/search/?api=1&amp;query="&amp;U291&amp;","&amp;V291,"https://www.google.com/maps/search/?api=1&amp;query="&amp;SUBSTITUTE(SUBSTITUTE(SUBSTITUTE(B291&amp;", "&amp;M291&amp;", Puno, Peru"," ","+"),"&amp;","y"),"#","")),"Ver en mapa")</f>
        <v>Ver en mapa</v>
      </c>
      <c r="Y291" s="72"/>
      <c r="Z291" s="57"/>
      <c r="AA291" s="72"/>
      <c r="AB291" s="59"/>
      <c r="AC291" s="59"/>
      <c r="AD291" s="72"/>
      <c r="AE291" s="72"/>
      <c r="AF291" s="72"/>
      <c r="AG291" s="72"/>
      <c r="AH291" s="55" t="s">
        <v>2494</v>
      </c>
      <c r="AI291" s="72"/>
      <c r="AJ291" s="56" t="s">
        <v>2970</v>
      </c>
      <c r="AK291" s="77" t="str">
        <f aca="false">IF(AND(ISNUMBER(U291),ISNUMBER(V291),ISNUMBER(14_Cercania!$C$13),ISNUMBER(14_Cercania!$C$14)),6371*2*ASIN(SQRT(SIN(RADIANS(14_Cercania!$C$13-U291)/2)^2+COS(RADIANS(U291))*COS(RADIANS(14_Cercania!$C$13))*SIN(RADIANS(14_Cercania!$C$14-V291)/2)^2))+ROW()*0.000000001,"")</f>
        <v/>
      </c>
    </row>
    <row r="292" customFormat="false" ht="15" hidden="false" customHeight="false" outlineLevel="0" collapsed="false">
      <c r="A292" s="62" t="n">
        <v>290</v>
      </c>
      <c r="B292" s="63"/>
      <c r="C292" s="62"/>
      <c r="D292" s="63"/>
      <c r="E292" s="71"/>
      <c r="F292" s="57"/>
      <c r="G292" s="57"/>
      <c r="H292" s="72"/>
      <c r="I292" s="72"/>
      <c r="J292" s="72"/>
      <c r="K292" s="72"/>
      <c r="L292" s="72"/>
      <c r="M292" s="57"/>
      <c r="N292" s="57"/>
      <c r="O292" s="62"/>
      <c r="P292" s="78"/>
      <c r="Q292" s="78" t="s">
        <v>2490</v>
      </c>
      <c r="R292" s="62" t="s">
        <v>2491</v>
      </c>
      <c r="S292" s="62" t="s">
        <v>2491</v>
      </c>
      <c r="T292" s="62" t="s">
        <v>2491</v>
      </c>
      <c r="U292" s="83"/>
      <c r="V292" s="83"/>
      <c r="W292" s="57" t="s">
        <v>2538</v>
      </c>
      <c r="X292" s="80" t="str">
        <f aca="false">HYPERLINK(IF(AND(ISNUMBER(U292),ISNUMBER(V292)),"https://www.google.com/maps/search/?api=1&amp;query="&amp;U292&amp;","&amp;V292,"https://www.google.com/maps/search/?api=1&amp;query="&amp;SUBSTITUTE(SUBSTITUTE(SUBSTITUTE(B292&amp;", "&amp;M292&amp;", Puno, Peru"," ","+"),"&amp;","y"),"#","")),"Ver en mapa")</f>
        <v>Ver en mapa</v>
      </c>
      <c r="Y292" s="72"/>
      <c r="Z292" s="57"/>
      <c r="AA292" s="72"/>
      <c r="AB292" s="59"/>
      <c r="AC292" s="59"/>
      <c r="AD292" s="72"/>
      <c r="AE292" s="72"/>
      <c r="AF292" s="72"/>
      <c r="AG292" s="72"/>
      <c r="AH292" s="62" t="s">
        <v>2494</v>
      </c>
      <c r="AI292" s="72"/>
      <c r="AJ292" s="63" t="s">
        <v>2970</v>
      </c>
      <c r="AK292" s="81" t="str">
        <f aca="false">IF(AND(ISNUMBER(U292),ISNUMBER(V292),ISNUMBER(14_Cercania!$C$13),ISNUMBER(14_Cercania!$C$14)),6371*2*ASIN(SQRT(SIN(RADIANS(14_Cercania!$C$13-U292)/2)^2+COS(RADIANS(U292))*COS(RADIANS(14_Cercania!$C$13))*SIN(RADIANS(14_Cercania!$C$14-V292)/2)^2))+ROW()*0.000000001,"")</f>
        <v/>
      </c>
    </row>
    <row r="293" customFormat="false" ht="15" hidden="false" customHeight="false" outlineLevel="0" collapsed="false">
      <c r="A293" s="55" t="n">
        <v>291</v>
      </c>
      <c r="B293" s="56"/>
      <c r="C293" s="55"/>
      <c r="D293" s="56"/>
      <c r="E293" s="71"/>
      <c r="F293" s="57"/>
      <c r="G293" s="57"/>
      <c r="H293" s="72"/>
      <c r="I293" s="72"/>
      <c r="J293" s="72"/>
      <c r="K293" s="72"/>
      <c r="L293" s="72"/>
      <c r="M293" s="57"/>
      <c r="N293" s="57"/>
      <c r="O293" s="55"/>
      <c r="P293" s="73"/>
      <c r="Q293" s="73" t="s">
        <v>2490</v>
      </c>
      <c r="R293" s="55" t="s">
        <v>2491</v>
      </c>
      <c r="S293" s="55" t="s">
        <v>2491</v>
      </c>
      <c r="T293" s="55" t="s">
        <v>2491</v>
      </c>
      <c r="U293" s="83"/>
      <c r="V293" s="83"/>
      <c r="W293" s="57" t="s">
        <v>2538</v>
      </c>
      <c r="X293" s="76" t="str">
        <f aca="false">HYPERLINK(IF(AND(ISNUMBER(U293),ISNUMBER(V293)),"https://www.google.com/maps/search/?api=1&amp;query="&amp;U293&amp;","&amp;V293,"https://www.google.com/maps/search/?api=1&amp;query="&amp;SUBSTITUTE(SUBSTITUTE(SUBSTITUTE(B293&amp;", "&amp;M293&amp;", Puno, Peru"," ","+"),"&amp;","y"),"#","")),"Ver en mapa")</f>
        <v>Ver en mapa</v>
      </c>
      <c r="Y293" s="72"/>
      <c r="Z293" s="57"/>
      <c r="AA293" s="72"/>
      <c r="AB293" s="59"/>
      <c r="AC293" s="59"/>
      <c r="AD293" s="72"/>
      <c r="AE293" s="72"/>
      <c r="AF293" s="72"/>
      <c r="AG293" s="72"/>
      <c r="AH293" s="55" t="s">
        <v>2494</v>
      </c>
      <c r="AI293" s="72"/>
      <c r="AJ293" s="56" t="s">
        <v>2970</v>
      </c>
      <c r="AK293" s="77" t="str">
        <f aca="false">IF(AND(ISNUMBER(U293),ISNUMBER(V293),ISNUMBER(14_Cercania!$C$13),ISNUMBER(14_Cercania!$C$14)),6371*2*ASIN(SQRT(SIN(RADIANS(14_Cercania!$C$13-U293)/2)^2+COS(RADIANS(U293))*COS(RADIANS(14_Cercania!$C$13))*SIN(RADIANS(14_Cercania!$C$14-V293)/2)^2))+ROW()*0.000000001,"")</f>
        <v/>
      </c>
    </row>
    <row r="294" customFormat="false" ht="15" hidden="false" customHeight="false" outlineLevel="0" collapsed="false">
      <c r="A294" s="62" t="n">
        <v>292</v>
      </c>
      <c r="B294" s="63"/>
      <c r="C294" s="62"/>
      <c r="D294" s="63"/>
      <c r="E294" s="71"/>
      <c r="F294" s="57"/>
      <c r="G294" s="57"/>
      <c r="H294" s="72"/>
      <c r="I294" s="72"/>
      <c r="J294" s="72"/>
      <c r="K294" s="72"/>
      <c r="L294" s="72"/>
      <c r="M294" s="57"/>
      <c r="N294" s="57"/>
      <c r="O294" s="62"/>
      <c r="P294" s="78"/>
      <c r="Q294" s="78" t="s">
        <v>2490</v>
      </c>
      <c r="R294" s="62" t="s">
        <v>2491</v>
      </c>
      <c r="S294" s="62" t="s">
        <v>2491</v>
      </c>
      <c r="T294" s="62" t="s">
        <v>2491</v>
      </c>
      <c r="U294" s="83"/>
      <c r="V294" s="83"/>
      <c r="W294" s="57" t="s">
        <v>2538</v>
      </c>
      <c r="X294" s="80" t="str">
        <f aca="false">HYPERLINK(IF(AND(ISNUMBER(U294),ISNUMBER(V294)),"https://www.google.com/maps/search/?api=1&amp;query="&amp;U294&amp;","&amp;V294,"https://www.google.com/maps/search/?api=1&amp;query="&amp;SUBSTITUTE(SUBSTITUTE(SUBSTITUTE(B294&amp;", "&amp;M294&amp;", Puno, Peru"," ","+"),"&amp;","y"),"#","")),"Ver en mapa")</f>
        <v>Ver en mapa</v>
      </c>
      <c r="Y294" s="72"/>
      <c r="Z294" s="57"/>
      <c r="AA294" s="72"/>
      <c r="AB294" s="59"/>
      <c r="AC294" s="59"/>
      <c r="AD294" s="72"/>
      <c r="AE294" s="72"/>
      <c r="AF294" s="72"/>
      <c r="AG294" s="72"/>
      <c r="AH294" s="62" t="s">
        <v>2494</v>
      </c>
      <c r="AI294" s="72"/>
      <c r="AJ294" s="63" t="s">
        <v>2970</v>
      </c>
      <c r="AK294" s="81" t="str">
        <f aca="false">IF(AND(ISNUMBER(U294),ISNUMBER(V294),ISNUMBER(14_Cercania!$C$13),ISNUMBER(14_Cercania!$C$14)),6371*2*ASIN(SQRT(SIN(RADIANS(14_Cercania!$C$13-U294)/2)^2+COS(RADIANS(U294))*COS(RADIANS(14_Cercania!$C$13))*SIN(RADIANS(14_Cercania!$C$14-V294)/2)^2))+ROW()*0.000000001,"")</f>
        <v/>
      </c>
    </row>
    <row r="295" customFormat="false" ht="15" hidden="false" customHeight="false" outlineLevel="0" collapsed="false">
      <c r="A295" s="55" t="n">
        <v>293</v>
      </c>
      <c r="B295" s="56"/>
      <c r="C295" s="55"/>
      <c r="D295" s="56"/>
      <c r="E295" s="71"/>
      <c r="F295" s="57"/>
      <c r="G295" s="57"/>
      <c r="H295" s="72"/>
      <c r="I295" s="72"/>
      <c r="J295" s="72"/>
      <c r="K295" s="72"/>
      <c r="L295" s="72"/>
      <c r="M295" s="57"/>
      <c r="N295" s="57"/>
      <c r="O295" s="55"/>
      <c r="P295" s="73"/>
      <c r="Q295" s="73" t="s">
        <v>2490</v>
      </c>
      <c r="R295" s="55" t="s">
        <v>2491</v>
      </c>
      <c r="S295" s="55" t="s">
        <v>2491</v>
      </c>
      <c r="T295" s="55" t="s">
        <v>2491</v>
      </c>
      <c r="U295" s="83"/>
      <c r="V295" s="83"/>
      <c r="W295" s="57" t="s">
        <v>2538</v>
      </c>
      <c r="X295" s="76" t="str">
        <f aca="false">HYPERLINK(IF(AND(ISNUMBER(U295),ISNUMBER(V295)),"https://www.google.com/maps/search/?api=1&amp;query="&amp;U295&amp;","&amp;V295,"https://www.google.com/maps/search/?api=1&amp;query="&amp;SUBSTITUTE(SUBSTITUTE(SUBSTITUTE(B295&amp;", "&amp;M295&amp;", Puno, Peru"," ","+"),"&amp;","y"),"#","")),"Ver en mapa")</f>
        <v>Ver en mapa</v>
      </c>
      <c r="Y295" s="72"/>
      <c r="Z295" s="57"/>
      <c r="AA295" s="72"/>
      <c r="AB295" s="59"/>
      <c r="AC295" s="59"/>
      <c r="AD295" s="72"/>
      <c r="AE295" s="72"/>
      <c r="AF295" s="72"/>
      <c r="AG295" s="72"/>
      <c r="AH295" s="55" t="s">
        <v>2494</v>
      </c>
      <c r="AI295" s="72"/>
      <c r="AJ295" s="56" t="s">
        <v>2970</v>
      </c>
      <c r="AK295" s="77" t="str">
        <f aca="false">IF(AND(ISNUMBER(U295),ISNUMBER(V295),ISNUMBER(14_Cercania!$C$13),ISNUMBER(14_Cercania!$C$14)),6371*2*ASIN(SQRT(SIN(RADIANS(14_Cercania!$C$13-U295)/2)^2+COS(RADIANS(U295))*COS(RADIANS(14_Cercania!$C$13))*SIN(RADIANS(14_Cercania!$C$14-V295)/2)^2))+ROW()*0.000000001,"")</f>
        <v/>
      </c>
    </row>
    <row r="296" customFormat="false" ht="15" hidden="false" customHeight="false" outlineLevel="0" collapsed="false">
      <c r="A296" s="62" t="n">
        <v>294</v>
      </c>
      <c r="B296" s="63"/>
      <c r="C296" s="62"/>
      <c r="D296" s="63"/>
      <c r="E296" s="71"/>
      <c r="F296" s="57"/>
      <c r="G296" s="57"/>
      <c r="H296" s="72"/>
      <c r="I296" s="72"/>
      <c r="J296" s="72"/>
      <c r="K296" s="72"/>
      <c r="L296" s="72"/>
      <c r="M296" s="57"/>
      <c r="N296" s="57"/>
      <c r="O296" s="62"/>
      <c r="P296" s="78"/>
      <c r="Q296" s="78" t="s">
        <v>2490</v>
      </c>
      <c r="R296" s="62" t="s">
        <v>2491</v>
      </c>
      <c r="S296" s="62" t="s">
        <v>2491</v>
      </c>
      <c r="T296" s="62" t="s">
        <v>2491</v>
      </c>
      <c r="U296" s="83"/>
      <c r="V296" s="83"/>
      <c r="W296" s="57" t="s">
        <v>2538</v>
      </c>
      <c r="X296" s="80" t="str">
        <f aca="false">HYPERLINK(IF(AND(ISNUMBER(U296),ISNUMBER(V296)),"https://www.google.com/maps/search/?api=1&amp;query="&amp;U296&amp;","&amp;V296,"https://www.google.com/maps/search/?api=1&amp;query="&amp;SUBSTITUTE(SUBSTITUTE(SUBSTITUTE(B296&amp;", "&amp;M296&amp;", Puno, Peru"," ","+"),"&amp;","y"),"#","")),"Ver en mapa")</f>
        <v>Ver en mapa</v>
      </c>
      <c r="Y296" s="72"/>
      <c r="Z296" s="57"/>
      <c r="AA296" s="72"/>
      <c r="AB296" s="59"/>
      <c r="AC296" s="59"/>
      <c r="AD296" s="72"/>
      <c r="AE296" s="72"/>
      <c r="AF296" s="72"/>
      <c r="AG296" s="72"/>
      <c r="AH296" s="62" t="s">
        <v>2494</v>
      </c>
      <c r="AI296" s="72"/>
      <c r="AJ296" s="63" t="s">
        <v>2970</v>
      </c>
      <c r="AK296" s="81" t="str">
        <f aca="false">IF(AND(ISNUMBER(U296),ISNUMBER(V296),ISNUMBER(14_Cercania!$C$13),ISNUMBER(14_Cercania!$C$14)),6371*2*ASIN(SQRT(SIN(RADIANS(14_Cercania!$C$13-U296)/2)^2+COS(RADIANS(U296))*COS(RADIANS(14_Cercania!$C$13))*SIN(RADIANS(14_Cercania!$C$14-V296)/2)^2))+ROW()*0.000000001,"")</f>
        <v/>
      </c>
    </row>
    <row r="297" customFormat="false" ht="15" hidden="false" customHeight="false" outlineLevel="0" collapsed="false">
      <c r="A297" s="55" t="n">
        <v>295</v>
      </c>
      <c r="B297" s="56"/>
      <c r="C297" s="55"/>
      <c r="D297" s="56"/>
      <c r="E297" s="71"/>
      <c r="F297" s="57"/>
      <c r="G297" s="57"/>
      <c r="H297" s="72"/>
      <c r="I297" s="72"/>
      <c r="J297" s="72"/>
      <c r="K297" s="72"/>
      <c r="L297" s="72"/>
      <c r="M297" s="57"/>
      <c r="N297" s="57"/>
      <c r="O297" s="55"/>
      <c r="P297" s="73"/>
      <c r="Q297" s="73" t="s">
        <v>2490</v>
      </c>
      <c r="R297" s="55" t="s">
        <v>2491</v>
      </c>
      <c r="S297" s="55" t="s">
        <v>2491</v>
      </c>
      <c r="T297" s="55" t="s">
        <v>2491</v>
      </c>
      <c r="U297" s="83"/>
      <c r="V297" s="83"/>
      <c r="W297" s="57" t="s">
        <v>2538</v>
      </c>
      <c r="X297" s="76" t="str">
        <f aca="false">HYPERLINK(IF(AND(ISNUMBER(U297),ISNUMBER(V297)),"https://www.google.com/maps/search/?api=1&amp;query="&amp;U297&amp;","&amp;V297,"https://www.google.com/maps/search/?api=1&amp;query="&amp;SUBSTITUTE(SUBSTITUTE(SUBSTITUTE(B297&amp;", "&amp;M297&amp;", Puno, Peru"," ","+"),"&amp;","y"),"#","")),"Ver en mapa")</f>
        <v>Ver en mapa</v>
      </c>
      <c r="Y297" s="72"/>
      <c r="Z297" s="57"/>
      <c r="AA297" s="72"/>
      <c r="AB297" s="59"/>
      <c r="AC297" s="59"/>
      <c r="AD297" s="72"/>
      <c r="AE297" s="72"/>
      <c r="AF297" s="72"/>
      <c r="AG297" s="72"/>
      <c r="AH297" s="55" t="s">
        <v>2494</v>
      </c>
      <c r="AI297" s="72"/>
      <c r="AJ297" s="56" t="s">
        <v>2970</v>
      </c>
      <c r="AK297" s="77" t="str">
        <f aca="false">IF(AND(ISNUMBER(U297),ISNUMBER(V297),ISNUMBER(14_Cercania!$C$13),ISNUMBER(14_Cercania!$C$14)),6371*2*ASIN(SQRT(SIN(RADIANS(14_Cercania!$C$13-U297)/2)^2+COS(RADIANS(U297))*COS(RADIANS(14_Cercania!$C$13))*SIN(RADIANS(14_Cercania!$C$14-V297)/2)^2))+ROW()*0.000000001,"")</f>
        <v/>
      </c>
    </row>
    <row r="298" customFormat="false" ht="15" hidden="false" customHeight="false" outlineLevel="0" collapsed="false">
      <c r="A298" s="62" t="n">
        <v>296</v>
      </c>
      <c r="B298" s="63"/>
      <c r="C298" s="62"/>
      <c r="D298" s="63"/>
      <c r="E298" s="71"/>
      <c r="F298" s="57"/>
      <c r="G298" s="57"/>
      <c r="H298" s="72"/>
      <c r="I298" s="72"/>
      <c r="J298" s="72"/>
      <c r="K298" s="72"/>
      <c r="L298" s="72"/>
      <c r="M298" s="57"/>
      <c r="N298" s="57"/>
      <c r="O298" s="62"/>
      <c r="P298" s="78"/>
      <c r="Q298" s="78" t="s">
        <v>2490</v>
      </c>
      <c r="R298" s="62" t="s">
        <v>2491</v>
      </c>
      <c r="S298" s="62" t="s">
        <v>2491</v>
      </c>
      <c r="T298" s="62" t="s">
        <v>2491</v>
      </c>
      <c r="U298" s="83"/>
      <c r="V298" s="83"/>
      <c r="W298" s="57" t="s">
        <v>2538</v>
      </c>
      <c r="X298" s="80" t="str">
        <f aca="false">HYPERLINK(IF(AND(ISNUMBER(U298),ISNUMBER(V298)),"https://www.google.com/maps/search/?api=1&amp;query="&amp;U298&amp;","&amp;V298,"https://www.google.com/maps/search/?api=1&amp;query="&amp;SUBSTITUTE(SUBSTITUTE(SUBSTITUTE(B298&amp;", "&amp;M298&amp;", Puno, Peru"," ","+"),"&amp;","y"),"#","")),"Ver en mapa")</f>
        <v>Ver en mapa</v>
      </c>
      <c r="Y298" s="72"/>
      <c r="Z298" s="57"/>
      <c r="AA298" s="72"/>
      <c r="AB298" s="59"/>
      <c r="AC298" s="59"/>
      <c r="AD298" s="72"/>
      <c r="AE298" s="72"/>
      <c r="AF298" s="72"/>
      <c r="AG298" s="72"/>
      <c r="AH298" s="62" t="s">
        <v>2494</v>
      </c>
      <c r="AI298" s="72"/>
      <c r="AJ298" s="63" t="s">
        <v>2970</v>
      </c>
      <c r="AK298" s="81" t="str">
        <f aca="false">IF(AND(ISNUMBER(U298),ISNUMBER(V298),ISNUMBER(14_Cercania!$C$13),ISNUMBER(14_Cercania!$C$14)),6371*2*ASIN(SQRT(SIN(RADIANS(14_Cercania!$C$13-U298)/2)^2+COS(RADIANS(U298))*COS(RADIANS(14_Cercania!$C$13))*SIN(RADIANS(14_Cercania!$C$14-V298)/2)^2))+ROW()*0.000000001,"")</f>
        <v/>
      </c>
    </row>
    <row r="299" customFormat="false" ht="15" hidden="false" customHeight="false" outlineLevel="0" collapsed="false">
      <c r="A299" s="55" t="n">
        <v>297</v>
      </c>
      <c r="B299" s="56"/>
      <c r="C299" s="55"/>
      <c r="D299" s="56"/>
      <c r="E299" s="71"/>
      <c r="F299" s="57"/>
      <c r="G299" s="57"/>
      <c r="H299" s="72"/>
      <c r="I299" s="72"/>
      <c r="J299" s="72"/>
      <c r="K299" s="72"/>
      <c r="L299" s="72"/>
      <c r="M299" s="57"/>
      <c r="N299" s="57"/>
      <c r="O299" s="55"/>
      <c r="P299" s="73"/>
      <c r="Q299" s="73" t="s">
        <v>2490</v>
      </c>
      <c r="R299" s="55" t="s">
        <v>2491</v>
      </c>
      <c r="S299" s="55" t="s">
        <v>2491</v>
      </c>
      <c r="T299" s="55" t="s">
        <v>2491</v>
      </c>
      <c r="U299" s="83"/>
      <c r="V299" s="83"/>
      <c r="W299" s="57" t="s">
        <v>2538</v>
      </c>
      <c r="X299" s="76" t="str">
        <f aca="false">HYPERLINK(IF(AND(ISNUMBER(U299),ISNUMBER(V299)),"https://www.google.com/maps/search/?api=1&amp;query="&amp;U299&amp;","&amp;V299,"https://www.google.com/maps/search/?api=1&amp;query="&amp;SUBSTITUTE(SUBSTITUTE(SUBSTITUTE(B299&amp;", "&amp;M299&amp;", Puno, Peru"," ","+"),"&amp;","y"),"#","")),"Ver en mapa")</f>
        <v>Ver en mapa</v>
      </c>
      <c r="Y299" s="72"/>
      <c r="Z299" s="57"/>
      <c r="AA299" s="72"/>
      <c r="AB299" s="59"/>
      <c r="AC299" s="59"/>
      <c r="AD299" s="72"/>
      <c r="AE299" s="72"/>
      <c r="AF299" s="72"/>
      <c r="AG299" s="72"/>
      <c r="AH299" s="55" t="s">
        <v>2494</v>
      </c>
      <c r="AI299" s="72"/>
      <c r="AJ299" s="56" t="s">
        <v>2970</v>
      </c>
      <c r="AK299" s="77" t="str">
        <f aca="false">IF(AND(ISNUMBER(U299),ISNUMBER(V299),ISNUMBER(14_Cercania!$C$13),ISNUMBER(14_Cercania!$C$14)),6371*2*ASIN(SQRT(SIN(RADIANS(14_Cercania!$C$13-U299)/2)^2+COS(RADIANS(U299))*COS(RADIANS(14_Cercania!$C$13))*SIN(RADIANS(14_Cercania!$C$14-V299)/2)^2))+ROW()*0.000000001,"")</f>
        <v/>
      </c>
    </row>
    <row r="300" customFormat="false" ht="15" hidden="false" customHeight="false" outlineLevel="0" collapsed="false">
      <c r="A300" s="62" t="n">
        <v>298</v>
      </c>
      <c r="B300" s="63"/>
      <c r="C300" s="62"/>
      <c r="D300" s="63"/>
      <c r="E300" s="71"/>
      <c r="F300" s="57"/>
      <c r="G300" s="57"/>
      <c r="H300" s="72"/>
      <c r="I300" s="72"/>
      <c r="J300" s="72"/>
      <c r="K300" s="72"/>
      <c r="L300" s="72"/>
      <c r="M300" s="57"/>
      <c r="N300" s="57"/>
      <c r="O300" s="62"/>
      <c r="P300" s="78"/>
      <c r="Q300" s="78" t="s">
        <v>2490</v>
      </c>
      <c r="R300" s="62" t="s">
        <v>2491</v>
      </c>
      <c r="S300" s="62" t="s">
        <v>2491</v>
      </c>
      <c r="T300" s="62" t="s">
        <v>2491</v>
      </c>
      <c r="U300" s="83"/>
      <c r="V300" s="83"/>
      <c r="W300" s="57" t="s">
        <v>2538</v>
      </c>
      <c r="X300" s="80" t="str">
        <f aca="false">HYPERLINK(IF(AND(ISNUMBER(U300),ISNUMBER(V300)),"https://www.google.com/maps/search/?api=1&amp;query="&amp;U300&amp;","&amp;V300,"https://www.google.com/maps/search/?api=1&amp;query="&amp;SUBSTITUTE(SUBSTITUTE(SUBSTITUTE(B300&amp;", "&amp;M300&amp;", Puno, Peru"," ","+"),"&amp;","y"),"#","")),"Ver en mapa")</f>
        <v>Ver en mapa</v>
      </c>
      <c r="Y300" s="72"/>
      <c r="Z300" s="57"/>
      <c r="AA300" s="72"/>
      <c r="AB300" s="59"/>
      <c r="AC300" s="59"/>
      <c r="AD300" s="72"/>
      <c r="AE300" s="72"/>
      <c r="AF300" s="72"/>
      <c r="AG300" s="72"/>
      <c r="AH300" s="62" t="s">
        <v>2494</v>
      </c>
      <c r="AI300" s="72"/>
      <c r="AJ300" s="63" t="s">
        <v>2970</v>
      </c>
      <c r="AK300" s="81" t="str">
        <f aca="false">IF(AND(ISNUMBER(U300),ISNUMBER(V300),ISNUMBER(14_Cercania!$C$13),ISNUMBER(14_Cercania!$C$14)),6371*2*ASIN(SQRT(SIN(RADIANS(14_Cercania!$C$13-U300)/2)^2+COS(RADIANS(U300))*COS(RADIANS(14_Cercania!$C$13))*SIN(RADIANS(14_Cercania!$C$14-V300)/2)^2))+ROW()*0.000000001,"")</f>
        <v/>
      </c>
    </row>
    <row r="301" customFormat="false" ht="15" hidden="false" customHeight="false" outlineLevel="0" collapsed="false">
      <c r="A301" s="55" t="n">
        <v>299</v>
      </c>
      <c r="B301" s="56"/>
      <c r="C301" s="55"/>
      <c r="D301" s="56"/>
      <c r="E301" s="71"/>
      <c r="F301" s="57"/>
      <c r="G301" s="57"/>
      <c r="H301" s="72"/>
      <c r="I301" s="72"/>
      <c r="J301" s="72"/>
      <c r="K301" s="72"/>
      <c r="L301" s="72"/>
      <c r="M301" s="57"/>
      <c r="N301" s="57"/>
      <c r="O301" s="55"/>
      <c r="P301" s="73"/>
      <c r="Q301" s="73" t="s">
        <v>2490</v>
      </c>
      <c r="R301" s="55" t="s">
        <v>2491</v>
      </c>
      <c r="S301" s="55" t="s">
        <v>2491</v>
      </c>
      <c r="T301" s="55" t="s">
        <v>2491</v>
      </c>
      <c r="U301" s="83"/>
      <c r="V301" s="83"/>
      <c r="W301" s="57" t="s">
        <v>2538</v>
      </c>
      <c r="X301" s="76" t="str">
        <f aca="false">HYPERLINK(IF(AND(ISNUMBER(U301),ISNUMBER(V301)),"https://www.google.com/maps/search/?api=1&amp;query="&amp;U301&amp;","&amp;V301,"https://www.google.com/maps/search/?api=1&amp;query="&amp;SUBSTITUTE(SUBSTITUTE(SUBSTITUTE(B301&amp;", "&amp;M301&amp;", Puno, Peru"," ","+"),"&amp;","y"),"#","")),"Ver en mapa")</f>
        <v>Ver en mapa</v>
      </c>
      <c r="Y301" s="72"/>
      <c r="Z301" s="57"/>
      <c r="AA301" s="72"/>
      <c r="AB301" s="59"/>
      <c r="AC301" s="59"/>
      <c r="AD301" s="72"/>
      <c r="AE301" s="72"/>
      <c r="AF301" s="72"/>
      <c r="AG301" s="72"/>
      <c r="AH301" s="55" t="s">
        <v>2494</v>
      </c>
      <c r="AI301" s="72"/>
      <c r="AJ301" s="56" t="s">
        <v>2970</v>
      </c>
      <c r="AK301" s="77" t="str">
        <f aca="false">IF(AND(ISNUMBER(U301),ISNUMBER(V301),ISNUMBER(14_Cercania!$C$13),ISNUMBER(14_Cercania!$C$14)),6371*2*ASIN(SQRT(SIN(RADIANS(14_Cercania!$C$13-U301)/2)^2+COS(RADIANS(U301))*COS(RADIANS(14_Cercania!$C$13))*SIN(RADIANS(14_Cercania!$C$14-V301)/2)^2))+ROW()*0.000000001,"")</f>
        <v/>
      </c>
    </row>
    <row r="302" customFormat="false" ht="15" hidden="false" customHeight="false" outlineLevel="0" collapsed="false">
      <c r="A302" s="62" t="n">
        <v>300</v>
      </c>
      <c r="B302" s="63"/>
      <c r="C302" s="62"/>
      <c r="D302" s="63"/>
      <c r="E302" s="71"/>
      <c r="F302" s="57"/>
      <c r="G302" s="57"/>
      <c r="H302" s="72"/>
      <c r="I302" s="72"/>
      <c r="J302" s="72"/>
      <c r="K302" s="72"/>
      <c r="L302" s="72"/>
      <c r="M302" s="57"/>
      <c r="N302" s="57"/>
      <c r="O302" s="62"/>
      <c r="P302" s="78"/>
      <c r="Q302" s="78" t="s">
        <v>2490</v>
      </c>
      <c r="R302" s="62" t="s">
        <v>2491</v>
      </c>
      <c r="S302" s="62" t="s">
        <v>2491</v>
      </c>
      <c r="T302" s="62" t="s">
        <v>2491</v>
      </c>
      <c r="U302" s="83"/>
      <c r="V302" s="83"/>
      <c r="W302" s="57" t="s">
        <v>2538</v>
      </c>
      <c r="X302" s="80" t="str">
        <f aca="false">HYPERLINK(IF(AND(ISNUMBER(U302),ISNUMBER(V302)),"https://www.google.com/maps/search/?api=1&amp;query="&amp;U302&amp;","&amp;V302,"https://www.google.com/maps/search/?api=1&amp;query="&amp;SUBSTITUTE(SUBSTITUTE(SUBSTITUTE(B302&amp;", "&amp;M302&amp;", Puno, Peru"," ","+"),"&amp;","y"),"#","")),"Ver en mapa")</f>
        <v>Ver en mapa</v>
      </c>
      <c r="Y302" s="72"/>
      <c r="Z302" s="57"/>
      <c r="AA302" s="72"/>
      <c r="AB302" s="59"/>
      <c r="AC302" s="59"/>
      <c r="AD302" s="72"/>
      <c r="AE302" s="72"/>
      <c r="AF302" s="72"/>
      <c r="AG302" s="72"/>
      <c r="AH302" s="62" t="s">
        <v>2494</v>
      </c>
      <c r="AI302" s="72"/>
      <c r="AJ302" s="63" t="s">
        <v>2970</v>
      </c>
      <c r="AK302" s="81" t="str">
        <f aca="false">IF(AND(ISNUMBER(U302),ISNUMBER(V302),ISNUMBER(14_Cercania!$C$13),ISNUMBER(14_Cercania!$C$14)),6371*2*ASIN(SQRT(SIN(RADIANS(14_Cercania!$C$13-U302)/2)^2+COS(RADIANS(U302))*COS(RADIANS(14_Cercania!$C$13))*SIN(RADIANS(14_Cercania!$C$14-V302)/2)^2))+ROW()*0.000000001,"")</f>
        <v/>
      </c>
    </row>
    <row r="303" customFormat="false" ht="15" hidden="false" customHeight="false" outlineLevel="0" collapsed="false">
      <c r="A303" s="55" t="n">
        <v>301</v>
      </c>
      <c r="B303" s="56"/>
      <c r="C303" s="55"/>
      <c r="D303" s="56"/>
      <c r="E303" s="71"/>
      <c r="F303" s="57"/>
      <c r="G303" s="57"/>
      <c r="H303" s="72"/>
      <c r="I303" s="72"/>
      <c r="J303" s="72"/>
      <c r="K303" s="72"/>
      <c r="L303" s="72"/>
      <c r="M303" s="57"/>
      <c r="N303" s="57"/>
      <c r="O303" s="55"/>
      <c r="P303" s="73"/>
      <c r="Q303" s="73" t="s">
        <v>2490</v>
      </c>
      <c r="R303" s="55" t="s">
        <v>2491</v>
      </c>
      <c r="S303" s="55" t="s">
        <v>2491</v>
      </c>
      <c r="T303" s="55" t="s">
        <v>2491</v>
      </c>
      <c r="U303" s="83"/>
      <c r="V303" s="83"/>
      <c r="W303" s="57" t="s">
        <v>2538</v>
      </c>
      <c r="X303" s="76" t="str">
        <f aca="false">HYPERLINK(IF(AND(ISNUMBER(U303),ISNUMBER(V303)),"https://www.google.com/maps/search/?api=1&amp;query="&amp;U303&amp;","&amp;V303,"https://www.google.com/maps/search/?api=1&amp;query="&amp;SUBSTITUTE(SUBSTITUTE(SUBSTITUTE(B303&amp;", "&amp;M303&amp;", Puno, Peru"," ","+"),"&amp;","y"),"#","")),"Ver en mapa")</f>
        <v>Ver en mapa</v>
      </c>
      <c r="Y303" s="72"/>
      <c r="Z303" s="57"/>
      <c r="AA303" s="72"/>
      <c r="AB303" s="59"/>
      <c r="AC303" s="59"/>
      <c r="AD303" s="72"/>
      <c r="AE303" s="72"/>
      <c r="AF303" s="72"/>
      <c r="AG303" s="72"/>
      <c r="AH303" s="55" t="s">
        <v>2494</v>
      </c>
      <c r="AI303" s="72"/>
      <c r="AJ303" s="56" t="s">
        <v>2970</v>
      </c>
      <c r="AK303" s="77" t="str">
        <f aca="false">IF(AND(ISNUMBER(U303),ISNUMBER(V303),ISNUMBER(14_Cercania!$C$13),ISNUMBER(14_Cercania!$C$14)),6371*2*ASIN(SQRT(SIN(RADIANS(14_Cercania!$C$13-U303)/2)^2+COS(RADIANS(U303))*COS(RADIANS(14_Cercania!$C$13))*SIN(RADIANS(14_Cercania!$C$14-V303)/2)^2))+ROW()*0.000000001,"")</f>
        <v/>
      </c>
    </row>
    <row r="304" customFormat="false" ht="15" hidden="false" customHeight="false" outlineLevel="0" collapsed="false">
      <c r="A304" s="62" t="n">
        <v>302</v>
      </c>
      <c r="B304" s="63"/>
      <c r="C304" s="62"/>
      <c r="D304" s="63"/>
      <c r="E304" s="71"/>
      <c r="F304" s="57"/>
      <c r="G304" s="57"/>
      <c r="H304" s="72"/>
      <c r="I304" s="72"/>
      <c r="J304" s="72"/>
      <c r="K304" s="72"/>
      <c r="L304" s="72"/>
      <c r="M304" s="57"/>
      <c r="N304" s="57"/>
      <c r="O304" s="62"/>
      <c r="P304" s="78"/>
      <c r="Q304" s="78" t="s">
        <v>2490</v>
      </c>
      <c r="R304" s="62" t="s">
        <v>2491</v>
      </c>
      <c r="S304" s="62" t="s">
        <v>2491</v>
      </c>
      <c r="T304" s="62" t="s">
        <v>2491</v>
      </c>
      <c r="U304" s="83"/>
      <c r="V304" s="83"/>
      <c r="W304" s="57" t="s">
        <v>2538</v>
      </c>
      <c r="X304" s="80" t="str">
        <f aca="false">HYPERLINK(IF(AND(ISNUMBER(U304),ISNUMBER(V304)),"https://www.google.com/maps/search/?api=1&amp;query="&amp;U304&amp;","&amp;V304,"https://www.google.com/maps/search/?api=1&amp;query="&amp;SUBSTITUTE(SUBSTITUTE(SUBSTITUTE(B304&amp;", "&amp;M304&amp;", Puno, Peru"," ","+"),"&amp;","y"),"#","")),"Ver en mapa")</f>
        <v>Ver en mapa</v>
      </c>
      <c r="Y304" s="72"/>
      <c r="Z304" s="57"/>
      <c r="AA304" s="72"/>
      <c r="AB304" s="59"/>
      <c r="AC304" s="59"/>
      <c r="AD304" s="72"/>
      <c r="AE304" s="72"/>
      <c r="AF304" s="72"/>
      <c r="AG304" s="72"/>
      <c r="AH304" s="62" t="s">
        <v>2494</v>
      </c>
      <c r="AI304" s="72"/>
      <c r="AJ304" s="63" t="s">
        <v>2970</v>
      </c>
      <c r="AK304" s="81" t="str">
        <f aca="false">IF(AND(ISNUMBER(U304),ISNUMBER(V304),ISNUMBER(14_Cercania!$C$13),ISNUMBER(14_Cercania!$C$14)),6371*2*ASIN(SQRT(SIN(RADIANS(14_Cercania!$C$13-U304)/2)^2+COS(RADIANS(U304))*COS(RADIANS(14_Cercania!$C$13))*SIN(RADIANS(14_Cercania!$C$14-V304)/2)^2))+ROW()*0.000000001,"")</f>
        <v/>
      </c>
    </row>
    <row r="305" customFormat="false" ht="15" hidden="false" customHeight="false" outlineLevel="0" collapsed="false">
      <c r="A305" s="55" t="n">
        <v>303</v>
      </c>
      <c r="B305" s="56"/>
      <c r="C305" s="55"/>
      <c r="D305" s="56"/>
      <c r="E305" s="71"/>
      <c r="F305" s="57"/>
      <c r="G305" s="57"/>
      <c r="H305" s="72"/>
      <c r="I305" s="72"/>
      <c r="J305" s="72"/>
      <c r="K305" s="72"/>
      <c r="L305" s="72"/>
      <c r="M305" s="57"/>
      <c r="N305" s="57"/>
      <c r="O305" s="55"/>
      <c r="P305" s="73"/>
      <c r="Q305" s="73" t="s">
        <v>2490</v>
      </c>
      <c r="R305" s="55" t="s">
        <v>2491</v>
      </c>
      <c r="S305" s="55" t="s">
        <v>2491</v>
      </c>
      <c r="T305" s="55" t="s">
        <v>2491</v>
      </c>
      <c r="U305" s="83"/>
      <c r="V305" s="83"/>
      <c r="W305" s="57" t="s">
        <v>2538</v>
      </c>
      <c r="X305" s="76" t="str">
        <f aca="false">HYPERLINK(IF(AND(ISNUMBER(U305),ISNUMBER(V305)),"https://www.google.com/maps/search/?api=1&amp;query="&amp;U305&amp;","&amp;V305,"https://www.google.com/maps/search/?api=1&amp;query="&amp;SUBSTITUTE(SUBSTITUTE(SUBSTITUTE(B305&amp;", "&amp;M305&amp;", Puno, Peru"," ","+"),"&amp;","y"),"#","")),"Ver en mapa")</f>
        <v>Ver en mapa</v>
      </c>
      <c r="Y305" s="72"/>
      <c r="Z305" s="57"/>
      <c r="AA305" s="72"/>
      <c r="AB305" s="59"/>
      <c r="AC305" s="59"/>
      <c r="AD305" s="72"/>
      <c r="AE305" s="72"/>
      <c r="AF305" s="72"/>
      <c r="AG305" s="72"/>
      <c r="AH305" s="55" t="s">
        <v>2494</v>
      </c>
      <c r="AI305" s="72"/>
      <c r="AJ305" s="56" t="s">
        <v>2970</v>
      </c>
      <c r="AK305" s="77" t="str">
        <f aca="false">IF(AND(ISNUMBER(U305),ISNUMBER(V305),ISNUMBER(14_Cercania!$C$13),ISNUMBER(14_Cercania!$C$14)),6371*2*ASIN(SQRT(SIN(RADIANS(14_Cercania!$C$13-U305)/2)^2+COS(RADIANS(U305))*COS(RADIANS(14_Cercania!$C$13))*SIN(RADIANS(14_Cercania!$C$14-V305)/2)^2))+ROW()*0.000000001,"")</f>
        <v/>
      </c>
    </row>
    <row r="306" customFormat="false" ht="15" hidden="false" customHeight="false" outlineLevel="0" collapsed="false">
      <c r="A306" s="62" t="n">
        <v>304</v>
      </c>
      <c r="B306" s="63"/>
      <c r="C306" s="62"/>
      <c r="D306" s="63"/>
      <c r="E306" s="71"/>
      <c r="F306" s="57"/>
      <c r="G306" s="57"/>
      <c r="H306" s="72"/>
      <c r="I306" s="72"/>
      <c r="J306" s="72"/>
      <c r="K306" s="72"/>
      <c r="L306" s="72"/>
      <c r="M306" s="57"/>
      <c r="N306" s="57"/>
      <c r="O306" s="62"/>
      <c r="P306" s="78"/>
      <c r="Q306" s="78" t="s">
        <v>2490</v>
      </c>
      <c r="R306" s="62" t="s">
        <v>2491</v>
      </c>
      <c r="S306" s="62" t="s">
        <v>2491</v>
      </c>
      <c r="T306" s="62" t="s">
        <v>2491</v>
      </c>
      <c r="U306" s="83"/>
      <c r="V306" s="83"/>
      <c r="W306" s="57" t="s">
        <v>2538</v>
      </c>
      <c r="X306" s="80" t="str">
        <f aca="false">HYPERLINK(IF(AND(ISNUMBER(U306),ISNUMBER(V306)),"https://www.google.com/maps/search/?api=1&amp;query="&amp;U306&amp;","&amp;V306,"https://www.google.com/maps/search/?api=1&amp;query="&amp;SUBSTITUTE(SUBSTITUTE(SUBSTITUTE(B306&amp;", "&amp;M306&amp;", Puno, Peru"," ","+"),"&amp;","y"),"#","")),"Ver en mapa")</f>
        <v>Ver en mapa</v>
      </c>
      <c r="Y306" s="72"/>
      <c r="Z306" s="57"/>
      <c r="AA306" s="72"/>
      <c r="AB306" s="59"/>
      <c r="AC306" s="59"/>
      <c r="AD306" s="72"/>
      <c r="AE306" s="72"/>
      <c r="AF306" s="72"/>
      <c r="AG306" s="72"/>
      <c r="AH306" s="62" t="s">
        <v>2494</v>
      </c>
      <c r="AI306" s="72"/>
      <c r="AJ306" s="63" t="s">
        <v>2970</v>
      </c>
      <c r="AK306" s="81" t="str">
        <f aca="false">IF(AND(ISNUMBER(U306),ISNUMBER(V306),ISNUMBER(14_Cercania!$C$13),ISNUMBER(14_Cercania!$C$14)),6371*2*ASIN(SQRT(SIN(RADIANS(14_Cercania!$C$13-U306)/2)^2+COS(RADIANS(U306))*COS(RADIANS(14_Cercania!$C$13))*SIN(RADIANS(14_Cercania!$C$14-V306)/2)^2))+ROW()*0.000000001,"")</f>
        <v/>
      </c>
    </row>
    <row r="307" customFormat="false" ht="15" hidden="false" customHeight="false" outlineLevel="0" collapsed="false">
      <c r="A307" s="55" t="n">
        <v>305</v>
      </c>
      <c r="B307" s="56"/>
      <c r="C307" s="55"/>
      <c r="D307" s="56"/>
      <c r="E307" s="71"/>
      <c r="F307" s="57"/>
      <c r="G307" s="57"/>
      <c r="H307" s="72"/>
      <c r="I307" s="72"/>
      <c r="J307" s="72"/>
      <c r="K307" s="72"/>
      <c r="L307" s="72"/>
      <c r="M307" s="57"/>
      <c r="N307" s="57"/>
      <c r="O307" s="55"/>
      <c r="P307" s="73"/>
      <c r="Q307" s="73" t="s">
        <v>2490</v>
      </c>
      <c r="R307" s="55" t="s">
        <v>2491</v>
      </c>
      <c r="S307" s="55" t="s">
        <v>2491</v>
      </c>
      <c r="T307" s="55" t="s">
        <v>2491</v>
      </c>
      <c r="U307" s="83"/>
      <c r="V307" s="83"/>
      <c r="W307" s="57" t="s">
        <v>2538</v>
      </c>
      <c r="X307" s="76" t="str">
        <f aca="false">HYPERLINK(IF(AND(ISNUMBER(U307),ISNUMBER(V307)),"https://www.google.com/maps/search/?api=1&amp;query="&amp;U307&amp;","&amp;V307,"https://www.google.com/maps/search/?api=1&amp;query="&amp;SUBSTITUTE(SUBSTITUTE(SUBSTITUTE(B307&amp;", "&amp;M307&amp;", Puno, Peru"," ","+"),"&amp;","y"),"#","")),"Ver en mapa")</f>
        <v>Ver en mapa</v>
      </c>
      <c r="Y307" s="72"/>
      <c r="Z307" s="57"/>
      <c r="AA307" s="72"/>
      <c r="AB307" s="59"/>
      <c r="AC307" s="59"/>
      <c r="AD307" s="72"/>
      <c r="AE307" s="72"/>
      <c r="AF307" s="72"/>
      <c r="AG307" s="72"/>
      <c r="AH307" s="55" t="s">
        <v>2494</v>
      </c>
      <c r="AI307" s="72"/>
      <c r="AJ307" s="56" t="s">
        <v>2970</v>
      </c>
      <c r="AK307" s="77" t="str">
        <f aca="false">IF(AND(ISNUMBER(U307),ISNUMBER(V307),ISNUMBER(14_Cercania!$C$13),ISNUMBER(14_Cercania!$C$14)),6371*2*ASIN(SQRT(SIN(RADIANS(14_Cercania!$C$13-U307)/2)^2+COS(RADIANS(U307))*COS(RADIANS(14_Cercania!$C$13))*SIN(RADIANS(14_Cercania!$C$14-V307)/2)^2))+ROW()*0.000000001,"")</f>
        <v/>
      </c>
    </row>
    <row r="308" customFormat="false" ht="15" hidden="false" customHeight="false" outlineLevel="0" collapsed="false">
      <c r="A308" s="62" t="n">
        <v>306</v>
      </c>
      <c r="B308" s="63"/>
      <c r="C308" s="62"/>
      <c r="D308" s="63"/>
      <c r="E308" s="71"/>
      <c r="F308" s="57"/>
      <c r="G308" s="57"/>
      <c r="H308" s="72"/>
      <c r="I308" s="72"/>
      <c r="J308" s="72"/>
      <c r="K308" s="72"/>
      <c r="L308" s="72"/>
      <c r="M308" s="57"/>
      <c r="N308" s="57"/>
      <c r="O308" s="62"/>
      <c r="P308" s="78"/>
      <c r="Q308" s="78" t="s">
        <v>2490</v>
      </c>
      <c r="R308" s="62" t="s">
        <v>2491</v>
      </c>
      <c r="S308" s="62" t="s">
        <v>2491</v>
      </c>
      <c r="T308" s="62" t="s">
        <v>2491</v>
      </c>
      <c r="U308" s="83"/>
      <c r="V308" s="83"/>
      <c r="W308" s="57" t="s">
        <v>2538</v>
      </c>
      <c r="X308" s="80" t="str">
        <f aca="false">HYPERLINK(IF(AND(ISNUMBER(U308),ISNUMBER(V308)),"https://www.google.com/maps/search/?api=1&amp;query="&amp;U308&amp;","&amp;V308,"https://www.google.com/maps/search/?api=1&amp;query="&amp;SUBSTITUTE(SUBSTITUTE(SUBSTITUTE(B308&amp;", "&amp;M308&amp;", Puno, Peru"," ","+"),"&amp;","y"),"#","")),"Ver en mapa")</f>
        <v>Ver en mapa</v>
      </c>
      <c r="Y308" s="72"/>
      <c r="Z308" s="57"/>
      <c r="AA308" s="72"/>
      <c r="AB308" s="59"/>
      <c r="AC308" s="59"/>
      <c r="AD308" s="72"/>
      <c r="AE308" s="72"/>
      <c r="AF308" s="72"/>
      <c r="AG308" s="72"/>
      <c r="AH308" s="62" t="s">
        <v>2494</v>
      </c>
      <c r="AI308" s="72"/>
      <c r="AJ308" s="63" t="s">
        <v>2970</v>
      </c>
      <c r="AK308" s="81" t="str">
        <f aca="false">IF(AND(ISNUMBER(U308),ISNUMBER(V308),ISNUMBER(14_Cercania!$C$13),ISNUMBER(14_Cercania!$C$14)),6371*2*ASIN(SQRT(SIN(RADIANS(14_Cercania!$C$13-U308)/2)^2+COS(RADIANS(U308))*COS(RADIANS(14_Cercania!$C$13))*SIN(RADIANS(14_Cercania!$C$14-V308)/2)^2))+ROW()*0.000000001,"")</f>
        <v/>
      </c>
    </row>
    <row r="309" customFormat="false" ht="15" hidden="false" customHeight="false" outlineLevel="0" collapsed="false">
      <c r="A309" s="55" t="n">
        <v>307</v>
      </c>
      <c r="B309" s="56"/>
      <c r="C309" s="55"/>
      <c r="D309" s="56"/>
      <c r="E309" s="71"/>
      <c r="F309" s="57"/>
      <c r="G309" s="57"/>
      <c r="H309" s="72"/>
      <c r="I309" s="72"/>
      <c r="J309" s="72"/>
      <c r="K309" s="72"/>
      <c r="L309" s="72"/>
      <c r="M309" s="57"/>
      <c r="N309" s="57"/>
      <c r="O309" s="55"/>
      <c r="P309" s="73"/>
      <c r="Q309" s="73" t="s">
        <v>2490</v>
      </c>
      <c r="R309" s="55" t="s">
        <v>2491</v>
      </c>
      <c r="S309" s="55" t="s">
        <v>2491</v>
      </c>
      <c r="T309" s="55" t="s">
        <v>2491</v>
      </c>
      <c r="U309" s="83"/>
      <c r="V309" s="83"/>
      <c r="W309" s="57" t="s">
        <v>2538</v>
      </c>
      <c r="X309" s="76" t="str">
        <f aca="false">HYPERLINK(IF(AND(ISNUMBER(U309),ISNUMBER(V309)),"https://www.google.com/maps/search/?api=1&amp;query="&amp;U309&amp;","&amp;V309,"https://www.google.com/maps/search/?api=1&amp;query="&amp;SUBSTITUTE(SUBSTITUTE(SUBSTITUTE(B309&amp;", "&amp;M309&amp;", Puno, Peru"," ","+"),"&amp;","y"),"#","")),"Ver en mapa")</f>
        <v>Ver en mapa</v>
      </c>
      <c r="Y309" s="72"/>
      <c r="Z309" s="57"/>
      <c r="AA309" s="72"/>
      <c r="AB309" s="59"/>
      <c r="AC309" s="59"/>
      <c r="AD309" s="72"/>
      <c r="AE309" s="72"/>
      <c r="AF309" s="72"/>
      <c r="AG309" s="72"/>
      <c r="AH309" s="55" t="s">
        <v>2494</v>
      </c>
      <c r="AI309" s="72"/>
      <c r="AJ309" s="56" t="s">
        <v>2970</v>
      </c>
      <c r="AK309" s="77" t="str">
        <f aca="false">IF(AND(ISNUMBER(U309),ISNUMBER(V309),ISNUMBER(14_Cercania!$C$13),ISNUMBER(14_Cercania!$C$14)),6371*2*ASIN(SQRT(SIN(RADIANS(14_Cercania!$C$13-U309)/2)^2+COS(RADIANS(U309))*COS(RADIANS(14_Cercania!$C$13))*SIN(RADIANS(14_Cercania!$C$14-V309)/2)^2))+ROW()*0.000000001,"")</f>
        <v/>
      </c>
    </row>
    <row r="310" customFormat="false" ht="15" hidden="false" customHeight="false" outlineLevel="0" collapsed="false">
      <c r="A310" s="62" t="n">
        <v>308</v>
      </c>
      <c r="B310" s="63"/>
      <c r="C310" s="62"/>
      <c r="D310" s="63"/>
      <c r="E310" s="71"/>
      <c r="F310" s="57"/>
      <c r="G310" s="57"/>
      <c r="H310" s="72"/>
      <c r="I310" s="72"/>
      <c r="J310" s="72"/>
      <c r="K310" s="72"/>
      <c r="L310" s="72"/>
      <c r="M310" s="57"/>
      <c r="N310" s="57"/>
      <c r="O310" s="62"/>
      <c r="P310" s="78"/>
      <c r="Q310" s="78" t="s">
        <v>2490</v>
      </c>
      <c r="R310" s="62" t="s">
        <v>2491</v>
      </c>
      <c r="S310" s="62" t="s">
        <v>2491</v>
      </c>
      <c r="T310" s="62" t="s">
        <v>2491</v>
      </c>
      <c r="U310" s="83"/>
      <c r="V310" s="83"/>
      <c r="W310" s="57" t="s">
        <v>2538</v>
      </c>
      <c r="X310" s="80" t="str">
        <f aca="false">HYPERLINK(IF(AND(ISNUMBER(U310),ISNUMBER(V310)),"https://www.google.com/maps/search/?api=1&amp;query="&amp;U310&amp;","&amp;V310,"https://www.google.com/maps/search/?api=1&amp;query="&amp;SUBSTITUTE(SUBSTITUTE(SUBSTITUTE(B310&amp;", "&amp;M310&amp;", Puno, Peru"," ","+"),"&amp;","y"),"#","")),"Ver en mapa")</f>
        <v>Ver en mapa</v>
      </c>
      <c r="Y310" s="72"/>
      <c r="Z310" s="57"/>
      <c r="AA310" s="72"/>
      <c r="AB310" s="59"/>
      <c r="AC310" s="59"/>
      <c r="AD310" s="72"/>
      <c r="AE310" s="72"/>
      <c r="AF310" s="72"/>
      <c r="AG310" s="72"/>
      <c r="AH310" s="62" t="s">
        <v>2494</v>
      </c>
      <c r="AI310" s="72"/>
      <c r="AJ310" s="63" t="s">
        <v>2970</v>
      </c>
      <c r="AK310" s="81" t="str">
        <f aca="false">IF(AND(ISNUMBER(U310),ISNUMBER(V310),ISNUMBER(14_Cercania!$C$13),ISNUMBER(14_Cercania!$C$14)),6371*2*ASIN(SQRT(SIN(RADIANS(14_Cercania!$C$13-U310)/2)^2+COS(RADIANS(U310))*COS(RADIANS(14_Cercania!$C$13))*SIN(RADIANS(14_Cercania!$C$14-V310)/2)^2))+ROW()*0.000000001,"")</f>
        <v/>
      </c>
    </row>
    <row r="311" customFormat="false" ht="15" hidden="false" customHeight="false" outlineLevel="0" collapsed="false">
      <c r="A311" s="55" t="n">
        <v>309</v>
      </c>
      <c r="B311" s="56"/>
      <c r="C311" s="55"/>
      <c r="D311" s="56"/>
      <c r="E311" s="71"/>
      <c r="F311" s="57"/>
      <c r="G311" s="57"/>
      <c r="H311" s="72"/>
      <c r="I311" s="72"/>
      <c r="J311" s="72"/>
      <c r="K311" s="72"/>
      <c r="L311" s="72"/>
      <c r="M311" s="57"/>
      <c r="N311" s="57"/>
      <c r="O311" s="55"/>
      <c r="P311" s="73"/>
      <c r="Q311" s="73" t="s">
        <v>2490</v>
      </c>
      <c r="R311" s="55" t="s">
        <v>2491</v>
      </c>
      <c r="S311" s="55" t="s">
        <v>2491</v>
      </c>
      <c r="T311" s="55" t="s">
        <v>2491</v>
      </c>
      <c r="U311" s="83"/>
      <c r="V311" s="83"/>
      <c r="W311" s="57" t="s">
        <v>2538</v>
      </c>
      <c r="X311" s="76" t="str">
        <f aca="false">HYPERLINK(IF(AND(ISNUMBER(U311),ISNUMBER(V311)),"https://www.google.com/maps/search/?api=1&amp;query="&amp;U311&amp;","&amp;V311,"https://www.google.com/maps/search/?api=1&amp;query="&amp;SUBSTITUTE(SUBSTITUTE(SUBSTITUTE(B311&amp;", "&amp;M311&amp;", Puno, Peru"," ","+"),"&amp;","y"),"#","")),"Ver en mapa")</f>
        <v>Ver en mapa</v>
      </c>
      <c r="Y311" s="72"/>
      <c r="Z311" s="57"/>
      <c r="AA311" s="72"/>
      <c r="AB311" s="59"/>
      <c r="AC311" s="59"/>
      <c r="AD311" s="72"/>
      <c r="AE311" s="72"/>
      <c r="AF311" s="72"/>
      <c r="AG311" s="72"/>
      <c r="AH311" s="55" t="s">
        <v>2494</v>
      </c>
      <c r="AI311" s="72"/>
      <c r="AJ311" s="56" t="s">
        <v>2970</v>
      </c>
      <c r="AK311" s="77" t="str">
        <f aca="false">IF(AND(ISNUMBER(U311),ISNUMBER(V311),ISNUMBER(14_Cercania!$C$13),ISNUMBER(14_Cercania!$C$14)),6371*2*ASIN(SQRT(SIN(RADIANS(14_Cercania!$C$13-U311)/2)^2+COS(RADIANS(U311))*COS(RADIANS(14_Cercania!$C$13))*SIN(RADIANS(14_Cercania!$C$14-V311)/2)^2))+ROW()*0.000000001,"")</f>
        <v/>
      </c>
    </row>
    <row r="312" customFormat="false" ht="15" hidden="false" customHeight="false" outlineLevel="0" collapsed="false">
      <c r="A312" s="62" t="n">
        <v>310</v>
      </c>
      <c r="B312" s="63"/>
      <c r="C312" s="62"/>
      <c r="D312" s="63"/>
      <c r="E312" s="71"/>
      <c r="F312" s="57"/>
      <c r="G312" s="57"/>
      <c r="H312" s="72"/>
      <c r="I312" s="72"/>
      <c r="J312" s="72"/>
      <c r="K312" s="72"/>
      <c r="L312" s="72"/>
      <c r="M312" s="57"/>
      <c r="N312" s="57"/>
      <c r="O312" s="62"/>
      <c r="P312" s="78"/>
      <c r="Q312" s="78" t="s">
        <v>2490</v>
      </c>
      <c r="R312" s="62" t="s">
        <v>2491</v>
      </c>
      <c r="S312" s="62" t="s">
        <v>2491</v>
      </c>
      <c r="T312" s="62" t="s">
        <v>2491</v>
      </c>
      <c r="U312" s="83"/>
      <c r="V312" s="83"/>
      <c r="W312" s="57" t="s">
        <v>2538</v>
      </c>
      <c r="X312" s="80" t="str">
        <f aca="false">HYPERLINK(IF(AND(ISNUMBER(U312),ISNUMBER(V312)),"https://www.google.com/maps/search/?api=1&amp;query="&amp;U312&amp;","&amp;V312,"https://www.google.com/maps/search/?api=1&amp;query="&amp;SUBSTITUTE(SUBSTITUTE(SUBSTITUTE(B312&amp;", "&amp;M312&amp;", Puno, Peru"," ","+"),"&amp;","y"),"#","")),"Ver en mapa")</f>
        <v>Ver en mapa</v>
      </c>
      <c r="Y312" s="72"/>
      <c r="Z312" s="57"/>
      <c r="AA312" s="72"/>
      <c r="AB312" s="59"/>
      <c r="AC312" s="59"/>
      <c r="AD312" s="72"/>
      <c r="AE312" s="72"/>
      <c r="AF312" s="72"/>
      <c r="AG312" s="72"/>
      <c r="AH312" s="62" t="s">
        <v>2494</v>
      </c>
      <c r="AI312" s="72"/>
      <c r="AJ312" s="63" t="s">
        <v>2970</v>
      </c>
      <c r="AK312" s="81" t="str">
        <f aca="false">IF(AND(ISNUMBER(U312),ISNUMBER(V312),ISNUMBER(14_Cercania!$C$13),ISNUMBER(14_Cercania!$C$14)),6371*2*ASIN(SQRT(SIN(RADIANS(14_Cercania!$C$13-U312)/2)^2+COS(RADIANS(U312))*COS(RADIANS(14_Cercania!$C$13))*SIN(RADIANS(14_Cercania!$C$14-V312)/2)^2))+ROW()*0.000000001,"")</f>
        <v/>
      </c>
    </row>
    <row r="313" customFormat="false" ht="15" hidden="false" customHeight="false" outlineLevel="0" collapsed="false">
      <c r="A313" s="55" t="n">
        <v>311</v>
      </c>
      <c r="B313" s="56"/>
      <c r="C313" s="55"/>
      <c r="D313" s="56"/>
      <c r="E313" s="71"/>
      <c r="F313" s="57"/>
      <c r="G313" s="57"/>
      <c r="H313" s="72"/>
      <c r="I313" s="72"/>
      <c r="J313" s="72"/>
      <c r="K313" s="72"/>
      <c r="L313" s="72"/>
      <c r="M313" s="57"/>
      <c r="N313" s="57"/>
      <c r="O313" s="55"/>
      <c r="P313" s="73"/>
      <c r="Q313" s="73" t="s">
        <v>2490</v>
      </c>
      <c r="R313" s="55" t="s">
        <v>2491</v>
      </c>
      <c r="S313" s="55" t="s">
        <v>2491</v>
      </c>
      <c r="T313" s="55" t="s">
        <v>2491</v>
      </c>
      <c r="U313" s="83"/>
      <c r="V313" s="83"/>
      <c r="W313" s="57" t="s">
        <v>2538</v>
      </c>
      <c r="X313" s="76" t="str">
        <f aca="false">HYPERLINK(IF(AND(ISNUMBER(U313),ISNUMBER(V313)),"https://www.google.com/maps/search/?api=1&amp;query="&amp;U313&amp;","&amp;V313,"https://www.google.com/maps/search/?api=1&amp;query="&amp;SUBSTITUTE(SUBSTITUTE(SUBSTITUTE(B313&amp;", "&amp;M313&amp;", Puno, Peru"," ","+"),"&amp;","y"),"#","")),"Ver en mapa")</f>
        <v>Ver en mapa</v>
      </c>
      <c r="Y313" s="72"/>
      <c r="Z313" s="57"/>
      <c r="AA313" s="72"/>
      <c r="AB313" s="59"/>
      <c r="AC313" s="59"/>
      <c r="AD313" s="72"/>
      <c r="AE313" s="72"/>
      <c r="AF313" s="72"/>
      <c r="AG313" s="72"/>
      <c r="AH313" s="55" t="s">
        <v>2494</v>
      </c>
      <c r="AI313" s="72"/>
      <c r="AJ313" s="56" t="s">
        <v>2970</v>
      </c>
      <c r="AK313" s="77" t="str">
        <f aca="false">IF(AND(ISNUMBER(U313),ISNUMBER(V313),ISNUMBER(14_Cercania!$C$13),ISNUMBER(14_Cercania!$C$14)),6371*2*ASIN(SQRT(SIN(RADIANS(14_Cercania!$C$13-U313)/2)^2+COS(RADIANS(U313))*COS(RADIANS(14_Cercania!$C$13))*SIN(RADIANS(14_Cercania!$C$14-V313)/2)^2))+ROW()*0.000000001,"")</f>
        <v/>
      </c>
    </row>
    <row r="314" customFormat="false" ht="15" hidden="false" customHeight="false" outlineLevel="0" collapsed="false">
      <c r="A314" s="62" t="n">
        <v>312</v>
      </c>
      <c r="B314" s="63"/>
      <c r="C314" s="62"/>
      <c r="D314" s="63"/>
      <c r="E314" s="71"/>
      <c r="F314" s="57"/>
      <c r="G314" s="57"/>
      <c r="H314" s="72"/>
      <c r="I314" s="72"/>
      <c r="J314" s="72"/>
      <c r="K314" s="72"/>
      <c r="L314" s="72"/>
      <c r="M314" s="57"/>
      <c r="N314" s="57"/>
      <c r="O314" s="62"/>
      <c r="P314" s="78"/>
      <c r="Q314" s="78" t="s">
        <v>2490</v>
      </c>
      <c r="R314" s="62" t="s">
        <v>2491</v>
      </c>
      <c r="S314" s="62" t="s">
        <v>2491</v>
      </c>
      <c r="T314" s="62" t="s">
        <v>2491</v>
      </c>
      <c r="U314" s="83"/>
      <c r="V314" s="83"/>
      <c r="W314" s="57" t="s">
        <v>2538</v>
      </c>
      <c r="X314" s="80" t="str">
        <f aca="false">HYPERLINK(IF(AND(ISNUMBER(U314),ISNUMBER(V314)),"https://www.google.com/maps/search/?api=1&amp;query="&amp;U314&amp;","&amp;V314,"https://www.google.com/maps/search/?api=1&amp;query="&amp;SUBSTITUTE(SUBSTITUTE(SUBSTITUTE(B314&amp;", "&amp;M314&amp;", Puno, Peru"," ","+"),"&amp;","y"),"#","")),"Ver en mapa")</f>
        <v>Ver en mapa</v>
      </c>
      <c r="Y314" s="72"/>
      <c r="Z314" s="57"/>
      <c r="AA314" s="72"/>
      <c r="AB314" s="59"/>
      <c r="AC314" s="59"/>
      <c r="AD314" s="72"/>
      <c r="AE314" s="72"/>
      <c r="AF314" s="72"/>
      <c r="AG314" s="72"/>
      <c r="AH314" s="62" t="s">
        <v>2494</v>
      </c>
      <c r="AI314" s="72"/>
      <c r="AJ314" s="63" t="s">
        <v>2970</v>
      </c>
      <c r="AK314" s="81" t="str">
        <f aca="false">IF(AND(ISNUMBER(U314),ISNUMBER(V314),ISNUMBER(14_Cercania!$C$13),ISNUMBER(14_Cercania!$C$14)),6371*2*ASIN(SQRT(SIN(RADIANS(14_Cercania!$C$13-U314)/2)^2+COS(RADIANS(U314))*COS(RADIANS(14_Cercania!$C$13))*SIN(RADIANS(14_Cercania!$C$14-V314)/2)^2))+ROW()*0.000000001,"")</f>
        <v/>
      </c>
    </row>
    <row r="315" customFormat="false" ht="15" hidden="false" customHeight="false" outlineLevel="0" collapsed="false">
      <c r="A315" s="55" t="n">
        <v>313</v>
      </c>
      <c r="B315" s="56"/>
      <c r="C315" s="55"/>
      <c r="D315" s="56"/>
      <c r="E315" s="71"/>
      <c r="F315" s="57"/>
      <c r="G315" s="57"/>
      <c r="H315" s="72"/>
      <c r="I315" s="72"/>
      <c r="J315" s="72"/>
      <c r="K315" s="72"/>
      <c r="L315" s="72"/>
      <c r="M315" s="57"/>
      <c r="N315" s="57"/>
      <c r="O315" s="55"/>
      <c r="P315" s="73"/>
      <c r="Q315" s="73" t="s">
        <v>2490</v>
      </c>
      <c r="R315" s="55" t="s">
        <v>2491</v>
      </c>
      <c r="S315" s="55" t="s">
        <v>2491</v>
      </c>
      <c r="T315" s="55" t="s">
        <v>2491</v>
      </c>
      <c r="U315" s="83"/>
      <c r="V315" s="83"/>
      <c r="W315" s="57" t="s">
        <v>2538</v>
      </c>
      <c r="X315" s="76" t="str">
        <f aca="false">HYPERLINK(IF(AND(ISNUMBER(U315),ISNUMBER(V315)),"https://www.google.com/maps/search/?api=1&amp;query="&amp;U315&amp;","&amp;V315,"https://www.google.com/maps/search/?api=1&amp;query="&amp;SUBSTITUTE(SUBSTITUTE(SUBSTITUTE(B315&amp;", "&amp;M315&amp;", Puno, Peru"," ","+"),"&amp;","y"),"#","")),"Ver en mapa")</f>
        <v>Ver en mapa</v>
      </c>
      <c r="Y315" s="72"/>
      <c r="Z315" s="57"/>
      <c r="AA315" s="72"/>
      <c r="AB315" s="59"/>
      <c r="AC315" s="59"/>
      <c r="AD315" s="72"/>
      <c r="AE315" s="72"/>
      <c r="AF315" s="72"/>
      <c r="AG315" s="72"/>
      <c r="AH315" s="55" t="s">
        <v>2494</v>
      </c>
      <c r="AI315" s="72"/>
      <c r="AJ315" s="56" t="s">
        <v>2970</v>
      </c>
      <c r="AK315" s="77" t="str">
        <f aca="false">IF(AND(ISNUMBER(U315),ISNUMBER(V315),ISNUMBER(14_Cercania!$C$13),ISNUMBER(14_Cercania!$C$14)),6371*2*ASIN(SQRT(SIN(RADIANS(14_Cercania!$C$13-U315)/2)^2+COS(RADIANS(U315))*COS(RADIANS(14_Cercania!$C$13))*SIN(RADIANS(14_Cercania!$C$14-V315)/2)^2))+ROW()*0.000000001,"")</f>
        <v/>
      </c>
    </row>
    <row r="316" customFormat="false" ht="15" hidden="false" customHeight="false" outlineLevel="0" collapsed="false">
      <c r="A316" s="62" t="n">
        <v>314</v>
      </c>
      <c r="B316" s="63"/>
      <c r="C316" s="62"/>
      <c r="D316" s="63"/>
      <c r="E316" s="71"/>
      <c r="F316" s="57"/>
      <c r="G316" s="57"/>
      <c r="H316" s="72"/>
      <c r="I316" s="72"/>
      <c r="J316" s="72"/>
      <c r="K316" s="72"/>
      <c r="L316" s="72"/>
      <c r="M316" s="57"/>
      <c r="N316" s="57"/>
      <c r="O316" s="62"/>
      <c r="P316" s="78"/>
      <c r="Q316" s="78" t="s">
        <v>2490</v>
      </c>
      <c r="R316" s="62" t="s">
        <v>2491</v>
      </c>
      <c r="S316" s="62" t="s">
        <v>2491</v>
      </c>
      <c r="T316" s="62" t="s">
        <v>2491</v>
      </c>
      <c r="U316" s="83"/>
      <c r="V316" s="83"/>
      <c r="W316" s="57" t="s">
        <v>2538</v>
      </c>
      <c r="X316" s="80" t="str">
        <f aca="false">HYPERLINK(IF(AND(ISNUMBER(U316),ISNUMBER(V316)),"https://www.google.com/maps/search/?api=1&amp;query="&amp;U316&amp;","&amp;V316,"https://www.google.com/maps/search/?api=1&amp;query="&amp;SUBSTITUTE(SUBSTITUTE(SUBSTITUTE(B316&amp;", "&amp;M316&amp;", Puno, Peru"," ","+"),"&amp;","y"),"#","")),"Ver en mapa")</f>
        <v>Ver en mapa</v>
      </c>
      <c r="Y316" s="72"/>
      <c r="Z316" s="57"/>
      <c r="AA316" s="72"/>
      <c r="AB316" s="59"/>
      <c r="AC316" s="59"/>
      <c r="AD316" s="72"/>
      <c r="AE316" s="72"/>
      <c r="AF316" s="72"/>
      <c r="AG316" s="72"/>
      <c r="AH316" s="62" t="s">
        <v>2494</v>
      </c>
      <c r="AI316" s="72"/>
      <c r="AJ316" s="63" t="s">
        <v>2970</v>
      </c>
      <c r="AK316" s="81" t="str">
        <f aca="false">IF(AND(ISNUMBER(U316),ISNUMBER(V316),ISNUMBER(14_Cercania!$C$13),ISNUMBER(14_Cercania!$C$14)),6371*2*ASIN(SQRT(SIN(RADIANS(14_Cercania!$C$13-U316)/2)^2+COS(RADIANS(U316))*COS(RADIANS(14_Cercania!$C$13))*SIN(RADIANS(14_Cercania!$C$14-V316)/2)^2))+ROW()*0.000000001,"")</f>
        <v/>
      </c>
    </row>
    <row r="317" customFormat="false" ht="15" hidden="false" customHeight="false" outlineLevel="0" collapsed="false">
      <c r="A317" s="55" t="n">
        <v>315</v>
      </c>
      <c r="B317" s="56"/>
      <c r="C317" s="55"/>
      <c r="D317" s="56"/>
      <c r="E317" s="71"/>
      <c r="F317" s="57"/>
      <c r="G317" s="57"/>
      <c r="H317" s="72"/>
      <c r="I317" s="72"/>
      <c r="J317" s="72"/>
      <c r="K317" s="72"/>
      <c r="L317" s="72"/>
      <c r="M317" s="57"/>
      <c r="N317" s="57"/>
      <c r="O317" s="55"/>
      <c r="P317" s="73"/>
      <c r="Q317" s="73" t="s">
        <v>2490</v>
      </c>
      <c r="R317" s="55" t="s">
        <v>2491</v>
      </c>
      <c r="S317" s="55" t="s">
        <v>2491</v>
      </c>
      <c r="T317" s="55" t="s">
        <v>2491</v>
      </c>
      <c r="U317" s="83"/>
      <c r="V317" s="83"/>
      <c r="W317" s="57" t="s">
        <v>2538</v>
      </c>
      <c r="X317" s="76" t="str">
        <f aca="false">HYPERLINK(IF(AND(ISNUMBER(U317),ISNUMBER(V317)),"https://www.google.com/maps/search/?api=1&amp;query="&amp;U317&amp;","&amp;V317,"https://www.google.com/maps/search/?api=1&amp;query="&amp;SUBSTITUTE(SUBSTITUTE(SUBSTITUTE(B317&amp;", "&amp;M317&amp;", Puno, Peru"," ","+"),"&amp;","y"),"#","")),"Ver en mapa")</f>
        <v>Ver en mapa</v>
      </c>
      <c r="Y317" s="72"/>
      <c r="Z317" s="57"/>
      <c r="AA317" s="72"/>
      <c r="AB317" s="59"/>
      <c r="AC317" s="59"/>
      <c r="AD317" s="72"/>
      <c r="AE317" s="72"/>
      <c r="AF317" s="72"/>
      <c r="AG317" s="72"/>
      <c r="AH317" s="55" t="s">
        <v>2494</v>
      </c>
      <c r="AI317" s="72"/>
      <c r="AJ317" s="56" t="s">
        <v>2970</v>
      </c>
      <c r="AK317" s="77" t="str">
        <f aca="false">IF(AND(ISNUMBER(U317),ISNUMBER(V317),ISNUMBER(14_Cercania!$C$13),ISNUMBER(14_Cercania!$C$14)),6371*2*ASIN(SQRT(SIN(RADIANS(14_Cercania!$C$13-U317)/2)^2+COS(RADIANS(U317))*COS(RADIANS(14_Cercania!$C$13))*SIN(RADIANS(14_Cercania!$C$14-V317)/2)^2))+ROW()*0.000000001,"")</f>
        <v/>
      </c>
    </row>
    <row r="318" customFormat="false" ht="15" hidden="false" customHeight="false" outlineLevel="0" collapsed="false">
      <c r="A318" s="62" t="n">
        <v>316</v>
      </c>
      <c r="B318" s="63"/>
      <c r="C318" s="62"/>
      <c r="D318" s="63"/>
      <c r="E318" s="71"/>
      <c r="F318" s="57"/>
      <c r="G318" s="57"/>
      <c r="H318" s="72"/>
      <c r="I318" s="72"/>
      <c r="J318" s="72"/>
      <c r="K318" s="72"/>
      <c r="L318" s="72"/>
      <c r="M318" s="57"/>
      <c r="N318" s="57"/>
      <c r="O318" s="62"/>
      <c r="P318" s="78"/>
      <c r="Q318" s="78" t="s">
        <v>2490</v>
      </c>
      <c r="R318" s="62" t="s">
        <v>2491</v>
      </c>
      <c r="S318" s="62" t="s">
        <v>2491</v>
      </c>
      <c r="T318" s="62" t="s">
        <v>2491</v>
      </c>
      <c r="U318" s="83"/>
      <c r="V318" s="83"/>
      <c r="W318" s="57" t="s">
        <v>2538</v>
      </c>
      <c r="X318" s="80" t="str">
        <f aca="false">HYPERLINK(IF(AND(ISNUMBER(U318),ISNUMBER(V318)),"https://www.google.com/maps/search/?api=1&amp;query="&amp;U318&amp;","&amp;V318,"https://www.google.com/maps/search/?api=1&amp;query="&amp;SUBSTITUTE(SUBSTITUTE(SUBSTITUTE(B318&amp;", "&amp;M318&amp;", Puno, Peru"," ","+"),"&amp;","y"),"#","")),"Ver en mapa")</f>
        <v>Ver en mapa</v>
      </c>
      <c r="Y318" s="72"/>
      <c r="Z318" s="57"/>
      <c r="AA318" s="72"/>
      <c r="AB318" s="59"/>
      <c r="AC318" s="59"/>
      <c r="AD318" s="72"/>
      <c r="AE318" s="72"/>
      <c r="AF318" s="72"/>
      <c r="AG318" s="72"/>
      <c r="AH318" s="62" t="s">
        <v>2494</v>
      </c>
      <c r="AI318" s="72"/>
      <c r="AJ318" s="63" t="s">
        <v>2970</v>
      </c>
      <c r="AK318" s="81" t="str">
        <f aca="false">IF(AND(ISNUMBER(U318),ISNUMBER(V318),ISNUMBER(14_Cercania!$C$13),ISNUMBER(14_Cercania!$C$14)),6371*2*ASIN(SQRT(SIN(RADIANS(14_Cercania!$C$13-U318)/2)^2+COS(RADIANS(U318))*COS(RADIANS(14_Cercania!$C$13))*SIN(RADIANS(14_Cercania!$C$14-V318)/2)^2))+ROW()*0.000000001,"")</f>
        <v/>
      </c>
    </row>
    <row r="319" customFormat="false" ht="15" hidden="false" customHeight="false" outlineLevel="0" collapsed="false">
      <c r="A319" s="55" t="n">
        <v>317</v>
      </c>
      <c r="B319" s="56"/>
      <c r="C319" s="55"/>
      <c r="D319" s="56"/>
      <c r="E319" s="71"/>
      <c r="F319" s="57"/>
      <c r="G319" s="57"/>
      <c r="H319" s="72"/>
      <c r="I319" s="72"/>
      <c r="J319" s="72"/>
      <c r="K319" s="72"/>
      <c r="L319" s="72"/>
      <c r="M319" s="57"/>
      <c r="N319" s="57"/>
      <c r="O319" s="55"/>
      <c r="P319" s="73"/>
      <c r="Q319" s="73" t="s">
        <v>2490</v>
      </c>
      <c r="R319" s="55" t="s">
        <v>2491</v>
      </c>
      <c r="S319" s="55" t="s">
        <v>2491</v>
      </c>
      <c r="T319" s="55" t="s">
        <v>2491</v>
      </c>
      <c r="U319" s="83"/>
      <c r="V319" s="83"/>
      <c r="W319" s="57" t="s">
        <v>2538</v>
      </c>
      <c r="X319" s="76" t="str">
        <f aca="false">HYPERLINK(IF(AND(ISNUMBER(U319),ISNUMBER(V319)),"https://www.google.com/maps/search/?api=1&amp;query="&amp;U319&amp;","&amp;V319,"https://www.google.com/maps/search/?api=1&amp;query="&amp;SUBSTITUTE(SUBSTITUTE(SUBSTITUTE(B319&amp;", "&amp;M319&amp;", Puno, Peru"," ","+"),"&amp;","y"),"#","")),"Ver en mapa")</f>
        <v>Ver en mapa</v>
      </c>
      <c r="Y319" s="72"/>
      <c r="Z319" s="57"/>
      <c r="AA319" s="72"/>
      <c r="AB319" s="59"/>
      <c r="AC319" s="59"/>
      <c r="AD319" s="72"/>
      <c r="AE319" s="72"/>
      <c r="AF319" s="72"/>
      <c r="AG319" s="72"/>
      <c r="AH319" s="55" t="s">
        <v>2494</v>
      </c>
      <c r="AI319" s="72"/>
      <c r="AJ319" s="56" t="s">
        <v>2970</v>
      </c>
      <c r="AK319" s="77" t="str">
        <f aca="false">IF(AND(ISNUMBER(U319),ISNUMBER(V319),ISNUMBER(14_Cercania!$C$13),ISNUMBER(14_Cercania!$C$14)),6371*2*ASIN(SQRT(SIN(RADIANS(14_Cercania!$C$13-U319)/2)^2+COS(RADIANS(U319))*COS(RADIANS(14_Cercania!$C$13))*SIN(RADIANS(14_Cercania!$C$14-V319)/2)^2))+ROW()*0.000000001,"")</f>
        <v/>
      </c>
    </row>
    <row r="320" customFormat="false" ht="15" hidden="false" customHeight="false" outlineLevel="0" collapsed="false">
      <c r="A320" s="62" t="n">
        <v>318</v>
      </c>
      <c r="B320" s="63"/>
      <c r="C320" s="62"/>
      <c r="D320" s="63"/>
      <c r="E320" s="71"/>
      <c r="F320" s="57"/>
      <c r="G320" s="57"/>
      <c r="H320" s="72"/>
      <c r="I320" s="72"/>
      <c r="J320" s="72"/>
      <c r="K320" s="72"/>
      <c r="L320" s="72"/>
      <c r="M320" s="57"/>
      <c r="N320" s="57"/>
      <c r="O320" s="62"/>
      <c r="P320" s="78"/>
      <c r="Q320" s="78" t="s">
        <v>2490</v>
      </c>
      <c r="R320" s="62" t="s">
        <v>2491</v>
      </c>
      <c r="S320" s="62" t="s">
        <v>2491</v>
      </c>
      <c r="T320" s="62" t="s">
        <v>2491</v>
      </c>
      <c r="U320" s="83"/>
      <c r="V320" s="83"/>
      <c r="W320" s="57" t="s">
        <v>2538</v>
      </c>
      <c r="X320" s="80" t="str">
        <f aca="false">HYPERLINK(IF(AND(ISNUMBER(U320),ISNUMBER(V320)),"https://www.google.com/maps/search/?api=1&amp;query="&amp;U320&amp;","&amp;V320,"https://www.google.com/maps/search/?api=1&amp;query="&amp;SUBSTITUTE(SUBSTITUTE(SUBSTITUTE(B320&amp;", "&amp;M320&amp;", Puno, Peru"," ","+"),"&amp;","y"),"#","")),"Ver en mapa")</f>
        <v>Ver en mapa</v>
      </c>
      <c r="Y320" s="72"/>
      <c r="Z320" s="57"/>
      <c r="AA320" s="72"/>
      <c r="AB320" s="59"/>
      <c r="AC320" s="59"/>
      <c r="AD320" s="72"/>
      <c r="AE320" s="72"/>
      <c r="AF320" s="72"/>
      <c r="AG320" s="72"/>
      <c r="AH320" s="62" t="s">
        <v>2494</v>
      </c>
      <c r="AI320" s="72"/>
      <c r="AJ320" s="63" t="s">
        <v>2970</v>
      </c>
      <c r="AK320" s="81" t="str">
        <f aca="false">IF(AND(ISNUMBER(U320),ISNUMBER(V320),ISNUMBER(14_Cercania!$C$13),ISNUMBER(14_Cercania!$C$14)),6371*2*ASIN(SQRT(SIN(RADIANS(14_Cercania!$C$13-U320)/2)^2+COS(RADIANS(U320))*COS(RADIANS(14_Cercania!$C$13))*SIN(RADIANS(14_Cercania!$C$14-V320)/2)^2))+ROW()*0.000000001,"")</f>
        <v/>
      </c>
    </row>
    <row r="321" customFormat="false" ht="15" hidden="false" customHeight="false" outlineLevel="0" collapsed="false">
      <c r="A321" s="55" t="n">
        <v>319</v>
      </c>
      <c r="B321" s="56"/>
      <c r="C321" s="55"/>
      <c r="D321" s="56"/>
      <c r="E321" s="71"/>
      <c r="F321" s="57"/>
      <c r="G321" s="57"/>
      <c r="H321" s="72"/>
      <c r="I321" s="72"/>
      <c r="J321" s="72"/>
      <c r="K321" s="72"/>
      <c r="L321" s="72"/>
      <c r="M321" s="57"/>
      <c r="N321" s="57"/>
      <c r="O321" s="55"/>
      <c r="P321" s="73"/>
      <c r="Q321" s="73" t="s">
        <v>2490</v>
      </c>
      <c r="R321" s="55" t="s">
        <v>2491</v>
      </c>
      <c r="S321" s="55" t="s">
        <v>2491</v>
      </c>
      <c r="T321" s="55" t="s">
        <v>2491</v>
      </c>
      <c r="U321" s="83"/>
      <c r="V321" s="83"/>
      <c r="W321" s="57" t="s">
        <v>2538</v>
      </c>
      <c r="X321" s="76" t="str">
        <f aca="false">HYPERLINK(IF(AND(ISNUMBER(U321),ISNUMBER(V321)),"https://www.google.com/maps/search/?api=1&amp;query="&amp;U321&amp;","&amp;V321,"https://www.google.com/maps/search/?api=1&amp;query="&amp;SUBSTITUTE(SUBSTITUTE(SUBSTITUTE(B321&amp;", "&amp;M321&amp;", Puno, Peru"," ","+"),"&amp;","y"),"#","")),"Ver en mapa")</f>
        <v>Ver en mapa</v>
      </c>
      <c r="Y321" s="72"/>
      <c r="Z321" s="57"/>
      <c r="AA321" s="72"/>
      <c r="AB321" s="59"/>
      <c r="AC321" s="59"/>
      <c r="AD321" s="72"/>
      <c r="AE321" s="72"/>
      <c r="AF321" s="72"/>
      <c r="AG321" s="72"/>
      <c r="AH321" s="55" t="s">
        <v>2494</v>
      </c>
      <c r="AI321" s="72"/>
      <c r="AJ321" s="56" t="s">
        <v>2970</v>
      </c>
      <c r="AK321" s="77" t="str">
        <f aca="false">IF(AND(ISNUMBER(U321),ISNUMBER(V321),ISNUMBER(14_Cercania!$C$13),ISNUMBER(14_Cercania!$C$14)),6371*2*ASIN(SQRT(SIN(RADIANS(14_Cercania!$C$13-U321)/2)^2+COS(RADIANS(U321))*COS(RADIANS(14_Cercania!$C$13))*SIN(RADIANS(14_Cercania!$C$14-V321)/2)^2))+ROW()*0.000000001,"")</f>
        <v/>
      </c>
    </row>
    <row r="322" customFormat="false" ht="15" hidden="false" customHeight="false" outlineLevel="0" collapsed="false">
      <c r="A322" s="62" t="n">
        <v>320</v>
      </c>
      <c r="B322" s="63"/>
      <c r="C322" s="62"/>
      <c r="D322" s="63"/>
      <c r="E322" s="71"/>
      <c r="F322" s="57"/>
      <c r="G322" s="57"/>
      <c r="H322" s="72"/>
      <c r="I322" s="72"/>
      <c r="J322" s="72"/>
      <c r="K322" s="72"/>
      <c r="L322" s="72"/>
      <c r="M322" s="57"/>
      <c r="N322" s="57"/>
      <c r="O322" s="62"/>
      <c r="P322" s="78"/>
      <c r="Q322" s="78" t="s">
        <v>2490</v>
      </c>
      <c r="R322" s="62" t="s">
        <v>2491</v>
      </c>
      <c r="S322" s="62" t="s">
        <v>2491</v>
      </c>
      <c r="T322" s="62" t="s">
        <v>2491</v>
      </c>
      <c r="U322" s="83"/>
      <c r="V322" s="83"/>
      <c r="W322" s="57" t="s">
        <v>2538</v>
      </c>
      <c r="X322" s="80" t="str">
        <f aca="false">HYPERLINK(IF(AND(ISNUMBER(U322),ISNUMBER(V322)),"https://www.google.com/maps/search/?api=1&amp;query="&amp;U322&amp;","&amp;V322,"https://www.google.com/maps/search/?api=1&amp;query="&amp;SUBSTITUTE(SUBSTITUTE(SUBSTITUTE(B322&amp;", "&amp;M322&amp;", Puno, Peru"," ","+"),"&amp;","y"),"#","")),"Ver en mapa")</f>
        <v>Ver en mapa</v>
      </c>
      <c r="Y322" s="72"/>
      <c r="Z322" s="57"/>
      <c r="AA322" s="72"/>
      <c r="AB322" s="59"/>
      <c r="AC322" s="59"/>
      <c r="AD322" s="72"/>
      <c r="AE322" s="72"/>
      <c r="AF322" s="72"/>
      <c r="AG322" s="72"/>
      <c r="AH322" s="62" t="s">
        <v>2494</v>
      </c>
      <c r="AI322" s="72"/>
      <c r="AJ322" s="63" t="s">
        <v>2970</v>
      </c>
      <c r="AK322" s="81" t="str">
        <f aca="false">IF(AND(ISNUMBER(U322),ISNUMBER(V322),ISNUMBER(14_Cercania!$C$13),ISNUMBER(14_Cercania!$C$14)),6371*2*ASIN(SQRT(SIN(RADIANS(14_Cercania!$C$13-U322)/2)^2+COS(RADIANS(U322))*COS(RADIANS(14_Cercania!$C$13))*SIN(RADIANS(14_Cercania!$C$14-V322)/2)^2))+ROW()*0.000000001,"")</f>
        <v/>
      </c>
    </row>
    <row r="323" customFormat="false" ht="15" hidden="false" customHeight="false" outlineLevel="0" collapsed="false">
      <c r="A323" s="55" t="n">
        <v>321</v>
      </c>
      <c r="B323" s="56"/>
      <c r="C323" s="55"/>
      <c r="D323" s="56"/>
      <c r="E323" s="71"/>
      <c r="F323" s="57"/>
      <c r="G323" s="57"/>
      <c r="H323" s="72"/>
      <c r="I323" s="72"/>
      <c r="J323" s="72"/>
      <c r="K323" s="72"/>
      <c r="L323" s="72"/>
      <c r="M323" s="57"/>
      <c r="N323" s="57"/>
      <c r="O323" s="55"/>
      <c r="P323" s="73"/>
      <c r="Q323" s="73" t="s">
        <v>2490</v>
      </c>
      <c r="R323" s="55" t="s">
        <v>2491</v>
      </c>
      <c r="S323" s="55" t="s">
        <v>2491</v>
      </c>
      <c r="T323" s="55" t="s">
        <v>2491</v>
      </c>
      <c r="U323" s="83"/>
      <c r="V323" s="83"/>
      <c r="W323" s="57" t="s">
        <v>2538</v>
      </c>
      <c r="X323" s="76" t="str">
        <f aca="false">HYPERLINK(IF(AND(ISNUMBER(U323),ISNUMBER(V323)),"https://www.google.com/maps/search/?api=1&amp;query="&amp;U323&amp;","&amp;V323,"https://www.google.com/maps/search/?api=1&amp;query="&amp;SUBSTITUTE(SUBSTITUTE(SUBSTITUTE(B323&amp;", "&amp;M323&amp;", Puno, Peru"," ","+"),"&amp;","y"),"#","")),"Ver en mapa")</f>
        <v>Ver en mapa</v>
      </c>
      <c r="Y323" s="72"/>
      <c r="Z323" s="57"/>
      <c r="AA323" s="72"/>
      <c r="AB323" s="59"/>
      <c r="AC323" s="59"/>
      <c r="AD323" s="72"/>
      <c r="AE323" s="72"/>
      <c r="AF323" s="72"/>
      <c r="AG323" s="72"/>
      <c r="AH323" s="55" t="s">
        <v>2494</v>
      </c>
      <c r="AI323" s="72"/>
      <c r="AJ323" s="56" t="s">
        <v>2970</v>
      </c>
      <c r="AK323" s="77" t="str">
        <f aca="false">IF(AND(ISNUMBER(U323),ISNUMBER(V323),ISNUMBER(14_Cercania!$C$13),ISNUMBER(14_Cercania!$C$14)),6371*2*ASIN(SQRT(SIN(RADIANS(14_Cercania!$C$13-U323)/2)^2+COS(RADIANS(U323))*COS(RADIANS(14_Cercania!$C$13))*SIN(RADIANS(14_Cercania!$C$14-V323)/2)^2))+ROW()*0.000000001,"")</f>
        <v/>
      </c>
    </row>
    <row r="324" customFormat="false" ht="15" hidden="false" customHeight="false" outlineLevel="0" collapsed="false">
      <c r="A324" s="62" t="n">
        <v>322</v>
      </c>
      <c r="B324" s="63"/>
      <c r="C324" s="62"/>
      <c r="D324" s="63"/>
      <c r="E324" s="71"/>
      <c r="F324" s="57"/>
      <c r="G324" s="57"/>
      <c r="H324" s="72"/>
      <c r="I324" s="72"/>
      <c r="J324" s="72"/>
      <c r="K324" s="72"/>
      <c r="L324" s="72"/>
      <c r="M324" s="57"/>
      <c r="N324" s="57"/>
      <c r="O324" s="62"/>
      <c r="P324" s="78"/>
      <c r="Q324" s="78" t="s">
        <v>2490</v>
      </c>
      <c r="R324" s="62" t="s">
        <v>2491</v>
      </c>
      <c r="S324" s="62" t="s">
        <v>2491</v>
      </c>
      <c r="T324" s="62" t="s">
        <v>2491</v>
      </c>
      <c r="U324" s="83"/>
      <c r="V324" s="83"/>
      <c r="W324" s="57" t="s">
        <v>2538</v>
      </c>
      <c r="X324" s="80" t="str">
        <f aca="false">HYPERLINK(IF(AND(ISNUMBER(U324),ISNUMBER(V324)),"https://www.google.com/maps/search/?api=1&amp;query="&amp;U324&amp;","&amp;V324,"https://www.google.com/maps/search/?api=1&amp;query="&amp;SUBSTITUTE(SUBSTITUTE(SUBSTITUTE(B324&amp;", "&amp;M324&amp;", Puno, Peru"," ","+"),"&amp;","y"),"#","")),"Ver en mapa")</f>
        <v>Ver en mapa</v>
      </c>
      <c r="Y324" s="72"/>
      <c r="Z324" s="57"/>
      <c r="AA324" s="72"/>
      <c r="AB324" s="59"/>
      <c r="AC324" s="59"/>
      <c r="AD324" s="72"/>
      <c r="AE324" s="72"/>
      <c r="AF324" s="72"/>
      <c r="AG324" s="72"/>
      <c r="AH324" s="62" t="s">
        <v>2494</v>
      </c>
      <c r="AI324" s="72"/>
      <c r="AJ324" s="63" t="s">
        <v>2970</v>
      </c>
      <c r="AK324" s="81" t="str">
        <f aca="false">IF(AND(ISNUMBER(U324),ISNUMBER(V324),ISNUMBER(14_Cercania!$C$13),ISNUMBER(14_Cercania!$C$14)),6371*2*ASIN(SQRT(SIN(RADIANS(14_Cercania!$C$13-U324)/2)^2+COS(RADIANS(U324))*COS(RADIANS(14_Cercania!$C$13))*SIN(RADIANS(14_Cercania!$C$14-V324)/2)^2))+ROW()*0.000000001,"")</f>
        <v/>
      </c>
    </row>
    <row r="325" customFormat="false" ht="15" hidden="false" customHeight="false" outlineLevel="0" collapsed="false">
      <c r="A325" s="55" t="n">
        <v>323</v>
      </c>
      <c r="B325" s="56"/>
      <c r="C325" s="55"/>
      <c r="D325" s="56"/>
      <c r="E325" s="71"/>
      <c r="F325" s="57"/>
      <c r="G325" s="57"/>
      <c r="H325" s="72"/>
      <c r="I325" s="72"/>
      <c r="J325" s="72"/>
      <c r="K325" s="72"/>
      <c r="L325" s="72"/>
      <c r="M325" s="57"/>
      <c r="N325" s="57"/>
      <c r="O325" s="55"/>
      <c r="P325" s="73"/>
      <c r="Q325" s="73" t="s">
        <v>2490</v>
      </c>
      <c r="R325" s="55" t="s">
        <v>2491</v>
      </c>
      <c r="S325" s="55" t="s">
        <v>2491</v>
      </c>
      <c r="T325" s="55" t="s">
        <v>2491</v>
      </c>
      <c r="U325" s="83"/>
      <c r="V325" s="83"/>
      <c r="W325" s="57" t="s">
        <v>2538</v>
      </c>
      <c r="X325" s="76" t="str">
        <f aca="false">HYPERLINK(IF(AND(ISNUMBER(U325),ISNUMBER(V325)),"https://www.google.com/maps/search/?api=1&amp;query="&amp;U325&amp;","&amp;V325,"https://www.google.com/maps/search/?api=1&amp;query="&amp;SUBSTITUTE(SUBSTITUTE(SUBSTITUTE(B325&amp;", "&amp;M325&amp;", Puno, Peru"," ","+"),"&amp;","y"),"#","")),"Ver en mapa")</f>
        <v>Ver en mapa</v>
      </c>
      <c r="Y325" s="72"/>
      <c r="Z325" s="57"/>
      <c r="AA325" s="72"/>
      <c r="AB325" s="59"/>
      <c r="AC325" s="59"/>
      <c r="AD325" s="72"/>
      <c r="AE325" s="72"/>
      <c r="AF325" s="72"/>
      <c r="AG325" s="72"/>
      <c r="AH325" s="55" t="s">
        <v>2494</v>
      </c>
      <c r="AI325" s="72"/>
      <c r="AJ325" s="56" t="s">
        <v>2970</v>
      </c>
      <c r="AK325" s="77" t="str">
        <f aca="false">IF(AND(ISNUMBER(U325),ISNUMBER(V325),ISNUMBER(14_Cercania!$C$13),ISNUMBER(14_Cercania!$C$14)),6371*2*ASIN(SQRT(SIN(RADIANS(14_Cercania!$C$13-U325)/2)^2+COS(RADIANS(U325))*COS(RADIANS(14_Cercania!$C$13))*SIN(RADIANS(14_Cercania!$C$14-V325)/2)^2))+ROW()*0.000000001,"")</f>
        <v/>
      </c>
    </row>
    <row r="326" customFormat="false" ht="15" hidden="false" customHeight="false" outlineLevel="0" collapsed="false">
      <c r="A326" s="62" t="n">
        <v>324</v>
      </c>
      <c r="B326" s="63"/>
      <c r="C326" s="62"/>
      <c r="D326" s="63"/>
      <c r="E326" s="71"/>
      <c r="F326" s="57"/>
      <c r="G326" s="57"/>
      <c r="H326" s="72"/>
      <c r="I326" s="72"/>
      <c r="J326" s="72"/>
      <c r="K326" s="72"/>
      <c r="L326" s="72"/>
      <c r="M326" s="57"/>
      <c r="N326" s="57"/>
      <c r="O326" s="62"/>
      <c r="P326" s="78"/>
      <c r="Q326" s="78" t="s">
        <v>2490</v>
      </c>
      <c r="R326" s="62" t="s">
        <v>2491</v>
      </c>
      <c r="S326" s="62" t="s">
        <v>2491</v>
      </c>
      <c r="T326" s="62" t="s">
        <v>2491</v>
      </c>
      <c r="U326" s="83"/>
      <c r="V326" s="83"/>
      <c r="W326" s="57" t="s">
        <v>2538</v>
      </c>
      <c r="X326" s="80" t="str">
        <f aca="false">HYPERLINK(IF(AND(ISNUMBER(U326),ISNUMBER(V326)),"https://www.google.com/maps/search/?api=1&amp;query="&amp;U326&amp;","&amp;V326,"https://www.google.com/maps/search/?api=1&amp;query="&amp;SUBSTITUTE(SUBSTITUTE(SUBSTITUTE(B326&amp;", "&amp;M326&amp;", Puno, Peru"," ","+"),"&amp;","y"),"#","")),"Ver en mapa")</f>
        <v>Ver en mapa</v>
      </c>
      <c r="Y326" s="72"/>
      <c r="Z326" s="57"/>
      <c r="AA326" s="72"/>
      <c r="AB326" s="59"/>
      <c r="AC326" s="59"/>
      <c r="AD326" s="72"/>
      <c r="AE326" s="72"/>
      <c r="AF326" s="72"/>
      <c r="AG326" s="72"/>
      <c r="AH326" s="62" t="s">
        <v>2494</v>
      </c>
      <c r="AI326" s="72"/>
      <c r="AJ326" s="63" t="s">
        <v>2970</v>
      </c>
      <c r="AK326" s="81" t="str">
        <f aca="false">IF(AND(ISNUMBER(U326),ISNUMBER(V326),ISNUMBER(14_Cercania!$C$13),ISNUMBER(14_Cercania!$C$14)),6371*2*ASIN(SQRT(SIN(RADIANS(14_Cercania!$C$13-U326)/2)^2+COS(RADIANS(U326))*COS(RADIANS(14_Cercania!$C$13))*SIN(RADIANS(14_Cercania!$C$14-V326)/2)^2))+ROW()*0.000000001,"")</f>
        <v/>
      </c>
    </row>
    <row r="327" customFormat="false" ht="15" hidden="false" customHeight="false" outlineLevel="0" collapsed="false">
      <c r="A327" s="55" t="n">
        <v>325</v>
      </c>
      <c r="B327" s="56"/>
      <c r="C327" s="55"/>
      <c r="D327" s="56"/>
      <c r="E327" s="71"/>
      <c r="F327" s="57"/>
      <c r="G327" s="57"/>
      <c r="H327" s="72"/>
      <c r="I327" s="72"/>
      <c r="J327" s="72"/>
      <c r="K327" s="72"/>
      <c r="L327" s="72"/>
      <c r="M327" s="57"/>
      <c r="N327" s="57"/>
      <c r="O327" s="55"/>
      <c r="P327" s="73"/>
      <c r="Q327" s="73" t="s">
        <v>2490</v>
      </c>
      <c r="R327" s="55" t="s">
        <v>2491</v>
      </c>
      <c r="S327" s="55" t="s">
        <v>2491</v>
      </c>
      <c r="T327" s="55" t="s">
        <v>2491</v>
      </c>
      <c r="U327" s="83"/>
      <c r="V327" s="83"/>
      <c r="W327" s="57" t="s">
        <v>2538</v>
      </c>
      <c r="X327" s="76" t="str">
        <f aca="false">HYPERLINK(IF(AND(ISNUMBER(U327),ISNUMBER(V327)),"https://www.google.com/maps/search/?api=1&amp;query="&amp;U327&amp;","&amp;V327,"https://www.google.com/maps/search/?api=1&amp;query="&amp;SUBSTITUTE(SUBSTITUTE(SUBSTITUTE(B327&amp;", "&amp;M327&amp;", Puno, Peru"," ","+"),"&amp;","y"),"#","")),"Ver en mapa")</f>
        <v>Ver en mapa</v>
      </c>
      <c r="Y327" s="72"/>
      <c r="Z327" s="57"/>
      <c r="AA327" s="72"/>
      <c r="AB327" s="59"/>
      <c r="AC327" s="59"/>
      <c r="AD327" s="72"/>
      <c r="AE327" s="72"/>
      <c r="AF327" s="72"/>
      <c r="AG327" s="72"/>
      <c r="AH327" s="55" t="s">
        <v>2494</v>
      </c>
      <c r="AI327" s="72"/>
      <c r="AJ327" s="56" t="s">
        <v>2970</v>
      </c>
      <c r="AK327" s="77" t="str">
        <f aca="false">IF(AND(ISNUMBER(U327),ISNUMBER(V327),ISNUMBER(14_Cercania!$C$13),ISNUMBER(14_Cercania!$C$14)),6371*2*ASIN(SQRT(SIN(RADIANS(14_Cercania!$C$13-U327)/2)^2+COS(RADIANS(U327))*COS(RADIANS(14_Cercania!$C$13))*SIN(RADIANS(14_Cercania!$C$14-V327)/2)^2))+ROW()*0.000000001,"")</f>
        <v/>
      </c>
    </row>
    <row r="328" customFormat="false" ht="15" hidden="false" customHeight="false" outlineLevel="0" collapsed="false">
      <c r="A328" s="62" t="n">
        <v>326</v>
      </c>
      <c r="B328" s="63"/>
      <c r="C328" s="62"/>
      <c r="D328" s="63"/>
      <c r="E328" s="71"/>
      <c r="F328" s="57"/>
      <c r="G328" s="57"/>
      <c r="H328" s="72"/>
      <c r="I328" s="72"/>
      <c r="J328" s="72"/>
      <c r="K328" s="72"/>
      <c r="L328" s="72"/>
      <c r="M328" s="57"/>
      <c r="N328" s="57"/>
      <c r="O328" s="62"/>
      <c r="P328" s="78"/>
      <c r="Q328" s="78" t="s">
        <v>2490</v>
      </c>
      <c r="R328" s="62" t="s">
        <v>2491</v>
      </c>
      <c r="S328" s="62" t="s">
        <v>2491</v>
      </c>
      <c r="T328" s="62" t="s">
        <v>2491</v>
      </c>
      <c r="U328" s="83"/>
      <c r="V328" s="83"/>
      <c r="W328" s="57" t="s">
        <v>2538</v>
      </c>
      <c r="X328" s="80" t="str">
        <f aca="false">HYPERLINK(IF(AND(ISNUMBER(U328),ISNUMBER(V328)),"https://www.google.com/maps/search/?api=1&amp;query="&amp;U328&amp;","&amp;V328,"https://www.google.com/maps/search/?api=1&amp;query="&amp;SUBSTITUTE(SUBSTITUTE(SUBSTITUTE(B328&amp;", "&amp;M328&amp;", Puno, Peru"," ","+"),"&amp;","y"),"#","")),"Ver en mapa")</f>
        <v>Ver en mapa</v>
      </c>
      <c r="Y328" s="72"/>
      <c r="Z328" s="57"/>
      <c r="AA328" s="72"/>
      <c r="AB328" s="59"/>
      <c r="AC328" s="59"/>
      <c r="AD328" s="72"/>
      <c r="AE328" s="72"/>
      <c r="AF328" s="72"/>
      <c r="AG328" s="72"/>
      <c r="AH328" s="62" t="s">
        <v>2494</v>
      </c>
      <c r="AI328" s="72"/>
      <c r="AJ328" s="63" t="s">
        <v>2970</v>
      </c>
      <c r="AK328" s="81" t="str">
        <f aca="false">IF(AND(ISNUMBER(U328),ISNUMBER(V328),ISNUMBER(14_Cercania!$C$13),ISNUMBER(14_Cercania!$C$14)),6371*2*ASIN(SQRT(SIN(RADIANS(14_Cercania!$C$13-U328)/2)^2+COS(RADIANS(U328))*COS(RADIANS(14_Cercania!$C$13))*SIN(RADIANS(14_Cercania!$C$14-V328)/2)^2))+ROW()*0.000000001,"")</f>
        <v/>
      </c>
    </row>
    <row r="329" customFormat="false" ht="15" hidden="false" customHeight="false" outlineLevel="0" collapsed="false">
      <c r="A329" s="55" t="n">
        <v>327</v>
      </c>
      <c r="B329" s="56"/>
      <c r="C329" s="55"/>
      <c r="D329" s="56"/>
      <c r="E329" s="71"/>
      <c r="F329" s="57"/>
      <c r="G329" s="57"/>
      <c r="H329" s="72"/>
      <c r="I329" s="72"/>
      <c r="J329" s="72"/>
      <c r="K329" s="72"/>
      <c r="L329" s="72"/>
      <c r="M329" s="57"/>
      <c r="N329" s="57"/>
      <c r="O329" s="55"/>
      <c r="P329" s="73"/>
      <c r="Q329" s="73" t="s">
        <v>2490</v>
      </c>
      <c r="R329" s="55" t="s">
        <v>2491</v>
      </c>
      <c r="S329" s="55" t="s">
        <v>2491</v>
      </c>
      <c r="T329" s="55" t="s">
        <v>2491</v>
      </c>
      <c r="U329" s="83"/>
      <c r="V329" s="83"/>
      <c r="W329" s="57" t="s">
        <v>2538</v>
      </c>
      <c r="X329" s="76" t="str">
        <f aca="false">HYPERLINK(IF(AND(ISNUMBER(U329),ISNUMBER(V329)),"https://www.google.com/maps/search/?api=1&amp;query="&amp;U329&amp;","&amp;V329,"https://www.google.com/maps/search/?api=1&amp;query="&amp;SUBSTITUTE(SUBSTITUTE(SUBSTITUTE(B329&amp;", "&amp;M329&amp;", Puno, Peru"," ","+"),"&amp;","y"),"#","")),"Ver en mapa")</f>
        <v>Ver en mapa</v>
      </c>
      <c r="Y329" s="72"/>
      <c r="Z329" s="57"/>
      <c r="AA329" s="72"/>
      <c r="AB329" s="59"/>
      <c r="AC329" s="59"/>
      <c r="AD329" s="72"/>
      <c r="AE329" s="72"/>
      <c r="AF329" s="72"/>
      <c r="AG329" s="72"/>
      <c r="AH329" s="55" t="s">
        <v>2494</v>
      </c>
      <c r="AI329" s="72"/>
      <c r="AJ329" s="56" t="s">
        <v>2970</v>
      </c>
      <c r="AK329" s="77" t="str">
        <f aca="false">IF(AND(ISNUMBER(U329),ISNUMBER(V329),ISNUMBER(14_Cercania!$C$13),ISNUMBER(14_Cercania!$C$14)),6371*2*ASIN(SQRT(SIN(RADIANS(14_Cercania!$C$13-U329)/2)^2+COS(RADIANS(U329))*COS(RADIANS(14_Cercania!$C$13))*SIN(RADIANS(14_Cercania!$C$14-V329)/2)^2))+ROW()*0.000000001,"")</f>
        <v/>
      </c>
    </row>
    <row r="330" customFormat="false" ht="15" hidden="false" customHeight="false" outlineLevel="0" collapsed="false">
      <c r="A330" s="62" t="n">
        <v>328</v>
      </c>
      <c r="B330" s="63"/>
      <c r="C330" s="62"/>
      <c r="D330" s="63"/>
      <c r="E330" s="71"/>
      <c r="F330" s="57"/>
      <c r="G330" s="57"/>
      <c r="H330" s="72"/>
      <c r="I330" s="72"/>
      <c r="J330" s="72"/>
      <c r="K330" s="72"/>
      <c r="L330" s="72"/>
      <c r="M330" s="57"/>
      <c r="N330" s="57"/>
      <c r="O330" s="62"/>
      <c r="P330" s="78"/>
      <c r="Q330" s="78" t="s">
        <v>2490</v>
      </c>
      <c r="R330" s="62" t="s">
        <v>2491</v>
      </c>
      <c r="S330" s="62" t="s">
        <v>2491</v>
      </c>
      <c r="T330" s="62" t="s">
        <v>2491</v>
      </c>
      <c r="U330" s="83"/>
      <c r="V330" s="83"/>
      <c r="W330" s="57" t="s">
        <v>2538</v>
      </c>
      <c r="X330" s="80" t="str">
        <f aca="false">HYPERLINK(IF(AND(ISNUMBER(U330),ISNUMBER(V330)),"https://www.google.com/maps/search/?api=1&amp;query="&amp;U330&amp;","&amp;V330,"https://www.google.com/maps/search/?api=1&amp;query="&amp;SUBSTITUTE(SUBSTITUTE(SUBSTITUTE(B330&amp;", "&amp;M330&amp;", Puno, Peru"," ","+"),"&amp;","y"),"#","")),"Ver en mapa")</f>
        <v>Ver en mapa</v>
      </c>
      <c r="Y330" s="72"/>
      <c r="Z330" s="57"/>
      <c r="AA330" s="72"/>
      <c r="AB330" s="59"/>
      <c r="AC330" s="59"/>
      <c r="AD330" s="72"/>
      <c r="AE330" s="72"/>
      <c r="AF330" s="72"/>
      <c r="AG330" s="72"/>
      <c r="AH330" s="62" t="s">
        <v>2494</v>
      </c>
      <c r="AI330" s="72"/>
      <c r="AJ330" s="63" t="s">
        <v>2970</v>
      </c>
      <c r="AK330" s="81" t="str">
        <f aca="false">IF(AND(ISNUMBER(U330),ISNUMBER(V330),ISNUMBER(14_Cercania!$C$13),ISNUMBER(14_Cercania!$C$14)),6371*2*ASIN(SQRT(SIN(RADIANS(14_Cercania!$C$13-U330)/2)^2+COS(RADIANS(U330))*COS(RADIANS(14_Cercania!$C$13))*SIN(RADIANS(14_Cercania!$C$14-V330)/2)^2))+ROW()*0.000000001,"")</f>
        <v/>
      </c>
    </row>
    <row r="331" customFormat="false" ht="15" hidden="false" customHeight="false" outlineLevel="0" collapsed="false">
      <c r="A331" s="55" t="n">
        <v>329</v>
      </c>
      <c r="B331" s="56"/>
      <c r="C331" s="55"/>
      <c r="D331" s="56"/>
      <c r="E331" s="71"/>
      <c r="F331" s="57"/>
      <c r="G331" s="57"/>
      <c r="H331" s="72"/>
      <c r="I331" s="72"/>
      <c r="J331" s="72"/>
      <c r="K331" s="72"/>
      <c r="L331" s="72"/>
      <c r="M331" s="57"/>
      <c r="N331" s="57"/>
      <c r="O331" s="55"/>
      <c r="P331" s="73"/>
      <c r="Q331" s="73" t="s">
        <v>2490</v>
      </c>
      <c r="R331" s="55" t="s">
        <v>2491</v>
      </c>
      <c r="S331" s="55" t="s">
        <v>2491</v>
      </c>
      <c r="T331" s="55" t="s">
        <v>2491</v>
      </c>
      <c r="U331" s="83"/>
      <c r="V331" s="83"/>
      <c r="W331" s="57" t="s">
        <v>2538</v>
      </c>
      <c r="X331" s="76" t="str">
        <f aca="false">HYPERLINK(IF(AND(ISNUMBER(U331),ISNUMBER(V331)),"https://www.google.com/maps/search/?api=1&amp;query="&amp;U331&amp;","&amp;V331,"https://www.google.com/maps/search/?api=1&amp;query="&amp;SUBSTITUTE(SUBSTITUTE(SUBSTITUTE(B331&amp;", "&amp;M331&amp;", Puno, Peru"," ","+"),"&amp;","y"),"#","")),"Ver en mapa")</f>
        <v>Ver en mapa</v>
      </c>
      <c r="Y331" s="72"/>
      <c r="Z331" s="57"/>
      <c r="AA331" s="72"/>
      <c r="AB331" s="59"/>
      <c r="AC331" s="59"/>
      <c r="AD331" s="72"/>
      <c r="AE331" s="72"/>
      <c r="AF331" s="72"/>
      <c r="AG331" s="72"/>
      <c r="AH331" s="55" t="s">
        <v>2494</v>
      </c>
      <c r="AI331" s="72"/>
      <c r="AJ331" s="56" t="s">
        <v>2970</v>
      </c>
      <c r="AK331" s="77" t="str">
        <f aca="false">IF(AND(ISNUMBER(U331),ISNUMBER(V331),ISNUMBER(14_Cercania!$C$13),ISNUMBER(14_Cercania!$C$14)),6371*2*ASIN(SQRT(SIN(RADIANS(14_Cercania!$C$13-U331)/2)^2+COS(RADIANS(U331))*COS(RADIANS(14_Cercania!$C$13))*SIN(RADIANS(14_Cercania!$C$14-V331)/2)^2))+ROW()*0.000000001,"")</f>
        <v/>
      </c>
    </row>
    <row r="332" customFormat="false" ht="15" hidden="false" customHeight="false" outlineLevel="0" collapsed="false">
      <c r="A332" s="62" t="n">
        <v>330</v>
      </c>
      <c r="B332" s="63"/>
      <c r="C332" s="62"/>
      <c r="D332" s="63"/>
      <c r="E332" s="71"/>
      <c r="F332" s="57"/>
      <c r="G332" s="57"/>
      <c r="H332" s="72"/>
      <c r="I332" s="72"/>
      <c r="J332" s="72"/>
      <c r="K332" s="72"/>
      <c r="L332" s="72"/>
      <c r="M332" s="57"/>
      <c r="N332" s="57"/>
      <c r="O332" s="62"/>
      <c r="P332" s="78"/>
      <c r="Q332" s="78" t="s">
        <v>2490</v>
      </c>
      <c r="R332" s="62" t="s">
        <v>2491</v>
      </c>
      <c r="S332" s="62" t="s">
        <v>2491</v>
      </c>
      <c r="T332" s="62" t="s">
        <v>2491</v>
      </c>
      <c r="U332" s="83"/>
      <c r="V332" s="83"/>
      <c r="W332" s="57" t="s">
        <v>2538</v>
      </c>
      <c r="X332" s="80" t="str">
        <f aca="false">HYPERLINK(IF(AND(ISNUMBER(U332),ISNUMBER(V332)),"https://www.google.com/maps/search/?api=1&amp;query="&amp;U332&amp;","&amp;V332,"https://www.google.com/maps/search/?api=1&amp;query="&amp;SUBSTITUTE(SUBSTITUTE(SUBSTITUTE(B332&amp;", "&amp;M332&amp;", Puno, Peru"," ","+"),"&amp;","y"),"#","")),"Ver en mapa")</f>
        <v>Ver en mapa</v>
      </c>
      <c r="Y332" s="72"/>
      <c r="Z332" s="57"/>
      <c r="AA332" s="72"/>
      <c r="AB332" s="59"/>
      <c r="AC332" s="59"/>
      <c r="AD332" s="72"/>
      <c r="AE332" s="72"/>
      <c r="AF332" s="72"/>
      <c r="AG332" s="72"/>
      <c r="AH332" s="62" t="s">
        <v>2494</v>
      </c>
      <c r="AI332" s="72"/>
      <c r="AJ332" s="63" t="s">
        <v>2970</v>
      </c>
      <c r="AK332" s="81" t="str">
        <f aca="false">IF(AND(ISNUMBER(U332),ISNUMBER(V332),ISNUMBER(14_Cercania!$C$13),ISNUMBER(14_Cercania!$C$14)),6371*2*ASIN(SQRT(SIN(RADIANS(14_Cercania!$C$13-U332)/2)^2+COS(RADIANS(U332))*COS(RADIANS(14_Cercania!$C$13))*SIN(RADIANS(14_Cercania!$C$14-V332)/2)^2))+ROW()*0.000000001,"")</f>
        <v/>
      </c>
    </row>
    <row r="333" customFormat="false" ht="15" hidden="false" customHeight="false" outlineLevel="0" collapsed="false">
      <c r="A333" s="55" t="n">
        <v>331</v>
      </c>
      <c r="B333" s="56"/>
      <c r="C333" s="55"/>
      <c r="D333" s="56"/>
      <c r="E333" s="71"/>
      <c r="F333" s="57"/>
      <c r="G333" s="57"/>
      <c r="H333" s="72"/>
      <c r="I333" s="72"/>
      <c r="J333" s="72"/>
      <c r="K333" s="72"/>
      <c r="L333" s="72"/>
      <c r="M333" s="57"/>
      <c r="N333" s="57"/>
      <c r="O333" s="55"/>
      <c r="P333" s="73"/>
      <c r="Q333" s="73" t="s">
        <v>2490</v>
      </c>
      <c r="R333" s="55" t="s">
        <v>2491</v>
      </c>
      <c r="S333" s="55" t="s">
        <v>2491</v>
      </c>
      <c r="T333" s="55" t="s">
        <v>2491</v>
      </c>
      <c r="U333" s="83"/>
      <c r="V333" s="83"/>
      <c r="W333" s="57" t="s">
        <v>2538</v>
      </c>
      <c r="X333" s="76" t="str">
        <f aca="false">HYPERLINK(IF(AND(ISNUMBER(U333),ISNUMBER(V333)),"https://www.google.com/maps/search/?api=1&amp;query="&amp;U333&amp;","&amp;V333,"https://www.google.com/maps/search/?api=1&amp;query="&amp;SUBSTITUTE(SUBSTITUTE(SUBSTITUTE(B333&amp;", "&amp;M333&amp;", Puno, Peru"," ","+"),"&amp;","y"),"#","")),"Ver en mapa")</f>
        <v>Ver en mapa</v>
      </c>
      <c r="Y333" s="72"/>
      <c r="Z333" s="57"/>
      <c r="AA333" s="72"/>
      <c r="AB333" s="59"/>
      <c r="AC333" s="59"/>
      <c r="AD333" s="72"/>
      <c r="AE333" s="72"/>
      <c r="AF333" s="72"/>
      <c r="AG333" s="72"/>
      <c r="AH333" s="55" t="s">
        <v>2494</v>
      </c>
      <c r="AI333" s="72"/>
      <c r="AJ333" s="56" t="s">
        <v>2970</v>
      </c>
      <c r="AK333" s="77" t="str">
        <f aca="false">IF(AND(ISNUMBER(U333),ISNUMBER(V333),ISNUMBER(14_Cercania!$C$13),ISNUMBER(14_Cercania!$C$14)),6371*2*ASIN(SQRT(SIN(RADIANS(14_Cercania!$C$13-U333)/2)^2+COS(RADIANS(U333))*COS(RADIANS(14_Cercania!$C$13))*SIN(RADIANS(14_Cercania!$C$14-V333)/2)^2))+ROW()*0.000000001,"")</f>
        <v/>
      </c>
    </row>
    <row r="334" customFormat="false" ht="15" hidden="false" customHeight="false" outlineLevel="0" collapsed="false">
      <c r="A334" s="62" t="n">
        <v>332</v>
      </c>
      <c r="B334" s="63"/>
      <c r="C334" s="62"/>
      <c r="D334" s="63"/>
      <c r="E334" s="71"/>
      <c r="F334" s="57"/>
      <c r="G334" s="57"/>
      <c r="H334" s="72"/>
      <c r="I334" s="72"/>
      <c r="J334" s="72"/>
      <c r="K334" s="72"/>
      <c r="L334" s="72"/>
      <c r="M334" s="57"/>
      <c r="N334" s="57"/>
      <c r="O334" s="62"/>
      <c r="P334" s="78"/>
      <c r="Q334" s="78" t="s">
        <v>2490</v>
      </c>
      <c r="R334" s="62" t="s">
        <v>2491</v>
      </c>
      <c r="S334" s="62" t="s">
        <v>2491</v>
      </c>
      <c r="T334" s="62" t="s">
        <v>2491</v>
      </c>
      <c r="U334" s="83"/>
      <c r="V334" s="83"/>
      <c r="W334" s="57" t="s">
        <v>2538</v>
      </c>
      <c r="X334" s="80" t="str">
        <f aca="false">HYPERLINK(IF(AND(ISNUMBER(U334),ISNUMBER(V334)),"https://www.google.com/maps/search/?api=1&amp;query="&amp;U334&amp;","&amp;V334,"https://www.google.com/maps/search/?api=1&amp;query="&amp;SUBSTITUTE(SUBSTITUTE(SUBSTITUTE(B334&amp;", "&amp;M334&amp;", Puno, Peru"," ","+"),"&amp;","y"),"#","")),"Ver en mapa")</f>
        <v>Ver en mapa</v>
      </c>
      <c r="Y334" s="72"/>
      <c r="Z334" s="57"/>
      <c r="AA334" s="72"/>
      <c r="AB334" s="59"/>
      <c r="AC334" s="59"/>
      <c r="AD334" s="72"/>
      <c r="AE334" s="72"/>
      <c r="AF334" s="72"/>
      <c r="AG334" s="72"/>
      <c r="AH334" s="62" t="s">
        <v>2494</v>
      </c>
      <c r="AI334" s="72"/>
      <c r="AJ334" s="63" t="s">
        <v>2970</v>
      </c>
      <c r="AK334" s="81" t="str">
        <f aca="false">IF(AND(ISNUMBER(U334),ISNUMBER(V334),ISNUMBER(14_Cercania!$C$13),ISNUMBER(14_Cercania!$C$14)),6371*2*ASIN(SQRT(SIN(RADIANS(14_Cercania!$C$13-U334)/2)^2+COS(RADIANS(U334))*COS(RADIANS(14_Cercania!$C$13))*SIN(RADIANS(14_Cercania!$C$14-V334)/2)^2))+ROW()*0.000000001,"")</f>
        <v/>
      </c>
    </row>
    <row r="335" customFormat="false" ht="15" hidden="false" customHeight="false" outlineLevel="0" collapsed="false">
      <c r="A335" s="55" t="n">
        <v>333</v>
      </c>
      <c r="B335" s="56"/>
      <c r="C335" s="55"/>
      <c r="D335" s="56"/>
      <c r="E335" s="71"/>
      <c r="F335" s="57"/>
      <c r="G335" s="57"/>
      <c r="H335" s="72"/>
      <c r="I335" s="72"/>
      <c r="J335" s="72"/>
      <c r="K335" s="72"/>
      <c r="L335" s="72"/>
      <c r="M335" s="57"/>
      <c r="N335" s="57"/>
      <c r="O335" s="55"/>
      <c r="P335" s="73"/>
      <c r="Q335" s="73" t="s">
        <v>2490</v>
      </c>
      <c r="R335" s="55" t="s">
        <v>2491</v>
      </c>
      <c r="S335" s="55" t="s">
        <v>2491</v>
      </c>
      <c r="T335" s="55" t="s">
        <v>2491</v>
      </c>
      <c r="U335" s="83"/>
      <c r="V335" s="83"/>
      <c r="W335" s="57" t="s">
        <v>2538</v>
      </c>
      <c r="X335" s="76" t="str">
        <f aca="false">HYPERLINK(IF(AND(ISNUMBER(U335),ISNUMBER(V335)),"https://www.google.com/maps/search/?api=1&amp;query="&amp;U335&amp;","&amp;V335,"https://www.google.com/maps/search/?api=1&amp;query="&amp;SUBSTITUTE(SUBSTITUTE(SUBSTITUTE(B335&amp;", "&amp;M335&amp;", Puno, Peru"," ","+"),"&amp;","y"),"#","")),"Ver en mapa")</f>
        <v>Ver en mapa</v>
      </c>
      <c r="Y335" s="72"/>
      <c r="Z335" s="57"/>
      <c r="AA335" s="72"/>
      <c r="AB335" s="59"/>
      <c r="AC335" s="59"/>
      <c r="AD335" s="72"/>
      <c r="AE335" s="72"/>
      <c r="AF335" s="72"/>
      <c r="AG335" s="72"/>
      <c r="AH335" s="55" t="s">
        <v>2494</v>
      </c>
      <c r="AI335" s="72"/>
      <c r="AJ335" s="56" t="s">
        <v>2970</v>
      </c>
      <c r="AK335" s="77" t="str">
        <f aca="false">IF(AND(ISNUMBER(U335),ISNUMBER(V335),ISNUMBER(14_Cercania!$C$13),ISNUMBER(14_Cercania!$C$14)),6371*2*ASIN(SQRT(SIN(RADIANS(14_Cercania!$C$13-U335)/2)^2+COS(RADIANS(U335))*COS(RADIANS(14_Cercania!$C$13))*SIN(RADIANS(14_Cercania!$C$14-V335)/2)^2))+ROW()*0.000000001,"")</f>
        <v/>
      </c>
    </row>
    <row r="336" customFormat="false" ht="15" hidden="false" customHeight="false" outlineLevel="0" collapsed="false">
      <c r="A336" s="62" t="n">
        <v>334</v>
      </c>
      <c r="B336" s="63"/>
      <c r="C336" s="62"/>
      <c r="D336" s="63"/>
      <c r="E336" s="71"/>
      <c r="F336" s="57"/>
      <c r="G336" s="57"/>
      <c r="H336" s="72"/>
      <c r="I336" s="72"/>
      <c r="J336" s="72"/>
      <c r="K336" s="72"/>
      <c r="L336" s="72"/>
      <c r="M336" s="57"/>
      <c r="N336" s="57"/>
      <c r="O336" s="62"/>
      <c r="P336" s="78"/>
      <c r="Q336" s="78" t="s">
        <v>2490</v>
      </c>
      <c r="R336" s="62" t="s">
        <v>2491</v>
      </c>
      <c r="S336" s="62" t="s">
        <v>2491</v>
      </c>
      <c r="T336" s="62" t="s">
        <v>2491</v>
      </c>
      <c r="U336" s="83"/>
      <c r="V336" s="83"/>
      <c r="W336" s="57" t="s">
        <v>2538</v>
      </c>
      <c r="X336" s="80" t="str">
        <f aca="false">HYPERLINK(IF(AND(ISNUMBER(U336),ISNUMBER(V336)),"https://www.google.com/maps/search/?api=1&amp;query="&amp;U336&amp;","&amp;V336,"https://www.google.com/maps/search/?api=1&amp;query="&amp;SUBSTITUTE(SUBSTITUTE(SUBSTITUTE(B336&amp;", "&amp;M336&amp;", Puno, Peru"," ","+"),"&amp;","y"),"#","")),"Ver en mapa")</f>
        <v>Ver en mapa</v>
      </c>
      <c r="Y336" s="72"/>
      <c r="Z336" s="57"/>
      <c r="AA336" s="72"/>
      <c r="AB336" s="59"/>
      <c r="AC336" s="59"/>
      <c r="AD336" s="72"/>
      <c r="AE336" s="72"/>
      <c r="AF336" s="72"/>
      <c r="AG336" s="72"/>
      <c r="AH336" s="62" t="s">
        <v>2494</v>
      </c>
      <c r="AI336" s="72"/>
      <c r="AJ336" s="63" t="s">
        <v>2970</v>
      </c>
      <c r="AK336" s="81" t="str">
        <f aca="false">IF(AND(ISNUMBER(U336),ISNUMBER(V336),ISNUMBER(14_Cercania!$C$13),ISNUMBER(14_Cercania!$C$14)),6371*2*ASIN(SQRT(SIN(RADIANS(14_Cercania!$C$13-U336)/2)^2+COS(RADIANS(U336))*COS(RADIANS(14_Cercania!$C$13))*SIN(RADIANS(14_Cercania!$C$14-V336)/2)^2))+ROW()*0.000000001,"")</f>
        <v/>
      </c>
    </row>
    <row r="337" customFormat="false" ht="15" hidden="false" customHeight="false" outlineLevel="0" collapsed="false">
      <c r="A337" s="55" t="n">
        <v>335</v>
      </c>
      <c r="B337" s="56"/>
      <c r="C337" s="55"/>
      <c r="D337" s="56"/>
      <c r="E337" s="71"/>
      <c r="F337" s="57"/>
      <c r="G337" s="57"/>
      <c r="H337" s="72"/>
      <c r="I337" s="72"/>
      <c r="J337" s="72"/>
      <c r="K337" s="72"/>
      <c r="L337" s="72"/>
      <c r="M337" s="57"/>
      <c r="N337" s="57"/>
      <c r="O337" s="55"/>
      <c r="P337" s="73"/>
      <c r="Q337" s="73" t="s">
        <v>2490</v>
      </c>
      <c r="R337" s="55" t="s">
        <v>2491</v>
      </c>
      <c r="S337" s="55" t="s">
        <v>2491</v>
      </c>
      <c r="T337" s="55" t="s">
        <v>2491</v>
      </c>
      <c r="U337" s="83"/>
      <c r="V337" s="83"/>
      <c r="W337" s="57" t="s">
        <v>2538</v>
      </c>
      <c r="X337" s="76" t="str">
        <f aca="false">HYPERLINK(IF(AND(ISNUMBER(U337),ISNUMBER(V337)),"https://www.google.com/maps/search/?api=1&amp;query="&amp;U337&amp;","&amp;V337,"https://www.google.com/maps/search/?api=1&amp;query="&amp;SUBSTITUTE(SUBSTITUTE(SUBSTITUTE(B337&amp;", "&amp;M337&amp;", Puno, Peru"," ","+"),"&amp;","y"),"#","")),"Ver en mapa")</f>
        <v>Ver en mapa</v>
      </c>
      <c r="Y337" s="72"/>
      <c r="Z337" s="57"/>
      <c r="AA337" s="72"/>
      <c r="AB337" s="59"/>
      <c r="AC337" s="59"/>
      <c r="AD337" s="72"/>
      <c r="AE337" s="72"/>
      <c r="AF337" s="72"/>
      <c r="AG337" s="72"/>
      <c r="AH337" s="55" t="s">
        <v>2494</v>
      </c>
      <c r="AI337" s="72"/>
      <c r="AJ337" s="56" t="s">
        <v>2970</v>
      </c>
      <c r="AK337" s="77" t="str">
        <f aca="false">IF(AND(ISNUMBER(U337),ISNUMBER(V337),ISNUMBER(14_Cercania!$C$13),ISNUMBER(14_Cercania!$C$14)),6371*2*ASIN(SQRT(SIN(RADIANS(14_Cercania!$C$13-U337)/2)^2+COS(RADIANS(U337))*COS(RADIANS(14_Cercania!$C$13))*SIN(RADIANS(14_Cercania!$C$14-V337)/2)^2))+ROW()*0.000000001,"")</f>
        <v/>
      </c>
    </row>
    <row r="338" customFormat="false" ht="15" hidden="false" customHeight="false" outlineLevel="0" collapsed="false">
      <c r="A338" s="62" t="n">
        <v>336</v>
      </c>
      <c r="B338" s="63"/>
      <c r="C338" s="62"/>
      <c r="D338" s="63"/>
      <c r="E338" s="71"/>
      <c r="F338" s="57"/>
      <c r="G338" s="57"/>
      <c r="H338" s="72"/>
      <c r="I338" s="72"/>
      <c r="J338" s="72"/>
      <c r="K338" s="72"/>
      <c r="L338" s="72"/>
      <c r="M338" s="57"/>
      <c r="N338" s="57"/>
      <c r="O338" s="62"/>
      <c r="P338" s="78"/>
      <c r="Q338" s="78" t="s">
        <v>2490</v>
      </c>
      <c r="R338" s="62" t="s">
        <v>2491</v>
      </c>
      <c r="S338" s="62" t="s">
        <v>2491</v>
      </c>
      <c r="T338" s="62" t="s">
        <v>2491</v>
      </c>
      <c r="U338" s="83"/>
      <c r="V338" s="83"/>
      <c r="W338" s="57" t="s">
        <v>2538</v>
      </c>
      <c r="X338" s="80" t="str">
        <f aca="false">HYPERLINK(IF(AND(ISNUMBER(U338),ISNUMBER(V338)),"https://www.google.com/maps/search/?api=1&amp;query="&amp;U338&amp;","&amp;V338,"https://www.google.com/maps/search/?api=1&amp;query="&amp;SUBSTITUTE(SUBSTITUTE(SUBSTITUTE(B338&amp;", "&amp;M338&amp;", Puno, Peru"," ","+"),"&amp;","y"),"#","")),"Ver en mapa")</f>
        <v>Ver en mapa</v>
      </c>
      <c r="Y338" s="72"/>
      <c r="Z338" s="57"/>
      <c r="AA338" s="72"/>
      <c r="AB338" s="59"/>
      <c r="AC338" s="59"/>
      <c r="AD338" s="72"/>
      <c r="AE338" s="72"/>
      <c r="AF338" s="72"/>
      <c r="AG338" s="72"/>
      <c r="AH338" s="62" t="s">
        <v>2494</v>
      </c>
      <c r="AI338" s="72"/>
      <c r="AJ338" s="63" t="s">
        <v>2970</v>
      </c>
      <c r="AK338" s="81" t="str">
        <f aca="false">IF(AND(ISNUMBER(U338),ISNUMBER(V338),ISNUMBER(14_Cercania!$C$13),ISNUMBER(14_Cercania!$C$14)),6371*2*ASIN(SQRT(SIN(RADIANS(14_Cercania!$C$13-U338)/2)^2+COS(RADIANS(U338))*COS(RADIANS(14_Cercania!$C$13))*SIN(RADIANS(14_Cercania!$C$14-V338)/2)^2))+ROW()*0.000000001,"")</f>
        <v/>
      </c>
    </row>
    <row r="339" customFormat="false" ht="15" hidden="false" customHeight="false" outlineLevel="0" collapsed="false">
      <c r="A339" s="55" t="n">
        <v>337</v>
      </c>
      <c r="B339" s="56"/>
      <c r="C339" s="55"/>
      <c r="D339" s="56"/>
      <c r="E339" s="71"/>
      <c r="F339" s="57"/>
      <c r="G339" s="57"/>
      <c r="H339" s="72"/>
      <c r="I339" s="72"/>
      <c r="J339" s="72"/>
      <c r="K339" s="72"/>
      <c r="L339" s="72"/>
      <c r="M339" s="57"/>
      <c r="N339" s="57"/>
      <c r="O339" s="55"/>
      <c r="P339" s="73"/>
      <c r="Q339" s="73" t="s">
        <v>2490</v>
      </c>
      <c r="R339" s="55" t="s">
        <v>2491</v>
      </c>
      <c r="S339" s="55" t="s">
        <v>2491</v>
      </c>
      <c r="T339" s="55" t="s">
        <v>2491</v>
      </c>
      <c r="U339" s="83"/>
      <c r="V339" s="83"/>
      <c r="W339" s="57" t="s">
        <v>2538</v>
      </c>
      <c r="X339" s="76" t="str">
        <f aca="false">HYPERLINK(IF(AND(ISNUMBER(U339),ISNUMBER(V339)),"https://www.google.com/maps/search/?api=1&amp;query="&amp;U339&amp;","&amp;V339,"https://www.google.com/maps/search/?api=1&amp;query="&amp;SUBSTITUTE(SUBSTITUTE(SUBSTITUTE(B339&amp;", "&amp;M339&amp;", Puno, Peru"," ","+"),"&amp;","y"),"#","")),"Ver en mapa")</f>
        <v>Ver en mapa</v>
      </c>
      <c r="Y339" s="72"/>
      <c r="Z339" s="57"/>
      <c r="AA339" s="72"/>
      <c r="AB339" s="59"/>
      <c r="AC339" s="59"/>
      <c r="AD339" s="72"/>
      <c r="AE339" s="72"/>
      <c r="AF339" s="72"/>
      <c r="AG339" s="72"/>
      <c r="AH339" s="55" t="s">
        <v>2494</v>
      </c>
      <c r="AI339" s="72"/>
      <c r="AJ339" s="56" t="s">
        <v>2970</v>
      </c>
      <c r="AK339" s="77" t="str">
        <f aca="false">IF(AND(ISNUMBER(U339),ISNUMBER(V339),ISNUMBER(14_Cercania!$C$13),ISNUMBER(14_Cercania!$C$14)),6371*2*ASIN(SQRT(SIN(RADIANS(14_Cercania!$C$13-U339)/2)^2+COS(RADIANS(U339))*COS(RADIANS(14_Cercania!$C$13))*SIN(RADIANS(14_Cercania!$C$14-V339)/2)^2))+ROW()*0.000000001,"")</f>
        <v/>
      </c>
    </row>
    <row r="340" customFormat="false" ht="15" hidden="false" customHeight="false" outlineLevel="0" collapsed="false">
      <c r="A340" s="62" t="n">
        <v>338</v>
      </c>
      <c r="B340" s="63"/>
      <c r="C340" s="62"/>
      <c r="D340" s="63"/>
      <c r="E340" s="71"/>
      <c r="F340" s="57"/>
      <c r="G340" s="57"/>
      <c r="H340" s="72"/>
      <c r="I340" s="72"/>
      <c r="J340" s="72"/>
      <c r="K340" s="72"/>
      <c r="L340" s="72"/>
      <c r="M340" s="57"/>
      <c r="N340" s="57"/>
      <c r="O340" s="62"/>
      <c r="P340" s="78"/>
      <c r="Q340" s="78" t="s">
        <v>2490</v>
      </c>
      <c r="R340" s="62" t="s">
        <v>2491</v>
      </c>
      <c r="S340" s="62" t="s">
        <v>2491</v>
      </c>
      <c r="T340" s="62" t="s">
        <v>2491</v>
      </c>
      <c r="U340" s="83"/>
      <c r="V340" s="83"/>
      <c r="W340" s="57" t="s">
        <v>2538</v>
      </c>
      <c r="X340" s="80" t="str">
        <f aca="false">HYPERLINK(IF(AND(ISNUMBER(U340),ISNUMBER(V340)),"https://www.google.com/maps/search/?api=1&amp;query="&amp;U340&amp;","&amp;V340,"https://www.google.com/maps/search/?api=1&amp;query="&amp;SUBSTITUTE(SUBSTITUTE(SUBSTITUTE(B340&amp;", "&amp;M340&amp;", Puno, Peru"," ","+"),"&amp;","y"),"#","")),"Ver en mapa")</f>
        <v>Ver en mapa</v>
      </c>
      <c r="Y340" s="72"/>
      <c r="Z340" s="57"/>
      <c r="AA340" s="72"/>
      <c r="AB340" s="59"/>
      <c r="AC340" s="59"/>
      <c r="AD340" s="72"/>
      <c r="AE340" s="72"/>
      <c r="AF340" s="72"/>
      <c r="AG340" s="72"/>
      <c r="AH340" s="62" t="s">
        <v>2494</v>
      </c>
      <c r="AI340" s="72"/>
      <c r="AJ340" s="63" t="s">
        <v>2970</v>
      </c>
      <c r="AK340" s="81" t="str">
        <f aca="false">IF(AND(ISNUMBER(U340),ISNUMBER(V340),ISNUMBER(14_Cercania!$C$13),ISNUMBER(14_Cercania!$C$14)),6371*2*ASIN(SQRT(SIN(RADIANS(14_Cercania!$C$13-U340)/2)^2+COS(RADIANS(U340))*COS(RADIANS(14_Cercania!$C$13))*SIN(RADIANS(14_Cercania!$C$14-V340)/2)^2))+ROW()*0.000000001,"")</f>
        <v/>
      </c>
    </row>
    <row r="341" customFormat="false" ht="15" hidden="false" customHeight="false" outlineLevel="0" collapsed="false">
      <c r="A341" s="55" t="n">
        <v>339</v>
      </c>
      <c r="B341" s="56"/>
      <c r="C341" s="55"/>
      <c r="D341" s="56"/>
      <c r="E341" s="71"/>
      <c r="F341" s="57"/>
      <c r="G341" s="57"/>
      <c r="H341" s="72"/>
      <c r="I341" s="72"/>
      <c r="J341" s="72"/>
      <c r="K341" s="72"/>
      <c r="L341" s="72"/>
      <c r="M341" s="57"/>
      <c r="N341" s="57"/>
      <c r="O341" s="55"/>
      <c r="P341" s="73"/>
      <c r="Q341" s="73" t="s">
        <v>2490</v>
      </c>
      <c r="R341" s="55" t="s">
        <v>2491</v>
      </c>
      <c r="S341" s="55" t="s">
        <v>2491</v>
      </c>
      <c r="T341" s="55" t="s">
        <v>2491</v>
      </c>
      <c r="U341" s="83"/>
      <c r="V341" s="83"/>
      <c r="W341" s="57" t="s">
        <v>2538</v>
      </c>
      <c r="X341" s="76" t="str">
        <f aca="false">HYPERLINK(IF(AND(ISNUMBER(U341),ISNUMBER(V341)),"https://www.google.com/maps/search/?api=1&amp;query="&amp;U341&amp;","&amp;V341,"https://www.google.com/maps/search/?api=1&amp;query="&amp;SUBSTITUTE(SUBSTITUTE(SUBSTITUTE(B341&amp;", "&amp;M341&amp;", Puno, Peru"," ","+"),"&amp;","y"),"#","")),"Ver en mapa")</f>
        <v>Ver en mapa</v>
      </c>
      <c r="Y341" s="72"/>
      <c r="Z341" s="57"/>
      <c r="AA341" s="72"/>
      <c r="AB341" s="59"/>
      <c r="AC341" s="59"/>
      <c r="AD341" s="72"/>
      <c r="AE341" s="72"/>
      <c r="AF341" s="72"/>
      <c r="AG341" s="72"/>
      <c r="AH341" s="55" t="s">
        <v>2494</v>
      </c>
      <c r="AI341" s="72"/>
      <c r="AJ341" s="56" t="s">
        <v>2970</v>
      </c>
      <c r="AK341" s="77" t="str">
        <f aca="false">IF(AND(ISNUMBER(U341),ISNUMBER(V341),ISNUMBER(14_Cercania!$C$13),ISNUMBER(14_Cercania!$C$14)),6371*2*ASIN(SQRT(SIN(RADIANS(14_Cercania!$C$13-U341)/2)^2+COS(RADIANS(U341))*COS(RADIANS(14_Cercania!$C$13))*SIN(RADIANS(14_Cercania!$C$14-V341)/2)^2))+ROW()*0.000000001,"")</f>
        <v/>
      </c>
    </row>
    <row r="342" customFormat="false" ht="15" hidden="false" customHeight="false" outlineLevel="0" collapsed="false">
      <c r="A342" s="62" t="n">
        <v>340</v>
      </c>
      <c r="B342" s="63"/>
      <c r="C342" s="62"/>
      <c r="D342" s="63"/>
      <c r="E342" s="71"/>
      <c r="F342" s="57"/>
      <c r="G342" s="57"/>
      <c r="H342" s="72"/>
      <c r="I342" s="72"/>
      <c r="J342" s="72"/>
      <c r="K342" s="72"/>
      <c r="L342" s="72"/>
      <c r="M342" s="57"/>
      <c r="N342" s="57"/>
      <c r="O342" s="62"/>
      <c r="P342" s="78"/>
      <c r="Q342" s="78" t="s">
        <v>2490</v>
      </c>
      <c r="R342" s="62" t="s">
        <v>2491</v>
      </c>
      <c r="S342" s="62" t="s">
        <v>2491</v>
      </c>
      <c r="T342" s="62" t="s">
        <v>2491</v>
      </c>
      <c r="U342" s="83"/>
      <c r="V342" s="83"/>
      <c r="W342" s="57" t="s">
        <v>2538</v>
      </c>
      <c r="X342" s="80" t="str">
        <f aca="false">HYPERLINK(IF(AND(ISNUMBER(U342),ISNUMBER(V342)),"https://www.google.com/maps/search/?api=1&amp;query="&amp;U342&amp;","&amp;V342,"https://www.google.com/maps/search/?api=1&amp;query="&amp;SUBSTITUTE(SUBSTITUTE(SUBSTITUTE(B342&amp;", "&amp;M342&amp;", Puno, Peru"," ","+"),"&amp;","y"),"#","")),"Ver en mapa")</f>
        <v>Ver en mapa</v>
      </c>
      <c r="Y342" s="72"/>
      <c r="Z342" s="57"/>
      <c r="AA342" s="72"/>
      <c r="AB342" s="59"/>
      <c r="AC342" s="59"/>
      <c r="AD342" s="72"/>
      <c r="AE342" s="72"/>
      <c r="AF342" s="72"/>
      <c r="AG342" s="72"/>
      <c r="AH342" s="62" t="s">
        <v>2494</v>
      </c>
      <c r="AI342" s="72"/>
      <c r="AJ342" s="63" t="s">
        <v>2970</v>
      </c>
      <c r="AK342" s="81" t="str">
        <f aca="false">IF(AND(ISNUMBER(U342),ISNUMBER(V342),ISNUMBER(14_Cercania!$C$13),ISNUMBER(14_Cercania!$C$14)),6371*2*ASIN(SQRT(SIN(RADIANS(14_Cercania!$C$13-U342)/2)^2+COS(RADIANS(U342))*COS(RADIANS(14_Cercania!$C$13))*SIN(RADIANS(14_Cercania!$C$14-V342)/2)^2))+ROW()*0.000000001,"")</f>
        <v/>
      </c>
    </row>
    <row r="343" customFormat="false" ht="15" hidden="false" customHeight="false" outlineLevel="0" collapsed="false">
      <c r="A343" s="55" t="n">
        <v>341</v>
      </c>
      <c r="B343" s="56"/>
      <c r="C343" s="55"/>
      <c r="D343" s="56"/>
      <c r="E343" s="71"/>
      <c r="F343" s="57"/>
      <c r="G343" s="57"/>
      <c r="H343" s="72"/>
      <c r="I343" s="72"/>
      <c r="J343" s="72"/>
      <c r="K343" s="72"/>
      <c r="L343" s="72"/>
      <c r="M343" s="57"/>
      <c r="N343" s="57"/>
      <c r="O343" s="55"/>
      <c r="P343" s="73"/>
      <c r="Q343" s="73" t="s">
        <v>2490</v>
      </c>
      <c r="R343" s="55" t="s">
        <v>2491</v>
      </c>
      <c r="S343" s="55" t="s">
        <v>2491</v>
      </c>
      <c r="T343" s="55" t="s">
        <v>2491</v>
      </c>
      <c r="U343" s="83"/>
      <c r="V343" s="83"/>
      <c r="W343" s="57" t="s">
        <v>2538</v>
      </c>
      <c r="X343" s="76" t="str">
        <f aca="false">HYPERLINK(IF(AND(ISNUMBER(U343),ISNUMBER(V343)),"https://www.google.com/maps/search/?api=1&amp;query="&amp;U343&amp;","&amp;V343,"https://www.google.com/maps/search/?api=1&amp;query="&amp;SUBSTITUTE(SUBSTITUTE(SUBSTITUTE(B343&amp;", "&amp;M343&amp;", Puno, Peru"," ","+"),"&amp;","y"),"#","")),"Ver en mapa")</f>
        <v>Ver en mapa</v>
      </c>
      <c r="Y343" s="72"/>
      <c r="Z343" s="57"/>
      <c r="AA343" s="72"/>
      <c r="AB343" s="59"/>
      <c r="AC343" s="59"/>
      <c r="AD343" s="72"/>
      <c r="AE343" s="72"/>
      <c r="AF343" s="72"/>
      <c r="AG343" s="72"/>
      <c r="AH343" s="55" t="s">
        <v>2494</v>
      </c>
      <c r="AI343" s="72"/>
      <c r="AJ343" s="56" t="s">
        <v>2970</v>
      </c>
      <c r="AK343" s="77" t="str">
        <f aca="false">IF(AND(ISNUMBER(U343),ISNUMBER(V343),ISNUMBER(14_Cercania!$C$13),ISNUMBER(14_Cercania!$C$14)),6371*2*ASIN(SQRT(SIN(RADIANS(14_Cercania!$C$13-U343)/2)^2+COS(RADIANS(U343))*COS(RADIANS(14_Cercania!$C$13))*SIN(RADIANS(14_Cercania!$C$14-V343)/2)^2))+ROW()*0.000000001,"")</f>
        <v/>
      </c>
    </row>
    <row r="344" customFormat="false" ht="15" hidden="false" customHeight="false" outlineLevel="0" collapsed="false">
      <c r="A344" s="62" t="n">
        <v>342</v>
      </c>
      <c r="B344" s="63"/>
      <c r="C344" s="62"/>
      <c r="D344" s="63"/>
      <c r="E344" s="71"/>
      <c r="F344" s="57"/>
      <c r="G344" s="57"/>
      <c r="H344" s="72"/>
      <c r="I344" s="72"/>
      <c r="J344" s="72"/>
      <c r="K344" s="72"/>
      <c r="L344" s="72"/>
      <c r="M344" s="57"/>
      <c r="N344" s="57"/>
      <c r="O344" s="62"/>
      <c r="P344" s="78"/>
      <c r="Q344" s="78" t="s">
        <v>2490</v>
      </c>
      <c r="R344" s="62" t="s">
        <v>2491</v>
      </c>
      <c r="S344" s="62" t="s">
        <v>2491</v>
      </c>
      <c r="T344" s="62" t="s">
        <v>2491</v>
      </c>
      <c r="U344" s="83"/>
      <c r="V344" s="83"/>
      <c r="W344" s="57" t="s">
        <v>2538</v>
      </c>
      <c r="X344" s="80" t="str">
        <f aca="false">HYPERLINK(IF(AND(ISNUMBER(U344),ISNUMBER(V344)),"https://www.google.com/maps/search/?api=1&amp;query="&amp;U344&amp;","&amp;V344,"https://www.google.com/maps/search/?api=1&amp;query="&amp;SUBSTITUTE(SUBSTITUTE(SUBSTITUTE(B344&amp;", "&amp;M344&amp;", Puno, Peru"," ","+"),"&amp;","y"),"#","")),"Ver en mapa")</f>
        <v>Ver en mapa</v>
      </c>
      <c r="Y344" s="72"/>
      <c r="Z344" s="57"/>
      <c r="AA344" s="72"/>
      <c r="AB344" s="59"/>
      <c r="AC344" s="59"/>
      <c r="AD344" s="72"/>
      <c r="AE344" s="72"/>
      <c r="AF344" s="72"/>
      <c r="AG344" s="72"/>
      <c r="AH344" s="62" t="s">
        <v>2494</v>
      </c>
      <c r="AI344" s="72"/>
      <c r="AJ344" s="63" t="s">
        <v>2970</v>
      </c>
      <c r="AK344" s="81" t="str">
        <f aca="false">IF(AND(ISNUMBER(U344),ISNUMBER(V344),ISNUMBER(14_Cercania!$C$13),ISNUMBER(14_Cercania!$C$14)),6371*2*ASIN(SQRT(SIN(RADIANS(14_Cercania!$C$13-U344)/2)^2+COS(RADIANS(U344))*COS(RADIANS(14_Cercania!$C$13))*SIN(RADIANS(14_Cercania!$C$14-V344)/2)^2))+ROW()*0.000000001,"")</f>
        <v/>
      </c>
    </row>
    <row r="345" customFormat="false" ht="15" hidden="false" customHeight="false" outlineLevel="0" collapsed="false">
      <c r="A345" s="55" t="n">
        <v>343</v>
      </c>
      <c r="B345" s="56"/>
      <c r="C345" s="55"/>
      <c r="D345" s="56"/>
      <c r="E345" s="71"/>
      <c r="F345" s="57"/>
      <c r="G345" s="57"/>
      <c r="H345" s="72"/>
      <c r="I345" s="72"/>
      <c r="J345" s="72"/>
      <c r="K345" s="72"/>
      <c r="L345" s="72"/>
      <c r="M345" s="57"/>
      <c r="N345" s="57"/>
      <c r="O345" s="55"/>
      <c r="P345" s="73"/>
      <c r="Q345" s="73" t="s">
        <v>2490</v>
      </c>
      <c r="R345" s="55" t="s">
        <v>2491</v>
      </c>
      <c r="S345" s="55" t="s">
        <v>2491</v>
      </c>
      <c r="T345" s="55" t="s">
        <v>2491</v>
      </c>
      <c r="U345" s="83"/>
      <c r="V345" s="83"/>
      <c r="W345" s="57" t="s">
        <v>2538</v>
      </c>
      <c r="X345" s="76" t="str">
        <f aca="false">HYPERLINK(IF(AND(ISNUMBER(U345),ISNUMBER(V345)),"https://www.google.com/maps/search/?api=1&amp;query="&amp;U345&amp;","&amp;V345,"https://www.google.com/maps/search/?api=1&amp;query="&amp;SUBSTITUTE(SUBSTITUTE(SUBSTITUTE(B345&amp;", "&amp;M345&amp;", Puno, Peru"," ","+"),"&amp;","y"),"#","")),"Ver en mapa")</f>
        <v>Ver en mapa</v>
      </c>
      <c r="Y345" s="72"/>
      <c r="Z345" s="57"/>
      <c r="AA345" s="72"/>
      <c r="AB345" s="59"/>
      <c r="AC345" s="59"/>
      <c r="AD345" s="72"/>
      <c r="AE345" s="72"/>
      <c r="AF345" s="72"/>
      <c r="AG345" s="72"/>
      <c r="AH345" s="55" t="s">
        <v>2494</v>
      </c>
      <c r="AI345" s="72"/>
      <c r="AJ345" s="56" t="s">
        <v>2970</v>
      </c>
      <c r="AK345" s="77" t="str">
        <f aca="false">IF(AND(ISNUMBER(U345),ISNUMBER(V345),ISNUMBER(14_Cercania!$C$13),ISNUMBER(14_Cercania!$C$14)),6371*2*ASIN(SQRT(SIN(RADIANS(14_Cercania!$C$13-U345)/2)^2+COS(RADIANS(U345))*COS(RADIANS(14_Cercania!$C$13))*SIN(RADIANS(14_Cercania!$C$14-V345)/2)^2))+ROW()*0.000000001,"")</f>
        <v/>
      </c>
    </row>
    <row r="346" customFormat="false" ht="15" hidden="false" customHeight="false" outlineLevel="0" collapsed="false">
      <c r="A346" s="62" t="n">
        <v>344</v>
      </c>
      <c r="B346" s="63"/>
      <c r="C346" s="62"/>
      <c r="D346" s="63"/>
      <c r="E346" s="71"/>
      <c r="F346" s="57"/>
      <c r="G346" s="57"/>
      <c r="H346" s="72"/>
      <c r="I346" s="72"/>
      <c r="J346" s="72"/>
      <c r="K346" s="72"/>
      <c r="L346" s="72"/>
      <c r="M346" s="57"/>
      <c r="N346" s="57"/>
      <c r="O346" s="62"/>
      <c r="P346" s="78"/>
      <c r="Q346" s="78" t="s">
        <v>2490</v>
      </c>
      <c r="R346" s="62" t="s">
        <v>2491</v>
      </c>
      <c r="S346" s="62" t="s">
        <v>2491</v>
      </c>
      <c r="T346" s="62" t="s">
        <v>2491</v>
      </c>
      <c r="U346" s="83"/>
      <c r="V346" s="83"/>
      <c r="W346" s="57" t="s">
        <v>2538</v>
      </c>
      <c r="X346" s="80" t="str">
        <f aca="false">HYPERLINK(IF(AND(ISNUMBER(U346),ISNUMBER(V346)),"https://www.google.com/maps/search/?api=1&amp;query="&amp;U346&amp;","&amp;V346,"https://www.google.com/maps/search/?api=1&amp;query="&amp;SUBSTITUTE(SUBSTITUTE(SUBSTITUTE(B346&amp;", "&amp;M346&amp;", Puno, Peru"," ","+"),"&amp;","y"),"#","")),"Ver en mapa")</f>
        <v>Ver en mapa</v>
      </c>
      <c r="Y346" s="72"/>
      <c r="Z346" s="57"/>
      <c r="AA346" s="72"/>
      <c r="AB346" s="59"/>
      <c r="AC346" s="59"/>
      <c r="AD346" s="72"/>
      <c r="AE346" s="72"/>
      <c r="AF346" s="72"/>
      <c r="AG346" s="72"/>
      <c r="AH346" s="62" t="s">
        <v>2494</v>
      </c>
      <c r="AI346" s="72"/>
      <c r="AJ346" s="63" t="s">
        <v>2970</v>
      </c>
      <c r="AK346" s="81" t="str">
        <f aca="false">IF(AND(ISNUMBER(U346),ISNUMBER(V346),ISNUMBER(14_Cercania!$C$13),ISNUMBER(14_Cercania!$C$14)),6371*2*ASIN(SQRT(SIN(RADIANS(14_Cercania!$C$13-U346)/2)^2+COS(RADIANS(U346))*COS(RADIANS(14_Cercania!$C$13))*SIN(RADIANS(14_Cercania!$C$14-V346)/2)^2))+ROW()*0.000000001,"")</f>
        <v/>
      </c>
    </row>
    <row r="347" customFormat="false" ht="15" hidden="false" customHeight="false" outlineLevel="0" collapsed="false">
      <c r="A347" s="55" t="n">
        <v>345</v>
      </c>
      <c r="B347" s="56"/>
      <c r="C347" s="55"/>
      <c r="D347" s="56"/>
      <c r="E347" s="71"/>
      <c r="F347" s="57"/>
      <c r="G347" s="57"/>
      <c r="H347" s="72"/>
      <c r="I347" s="72"/>
      <c r="J347" s="72"/>
      <c r="K347" s="72"/>
      <c r="L347" s="72"/>
      <c r="M347" s="57"/>
      <c r="N347" s="57"/>
      <c r="O347" s="55"/>
      <c r="P347" s="73"/>
      <c r="Q347" s="73" t="s">
        <v>2490</v>
      </c>
      <c r="R347" s="55" t="s">
        <v>2491</v>
      </c>
      <c r="S347" s="55" t="s">
        <v>2491</v>
      </c>
      <c r="T347" s="55" t="s">
        <v>2491</v>
      </c>
      <c r="U347" s="83"/>
      <c r="V347" s="83"/>
      <c r="W347" s="57" t="s">
        <v>2538</v>
      </c>
      <c r="X347" s="76" t="str">
        <f aca="false">HYPERLINK(IF(AND(ISNUMBER(U347),ISNUMBER(V347)),"https://www.google.com/maps/search/?api=1&amp;query="&amp;U347&amp;","&amp;V347,"https://www.google.com/maps/search/?api=1&amp;query="&amp;SUBSTITUTE(SUBSTITUTE(SUBSTITUTE(B347&amp;", "&amp;M347&amp;", Puno, Peru"," ","+"),"&amp;","y"),"#","")),"Ver en mapa")</f>
        <v>Ver en mapa</v>
      </c>
      <c r="Y347" s="72"/>
      <c r="Z347" s="57"/>
      <c r="AA347" s="72"/>
      <c r="AB347" s="59"/>
      <c r="AC347" s="59"/>
      <c r="AD347" s="72"/>
      <c r="AE347" s="72"/>
      <c r="AF347" s="72"/>
      <c r="AG347" s="72"/>
      <c r="AH347" s="55" t="s">
        <v>2494</v>
      </c>
      <c r="AI347" s="72"/>
      <c r="AJ347" s="56" t="s">
        <v>2970</v>
      </c>
      <c r="AK347" s="77" t="str">
        <f aca="false">IF(AND(ISNUMBER(U347),ISNUMBER(V347),ISNUMBER(14_Cercania!$C$13),ISNUMBER(14_Cercania!$C$14)),6371*2*ASIN(SQRT(SIN(RADIANS(14_Cercania!$C$13-U347)/2)^2+COS(RADIANS(U347))*COS(RADIANS(14_Cercania!$C$13))*SIN(RADIANS(14_Cercania!$C$14-V347)/2)^2))+ROW()*0.000000001,"")</f>
        <v/>
      </c>
    </row>
    <row r="348" customFormat="false" ht="15" hidden="false" customHeight="false" outlineLevel="0" collapsed="false">
      <c r="A348" s="62" t="n">
        <v>346</v>
      </c>
      <c r="B348" s="63"/>
      <c r="C348" s="62"/>
      <c r="D348" s="63"/>
      <c r="E348" s="71"/>
      <c r="F348" s="57"/>
      <c r="G348" s="57"/>
      <c r="H348" s="72"/>
      <c r="I348" s="72"/>
      <c r="J348" s="72"/>
      <c r="K348" s="72"/>
      <c r="L348" s="72"/>
      <c r="M348" s="57"/>
      <c r="N348" s="57"/>
      <c r="O348" s="62"/>
      <c r="P348" s="78"/>
      <c r="Q348" s="78" t="s">
        <v>2490</v>
      </c>
      <c r="R348" s="62" t="s">
        <v>2491</v>
      </c>
      <c r="S348" s="62" t="s">
        <v>2491</v>
      </c>
      <c r="T348" s="62" t="s">
        <v>2491</v>
      </c>
      <c r="U348" s="83"/>
      <c r="V348" s="83"/>
      <c r="W348" s="57" t="s">
        <v>2538</v>
      </c>
      <c r="X348" s="80" t="str">
        <f aca="false">HYPERLINK(IF(AND(ISNUMBER(U348),ISNUMBER(V348)),"https://www.google.com/maps/search/?api=1&amp;query="&amp;U348&amp;","&amp;V348,"https://www.google.com/maps/search/?api=1&amp;query="&amp;SUBSTITUTE(SUBSTITUTE(SUBSTITUTE(B348&amp;", "&amp;M348&amp;", Puno, Peru"," ","+"),"&amp;","y"),"#","")),"Ver en mapa")</f>
        <v>Ver en mapa</v>
      </c>
      <c r="Y348" s="72"/>
      <c r="Z348" s="57"/>
      <c r="AA348" s="72"/>
      <c r="AB348" s="59"/>
      <c r="AC348" s="59"/>
      <c r="AD348" s="72"/>
      <c r="AE348" s="72"/>
      <c r="AF348" s="72"/>
      <c r="AG348" s="72"/>
      <c r="AH348" s="62" t="s">
        <v>2494</v>
      </c>
      <c r="AI348" s="72"/>
      <c r="AJ348" s="63" t="s">
        <v>2970</v>
      </c>
      <c r="AK348" s="81" t="str">
        <f aca="false">IF(AND(ISNUMBER(U348),ISNUMBER(V348),ISNUMBER(14_Cercania!$C$13),ISNUMBER(14_Cercania!$C$14)),6371*2*ASIN(SQRT(SIN(RADIANS(14_Cercania!$C$13-U348)/2)^2+COS(RADIANS(U348))*COS(RADIANS(14_Cercania!$C$13))*SIN(RADIANS(14_Cercania!$C$14-V348)/2)^2))+ROW()*0.000000001,"")</f>
        <v/>
      </c>
    </row>
    <row r="349" customFormat="false" ht="15" hidden="false" customHeight="false" outlineLevel="0" collapsed="false">
      <c r="A349" s="55" t="n">
        <v>347</v>
      </c>
      <c r="B349" s="56"/>
      <c r="C349" s="55"/>
      <c r="D349" s="56"/>
      <c r="E349" s="71"/>
      <c r="F349" s="57"/>
      <c r="G349" s="57"/>
      <c r="H349" s="72"/>
      <c r="I349" s="72"/>
      <c r="J349" s="72"/>
      <c r="K349" s="72"/>
      <c r="L349" s="72"/>
      <c r="M349" s="57"/>
      <c r="N349" s="57"/>
      <c r="O349" s="55"/>
      <c r="P349" s="73"/>
      <c r="Q349" s="73" t="s">
        <v>2490</v>
      </c>
      <c r="R349" s="55" t="s">
        <v>2491</v>
      </c>
      <c r="S349" s="55" t="s">
        <v>2491</v>
      </c>
      <c r="T349" s="55" t="s">
        <v>2491</v>
      </c>
      <c r="U349" s="83"/>
      <c r="V349" s="83"/>
      <c r="W349" s="57" t="s">
        <v>2538</v>
      </c>
      <c r="X349" s="76" t="str">
        <f aca="false">HYPERLINK(IF(AND(ISNUMBER(U349),ISNUMBER(V349)),"https://www.google.com/maps/search/?api=1&amp;query="&amp;U349&amp;","&amp;V349,"https://www.google.com/maps/search/?api=1&amp;query="&amp;SUBSTITUTE(SUBSTITUTE(SUBSTITUTE(B349&amp;", "&amp;M349&amp;", Puno, Peru"," ","+"),"&amp;","y"),"#","")),"Ver en mapa")</f>
        <v>Ver en mapa</v>
      </c>
      <c r="Y349" s="72"/>
      <c r="Z349" s="57"/>
      <c r="AA349" s="72"/>
      <c r="AB349" s="59"/>
      <c r="AC349" s="59"/>
      <c r="AD349" s="72"/>
      <c r="AE349" s="72"/>
      <c r="AF349" s="72"/>
      <c r="AG349" s="72"/>
      <c r="AH349" s="55" t="s">
        <v>2494</v>
      </c>
      <c r="AI349" s="72"/>
      <c r="AJ349" s="56" t="s">
        <v>2970</v>
      </c>
      <c r="AK349" s="77" t="str">
        <f aca="false">IF(AND(ISNUMBER(U349),ISNUMBER(V349),ISNUMBER(14_Cercania!$C$13),ISNUMBER(14_Cercania!$C$14)),6371*2*ASIN(SQRT(SIN(RADIANS(14_Cercania!$C$13-U349)/2)^2+COS(RADIANS(U349))*COS(RADIANS(14_Cercania!$C$13))*SIN(RADIANS(14_Cercania!$C$14-V349)/2)^2))+ROW()*0.000000001,"")</f>
        <v/>
      </c>
    </row>
    <row r="350" customFormat="false" ht="15" hidden="false" customHeight="false" outlineLevel="0" collapsed="false">
      <c r="A350" s="62" t="n">
        <v>348</v>
      </c>
      <c r="B350" s="63"/>
      <c r="C350" s="62"/>
      <c r="D350" s="63"/>
      <c r="E350" s="71"/>
      <c r="F350" s="57"/>
      <c r="G350" s="57"/>
      <c r="H350" s="72"/>
      <c r="I350" s="72"/>
      <c r="J350" s="72"/>
      <c r="K350" s="72"/>
      <c r="L350" s="72"/>
      <c r="M350" s="57"/>
      <c r="N350" s="57"/>
      <c r="O350" s="62"/>
      <c r="P350" s="78"/>
      <c r="Q350" s="78" t="s">
        <v>2490</v>
      </c>
      <c r="R350" s="62" t="s">
        <v>2491</v>
      </c>
      <c r="S350" s="62" t="s">
        <v>2491</v>
      </c>
      <c r="T350" s="62" t="s">
        <v>2491</v>
      </c>
      <c r="U350" s="83"/>
      <c r="V350" s="83"/>
      <c r="W350" s="57" t="s">
        <v>2538</v>
      </c>
      <c r="X350" s="80" t="str">
        <f aca="false">HYPERLINK(IF(AND(ISNUMBER(U350),ISNUMBER(V350)),"https://www.google.com/maps/search/?api=1&amp;query="&amp;U350&amp;","&amp;V350,"https://www.google.com/maps/search/?api=1&amp;query="&amp;SUBSTITUTE(SUBSTITUTE(SUBSTITUTE(B350&amp;", "&amp;M350&amp;", Puno, Peru"," ","+"),"&amp;","y"),"#","")),"Ver en mapa")</f>
        <v>Ver en mapa</v>
      </c>
      <c r="Y350" s="72"/>
      <c r="Z350" s="57"/>
      <c r="AA350" s="72"/>
      <c r="AB350" s="59"/>
      <c r="AC350" s="59"/>
      <c r="AD350" s="72"/>
      <c r="AE350" s="72"/>
      <c r="AF350" s="72"/>
      <c r="AG350" s="72"/>
      <c r="AH350" s="62" t="s">
        <v>2494</v>
      </c>
      <c r="AI350" s="72"/>
      <c r="AJ350" s="63" t="s">
        <v>2970</v>
      </c>
      <c r="AK350" s="81" t="str">
        <f aca="false">IF(AND(ISNUMBER(U350),ISNUMBER(V350),ISNUMBER(14_Cercania!$C$13),ISNUMBER(14_Cercania!$C$14)),6371*2*ASIN(SQRT(SIN(RADIANS(14_Cercania!$C$13-U350)/2)^2+COS(RADIANS(U350))*COS(RADIANS(14_Cercania!$C$13))*SIN(RADIANS(14_Cercania!$C$14-V350)/2)^2))+ROW()*0.000000001,"")</f>
        <v/>
      </c>
    </row>
    <row r="351" customFormat="false" ht="15" hidden="false" customHeight="false" outlineLevel="0" collapsed="false">
      <c r="A351" s="55" t="n">
        <v>349</v>
      </c>
      <c r="B351" s="56"/>
      <c r="C351" s="55"/>
      <c r="D351" s="56"/>
      <c r="E351" s="71"/>
      <c r="F351" s="57"/>
      <c r="G351" s="57"/>
      <c r="H351" s="72"/>
      <c r="I351" s="72"/>
      <c r="J351" s="72"/>
      <c r="K351" s="72"/>
      <c r="L351" s="72"/>
      <c r="M351" s="57"/>
      <c r="N351" s="57"/>
      <c r="O351" s="55"/>
      <c r="P351" s="73"/>
      <c r="Q351" s="73" t="s">
        <v>2490</v>
      </c>
      <c r="R351" s="55" t="s">
        <v>2491</v>
      </c>
      <c r="S351" s="55" t="s">
        <v>2491</v>
      </c>
      <c r="T351" s="55" t="s">
        <v>2491</v>
      </c>
      <c r="U351" s="83"/>
      <c r="V351" s="83"/>
      <c r="W351" s="57" t="s">
        <v>2538</v>
      </c>
      <c r="X351" s="76" t="str">
        <f aca="false">HYPERLINK(IF(AND(ISNUMBER(U351),ISNUMBER(V351)),"https://www.google.com/maps/search/?api=1&amp;query="&amp;U351&amp;","&amp;V351,"https://www.google.com/maps/search/?api=1&amp;query="&amp;SUBSTITUTE(SUBSTITUTE(SUBSTITUTE(B351&amp;", "&amp;M351&amp;", Puno, Peru"," ","+"),"&amp;","y"),"#","")),"Ver en mapa")</f>
        <v>Ver en mapa</v>
      </c>
      <c r="Y351" s="72"/>
      <c r="Z351" s="57"/>
      <c r="AA351" s="72"/>
      <c r="AB351" s="59"/>
      <c r="AC351" s="59"/>
      <c r="AD351" s="72"/>
      <c r="AE351" s="72"/>
      <c r="AF351" s="72"/>
      <c r="AG351" s="72"/>
      <c r="AH351" s="55" t="s">
        <v>2494</v>
      </c>
      <c r="AI351" s="72"/>
      <c r="AJ351" s="56" t="s">
        <v>2970</v>
      </c>
      <c r="AK351" s="77" t="str">
        <f aca="false">IF(AND(ISNUMBER(U351),ISNUMBER(V351),ISNUMBER(14_Cercania!$C$13),ISNUMBER(14_Cercania!$C$14)),6371*2*ASIN(SQRT(SIN(RADIANS(14_Cercania!$C$13-U351)/2)^2+COS(RADIANS(U351))*COS(RADIANS(14_Cercania!$C$13))*SIN(RADIANS(14_Cercania!$C$14-V351)/2)^2))+ROW()*0.000000001,"")</f>
        <v/>
      </c>
    </row>
    <row r="352" customFormat="false" ht="15" hidden="false" customHeight="false" outlineLevel="0" collapsed="false">
      <c r="A352" s="62" t="n">
        <v>350</v>
      </c>
      <c r="B352" s="63"/>
      <c r="C352" s="62"/>
      <c r="D352" s="63"/>
      <c r="E352" s="71"/>
      <c r="F352" s="57"/>
      <c r="G352" s="57"/>
      <c r="H352" s="72"/>
      <c r="I352" s="72"/>
      <c r="J352" s="72"/>
      <c r="K352" s="72"/>
      <c r="L352" s="72"/>
      <c r="M352" s="57"/>
      <c r="N352" s="57"/>
      <c r="O352" s="62"/>
      <c r="P352" s="78"/>
      <c r="Q352" s="78" t="s">
        <v>2490</v>
      </c>
      <c r="R352" s="62" t="s">
        <v>2491</v>
      </c>
      <c r="S352" s="62" t="s">
        <v>2491</v>
      </c>
      <c r="T352" s="62" t="s">
        <v>2491</v>
      </c>
      <c r="U352" s="83"/>
      <c r="V352" s="83"/>
      <c r="W352" s="57" t="s">
        <v>2538</v>
      </c>
      <c r="X352" s="80" t="str">
        <f aca="false">HYPERLINK(IF(AND(ISNUMBER(U352),ISNUMBER(V352)),"https://www.google.com/maps/search/?api=1&amp;query="&amp;U352&amp;","&amp;V352,"https://www.google.com/maps/search/?api=1&amp;query="&amp;SUBSTITUTE(SUBSTITUTE(SUBSTITUTE(B352&amp;", "&amp;M352&amp;", Puno, Peru"," ","+"),"&amp;","y"),"#","")),"Ver en mapa")</f>
        <v>Ver en mapa</v>
      </c>
      <c r="Y352" s="72"/>
      <c r="Z352" s="57"/>
      <c r="AA352" s="72"/>
      <c r="AB352" s="59"/>
      <c r="AC352" s="59"/>
      <c r="AD352" s="72"/>
      <c r="AE352" s="72"/>
      <c r="AF352" s="72"/>
      <c r="AG352" s="72"/>
      <c r="AH352" s="62" t="s">
        <v>2494</v>
      </c>
      <c r="AI352" s="72"/>
      <c r="AJ352" s="63" t="s">
        <v>2970</v>
      </c>
      <c r="AK352" s="81" t="str">
        <f aca="false">IF(AND(ISNUMBER(U352),ISNUMBER(V352),ISNUMBER(14_Cercania!$C$13),ISNUMBER(14_Cercania!$C$14)),6371*2*ASIN(SQRT(SIN(RADIANS(14_Cercania!$C$13-U352)/2)^2+COS(RADIANS(U352))*COS(RADIANS(14_Cercania!$C$13))*SIN(RADIANS(14_Cercania!$C$14-V352)/2)^2))+ROW()*0.000000001,"")</f>
        <v/>
      </c>
    </row>
    <row r="353" customFormat="false" ht="15" hidden="false" customHeight="false" outlineLevel="0" collapsed="false">
      <c r="A353" s="55" t="n">
        <v>351</v>
      </c>
      <c r="B353" s="56"/>
      <c r="C353" s="55"/>
      <c r="D353" s="56"/>
      <c r="E353" s="71"/>
      <c r="F353" s="57"/>
      <c r="G353" s="57"/>
      <c r="H353" s="72"/>
      <c r="I353" s="72"/>
      <c r="J353" s="72"/>
      <c r="K353" s="72"/>
      <c r="L353" s="72"/>
      <c r="M353" s="57"/>
      <c r="N353" s="57"/>
      <c r="O353" s="55"/>
      <c r="P353" s="73"/>
      <c r="Q353" s="73" t="s">
        <v>2490</v>
      </c>
      <c r="R353" s="55" t="s">
        <v>2491</v>
      </c>
      <c r="S353" s="55" t="s">
        <v>2491</v>
      </c>
      <c r="T353" s="55" t="s">
        <v>2491</v>
      </c>
      <c r="U353" s="83"/>
      <c r="V353" s="83"/>
      <c r="W353" s="57" t="s">
        <v>2538</v>
      </c>
      <c r="X353" s="76" t="str">
        <f aca="false">HYPERLINK(IF(AND(ISNUMBER(U353),ISNUMBER(V353)),"https://www.google.com/maps/search/?api=1&amp;query="&amp;U353&amp;","&amp;V353,"https://www.google.com/maps/search/?api=1&amp;query="&amp;SUBSTITUTE(SUBSTITUTE(SUBSTITUTE(B353&amp;", "&amp;M353&amp;", Puno, Peru"," ","+"),"&amp;","y"),"#","")),"Ver en mapa")</f>
        <v>Ver en mapa</v>
      </c>
      <c r="Y353" s="72"/>
      <c r="Z353" s="57"/>
      <c r="AA353" s="72"/>
      <c r="AB353" s="59"/>
      <c r="AC353" s="59"/>
      <c r="AD353" s="72"/>
      <c r="AE353" s="72"/>
      <c r="AF353" s="72"/>
      <c r="AG353" s="72"/>
      <c r="AH353" s="55" t="s">
        <v>2494</v>
      </c>
      <c r="AI353" s="72"/>
      <c r="AJ353" s="56" t="s">
        <v>2970</v>
      </c>
      <c r="AK353" s="77" t="str">
        <f aca="false">IF(AND(ISNUMBER(U353),ISNUMBER(V353),ISNUMBER(14_Cercania!$C$13),ISNUMBER(14_Cercania!$C$14)),6371*2*ASIN(SQRT(SIN(RADIANS(14_Cercania!$C$13-U353)/2)^2+COS(RADIANS(U353))*COS(RADIANS(14_Cercania!$C$13))*SIN(RADIANS(14_Cercania!$C$14-V353)/2)^2))+ROW()*0.000000001,"")</f>
        <v/>
      </c>
    </row>
    <row r="354" customFormat="false" ht="15" hidden="false" customHeight="false" outlineLevel="0" collapsed="false">
      <c r="A354" s="62" t="n">
        <v>352</v>
      </c>
      <c r="B354" s="63"/>
      <c r="C354" s="62"/>
      <c r="D354" s="63"/>
      <c r="E354" s="71"/>
      <c r="F354" s="57"/>
      <c r="G354" s="57"/>
      <c r="H354" s="72"/>
      <c r="I354" s="72"/>
      <c r="J354" s="72"/>
      <c r="K354" s="72"/>
      <c r="L354" s="72"/>
      <c r="M354" s="57"/>
      <c r="N354" s="57"/>
      <c r="O354" s="62"/>
      <c r="P354" s="78"/>
      <c r="Q354" s="78" t="s">
        <v>2490</v>
      </c>
      <c r="R354" s="62" t="s">
        <v>2491</v>
      </c>
      <c r="S354" s="62" t="s">
        <v>2491</v>
      </c>
      <c r="T354" s="62" t="s">
        <v>2491</v>
      </c>
      <c r="U354" s="83"/>
      <c r="V354" s="83"/>
      <c r="W354" s="57" t="s">
        <v>2538</v>
      </c>
      <c r="X354" s="80" t="str">
        <f aca="false">HYPERLINK(IF(AND(ISNUMBER(U354),ISNUMBER(V354)),"https://www.google.com/maps/search/?api=1&amp;query="&amp;U354&amp;","&amp;V354,"https://www.google.com/maps/search/?api=1&amp;query="&amp;SUBSTITUTE(SUBSTITUTE(SUBSTITUTE(B354&amp;", "&amp;M354&amp;", Puno, Peru"," ","+"),"&amp;","y"),"#","")),"Ver en mapa")</f>
        <v>Ver en mapa</v>
      </c>
      <c r="Y354" s="72"/>
      <c r="Z354" s="57"/>
      <c r="AA354" s="72"/>
      <c r="AB354" s="59"/>
      <c r="AC354" s="59"/>
      <c r="AD354" s="72"/>
      <c r="AE354" s="72"/>
      <c r="AF354" s="72"/>
      <c r="AG354" s="72"/>
      <c r="AH354" s="62" t="s">
        <v>2494</v>
      </c>
      <c r="AI354" s="72"/>
      <c r="AJ354" s="63" t="s">
        <v>2970</v>
      </c>
      <c r="AK354" s="81" t="str">
        <f aca="false">IF(AND(ISNUMBER(U354),ISNUMBER(V354),ISNUMBER(14_Cercania!$C$13),ISNUMBER(14_Cercania!$C$14)),6371*2*ASIN(SQRT(SIN(RADIANS(14_Cercania!$C$13-U354)/2)^2+COS(RADIANS(U354))*COS(RADIANS(14_Cercania!$C$13))*SIN(RADIANS(14_Cercania!$C$14-V354)/2)^2))+ROW()*0.000000001,"")</f>
        <v/>
      </c>
    </row>
    <row r="355" customFormat="false" ht="15" hidden="false" customHeight="false" outlineLevel="0" collapsed="false">
      <c r="A355" s="55" t="n">
        <v>353</v>
      </c>
      <c r="B355" s="56"/>
      <c r="C355" s="55"/>
      <c r="D355" s="56"/>
      <c r="E355" s="71"/>
      <c r="F355" s="57"/>
      <c r="G355" s="57"/>
      <c r="H355" s="72"/>
      <c r="I355" s="72"/>
      <c r="J355" s="72"/>
      <c r="K355" s="72"/>
      <c r="L355" s="72"/>
      <c r="M355" s="57"/>
      <c r="N355" s="57"/>
      <c r="O355" s="55"/>
      <c r="P355" s="73"/>
      <c r="Q355" s="73" t="s">
        <v>2490</v>
      </c>
      <c r="R355" s="55" t="s">
        <v>2491</v>
      </c>
      <c r="S355" s="55" t="s">
        <v>2491</v>
      </c>
      <c r="T355" s="55" t="s">
        <v>2491</v>
      </c>
      <c r="U355" s="83"/>
      <c r="V355" s="83"/>
      <c r="W355" s="57" t="s">
        <v>2538</v>
      </c>
      <c r="X355" s="76" t="str">
        <f aca="false">HYPERLINK(IF(AND(ISNUMBER(U355),ISNUMBER(V355)),"https://www.google.com/maps/search/?api=1&amp;query="&amp;U355&amp;","&amp;V355,"https://www.google.com/maps/search/?api=1&amp;query="&amp;SUBSTITUTE(SUBSTITUTE(SUBSTITUTE(B355&amp;", "&amp;M355&amp;", Puno, Peru"," ","+"),"&amp;","y"),"#","")),"Ver en mapa")</f>
        <v>Ver en mapa</v>
      </c>
      <c r="Y355" s="72"/>
      <c r="Z355" s="57"/>
      <c r="AA355" s="72"/>
      <c r="AB355" s="59"/>
      <c r="AC355" s="59"/>
      <c r="AD355" s="72"/>
      <c r="AE355" s="72"/>
      <c r="AF355" s="72"/>
      <c r="AG355" s="72"/>
      <c r="AH355" s="55" t="s">
        <v>2494</v>
      </c>
      <c r="AI355" s="72"/>
      <c r="AJ355" s="56" t="s">
        <v>2970</v>
      </c>
      <c r="AK355" s="77" t="str">
        <f aca="false">IF(AND(ISNUMBER(U355),ISNUMBER(V355),ISNUMBER(14_Cercania!$C$13),ISNUMBER(14_Cercania!$C$14)),6371*2*ASIN(SQRT(SIN(RADIANS(14_Cercania!$C$13-U355)/2)^2+COS(RADIANS(U355))*COS(RADIANS(14_Cercania!$C$13))*SIN(RADIANS(14_Cercania!$C$14-V355)/2)^2))+ROW()*0.000000001,"")</f>
        <v/>
      </c>
    </row>
    <row r="356" customFormat="false" ht="15" hidden="false" customHeight="false" outlineLevel="0" collapsed="false">
      <c r="A356" s="62" t="n">
        <v>354</v>
      </c>
      <c r="B356" s="63"/>
      <c r="C356" s="62"/>
      <c r="D356" s="63"/>
      <c r="E356" s="71"/>
      <c r="F356" s="57"/>
      <c r="G356" s="57"/>
      <c r="H356" s="72"/>
      <c r="I356" s="72"/>
      <c r="J356" s="72"/>
      <c r="K356" s="72"/>
      <c r="L356" s="72"/>
      <c r="M356" s="57"/>
      <c r="N356" s="57"/>
      <c r="O356" s="62"/>
      <c r="P356" s="78"/>
      <c r="Q356" s="78" t="s">
        <v>2490</v>
      </c>
      <c r="R356" s="62" t="s">
        <v>2491</v>
      </c>
      <c r="S356" s="62" t="s">
        <v>2491</v>
      </c>
      <c r="T356" s="62" t="s">
        <v>2491</v>
      </c>
      <c r="U356" s="83"/>
      <c r="V356" s="83"/>
      <c r="W356" s="57" t="s">
        <v>2538</v>
      </c>
      <c r="X356" s="80" t="str">
        <f aca="false">HYPERLINK(IF(AND(ISNUMBER(U356),ISNUMBER(V356)),"https://www.google.com/maps/search/?api=1&amp;query="&amp;U356&amp;","&amp;V356,"https://www.google.com/maps/search/?api=1&amp;query="&amp;SUBSTITUTE(SUBSTITUTE(SUBSTITUTE(B356&amp;", "&amp;M356&amp;", Puno, Peru"," ","+"),"&amp;","y"),"#","")),"Ver en mapa")</f>
        <v>Ver en mapa</v>
      </c>
      <c r="Y356" s="72"/>
      <c r="Z356" s="57"/>
      <c r="AA356" s="72"/>
      <c r="AB356" s="59"/>
      <c r="AC356" s="59"/>
      <c r="AD356" s="72"/>
      <c r="AE356" s="72"/>
      <c r="AF356" s="72"/>
      <c r="AG356" s="72"/>
      <c r="AH356" s="62" t="s">
        <v>2494</v>
      </c>
      <c r="AI356" s="72"/>
      <c r="AJ356" s="63" t="s">
        <v>2970</v>
      </c>
      <c r="AK356" s="81" t="str">
        <f aca="false">IF(AND(ISNUMBER(U356),ISNUMBER(V356),ISNUMBER(14_Cercania!$C$13),ISNUMBER(14_Cercania!$C$14)),6371*2*ASIN(SQRT(SIN(RADIANS(14_Cercania!$C$13-U356)/2)^2+COS(RADIANS(U356))*COS(RADIANS(14_Cercania!$C$13))*SIN(RADIANS(14_Cercania!$C$14-V356)/2)^2))+ROW()*0.000000001,"")</f>
        <v/>
      </c>
    </row>
    <row r="357" customFormat="false" ht="15" hidden="false" customHeight="false" outlineLevel="0" collapsed="false">
      <c r="A357" s="55" t="n">
        <v>355</v>
      </c>
      <c r="B357" s="56"/>
      <c r="C357" s="55"/>
      <c r="D357" s="56"/>
      <c r="E357" s="71"/>
      <c r="F357" s="57"/>
      <c r="G357" s="57"/>
      <c r="H357" s="72"/>
      <c r="I357" s="72"/>
      <c r="J357" s="72"/>
      <c r="K357" s="72"/>
      <c r="L357" s="72"/>
      <c r="M357" s="57"/>
      <c r="N357" s="57"/>
      <c r="O357" s="55"/>
      <c r="P357" s="73"/>
      <c r="Q357" s="73" t="s">
        <v>2490</v>
      </c>
      <c r="R357" s="55" t="s">
        <v>2491</v>
      </c>
      <c r="S357" s="55" t="s">
        <v>2491</v>
      </c>
      <c r="T357" s="55" t="s">
        <v>2491</v>
      </c>
      <c r="U357" s="83"/>
      <c r="V357" s="83"/>
      <c r="W357" s="57" t="s">
        <v>2538</v>
      </c>
      <c r="X357" s="76" t="str">
        <f aca="false">HYPERLINK(IF(AND(ISNUMBER(U357),ISNUMBER(V357)),"https://www.google.com/maps/search/?api=1&amp;query="&amp;U357&amp;","&amp;V357,"https://www.google.com/maps/search/?api=1&amp;query="&amp;SUBSTITUTE(SUBSTITUTE(SUBSTITUTE(B357&amp;", "&amp;M357&amp;", Puno, Peru"," ","+"),"&amp;","y"),"#","")),"Ver en mapa")</f>
        <v>Ver en mapa</v>
      </c>
      <c r="Y357" s="72"/>
      <c r="Z357" s="57"/>
      <c r="AA357" s="72"/>
      <c r="AB357" s="59"/>
      <c r="AC357" s="59"/>
      <c r="AD357" s="72"/>
      <c r="AE357" s="72"/>
      <c r="AF357" s="72"/>
      <c r="AG357" s="72"/>
      <c r="AH357" s="55" t="s">
        <v>2494</v>
      </c>
      <c r="AI357" s="72"/>
      <c r="AJ357" s="56" t="s">
        <v>2970</v>
      </c>
      <c r="AK357" s="77" t="str">
        <f aca="false">IF(AND(ISNUMBER(U357),ISNUMBER(V357),ISNUMBER(14_Cercania!$C$13),ISNUMBER(14_Cercania!$C$14)),6371*2*ASIN(SQRT(SIN(RADIANS(14_Cercania!$C$13-U357)/2)^2+COS(RADIANS(U357))*COS(RADIANS(14_Cercania!$C$13))*SIN(RADIANS(14_Cercania!$C$14-V357)/2)^2))+ROW()*0.000000001,"")</f>
        <v/>
      </c>
    </row>
    <row r="358" customFormat="false" ht="15" hidden="false" customHeight="false" outlineLevel="0" collapsed="false">
      <c r="A358" s="62" t="n">
        <v>356</v>
      </c>
      <c r="B358" s="63"/>
      <c r="C358" s="62"/>
      <c r="D358" s="63"/>
      <c r="E358" s="71"/>
      <c r="F358" s="57"/>
      <c r="G358" s="57"/>
      <c r="H358" s="72"/>
      <c r="I358" s="72"/>
      <c r="J358" s="72"/>
      <c r="K358" s="72"/>
      <c r="L358" s="72"/>
      <c r="M358" s="57"/>
      <c r="N358" s="57"/>
      <c r="O358" s="62"/>
      <c r="P358" s="78"/>
      <c r="Q358" s="78" t="s">
        <v>2490</v>
      </c>
      <c r="R358" s="62" t="s">
        <v>2491</v>
      </c>
      <c r="S358" s="62" t="s">
        <v>2491</v>
      </c>
      <c r="T358" s="62" t="s">
        <v>2491</v>
      </c>
      <c r="U358" s="83"/>
      <c r="V358" s="83"/>
      <c r="W358" s="57" t="s">
        <v>2538</v>
      </c>
      <c r="X358" s="80" t="str">
        <f aca="false">HYPERLINK(IF(AND(ISNUMBER(U358),ISNUMBER(V358)),"https://www.google.com/maps/search/?api=1&amp;query="&amp;U358&amp;","&amp;V358,"https://www.google.com/maps/search/?api=1&amp;query="&amp;SUBSTITUTE(SUBSTITUTE(SUBSTITUTE(B358&amp;", "&amp;M358&amp;", Puno, Peru"," ","+"),"&amp;","y"),"#","")),"Ver en mapa")</f>
        <v>Ver en mapa</v>
      </c>
      <c r="Y358" s="72"/>
      <c r="Z358" s="57"/>
      <c r="AA358" s="72"/>
      <c r="AB358" s="59"/>
      <c r="AC358" s="59"/>
      <c r="AD358" s="72"/>
      <c r="AE358" s="72"/>
      <c r="AF358" s="72"/>
      <c r="AG358" s="72"/>
      <c r="AH358" s="62" t="s">
        <v>2494</v>
      </c>
      <c r="AI358" s="72"/>
      <c r="AJ358" s="63" t="s">
        <v>2970</v>
      </c>
      <c r="AK358" s="81" t="str">
        <f aca="false">IF(AND(ISNUMBER(U358),ISNUMBER(V358),ISNUMBER(14_Cercania!$C$13),ISNUMBER(14_Cercania!$C$14)),6371*2*ASIN(SQRT(SIN(RADIANS(14_Cercania!$C$13-U358)/2)^2+COS(RADIANS(U358))*COS(RADIANS(14_Cercania!$C$13))*SIN(RADIANS(14_Cercania!$C$14-V358)/2)^2))+ROW()*0.000000001,"")</f>
        <v/>
      </c>
    </row>
    <row r="359" customFormat="false" ht="15" hidden="false" customHeight="false" outlineLevel="0" collapsed="false">
      <c r="A359" s="55" t="n">
        <v>357</v>
      </c>
      <c r="B359" s="56"/>
      <c r="C359" s="55"/>
      <c r="D359" s="56"/>
      <c r="E359" s="71"/>
      <c r="F359" s="57"/>
      <c r="G359" s="57"/>
      <c r="H359" s="72"/>
      <c r="I359" s="72"/>
      <c r="J359" s="72"/>
      <c r="K359" s="72"/>
      <c r="L359" s="72"/>
      <c r="M359" s="57"/>
      <c r="N359" s="57"/>
      <c r="O359" s="55"/>
      <c r="P359" s="73"/>
      <c r="Q359" s="73" t="s">
        <v>2490</v>
      </c>
      <c r="R359" s="55" t="s">
        <v>2491</v>
      </c>
      <c r="S359" s="55" t="s">
        <v>2491</v>
      </c>
      <c r="T359" s="55" t="s">
        <v>2491</v>
      </c>
      <c r="U359" s="83"/>
      <c r="V359" s="83"/>
      <c r="W359" s="57" t="s">
        <v>2538</v>
      </c>
      <c r="X359" s="76" t="str">
        <f aca="false">HYPERLINK(IF(AND(ISNUMBER(U359),ISNUMBER(V359)),"https://www.google.com/maps/search/?api=1&amp;query="&amp;U359&amp;","&amp;V359,"https://www.google.com/maps/search/?api=1&amp;query="&amp;SUBSTITUTE(SUBSTITUTE(SUBSTITUTE(B359&amp;", "&amp;M359&amp;", Puno, Peru"," ","+"),"&amp;","y"),"#","")),"Ver en mapa")</f>
        <v>Ver en mapa</v>
      </c>
      <c r="Y359" s="72"/>
      <c r="Z359" s="57"/>
      <c r="AA359" s="72"/>
      <c r="AB359" s="59"/>
      <c r="AC359" s="59"/>
      <c r="AD359" s="72"/>
      <c r="AE359" s="72"/>
      <c r="AF359" s="72"/>
      <c r="AG359" s="72"/>
      <c r="AH359" s="55" t="s">
        <v>2494</v>
      </c>
      <c r="AI359" s="72"/>
      <c r="AJ359" s="56" t="s">
        <v>2970</v>
      </c>
      <c r="AK359" s="77" t="str">
        <f aca="false">IF(AND(ISNUMBER(U359),ISNUMBER(V359),ISNUMBER(14_Cercania!$C$13),ISNUMBER(14_Cercania!$C$14)),6371*2*ASIN(SQRT(SIN(RADIANS(14_Cercania!$C$13-U359)/2)^2+COS(RADIANS(U359))*COS(RADIANS(14_Cercania!$C$13))*SIN(RADIANS(14_Cercania!$C$14-V359)/2)^2))+ROW()*0.000000001,"")</f>
        <v/>
      </c>
    </row>
    <row r="360" customFormat="false" ht="15" hidden="false" customHeight="false" outlineLevel="0" collapsed="false">
      <c r="A360" s="62" t="n">
        <v>358</v>
      </c>
      <c r="B360" s="63"/>
      <c r="C360" s="62"/>
      <c r="D360" s="63"/>
      <c r="E360" s="71"/>
      <c r="F360" s="57"/>
      <c r="G360" s="57"/>
      <c r="H360" s="72"/>
      <c r="I360" s="72"/>
      <c r="J360" s="72"/>
      <c r="K360" s="72"/>
      <c r="L360" s="72"/>
      <c r="M360" s="57"/>
      <c r="N360" s="57"/>
      <c r="O360" s="62"/>
      <c r="P360" s="78"/>
      <c r="Q360" s="78" t="s">
        <v>2490</v>
      </c>
      <c r="R360" s="62" t="s">
        <v>2491</v>
      </c>
      <c r="S360" s="62" t="s">
        <v>2491</v>
      </c>
      <c r="T360" s="62" t="s">
        <v>2491</v>
      </c>
      <c r="U360" s="83"/>
      <c r="V360" s="83"/>
      <c r="W360" s="57" t="s">
        <v>2538</v>
      </c>
      <c r="X360" s="80" t="str">
        <f aca="false">HYPERLINK(IF(AND(ISNUMBER(U360),ISNUMBER(V360)),"https://www.google.com/maps/search/?api=1&amp;query="&amp;U360&amp;","&amp;V360,"https://www.google.com/maps/search/?api=1&amp;query="&amp;SUBSTITUTE(SUBSTITUTE(SUBSTITUTE(B360&amp;", "&amp;M360&amp;", Puno, Peru"," ","+"),"&amp;","y"),"#","")),"Ver en mapa")</f>
        <v>Ver en mapa</v>
      </c>
      <c r="Y360" s="72"/>
      <c r="Z360" s="57"/>
      <c r="AA360" s="72"/>
      <c r="AB360" s="59"/>
      <c r="AC360" s="59"/>
      <c r="AD360" s="72"/>
      <c r="AE360" s="72"/>
      <c r="AF360" s="72"/>
      <c r="AG360" s="72"/>
      <c r="AH360" s="62" t="s">
        <v>2494</v>
      </c>
      <c r="AI360" s="72"/>
      <c r="AJ360" s="63" t="s">
        <v>2970</v>
      </c>
      <c r="AK360" s="81" t="str">
        <f aca="false">IF(AND(ISNUMBER(U360),ISNUMBER(V360),ISNUMBER(14_Cercania!$C$13),ISNUMBER(14_Cercania!$C$14)),6371*2*ASIN(SQRT(SIN(RADIANS(14_Cercania!$C$13-U360)/2)^2+COS(RADIANS(U360))*COS(RADIANS(14_Cercania!$C$13))*SIN(RADIANS(14_Cercania!$C$14-V360)/2)^2))+ROW()*0.000000001,"")</f>
        <v/>
      </c>
    </row>
    <row r="361" customFormat="false" ht="15" hidden="false" customHeight="false" outlineLevel="0" collapsed="false">
      <c r="A361" s="55" t="n">
        <v>359</v>
      </c>
      <c r="B361" s="56"/>
      <c r="C361" s="55"/>
      <c r="D361" s="56"/>
      <c r="E361" s="71"/>
      <c r="F361" s="57"/>
      <c r="G361" s="57"/>
      <c r="H361" s="72"/>
      <c r="I361" s="72"/>
      <c r="J361" s="72"/>
      <c r="K361" s="72"/>
      <c r="L361" s="72"/>
      <c r="M361" s="57"/>
      <c r="N361" s="57"/>
      <c r="O361" s="55"/>
      <c r="P361" s="73"/>
      <c r="Q361" s="73" t="s">
        <v>2490</v>
      </c>
      <c r="R361" s="55" t="s">
        <v>2491</v>
      </c>
      <c r="S361" s="55" t="s">
        <v>2491</v>
      </c>
      <c r="T361" s="55" t="s">
        <v>2491</v>
      </c>
      <c r="U361" s="83"/>
      <c r="V361" s="83"/>
      <c r="W361" s="57" t="s">
        <v>2538</v>
      </c>
      <c r="X361" s="76" t="str">
        <f aca="false">HYPERLINK(IF(AND(ISNUMBER(U361),ISNUMBER(V361)),"https://www.google.com/maps/search/?api=1&amp;query="&amp;U361&amp;","&amp;V361,"https://www.google.com/maps/search/?api=1&amp;query="&amp;SUBSTITUTE(SUBSTITUTE(SUBSTITUTE(B361&amp;", "&amp;M361&amp;", Puno, Peru"," ","+"),"&amp;","y"),"#","")),"Ver en mapa")</f>
        <v>Ver en mapa</v>
      </c>
      <c r="Y361" s="72"/>
      <c r="Z361" s="57"/>
      <c r="AA361" s="72"/>
      <c r="AB361" s="59"/>
      <c r="AC361" s="59"/>
      <c r="AD361" s="72"/>
      <c r="AE361" s="72"/>
      <c r="AF361" s="72"/>
      <c r="AG361" s="72"/>
      <c r="AH361" s="55" t="s">
        <v>2494</v>
      </c>
      <c r="AI361" s="72"/>
      <c r="AJ361" s="56" t="s">
        <v>2970</v>
      </c>
      <c r="AK361" s="77" t="str">
        <f aca="false">IF(AND(ISNUMBER(U361),ISNUMBER(V361),ISNUMBER(14_Cercania!$C$13),ISNUMBER(14_Cercania!$C$14)),6371*2*ASIN(SQRT(SIN(RADIANS(14_Cercania!$C$13-U361)/2)^2+COS(RADIANS(U361))*COS(RADIANS(14_Cercania!$C$13))*SIN(RADIANS(14_Cercania!$C$14-V361)/2)^2))+ROW()*0.000000001,"")</f>
        <v/>
      </c>
    </row>
    <row r="362" customFormat="false" ht="15" hidden="false" customHeight="false" outlineLevel="0" collapsed="false">
      <c r="A362" s="62" t="n">
        <v>360</v>
      </c>
      <c r="B362" s="63"/>
      <c r="C362" s="62"/>
      <c r="D362" s="63"/>
      <c r="E362" s="71"/>
      <c r="F362" s="57"/>
      <c r="G362" s="57"/>
      <c r="H362" s="72"/>
      <c r="I362" s="72"/>
      <c r="J362" s="72"/>
      <c r="K362" s="72"/>
      <c r="L362" s="72"/>
      <c r="M362" s="57"/>
      <c r="N362" s="57"/>
      <c r="O362" s="62"/>
      <c r="P362" s="78"/>
      <c r="Q362" s="78" t="s">
        <v>2490</v>
      </c>
      <c r="R362" s="62" t="s">
        <v>2491</v>
      </c>
      <c r="S362" s="62" t="s">
        <v>2491</v>
      </c>
      <c r="T362" s="62" t="s">
        <v>2491</v>
      </c>
      <c r="U362" s="83"/>
      <c r="V362" s="83"/>
      <c r="W362" s="57" t="s">
        <v>2538</v>
      </c>
      <c r="X362" s="80" t="str">
        <f aca="false">HYPERLINK(IF(AND(ISNUMBER(U362),ISNUMBER(V362)),"https://www.google.com/maps/search/?api=1&amp;query="&amp;U362&amp;","&amp;V362,"https://www.google.com/maps/search/?api=1&amp;query="&amp;SUBSTITUTE(SUBSTITUTE(SUBSTITUTE(B362&amp;", "&amp;M362&amp;", Puno, Peru"," ","+"),"&amp;","y"),"#","")),"Ver en mapa")</f>
        <v>Ver en mapa</v>
      </c>
      <c r="Y362" s="72"/>
      <c r="Z362" s="57"/>
      <c r="AA362" s="72"/>
      <c r="AB362" s="59"/>
      <c r="AC362" s="59"/>
      <c r="AD362" s="72"/>
      <c r="AE362" s="72"/>
      <c r="AF362" s="72"/>
      <c r="AG362" s="72"/>
      <c r="AH362" s="62" t="s">
        <v>2494</v>
      </c>
      <c r="AI362" s="72"/>
      <c r="AJ362" s="63" t="s">
        <v>2970</v>
      </c>
      <c r="AK362" s="81" t="str">
        <f aca="false">IF(AND(ISNUMBER(U362),ISNUMBER(V362),ISNUMBER(14_Cercania!$C$13),ISNUMBER(14_Cercania!$C$14)),6371*2*ASIN(SQRT(SIN(RADIANS(14_Cercania!$C$13-U362)/2)^2+COS(RADIANS(U362))*COS(RADIANS(14_Cercania!$C$13))*SIN(RADIANS(14_Cercania!$C$14-V362)/2)^2))+ROW()*0.000000001,"")</f>
        <v/>
      </c>
    </row>
    <row r="363" customFormat="false" ht="15" hidden="false" customHeight="false" outlineLevel="0" collapsed="false">
      <c r="A363" s="55" t="n">
        <v>361</v>
      </c>
      <c r="B363" s="56"/>
      <c r="C363" s="55"/>
      <c r="D363" s="56"/>
      <c r="E363" s="71"/>
      <c r="F363" s="57"/>
      <c r="G363" s="57"/>
      <c r="H363" s="72"/>
      <c r="I363" s="72"/>
      <c r="J363" s="72"/>
      <c r="K363" s="72"/>
      <c r="L363" s="72"/>
      <c r="M363" s="57"/>
      <c r="N363" s="57"/>
      <c r="O363" s="55"/>
      <c r="P363" s="73"/>
      <c r="Q363" s="73" t="s">
        <v>2490</v>
      </c>
      <c r="R363" s="55" t="s">
        <v>2491</v>
      </c>
      <c r="S363" s="55" t="s">
        <v>2491</v>
      </c>
      <c r="T363" s="55" t="s">
        <v>2491</v>
      </c>
      <c r="U363" s="83"/>
      <c r="V363" s="83"/>
      <c r="W363" s="57" t="s">
        <v>2538</v>
      </c>
      <c r="X363" s="76" t="str">
        <f aca="false">HYPERLINK(IF(AND(ISNUMBER(U363),ISNUMBER(V363)),"https://www.google.com/maps/search/?api=1&amp;query="&amp;U363&amp;","&amp;V363,"https://www.google.com/maps/search/?api=1&amp;query="&amp;SUBSTITUTE(SUBSTITUTE(SUBSTITUTE(B363&amp;", "&amp;M363&amp;", Puno, Peru"," ","+"),"&amp;","y"),"#","")),"Ver en mapa")</f>
        <v>Ver en mapa</v>
      </c>
      <c r="Y363" s="72"/>
      <c r="Z363" s="57"/>
      <c r="AA363" s="72"/>
      <c r="AB363" s="59"/>
      <c r="AC363" s="59"/>
      <c r="AD363" s="72"/>
      <c r="AE363" s="72"/>
      <c r="AF363" s="72"/>
      <c r="AG363" s="72"/>
      <c r="AH363" s="55" t="s">
        <v>2494</v>
      </c>
      <c r="AI363" s="72"/>
      <c r="AJ363" s="56" t="s">
        <v>2970</v>
      </c>
      <c r="AK363" s="77" t="str">
        <f aca="false">IF(AND(ISNUMBER(U363),ISNUMBER(V363),ISNUMBER(14_Cercania!$C$13),ISNUMBER(14_Cercania!$C$14)),6371*2*ASIN(SQRT(SIN(RADIANS(14_Cercania!$C$13-U363)/2)^2+COS(RADIANS(U363))*COS(RADIANS(14_Cercania!$C$13))*SIN(RADIANS(14_Cercania!$C$14-V363)/2)^2))+ROW()*0.000000001,"")</f>
        <v/>
      </c>
    </row>
    <row r="364" customFormat="false" ht="15" hidden="false" customHeight="false" outlineLevel="0" collapsed="false">
      <c r="A364" s="62" t="n">
        <v>362</v>
      </c>
      <c r="B364" s="63"/>
      <c r="C364" s="62"/>
      <c r="D364" s="63"/>
      <c r="E364" s="71"/>
      <c r="F364" s="57"/>
      <c r="G364" s="57"/>
      <c r="H364" s="72"/>
      <c r="I364" s="72"/>
      <c r="J364" s="72"/>
      <c r="K364" s="72"/>
      <c r="L364" s="72"/>
      <c r="M364" s="57"/>
      <c r="N364" s="57"/>
      <c r="O364" s="62"/>
      <c r="P364" s="78"/>
      <c r="Q364" s="78" t="s">
        <v>2490</v>
      </c>
      <c r="R364" s="62" t="s">
        <v>2491</v>
      </c>
      <c r="S364" s="62" t="s">
        <v>2491</v>
      </c>
      <c r="T364" s="62" t="s">
        <v>2491</v>
      </c>
      <c r="U364" s="83"/>
      <c r="V364" s="83"/>
      <c r="W364" s="57" t="s">
        <v>2538</v>
      </c>
      <c r="X364" s="80" t="str">
        <f aca="false">HYPERLINK(IF(AND(ISNUMBER(U364),ISNUMBER(V364)),"https://www.google.com/maps/search/?api=1&amp;query="&amp;U364&amp;","&amp;V364,"https://www.google.com/maps/search/?api=1&amp;query="&amp;SUBSTITUTE(SUBSTITUTE(SUBSTITUTE(B364&amp;", "&amp;M364&amp;", Puno, Peru"," ","+"),"&amp;","y"),"#","")),"Ver en mapa")</f>
        <v>Ver en mapa</v>
      </c>
      <c r="Y364" s="72"/>
      <c r="Z364" s="57"/>
      <c r="AA364" s="72"/>
      <c r="AB364" s="59"/>
      <c r="AC364" s="59"/>
      <c r="AD364" s="72"/>
      <c r="AE364" s="72"/>
      <c r="AF364" s="72"/>
      <c r="AG364" s="72"/>
      <c r="AH364" s="62" t="s">
        <v>2494</v>
      </c>
      <c r="AI364" s="72"/>
      <c r="AJ364" s="63" t="s">
        <v>2970</v>
      </c>
      <c r="AK364" s="81" t="str">
        <f aca="false">IF(AND(ISNUMBER(U364),ISNUMBER(V364),ISNUMBER(14_Cercania!$C$13),ISNUMBER(14_Cercania!$C$14)),6371*2*ASIN(SQRT(SIN(RADIANS(14_Cercania!$C$13-U364)/2)^2+COS(RADIANS(U364))*COS(RADIANS(14_Cercania!$C$13))*SIN(RADIANS(14_Cercania!$C$14-V364)/2)^2))+ROW()*0.000000001,"")</f>
        <v/>
      </c>
    </row>
    <row r="365" customFormat="false" ht="15" hidden="false" customHeight="false" outlineLevel="0" collapsed="false">
      <c r="A365" s="55" t="n">
        <v>363</v>
      </c>
      <c r="B365" s="56"/>
      <c r="C365" s="55"/>
      <c r="D365" s="56"/>
      <c r="E365" s="71"/>
      <c r="F365" s="57"/>
      <c r="G365" s="57"/>
      <c r="H365" s="72"/>
      <c r="I365" s="72"/>
      <c r="J365" s="72"/>
      <c r="K365" s="72"/>
      <c r="L365" s="72"/>
      <c r="M365" s="57"/>
      <c r="N365" s="57"/>
      <c r="O365" s="55"/>
      <c r="P365" s="73"/>
      <c r="Q365" s="73" t="s">
        <v>2490</v>
      </c>
      <c r="R365" s="55" t="s">
        <v>2491</v>
      </c>
      <c r="S365" s="55" t="s">
        <v>2491</v>
      </c>
      <c r="T365" s="55" t="s">
        <v>2491</v>
      </c>
      <c r="U365" s="83"/>
      <c r="V365" s="83"/>
      <c r="W365" s="57" t="s">
        <v>2538</v>
      </c>
      <c r="X365" s="76" t="str">
        <f aca="false">HYPERLINK(IF(AND(ISNUMBER(U365),ISNUMBER(V365)),"https://www.google.com/maps/search/?api=1&amp;query="&amp;U365&amp;","&amp;V365,"https://www.google.com/maps/search/?api=1&amp;query="&amp;SUBSTITUTE(SUBSTITUTE(SUBSTITUTE(B365&amp;", "&amp;M365&amp;", Puno, Peru"," ","+"),"&amp;","y"),"#","")),"Ver en mapa")</f>
        <v>Ver en mapa</v>
      </c>
      <c r="Y365" s="72"/>
      <c r="Z365" s="57"/>
      <c r="AA365" s="72"/>
      <c r="AB365" s="59"/>
      <c r="AC365" s="59"/>
      <c r="AD365" s="72"/>
      <c r="AE365" s="72"/>
      <c r="AF365" s="72"/>
      <c r="AG365" s="72"/>
      <c r="AH365" s="55" t="s">
        <v>2494</v>
      </c>
      <c r="AI365" s="72"/>
      <c r="AJ365" s="56" t="s">
        <v>2970</v>
      </c>
      <c r="AK365" s="77" t="str">
        <f aca="false">IF(AND(ISNUMBER(U365),ISNUMBER(V365),ISNUMBER(14_Cercania!$C$13),ISNUMBER(14_Cercania!$C$14)),6371*2*ASIN(SQRT(SIN(RADIANS(14_Cercania!$C$13-U365)/2)^2+COS(RADIANS(U365))*COS(RADIANS(14_Cercania!$C$13))*SIN(RADIANS(14_Cercania!$C$14-V365)/2)^2))+ROW()*0.000000001,"")</f>
        <v/>
      </c>
    </row>
    <row r="366" customFormat="false" ht="15" hidden="false" customHeight="false" outlineLevel="0" collapsed="false">
      <c r="A366" s="62" t="n">
        <v>364</v>
      </c>
      <c r="B366" s="63"/>
      <c r="C366" s="62"/>
      <c r="D366" s="63"/>
      <c r="E366" s="71"/>
      <c r="F366" s="57"/>
      <c r="G366" s="57"/>
      <c r="H366" s="72"/>
      <c r="I366" s="72"/>
      <c r="J366" s="72"/>
      <c r="K366" s="72"/>
      <c r="L366" s="72"/>
      <c r="M366" s="57"/>
      <c r="N366" s="57"/>
      <c r="O366" s="62"/>
      <c r="P366" s="78"/>
      <c r="Q366" s="78" t="s">
        <v>2490</v>
      </c>
      <c r="R366" s="62" t="s">
        <v>2491</v>
      </c>
      <c r="S366" s="62" t="s">
        <v>2491</v>
      </c>
      <c r="T366" s="62" t="s">
        <v>2491</v>
      </c>
      <c r="U366" s="83"/>
      <c r="V366" s="83"/>
      <c r="W366" s="57" t="s">
        <v>2538</v>
      </c>
      <c r="X366" s="80" t="str">
        <f aca="false">HYPERLINK(IF(AND(ISNUMBER(U366),ISNUMBER(V366)),"https://www.google.com/maps/search/?api=1&amp;query="&amp;U366&amp;","&amp;V366,"https://www.google.com/maps/search/?api=1&amp;query="&amp;SUBSTITUTE(SUBSTITUTE(SUBSTITUTE(B366&amp;", "&amp;M366&amp;", Puno, Peru"," ","+"),"&amp;","y"),"#","")),"Ver en mapa")</f>
        <v>Ver en mapa</v>
      </c>
      <c r="Y366" s="72"/>
      <c r="Z366" s="57"/>
      <c r="AA366" s="72"/>
      <c r="AB366" s="59"/>
      <c r="AC366" s="59"/>
      <c r="AD366" s="72"/>
      <c r="AE366" s="72"/>
      <c r="AF366" s="72"/>
      <c r="AG366" s="72"/>
      <c r="AH366" s="62" t="s">
        <v>2494</v>
      </c>
      <c r="AI366" s="72"/>
      <c r="AJ366" s="63" t="s">
        <v>2970</v>
      </c>
      <c r="AK366" s="81" t="str">
        <f aca="false">IF(AND(ISNUMBER(U366),ISNUMBER(V366),ISNUMBER(14_Cercania!$C$13),ISNUMBER(14_Cercania!$C$14)),6371*2*ASIN(SQRT(SIN(RADIANS(14_Cercania!$C$13-U366)/2)^2+COS(RADIANS(U366))*COS(RADIANS(14_Cercania!$C$13))*SIN(RADIANS(14_Cercania!$C$14-V366)/2)^2))+ROW()*0.000000001,"")</f>
        <v/>
      </c>
    </row>
    <row r="367" customFormat="false" ht="15" hidden="false" customHeight="false" outlineLevel="0" collapsed="false">
      <c r="A367" s="55" t="n">
        <v>365</v>
      </c>
      <c r="B367" s="56"/>
      <c r="C367" s="55"/>
      <c r="D367" s="56"/>
      <c r="E367" s="71"/>
      <c r="F367" s="57"/>
      <c r="G367" s="57"/>
      <c r="H367" s="72"/>
      <c r="I367" s="72"/>
      <c r="J367" s="72"/>
      <c r="K367" s="72"/>
      <c r="L367" s="72"/>
      <c r="M367" s="57"/>
      <c r="N367" s="57"/>
      <c r="O367" s="55"/>
      <c r="P367" s="73"/>
      <c r="Q367" s="73" t="s">
        <v>2490</v>
      </c>
      <c r="R367" s="55" t="s">
        <v>2491</v>
      </c>
      <c r="S367" s="55" t="s">
        <v>2491</v>
      </c>
      <c r="T367" s="55" t="s">
        <v>2491</v>
      </c>
      <c r="U367" s="83"/>
      <c r="V367" s="83"/>
      <c r="W367" s="57" t="s">
        <v>2538</v>
      </c>
      <c r="X367" s="76" t="str">
        <f aca="false">HYPERLINK(IF(AND(ISNUMBER(U367),ISNUMBER(V367)),"https://www.google.com/maps/search/?api=1&amp;query="&amp;U367&amp;","&amp;V367,"https://www.google.com/maps/search/?api=1&amp;query="&amp;SUBSTITUTE(SUBSTITUTE(SUBSTITUTE(B367&amp;", "&amp;M367&amp;", Puno, Peru"," ","+"),"&amp;","y"),"#","")),"Ver en mapa")</f>
        <v>Ver en mapa</v>
      </c>
      <c r="Y367" s="72"/>
      <c r="Z367" s="57"/>
      <c r="AA367" s="72"/>
      <c r="AB367" s="59"/>
      <c r="AC367" s="59"/>
      <c r="AD367" s="72"/>
      <c r="AE367" s="72"/>
      <c r="AF367" s="72"/>
      <c r="AG367" s="72"/>
      <c r="AH367" s="55" t="s">
        <v>2494</v>
      </c>
      <c r="AI367" s="72"/>
      <c r="AJ367" s="56" t="s">
        <v>2970</v>
      </c>
      <c r="AK367" s="77" t="str">
        <f aca="false">IF(AND(ISNUMBER(U367),ISNUMBER(V367),ISNUMBER(14_Cercania!$C$13),ISNUMBER(14_Cercania!$C$14)),6371*2*ASIN(SQRT(SIN(RADIANS(14_Cercania!$C$13-U367)/2)^2+COS(RADIANS(U367))*COS(RADIANS(14_Cercania!$C$13))*SIN(RADIANS(14_Cercania!$C$14-V367)/2)^2))+ROW()*0.000000001,"")</f>
        <v/>
      </c>
    </row>
    <row r="368" customFormat="false" ht="15" hidden="false" customHeight="false" outlineLevel="0" collapsed="false">
      <c r="A368" s="62" t="n">
        <v>366</v>
      </c>
      <c r="B368" s="63"/>
      <c r="C368" s="62"/>
      <c r="D368" s="63"/>
      <c r="E368" s="71"/>
      <c r="F368" s="57"/>
      <c r="G368" s="57"/>
      <c r="H368" s="72"/>
      <c r="I368" s="72"/>
      <c r="J368" s="72"/>
      <c r="K368" s="72"/>
      <c r="L368" s="72"/>
      <c r="M368" s="57"/>
      <c r="N368" s="57"/>
      <c r="O368" s="62"/>
      <c r="P368" s="78"/>
      <c r="Q368" s="78" t="s">
        <v>2490</v>
      </c>
      <c r="R368" s="62" t="s">
        <v>2491</v>
      </c>
      <c r="S368" s="62" t="s">
        <v>2491</v>
      </c>
      <c r="T368" s="62" t="s">
        <v>2491</v>
      </c>
      <c r="U368" s="83"/>
      <c r="V368" s="83"/>
      <c r="W368" s="57" t="s">
        <v>2538</v>
      </c>
      <c r="X368" s="80" t="str">
        <f aca="false">HYPERLINK(IF(AND(ISNUMBER(U368),ISNUMBER(V368)),"https://www.google.com/maps/search/?api=1&amp;query="&amp;U368&amp;","&amp;V368,"https://www.google.com/maps/search/?api=1&amp;query="&amp;SUBSTITUTE(SUBSTITUTE(SUBSTITUTE(B368&amp;", "&amp;M368&amp;", Puno, Peru"," ","+"),"&amp;","y"),"#","")),"Ver en mapa")</f>
        <v>Ver en mapa</v>
      </c>
      <c r="Y368" s="72"/>
      <c r="Z368" s="57"/>
      <c r="AA368" s="72"/>
      <c r="AB368" s="59"/>
      <c r="AC368" s="59"/>
      <c r="AD368" s="72"/>
      <c r="AE368" s="72"/>
      <c r="AF368" s="72"/>
      <c r="AG368" s="72"/>
      <c r="AH368" s="62" t="s">
        <v>2494</v>
      </c>
      <c r="AI368" s="72"/>
      <c r="AJ368" s="63" t="s">
        <v>2970</v>
      </c>
      <c r="AK368" s="81" t="str">
        <f aca="false">IF(AND(ISNUMBER(U368),ISNUMBER(V368),ISNUMBER(14_Cercania!$C$13),ISNUMBER(14_Cercania!$C$14)),6371*2*ASIN(SQRT(SIN(RADIANS(14_Cercania!$C$13-U368)/2)^2+COS(RADIANS(U368))*COS(RADIANS(14_Cercania!$C$13))*SIN(RADIANS(14_Cercania!$C$14-V368)/2)^2))+ROW()*0.000000001,"")</f>
        <v/>
      </c>
    </row>
    <row r="369" customFormat="false" ht="15" hidden="false" customHeight="false" outlineLevel="0" collapsed="false">
      <c r="A369" s="55" t="n">
        <v>367</v>
      </c>
      <c r="B369" s="56"/>
      <c r="C369" s="55"/>
      <c r="D369" s="56"/>
      <c r="E369" s="71"/>
      <c r="F369" s="57"/>
      <c r="G369" s="57"/>
      <c r="H369" s="72"/>
      <c r="I369" s="72"/>
      <c r="J369" s="72"/>
      <c r="K369" s="72"/>
      <c r="L369" s="72"/>
      <c r="M369" s="57"/>
      <c r="N369" s="57"/>
      <c r="O369" s="55"/>
      <c r="P369" s="73"/>
      <c r="Q369" s="73" t="s">
        <v>2490</v>
      </c>
      <c r="R369" s="55" t="s">
        <v>2491</v>
      </c>
      <c r="S369" s="55" t="s">
        <v>2491</v>
      </c>
      <c r="T369" s="55" t="s">
        <v>2491</v>
      </c>
      <c r="U369" s="83"/>
      <c r="V369" s="83"/>
      <c r="W369" s="57" t="s">
        <v>2538</v>
      </c>
      <c r="X369" s="76" t="str">
        <f aca="false">HYPERLINK(IF(AND(ISNUMBER(U369),ISNUMBER(V369)),"https://www.google.com/maps/search/?api=1&amp;query="&amp;U369&amp;","&amp;V369,"https://www.google.com/maps/search/?api=1&amp;query="&amp;SUBSTITUTE(SUBSTITUTE(SUBSTITUTE(B369&amp;", "&amp;M369&amp;", Puno, Peru"," ","+"),"&amp;","y"),"#","")),"Ver en mapa")</f>
        <v>Ver en mapa</v>
      </c>
      <c r="Y369" s="72"/>
      <c r="Z369" s="57"/>
      <c r="AA369" s="72"/>
      <c r="AB369" s="59"/>
      <c r="AC369" s="59"/>
      <c r="AD369" s="72"/>
      <c r="AE369" s="72"/>
      <c r="AF369" s="72"/>
      <c r="AG369" s="72"/>
      <c r="AH369" s="55" t="s">
        <v>2494</v>
      </c>
      <c r="AI369" s="72"/>
      <c r="AJ369" s="56" t="s">
        <v>2970</v>
      </c>
      <c r="AK369" s="77" t="str">
        <f aca="false">IF(AND(ISNUMBER(U369),ISNUMBER(V369),ISNUMBER(14_Cercania!$C$13),ISNUMBER(14_Cercania!$C$14)),6371*2*ASIN(SQRT(SIN(RADIANS(14_Cercania!$C$13-U369)/2)^2+COS(RADIANS(U369))*COS(RADIANS(14_Cercania!$C$13))*SIN(RADIANS(14_Cercania!$C$14-V369)/2)^2))+ROW()*0.000000001,"")</f>
        <v/>
      </c>
    </row>
    <row r="370" customFormat="false" ht="15" hidden="false" customHeight="false" outlineLevel="0" collapsed="false">
      <c r="A370" s="62" t="n">
        <v>368</v>
      </c>
      <c r="B370" s="63"/>
      <c r="C370" s="62"/>
      <c r="D370" s="63"/>
      <c r="E370" s="71"/>
      <c r="F370" s="57"/>
      <c r="G370" s="57"/>
      <c r="H370" s="72"/>
      <c r="I370" s="72"/>
      <c r="J370" s="72"/>
      <c r="K370" s="72"/>
      <c r="L370" s="72"/>
      <c r="M370" s="57"/>
      <c r="N370" s="57"/>
      <c r="O370" s="62"/>
      <c r="P370" s="78"/>
      <c r="Q370" s="78" t="s">
        <v>2490</v>
      </c>
      <c r="R370" s="62" t="s">
        <v>2491</v>
      </c>
      <c r="S370" s="62" t="s">
        <v>2491</v>
      </c>
      <c r="T370" s="62" t="s">
        <v>2491</v>
      </c>
      <c r="U370" s="83"/>
      <c r="V370" s="83"/>
      <c r="W370" s="57" t="s">
        <v>2538</v>
      </c>
      <c r="X370" s="80" t="str">
        <f aca="false">HYPERLINK(IF(AND(ISNUMBER(U370),ISNUMBER(V370)),"https://www.google.com/maps/search/?api=1&amp;query="&amp;U370&amp;","&amp;V370,"https://www.google.com/maps/search/?api=1&amp;query="&amp;SUBSTITUTE(SUBSTITUTE(SUBSTITUTE(B370&amp;", "&amp;M370&amp;", Puno, Peru"," ","+"),"&amp;","y"),"#","")),"Ver en mapa")</f>
        <v>Ver en mapa</v>
      </c>
      <c r="Y370" s="72"/>
      <c r="Z370" s="57"/>
      <c r="AA370" s="72"/>
      <c r="AB370" s="59"/>
      <c r="AC370" s="59"/>
      <c r="AD370" s="72"/>
      <c r="AE370" s="72"/>
      <c r="AF370" s="72"/>
      <c r="AG370" s="72"/>
      <c r="AH370" s="62" t="s">
        <v>2494</v>
      </c>
      <c r="AI370" s="72"/>
      <c r="AJ370" s="63" t="s">
        <v>2970</v>
      </c>
      <c r="AK370" s="81" t="str">
        <f aca="false">IF(AND(ISNUMBER(U370),ISNUMBER(V370),ISNUMBER(14_Cercania!$C$13),ISNUMBER(14_Cercania!$C$14)),6371*2*ASIN(SQRT(SIN(RADIANS(14_Cercania!$C$13-U370)/2)^2+COS(RADIANS(U370))*COS(RADIANS(14_Cercania!$C$13))*SIN(RADIANS(14_Cercania!$C$14-V370)/2)^2))+ROW()*0.000000001,"")</f>
        <v/>
      </c>
    </row>
    <row r="371" customFormat="false" ht="15" hidden="false" customHeight="false" outlineLevel="0" collapsed="false">
      <c r="A371" s="55" t="n">
        <v>369</v>
      </c>
      <c r="B371" s="56"/>
      <c r="C371" s="55"/>
      <c r="D371" s="56"/>
      <c r="E371" s="71"/>
      <c r="F371" s="57"/>
      <c r="G371" s="57"/>
      <c r="H371" s="72"/>
      <c r="I371" s="72"/>
      <c r="J371" s="72"/>
      <c r="K371" s="72"/>
      <c r="L371" s="72"/>
      <c r="M371" s="57"/>
      <c r="N371" s="57"/>
      <c r="O371" s="55"/>
      <c r="P371" s="73"/>
      <c r="Q371" s="73" t="s">
        <v>2490</v>
      </c>
      <c r="R371" s="55" t="s">
        <v>2491</v>
      </c>
      <c r="S371" s="55" t="s">
        <v>2491</v>
      </c>
      <c r="T371" s="55" t="s">
        <v>2491</v>
      </c>
      <c r="U371" s="83"/>
      <c r="V371" s="83"/>
      <c r="W371" s="57" t="s">
        <v>2538</v>
      </c>
      <c r="X371" s="76" t="str">
        <f aca="false">HYPERLINK(IF(AND(ISNUMBER(U371),ISNUMBER(V371)),"https://www.google.com/maps/search/?api=1&amp;query="&amp;U371&amp;","&amp;V371,"https://www.google.com/maps/search/?api=1&amp;query="&amp;SUBSTITUTE(SUBSTITUTE(SUBSTITUTE(B371&amp;", "&amp;M371&amp;", Puno, Peru"," ","+"),"&amp;","y"),"#","")),"Ver en mapa")</f>
        <v>Ver en mapa</v>
      </c>
      <c r="Y371" s="72"/>
      <c r="Z371" s="57"/>
      <c r="AA371" s="72"/>
      <c r="AB371" s="59"/>
      <c r="AC371" s="59"/>
      <c r="AD371" s="72"/>
      <c r="AE371" s="72"/>
      <c r="AF371" s="72"/>
      <c r="AG371" s="72"/>
      <c r="AH371" s="55" t="s">
        <v>2494</v>
      </c>
      <c r="AI371" s="72"/>
      <c r="AJ371" s="56" t="s">
        <v>2970</v>
      </c>
      <c r="AK371" s="77" t="str">
        <f aca="false">IF(AND(ISNUMBER(U371),ISNUMBER(V371),ISNUMBER(14_Cercania!$C$13),ISNUMBER(14_Cercania!$C$14)),6371*2*ASIN(SQRT(SIN(RADIANS(14_Cercania!$C$13-U371)/2)^2+COS(RADIANS(U371))*COS(RADIANS(14_Cercania!$C$13))*SIN(RADIANS(14_Cercania!$C$14-V371)/2)^2))+ROW()*0.000000001,"")</f>
        <v/>
      </c>
    </row>
    <row r="372" customFormat="false" ht="15" hidden="false" customHeight="false" outlineLevel="0" collapsed="false">
      <c r="A372" s="62" t="n">
        <v>370</v>
      </c>
      <c r="B372" s="63"/>
      <c r="C372" s="62"/>
      <c r="D372" s="63"/>
      <c r="E372" s="71"/>
      <c r="F372" s="57"/>
      <c r="G372" s="57"/>
      <c r="H372" s="72"/>
      <c r="I372" s="72"/>
      <c r="J372" s="72"/>
      <c r="K372" s="72"/>
      <c r="L372" s="72"/>
      <c r="M372" s="57"/>
      <c r="N372" s="57"/>
      <c r="O372" s="62"/>
      <c r="P372" s="78"/>
      <c r="Q372" s="78" t="s">
        <v>2490</v>
      </c>
      <c r="R372" s="62" t="s">
        <v>2491</v>
      </c>
      <c r="S372" s="62" t="s">
        <v>2491</v>
      </c>
      <c r="T372" s="62" t="s">
        <v>2491</v>
      </c>
      <c r="U372" s="83"/>
      <c r="V372" s="83"/>
      <c r="W372" s="57" t="s">
        <v>2538</v>
      </c>
      <c r="X372" s="80" t="str">
        <f aca="false">HYPERLINK(IF(AND(ISNUMBER(U372),ISNUMBER(V372)),"https://www.google.com/maps/search/?api=1&amp;query="&amp;U372&amp;","&amp;V372,"https://www.google.com/maps/search/?api=1&amp;query="&amp;SUBSTITUTE(SUBSTITUTE(SUBSTITUTE(B372&amp;", "&amp;M372&amp;", Puno, Peru"," ","+"),"&amp;","y"),"#","")),"Ver en mapa")</f>
        <v>Ver en mapa</v>
      </c>
      <c r="Y372" s="72"/>
      <c r="Z372" s="57"/>
      <c r="AA372" s="72"/>
      <c r="AB372" s="59"/>
      <c r="AC372" s="59"/>
      <c r="AD372" s="72"/>
      <c r="AE372" s="72"/>
      <c r="AF372" s="72"/>
      <c r="AG372" s="72"/>
      <c r="AH372" s="62" t="s">
        <v>2494</v>
      </c>
      <c r="AI372" s="72"/>
      <c r="AJ372" s="63" t="s">
        <v>2970</v>
      </c>
      <c r="AK372" s="81" t="str">
        <f aca="false">IF(AND(ISNUMBER(U372),ISNUMBER(V372),ISNUMBER(14_Cercania!$C$13),ISNUMBER(14_Cercania!$C$14)),6371*2*ASIN(SQRT(SIN(RADIANS(14_Cercania!$C$13-U372)/2)^2+COS(RADIANS(U372))*COS(RADIANS(14_Cercania!$C$13))*SIN(RADIANS(14_Cercania!$C$14-V372)/2)^2))+ROW()*0.000000001,"")</f>
        <v/>
      </c>
    </row>
    <row r="373" customFormat="false" ht="15" hidden="false" customHeight="false" outlineLevel="0" collapsed="false">
      <c r="A373" s="55" t="n">
        <v>371</v>
      </c>
      <c r="B373" s="56"/>
      <c r="C373" s="55"/>
      <c r="D373" s="56"/>
      <c r="E373" s="71"/>
      <c r="F373" s="57"/>
      <c r="G373" s="57"/>
      <c r="H373" s="72"/>
      <c r="I373" s="72"/>
      <c r="J373" s="72"/>
      <c r="K373" s="72"/>
      <c r="L373" s="72"/>
      <c r="M373" s="57"/>
      <c r="N373" s="57"/>
      <c r="O373" s="55"/>
      <c r="P373" s="73"/>
      <c r="Q373" s="73" t="s">
        <v>2490</v>
      </c>
      <c r="R373" s="55" t="s">
        <v>2491</v>
      </c>
      <c r="S373" s="55" t="s">
        <v>2491</v>
      </c>
      <c r="T373" s="55" t="s">
        <v>2491</v>
      </c>
      <c r="U373" s="83"/>
      <c r="V373" s="83"/>
      <c r="W373" s="57" t="s">
        <v>2538</v>
      </c>
      <c r="X373" s="76" t="str">
        <f aca="false">HYPERLINK(IF(AND(ISNUMBER(U373),ISNUMBER(V373)),"https://www.google.com/maps/search/?api=1&amp;query="&amp;U373&amp;","&amp;V373,"https://www.google.com/maps/search/?api=1&amp;query="&amp;SUBSTITUTE(SUBSTITUTE(SUBSTITUTE(B373&amp;", "&amp;M373&amp;", Puno, Peru"," ","+"),"&amp;","y"),"#","")),"Ver en mapa")</f>
        <v>Ver en mapa</v>
      </c>
      <c r="Y373" s="72"/>
      <c r="Z373" s="57"/>
      <c r="AA373" s="72"/>
      <c r="AB373" s="59"/>
      <c r="AC373" s="59"/>
      <c r="AD373" s="72"/>
      <c r="AE373" s="72"/>
      <c r="AF373" s="72"/>
      <c r="AG373" s="72"/>
      <c r="AH373" s="55" t="s">
        <v>2494</v>
      </c>
      <c r="AI373" s="72"/>
      <c r="AJ373" s="56" t="s">
        <v>2970</v>
      </c>
      <c r="AK373" s="77" t="str">
        <f aca="false">IF(AND(ISNUMBER(U373),ISNUMBER(V373),ISNUMBER(14_Cercania!$C$13),ISNUMBER(14_Cercania!$C$14)),6371*2*ASIN(SQRT(SIN(RADIANS(14_Cercania!$C$13-U373)/2)^2+COS(RADIANS(U373))*COS(RADIANS(14_Cercania!$C$13))*SIN(RADIANS(14_Cercania!$C$14-V373)/2)^2))+ROW()*0.000000001,"")</f>
        <v/>
      </c>
    </row>
    <row r="374" customFormat="false" ht="15" hidden="false" customHeight="false" outlineLevel="0" collapsed="false">
      <c r="A374" s="62" t="n">
        <v>372</v>
      </c>
      <c r="B374" s="63"/>
      <c r="C374" s="62"/>
      <c r="D374" s="63"/>
      <c r="E374" s="71"/>
      <c r="F374" s="57"/>
      <c r="G374" s="57"/>
      <c r="H374" s="72"/>
      <c r="I374" s="72"/>
      <c r="J374" s="72"/>
      <c r="K374" s="72"/>
      <c r="L374" s="72"/>
      <c r="M374" s="57"/>
      <c r="N374" s="57"/>
      <c r="O374" s="62"/>
      <c r="P374" s="78"/>
      <c r="Q374" s="78" t="s">
        <v>2490</v>
      </c>
      <c r="R374" s="62" t="s">
        <v>2491</v>
      </c>
      <c r="S374" s="62" t="s">
        <v>2491</v>
      </c>
      <c r="T374" s="62" t="s">
        <v>2491</v>
      </c>
      <c r="U374" s="83"/>
      <c r="V374" s="83"/>
      <c r="W374" s="57" t="s">
        <v>2538</v>
      </c>
      <c r="X374" s="80" t="str">
        <f aca="false">HYPERLINK(IF(AND(ISNUMBER(U374),ISNUMBER(V374)),"https://www.google.com/maps/search/?api=1&amp;query="&amp;U374&amp;","&amp;V374,"https://www.google.com/maps/search/?api=1&amp;query="&amp;SUBSTITUTE(SUBSTITUTE(SUBSTITUTE(B374&amp;", "&amp;M374&amp;", Puno, Peru"," ","+"),"&amp;","y"),"#","")),"Ver en mapa")</f>
        <v>Ver en mapa</v>
      </c>
      <c r="Y374" s="72"/>
      <c r="Z374" s="57"/>
      <c r="AA374" s="72"/>
      <c r="AB374" s="59"/>
      <c r="AC374" s="59"/>
      <c r="AD374" s="72"/>
      <c r="AE374" s="72"/>
      <c r="AF374" s="72"/>
      <c r="AG374" s="72"/>
      <c r="AH374" s="62" t="s">
        <v>2494</v>
      </c>
      <c r="AI374" s="72"/>
      <c r="AJ374" s="63" t="s">
        <v>2970</v>
      </c>
      <c r="AK374" s="81" t="str">
        <f aca="false">IF(AND(ISNUMBER(U374),ISNUMBER(V374),ISNUMBER(14_Cercania!$C$13),ISNUMBER(14_Cercania!$C$14)),6371*2*ASIN(SQRT(SIN(RADIANS(14_Cercania!$C$13-U374)/2)^2+COS(RADIANS(U374))*COS(RADIANS(14_Cercania!$C$13))*SIN(RADIANS(14_Cercania!$C$14-V374)/2)^2))+ROW()*0.000000001,"")</f>
        <v/>
      </c>
    </row>
    <row r="375" customFormat="false" ht="15" hidden="false" customHeight="false" outlineLevel="0" collapsed="false">
      <c r="A375" s="55" t="n">
        <v>373</v>
      </c>
      <c r="B375" s="56"/>
      <c r="C375" s="55"/>
      <c r="D375" s="56"/>
      <c r="E375" s="71"/>
      <c r="F375" s="57"/>
      <c r="G375" s="57"/>
      <c r="H375" s="72"/>
      <c r="I375" s="72"/>
      <c r="J375" s="72"/>
      <c r="K375" s="72"/>
      <c r="L375" s="72"/>
      <c r="M375" s="57"/>
      <c r="N375" s="57"/>
      <c r="O375" s="55"/>
      <c r="P375" s="73"/>
      <c r="Q375" s="73" t="s">
        <v>2490</v>
      </c>
      <c r="R375" s="55" t="s">
        <v>2491</v>
      </c>
      <c r="S375" s="55" t="s">
        <v>2491</v>
      </c>
      <c r="T375" s="55" t="s">
        <v>2491</v>
      </c>
      <c r="U375" s="83"/>
      <c r="V375" s="83"/>
      <c r="W375" s="57" t="s">
        <v>2538</v>
      </c>
      <c r="X375" s="76" t="str">
        <f aca="false">HYPERLINK(IF(AND(ISNUMBER(U375),ISNUMBER(V375)),"https://www.google.com/maps/search/?api=1&amp;query="&amp;U375&amp;","&amp;V375,"https://www.google.com/maps/search/?api=1&amp;query="&amp;SUBSTITUTE(SUBSTITUTE(SUBSTITUTE(B375&amp;", "&amp;M375&amp;", Puno, Peru"," ","+"),"&amp;","y"),"#","")),"Ver en mapa")</f>
        <v>Ver en mapa</v>
      </c>
      <c r="Y375" s="72"/>
      <c r="Z375" s="57"/>
      <c r="AA375" s="72"/>
      <c r="AB375" s="59"/>
      <c r="AC375" s="59"/>
      <c r="AD375" s="72"/>
      <c r="AE375" s="72"/>
      <c r="AF375" s="72"/>
      <c r="AG375" s="72"/>
      <c r="AH375" s="55" t="s">
        <v>2494</v>
      </c>
      <c r="AI375" s="72"/>
      <c r="AJ375" s="56" t="s">
        <v>2970</v>
      </c>
      <c r="AK375" s="77" t="str">
        <f aca="false">IF(AND(ISNUMBER(U375),ISNUMBER(V375),ISNUMBER(14_Cercania!$C$13),ISNUMBER(14_Cercania!$C$14)),6371*2*ASIN(SQRT(SIN(RADIANS(14_Cercania!$C$13-U375)/2)^2+COS(RADIANS(U375))*COS(RADIANS(14_Cercania!$C$13))*SIN(RADIANS(14_Cercania!$C$14-V375)/2)^2))+ROW()*0.000000001,"")</f>
        <v/>
      </c>
    </row>
    <row r="376" customFormat="false" ht="15" hidden="false" customHeight="false" outlineLevel="0" collapsed="false">
      <c r="A376" s="62" t="n">
        <v>374</v>
      </c>
      <c r="B376" s="63"/>
      <c r="C376" s="62"/>
      <c r="D376" s="63"/>
      <c r="E376" s="71"/>
      <c r="F376" s="57"/>
      <c r="G376" s="57"/>
      <c r="H376" s="72"/>
      <c r="I376" s="72"/>
      <c r="J376" s="72"/>
      <c r="K376" s="72"/>
      <c r="L376" s="72"/>
      <c r="M376" s="57"/>
      <c r="N376" s="57"/>
      <c r="O376" s="62"/>
      <c r="P376" s="78"/>
      <c r="Q376" s="78" t="s">
        <v>2490</v>
      </c>
      <c r="R376" s="62" t="s">
        <v>2491</v>
      </c>
      <c r="S376" s="62" t="s">
        <v>2491</v>
      </c>
      <c r="T376" s="62" t="s">
        <v>2491</v>
      </c>
      <c r="U376" s="83"/>
      <c r="V376" s="83"/>
      <c r="W376" s="57" t="s">
        <v>2538</v>
      </c>
      <c r="X376" s="80" t="str">
        <f aca="false">HYPERLINK(IF(AND(ISNUMBER(U376),ISNUMBER(V376)),"https://www.google.com/maps/search/?api=1&amp;query="&amp;U376&amp;","&amp;V376,"https://www.google.com/maps/search/?api=1&amp;query="&amp;SUBSTITUTE(SUBSTITUTE(SUBSTITUTE(B376&amp;", "&amp;M376&amp;", Puno, Peru"," ","+"),"&amp;","y"),"#","")),"Ver en mapa")</f>
        <v>Ver en mapa</v>
      </c>
      <c r="Y376" s="72"/>
      <c r="Z376" s="57"/>
      <c r="AA376" s="72"/>
      <c r="AB376" s="59"/>
      <c r="AC376" s="59"/>
      <c r="AD376" s="72"/>
      <c r="AE376" s="72"/>
      <c r="AF376" s="72"/>
      <c r="AG376" s="72"/>
      <c r="AH376" s="62" t="s">
        <v>2494</v>
      </c>
      <c r="AI376" s="72"/>
      <c r="AJ376" s="63" t="s">
        <v>2970</v>
      </c>
      <c r="AK376" s="81" t="str">
        <f aca="false">IF(AND(ISNUMBER(U376),ISNUMBER(V376),ISNUMBER(14_Cercania!$C$13),ISNUMBER(14_Cercania!$C$14)),6371*2*ASIN(SQRT(SIN(RADIANS(14_Cercania!$C$13-U376)/2)^2+COS(RADIANS(U376))*COS(RADIANS(14_Cercania!$C$13))*SIN(RADIANS(14_Cercania!$C$14-V376)/2)^2))+ROW()*0.000000001,"")</f>
        <v/>
      </c>
    </row>
    <row r="377" customFormat="false" ht="15" hidden="false" customHeight="false" outlineLevel="0" collapsed="false">
      <c r="A377" s="55" t="n">
        <v>375</v>
      </c>
      <c r="B377" s="56"/>
      <c r="C377" s="55"/>
      <c r="D377" s="56"/>
      <c r="E377" s="71"/>
      <c r="F377" s="57"/>
      <c r="G377" s="57"/>
      <c r="H377" s="72"/>
      <c r="I377" s="72"/>
      <c r="J377" s="72"/>
      <c r="K377" s="72"/>
      <c r="L377" s="72"/>
      <c r="M377" s="57"/>
      <c r="N377" s="57"/>
      <c r="O377" s="55"/>
      <c r="P377" s="73"/>
      <c r="Q377" s="73" t="s">
        <v>2490</v>
      </c>
      <c r="R377" s="55" t="s">
        <v>2491</v>
      </c>
      <c r="S377" s="55" t="s">
        <v>2491</v>
      </c>
      <c r="T377" s="55" t="s">
        <v>2491</v>
      </c>
      <c r="U377" s="83"/>
      <c r="V377" s="83"/>
      <c r="W377" s="57" t="s">
        <v>2538</v>
      </c>
      <c r="X377" s="76" t="str">
        <f aca="false">HYPERLINK(IF(AND(ISNUMBER(U377),ISNUMBER(V377)),"https://www.google.com/maps/search/?api=1&amp;query="&amp;U377&amp;","&amp;V377,"https://www.google.com/maps/search/?api=1&amp;query="&amp;SUBSTITUTE(SUBSTITUTE(SUBSTITUTE(B377&amp;", "&amp;M377&amp;", Puno, Peru"," ","+"),"&amp;","y"),"#","")),"Ver en mapa")</f>
        <v>Ver en mapa</v>
      </c>
      <c r="Y377" s="72"/>
      <c r="Z377" s="57"/>
      <c r="AA377" s="72"/>
      <c r="AB377" s="59"/>
      <c r="AC377" s="59"/>
      <c r="AD377" s="72"/>
      <c r="AE377" s="72"/>
      <c r="AF377" s="72"/>
      <c r="AG377" s="72"/>
      <c r="AH377" s="55" t="s">
        <v>2494</v>
      </c>
      <c r="AI377" s="72"/>
      <c r="AJ377" s="56" t="s">
        <v>2970</v>
      </c>
      <c r="AK377" s="77" t="str">
        <f aca="false">IF(AND(ISNUMBER(U377),ISNUMBER(V377),ISNUMBER(14_Cercania!$C$13),ISNUMBER(14_Cercania!$C$14)),6371*2*ASIN(SQRT(SIN(RADIANS(14_Cercania!$C$13-U377)/2)^2+COS(RADIANS(U377))*COS(RADIANS(14_Cercania!$C$13))*SIN(RADIANS(14_Cercania!$C$14-V377)/2)^2))+ROW()*0.000000001,"")</f>
        <v/>
      </c>
    </row>
    <row r="378" customFormat="false" ht="15" hidden="false" customHeight="false" outlineLevel="0" collapsed="false">
      <c r="A378" s="62" t="n">
        <v>376</v>
      </c>
      <c r="B378" s="63"/>
      <c r="C378" s="62"/>
      <c r="D378" s="63"/>
      <c r="E378" s="71"/>
      <c r="F378" s="57"/>
      <c r="G378" s="57"/>
      <c r="H378" s="72"/>
      <c r="I378" s="72"/>
      <c r="J378" s="72"/>
      <c r="K378" s="72"/>
      <c r="L378" s="72"/>
      <c r="M378" s="57"/>
      <c r="N378" s="57"/>
      <c r="O378" s="62"/>
      <c r="P378" s="78"/>
      <c r="Q378" s="78" t="s">
        <v>2490</v>
      </c>
      <c r="R378" s="62" t="s">
        <v>2491</v>
      </c>
      <c r="S378" s="62" t="s">
        <v>2491</v>
      </c>
      <c r="T378" s="62" t="s">
        <v>2491</v>
      </c>
      <c r="U378" s="83"/>
      <c r="V378" s="83"/>
      <c r="W378" s="57" t="s">
        <v>2538</v>
      </c>
      <c r="X378" s="80" t="str">
        <f aca="false">HYPERLINK(IF(AND(ISNUMBER(U378),ISNUMBER(V378)),"https://www.google.com/maps/search/?api=1&amp;query="&amp;U378&amp;","&amp;V378,"https://www.google.com/maps/search/?api=1&amp;query="&amp;SUBSTITUTE(SUBSTITUTE(SUBSTITUTE(B378&amp;", "&amp;M378&amp;", Puno, Peru"," ","+"),"&amp;","y"),"#","")),"Ver en mapa")</f>
        <v>Ver en mapa</v>
      </c>
      <c r="Y378" s="72"/>
      <c r="Z378" s="57"/>
      <c r="AA378" s="72"/>
      <c r="AB378" s="59"/>
      <c r="AC378" s="59"/>
      <c r="AD378" s="72"/>
      <c r="AE378" s="72"/>
      <c r="AF378" s="72"/>
      <c r="AG378" s="72"/>
      <c r="AH378" s="62" t="s">
        <v>2494</v>
      </c>
      <c r="AI378" s="72"/>
      <c r="AJ378" s="63" t="s">
        <v>2970</v>
      </c>
      <c r="AK378" s="81" t="str">
        <f aca="false">IF(AND(ISNUMBER(U378),ISNUMBER(V378),ISNUMBER(14_Cercania!$C$13),ISNUMBER(14_Cercania!$C$14)),6371*2*ASIN(SQRT(SIN(RADIANS(14_Cercania!$C$13-U378)/2)^2+COS(RADIANS(U378))*COS(RADIANS(14_Cercania!$C$13))*SIN(RADIANS(14_Cercania!$C$14-V378)/2)^2))+ROW()*0.000000001,"")</f>
        <v/>
      </c>
    </row>
    <row r="379" customFormat="false" ht="15" hidden="false" customHeight="false" outlineLevel="0" collapsed="false">
      <c r="A379" s="55" t="n">
        <v>377</v>
      </c>
      <c r="B379" s="56"/>
      <c r="C379" s="55"/>
      <c r="D379" s="56"/>
      <c r="E379" s="71"/>
      <c r="F379" s="57"/>
      <c r="G379" s="57"/>
      <c r="H379" s="72"/>
      <c r="I379" s="72"/>
      <c r="J379" s="72"/>
      <c r="K379" s="72"/>
      <c r="L379" s="72"/>
      <c r="M379" s="57"/>
      <c r="N379" s="57"/>
      <c r="O379" s="55"/>
      <c r="P379" s="73"/>
      <c r="Q379" s="73" t="s">
        <v>2490</v>
      </c>
      <c r="R379" s="55" t="s">
        <v>2491</v>
      </c>
      <c r="S379" s="55" t="s">
        <v>2491</v>
      </c>
      <c r="T379" s="55" t="s">
        <v>2491</v>
      </c>
      <c r="U379" s="83"/>
      <c r="V379" s="83"/>
      <c r="W379" s="57" t="s">
        <v>2538</v>
      </c>
      <c r="X379" s="76" t="str">
        <f aca="false">HYPERLINK(IF(AND(ISNUMBER(U379),ISNUMBER(V379)),"https://www.google.com/maps/search/?api=1&amp;query="&amp;U379&amp;","&amp;V379,"https://www.google.com/maps/search/?api=1&amp;query="&amp;SUBSTITUTE(SUBSTITUTE(SUBSTITUTE(B379&amp;", "&amp;M379&amp;", Puno, Peru"," ","+"),"&amp;","y"),"#","")),"Ver en mapa")</f>
        <v>Ver en mapa</v>
      </c>
      <c r="Y379" s="72"/>
      <c r="Z379" s="57"/>
      <c r="AA379" s="72"/>
      <c r="AB379" s="59"/>
      <c r="AC379" s="59"/>
      <c r="AD379" s="72"/>
      <c r="AE379" s="72"/>
      <c r="AF379" s="72"/>
      <c r="AG379" s="72"/>
      <c r="AH379" s="55" t="s">
        <v>2494</v>
      </c>
      <c r="AI379" s="72"/>
      <c r="AJ379" s="56" t="s">
        <v>2970</v>
      </c>
      <c r="AK379" s="77" t="str">
        <f aca="false">IF(AND(ISNUMBER(U379),ISNUMBER(V379),ISNUMBER(14_Cercania!$C$13),ISNUMBER(14_Cercania!$C$14)),6371*2*ASIN(SQRT(SIN(RADIANS(14_Cercania!$C$13-U379)/2)^2+COS(RADIANS(U379))*COS(RADIANS(14_Cercania!$C$13))*SIN(RADIANS(14_Cercania!$C$14-V379)/2)^2))+ROW()*0.000000001,"")</f>
        <v/>
      </c>
    </row>
    <row r="380" customFormat="false" ht="15" hidden="false" customHeight="false" outlineLevel="0" collapsed="false">
      <c r="A380" s="62" t="n">
        <v>378</v>
      </c>
      <c r="B380" s="63"/>
      <c r="C380" s="62"/>
      <c r="D380" s="63"/>
      <c r="E380" s="71"/>
      <c r="F380" s="57"/>
      <c r="G380" s="57"/>
      <c r="H380" s="72"/>
      <c r="I380" s="72"/>
      <c r="J380" s="72"/>
      <c r="K380" s="72"/>
      <c r="L380" s="72"/>
      <c r="M380" s="57"/>
      <c r="N380" s="57"/>
      <c r="O380" s="62"/>
      <c r="P380" s="78"/>
      <c r="Q380" s="78" t="s">
        <v>2490</v>
      </c>
      <c r="R380" s="62" t="s">
        <v>2491</v>
      </c>
      <c r="S380" s="62" t="s">
        <v>2491</v>
      </c>
      <c r="T380" s="62" t="s">
        <v>2491</v>
      </c>
      <c r="U380" s="83"/>
      <c r="V380" s="83"/>
      <c r="W380" s="57" t="s">
        <v>2538</v>
      </c>
      <c r="X380" s="80" t="str">
        <f aca="false">HYPERLINK(IF(AND(ISNUMBER(U380),ISNUMBER(V380)),"https://www.google.com/maps/search/?api=1&amp;query="&amp;U380&amp;","&amp;V380,"https://www.google.com/maps/search/?api=1&amp;query="&amp;SUBSTITUTE(SUBSTITUTE(SUBSTITUTE(B380&amp;", "&amp;M380&amp;", Puno, Peru"," ","+"),"&amp;","y"),"#","")),"Ver en mapa")</f>
        <v>Ver en mapa</v>
      </c>
      <c r="Y380" s="72"/>
      <c r="Z380" s="57"/>
      <c r="AA380" s="72"/>
      <c r="AB380" s="59"/>
      <c r="AC380" s="59"/>
      <c r="AD380" s="72"/>
      <c r="AE380" s="72"/>
      <c r="AF380" s="72"/>
      <c r="AG380" s="72"/>
      <c r="AH380" s="62" t="s">
        <v>2494</v>
      </c>
      <c r="AI380" s="72"/>
      <c r="AJ380" s="63" t="s">
        <v>2970</v>
      </c>
      <c r="AK380" s="81" t="str">
        <f aca="false">IF(AND(ISNUMBER(U380),ISNUMBER(V380),ISNUMBER(14_Cercania!$C$13),ISNUMBER(14_Cercania!$C$14)),6371*2*ASIN(SQRT(SIN(RADIANS(14_Cercania!$C$13-U380)/2)^2+COS(RADIANS(U380))*COS(RADIANS(14_Cercania!$C$13))*SIN(RADIANS(14_Cercania!$C$14-V380)/2)^2))+ROW()*0.000000001,"")</f>
        <v/>
      </c>
    </row>
    <row r="381" customFormat="false" ht="15" hidden="false" customHeight="false" outlineLevel="0" collapsed="false">
      <c r="A381" s="55" t="n">
        <v>379</v>
      </c>
      <c r="B381" s="56"/>
      <c r="C381" s="55"/>
      <c r="D381" s="56"/>
      <c r="E381" s="71"/>
      <c r="F381" s="57"/>
      <c r="G381" s="57"/>
      <c r="H381" s="72"/>
      <c r="I381" s="72"/>
      <c r="J381" s="72"/>
      <c r="K381" s="72"/>
      <c r="L381" s="72"/>
      <c r="M381" s="57"/>
      <c r="N381" s="57"/>
      <c r="O381" s="55"/>
      <c r="P381" s="73"/>
      <c r="Q381" s="73" t="s">
        <v>2490</v>
      </c>
      <c r="R381" s="55" t="s">
        <v>2491</v>
      </c>
      <c r="S381" s="55" t="s">
        <v>2491</v>
      </c>
      <c r="T381" s="55" t="s">
        <v>2491</v>
      </c>
      <c r="U381" s="83"/>
      <c r="V381" s="83"/>
      <c r="W381" s="57" t="s">
        <v>2538</v>
      </c>
      <c r="X381" s="76" t="str">
        <f aca="false">HYPERLINK(IF(AND(ISNUMBER(U381),ISNUMBER(V381)),"https://www.google.com/maps/search/?api=1&amp;query="&amp;U381&amp;","&amp;V381,"https://www.google.com/maps/search/?api=1&amp;query="&amp;SUBSTITUTE(SUBSTITUTE(SUBSTITUTE(B381&amp;", "&amp;M381&amp;", Puno, Peru"," ","+"),"&amp;","y"),"#","")),"Ver en mapa")</f>
        <v>Ver en mapa</v>
      </c>
      <c r="Y381" s="72"/>
      <c r="Z381" s="57"/>
      <c r="AA381" s="72"/>
      <c r="AB381" s="59"/>
      <c r="AC381" s="59"/>
      <c r="AD381" s="72"/>
      <c r="AE381" s="72"/>
      <c r="AF381" s="72"/>
      <c r="AG381" s="72"/>
      <c r="AH381" s="55" t="s">
        <v>2494</v>
      </c>
      <c r="AI381" s="72"/>
      <c r="AJ381" s="56" t="s">
        <v>2970</v>
      </c>
      <c r="AK381" s="77" t="str">
        <f aca="false">IF(AND(ISNUMBER(U381),ISNUMBER(V381),ISNUMBER(14_Cercania!$C$13),ISNUMBER(14_Cercania!$C$14)),6371*2*ASIN(SQRT(SIN(RADIANS(14_Cercania!$C$13-U381)/2)^2+COS(RADIANS(U381))*COS(RADIANS(14_Cercania!$C$13))*SIN(RADIANS(14_Cercania!$C$14-V381)/2)^2))+ROW()*0.000000001,"")</f>
        <v/>
      </c>
    </row>
    <row r="382" customFormat="false" ht="15" hidden="false" customHeight="false" outlineLevel="0" collapsed="false">
      <c r="A382" s="62" t="n">
        <v>380</v>
      </c>
      <c r="B382" s="63"/>
      <c r="C382" s="62"/>
      <c r="D382" s="63"/>
      <c r="E382" s="71"/>
      <c r="F382" s="57"/>
      <c r="G382" s="57"/>
      <c r="H382" s="72"/>
      <c r="I382" s="72"/>
      <c r="J382" s="72"/>
      <c r="K382" s="72"/>
      <c r="L382" s="72"/>
      <c r="M382" s="57"/>
      <c r="N382" s="57"/>
      <c r="O382" s="62"/>
      <c r="P382" s="78"/>
      <c r="Q382" s="78" t="s">
        <v>2490</v>
      </c>
      <c r="R382" s="62" t="s">
        <v>2491</v>
      </c>
      <c r="S382" s="62" t="s">
        <v>2491</v>
      </c>
      <c r="T382" s="62" t="s">
        <v>2491</v>
      </c>
      <c r="U382" s="83"/>
      <c r="V382" s="83"/>
      <c r="W382" s="57" t="s">
        <v>2538</v>
      </c>
      <c r="X382" s="80" t="str">
        <f aca="false">HYPERLINK(IF(AND(ISNUMBER(U382),ISNUMBER(V382)),"https://www.google.com/maps/search/?api=1&amp;query="&amp;U382&amp;","&amp;V382,"https://www.google.com/maps/search/?api=1&amp;query="&amp;SUBSTITUTE(SUBSTITUTE(SUBSTITUTE(B382&amp;", "&amp;M382&amp;", Puno, Peru"," ","+"),"&amp;","y"),"#","")),"Ver en mapa")</f>
        <v>Ver en mapa</v>
      </c>
      <c r="Y382" s="72"/>
      <c r="Z382" s="57"/>
      <c r="AA382" s="72"/>
      <c r="AB382" s="59"/>
      <c r="AC382" s="59"/>
      <c r="AD382" s="72"/>
      <c r="AE382" s="72"/>
      <c r="AF382" s="72"/>
      <c r="AG382" s="72"/>
      <c r="AH382" s="62" t="s">
        <v>2494</v>
      </c>
      <c r="AI382" s="72"/>
      <c r="AJ382" s="63" t="s">
        <v>2970</v>
      </c>
      <c r="AK382" s="81" t="str">
        <f aca="false">IF(AND(ISNUMBER(U382),ISNUMBER(V382),ISNUMBER(14_Cercania!$C$13),ISNUMBER(14_Cercania!$C$14)),6371*2*ASIN(SQRT(SIN(RADIANS(14_Cercania!$C$13-U382)/2)^2+COS(RADIANS(U382))*COS(RADIANS(14_Cercania!$C$13))*SIN(RADIANS(14_Cercania!$C$14-V382)/2)^2))+ROW()*0.000000001,"")</f>
        <v/>
      </c>
    </row>
    <row r="383" customFormat="false" ht="15" hidden="false" customHeight="false" outlineLevel="0" collapsed="false">
      <c r="A383" s="55" t="n">
        <v>381</v>
      </c>
      <c r="B383" s="56"/>
      <c r="C383" s="55"/>
      <c r="D383" s="56"/>
      <c r="E383" s="71"/>
      <c r="F383" s="57"/>
      <c r="G383" s="57"/>
      <c r="H383" s="72"/>
      <c r="I383" s="72"/>
      <c r="J383" s="72"/>
      <c r="K383" s="72"/>
      <c r="L383" s="72"/>
      <c r="M383" s="57"/>
      <c r="N383" s="57"/>
      <c r="O383" s="55"/>
      <c r="P383" s="73"/>
      <c r="Q383" s="73" t="s">
        <v>2490</v>
      </c>
      <c r="R383" s="55" t="s">
        <v>2491</v>
      </c>
      <c r="S383" s="55" t="s">
        <v>2491</v>
      </c>
      <c r="T383" s="55" t="s">
        <v>2491</v>
      </c>
      <c r="U383" s="83"/>
      <c r="V383" s="83"/>
      <c r="W383" s="57" t="s">
        <v>2538</v>
      </c>
      <c r="X383" s="76" t="str">
        <f aca="false">HYPERLINK(IF(AND(ISNUMBER(U383),ISNUMBER(V383)),"https://www.google.com/maps/search/?api=1&amp;query="&amp;U383&amp;","&amp;V383,"https://www.google.com/maps/search/?api=1&amp;query="&amp;SUBSTITUTE(SUBSTITUTE(SUBSTITUTE(B383&amp;", "&amp;M383&amp;", Puno, Peru"," ","+"),"&amp;","y"),"#","")),"Ver en mapa")</f>
        <v>Ver en mapa</v>
      </c>
      <c r="Y383" s="72"/>
      <c r="Z383" s="57"/>
      <c r="AA383" s="72"/>
      <c r="AB383" s="59"/>
      <c r="AC383" s="59"/>
      <c r="AD383" s="72"/>
      <c r="AE383" s="72"/>
      <c r="AF383" s="72"/>
      <c r="AG383" s="72"/>
      <c r="AH383" s="55" t="s">
        <v>2494</v>
      </c>
      <c r="AI383" s="72"/>
      <c r="AJ383" s="56" t="s">
        <v>2970</v>
      </c>
      <c r="AK383" s="77" t="str">
        <f aca="false">IF(AND(ISNUMBER(U383),ISNUMBER(V383),ISNUMBER(14_Cercania!$C$13),ISNUMBER(14_Cercania!$C$14)),6371*2*ASIN(SQRT(SIN(RADIANS(14_Cercania!$C$13-U383)/2)^2+COS(RADIANS(U383))*COS(RADIANS(14_Cercania!$C$13))*SIN(RADIANS(14_Cercania!$C$14-V383)/2)^2))+ROW()*0.000000001,"")</f>
        <v/>
      </c>
    </row>
    <row r="384" customFormat="false" ht="15" hidden="false" customHeight="false" outlineLevel="0" collapsed="false">
      <c r="A384" s="62" t="n">
        <v>382</v>
      </c>
      <c r="B384" s="63"/>
      <c r="C384" s="62"/>
      <c r="D384" s="63"/>
      <c r="E384" s="71"/>
      <c r="F384" s="57"/>
      <c r="G384" s="57"/>
      <c r="H384" s="72"/>
      <c r="I384" s="72"/>
      <c r="J384" s="72"/>
      <c r="K384" s="72"/>
      <c r="L384" s="72"/>
      <c r="M384" s="57"/>
      <c r="N384" s="57"/>
      <c r="O384" s="62"/>
      <c r="P384" s="78"/>
      <c r="Q384" s="78" t="s">
        <v>2490</v>
      </c>
      <c r="R384" s="62" t="s">
        <v>2491</v>
      </c>
      <c r="S384" s="62" t="s">
        <v>2491</v>
      </c>
      <c r="T384" s="62" t="s">
        <v>2491</v>
      </c>
      <c r="U384" s="83"/>
      <c r="V384" s="83"/>
      <c r="W384" s="57" t="s">
        <v>2538</v>
      </c>
      <c r="X384" s="80" t="str">
        <f aca="false">HYPERLINK(IF(AND(ISNUMBER(U384),ISNUMBER(V384)),"https://www.google.com/maps/search/?api=1&amp;query="&amp;U384&amp;","&amp;V384,"https://www.google.com/maps/search/?api=1&amp;query="&amp;SUBSTITUTE(SUBSTITUTE(SUBSTITUTE(B384&amp;", "&amp;M384&amp;", Puno, Peru"," ","+"),"&amp;","y"),"#","")),"Ver en mapa")</f>
        <v>Ver en mapa</v>
      </c>
      <c r="Y384" s="72"/>
      <c r="Z384" s="57"/>
      <c r="AA384" s="72"/>
      <c r="AB384" s="59"/>
      <c r="AC384" s="59"/>
      <c r="AD384" s="72"/>
      <c r="AE384" s="72"/>
      <c r="AF384" s="72"/>
      <c r="AG384" s="72"/>
      <c r="AH384" s="62" t="s">
        <v>2494</v>
      </c>
      <c r="AI384" s="72"/>
      <c r="AJ384" s="63" t="s">
        <v>2970</v>
      </c>
      <c r="AK384" s="81" t="str">
        <f aca="false">IF(AND(ISNUMBER(U384),ISNUMBER(V384),ISNUMBER(14_Cercania!$C$13),ISNUMBER(14_Cercania!$C$14)),6371*2*ASIN(SQRT(SIN(RADIANS(14_Cercania!$C$13-U384)/2)^2+COS(RADIANS(U384))*COS(RADIANS(14_Cercania!$C$13))*SIN(RADIANS(14_Cercania!$C$14-V384)/2)^2))+ROW()*0.000000001,"")</f>
        <v/>
      </c>
    </row>
    <row r="385" customFormat="false" ht="15" hidden="false" customHeight="false" outlineLevel="0" collapsed="false">
      <c r="A385" s="55" t="n">
        <v>383</v>
      </c>
      <c r="B385" s="56"/>
      <c r="C385" s="55"/>
      <c r="D385" s="56"/>
      <c r="E385" s="71"/>
      <c r="F385" s="57"/>
      <c r="G385" s="57"/>
      <c r="H385" s="72"/>
      <c r="I385" s="72"/>
      <c r="J385" s="72"/>
      <c r="K385" s="72"/>
      <c r="L385" s="72"/>
      <c r="M385" s="57"/>
      <c r="N385" s="57"/>
      <c r="O385" s="55"/>
      <c r="P385" s="73"/>
      <c r="Q385" s="73" t="s">
        <v>2490</v>
      </c>
      <c r="R385" s="55" t="s">
        <v>2491</v>
      </c>
      <c r="S385" s="55" t="s">
        <v>2491</v>
      </c>
      <c r="T385" s="55" t="s">
        <v>2491</v>
      </c>
      <c r="U385" s="83"/>
      <c r="V385" s="83"/>
      <c r="W385" s="57" t="s">
        <v>2538</v>
      </c>
      <c r="X385" s="76" t="str">
        <f aca="false">HYPERLINK(IF(AND(ISNUMBER(U385),ISNUMBER(V385)),"https://www.google.com/maps/search/?api=1&amp;query="&amp;U385&amp;","&amp;V385,"https://www.google.com/maps/search/?api=1&amp;query="&amp;SUBSTITUTE(SUBSTITUTE(SUBSTITUTE(B385&amp;", "&amp;M385&amp;", Puno, Peru"," ","+"),"&amp;","y"),"#","")),"Ver en mapa")</f>
        <v>Ver en mapa</v>
      </c>
      <c r="Y385" s="72"/>
      <c r="Z385" s="57"/>
      <c r="AA385" s="72"/>
      <c r="AB385" s="59"/>
      <c r="AC385" s="59"/>
      <c r="AD385" s="72"/>
      <c r="AE385" s="72"/>
      <c r="AF385" s="72"/>
      <c r="AG385" s="72"/>
      <c r="AH385" s="55" t="s">
        <v>2494</v>
      </c>
      <c r="AI385" s="72"/>
      <c r="AJ385" s="56" t="s">
        <v>2970</v>
      </c>
      <c r="AK385" s="77" t="str">
        <f aca="false">IF(AND(ISNUMBER(U385),ISNUMBER(V385),ISNUMBER(14_Cercania!$C$13),ISNUMBER(14_Cercania!$C$14)),6371*2*ASIN(SQRT(SIN(RADIANS(14_Cercania!$C$13-U385)/2)^2+COS(RADIANS(U385))*COS(RADIANS(14_Cercania!$C$13))*SIN(RADIANS(14_Cercania!$C$14-V385)/2)^2))+ROW()*0.000000001,"")</f>
        <v/>
      </c>
    </row>
    <row r="386" customFormat="false" ht="15" hidden="false" customHeight="false" outlineLevel="0" collapsed="false">
      <c r="A386" s="62" t="n">
        <v>384</v>
      </c>
      <c r="B386" s="63"/>
      <c r="C386" s="62"/>
      <c r="D386" s="63"/>
      <c r="E386" s="71"/>
      <c r="F386" s="57"/>
      <c r="G386" s="57"/>
      <c r="H386" s="72"/>
      <c r="I386" s="72"/>
      <c r="J386" s="72"/>
      <c r="K386" s="72"/>
      <c r="L386" s="72"/>
      <c r="M386" s="57"/>
      <c r="N386" s="57"/>
      <c r="O386" s="62"/>
      <c r="P386" s="78"/>
      <c r="Q386" s="78" t="s">
        <v>2490</v>
      </c>
      <c r="R386" s="62" t="s">
        <v>2491</v>
      </c>
      <c r="S386" s="62" t="s">
        <v>2491</v>
      </c>
      <c r="T386" s="62" t="s">
        <v>2491</v>
      </c>
      <c r="U386" s="83"/>
      <c r="V386" s="83"/>
      <c r="W386" s="57" t="s">
        <v>2538</v>
      </c>
      <c r="X386" s="80" t="str">
        <f aca="false">HYPERLINK(IF(AND(ISNUMBER(U386),ISNUMBER(V386)),"https://www.google.com/maps/search/?api=1&amp;query="&amp;U386&amp;","&amp;V386,"https://www.google.com/maps/search/?api=1&amp;query="&amp;SUBSTITUTE(SUBSTITUTE(SUBSTITUTE(B386&amp;", "&amp;M386&amp;", Puno, Peru"," ","+"),"&amp;","y"),"#","")),"Ver en mapa")</f>
        <v>Ver en mapa</v>
      </c>
      <c r="Y386" s="72"/>
      <c r="Z386" s="57"/>
      <c r="AA386" s="72"/>
      <c r="AB386" s="59"/>
      <c r="AC386" s="59"/>
      <c r="AD386" s="72"/>
      <c r="AE386" s="72"/>
      <c r="AF386" s="72"/>
      <c r="AG386" s="72"/>
      <c r="AH386" s="62" t="s">
        <v>2494</v>
      </c>
      <c r="AI386" s="72"/>
      <c r="AJ386" s="63" t="s">
        <v>2970</v>
      </c>
      <c r="AK386" s="81" t="str">
        <f aca="false">IF(AND(ISNUMBER(U386),ISNUMBER(V386),ISNUMBER(14_Cercania!$C$13),ISNUMBER(14_Cercania!$C$14)),6371*2*ASIN(SQRT(SIN(RADIANS(14_Cercania!$C$13-U386)/2)^2+COS(RADIANS(U386))*COS(RADIANS(14_Cercania!$C$13))*SIN(RADIANS(14_Cercania!$C$14-V386)/2)^2))+ROW()*0.000000001,"")</f>
        <v/>
      </c>
    </row>
    <row r="387" customFormat="false" ht="15" hidden="false" customHeight="false" outlineLevel="0" collapsed="false">
      <c r="A387" s="55" t="n">
        <v>385</v>
      </c>
      <c r="B387" s="56"/>
      <c r="C387" s="55"/>
      <c r="D387" s="56"/>
      <c r="E387" s="71"/>
      <c r="F387" s="57"/>
      <c r="G387" s="57"/>
      <c r="H387" s="72"/>
      <c r="I387" s="72"/>
      <c r="J387" s="72"/>
      <c r="K387" s="72"/>
      <c r="L387" s="72"/>
      <c r="M387" s="57"/>
      <c r="N387" s="57"/>
      <c r="O387" s="55"/>
      <c r="P387" s="73"/>
      <c r="Q387" s="73" t="s">
        <v>2490</v>
      </c>
      <c r="R387" s="55" t="s">
        <v>2491</v>
      </c>
      <c r="S387" s="55" t="s">
        <v>2491</v>
      </c>
      <c r="T387" s="55" t="s">
        <v>2491</v>
      </c>
      <c r="U387" s="83"/>
      <c r="V387" s="83"/>
      <c r="W387" s="57" t="s">
        <v>2538</v>
      </c>
      <c r="X387" s="76" t="str">
        <f aca="false">HYPERLINK(IF(AND(ISNUMBER(U387),ISNUMBER(V387)),"https://www.google.com/maps/search/?api=1&amp;query="&amp;U387&amp;","&amp;V387,"https://www.google.com/maps/search/?api=1&amp;query="&amp;SUBSTITUTE(SUBSTITUTE(SUBSTITUTE(B387&amp;", "&amp;M387&amp;", Puno, Peru"," ","+"),"&amp;","y"),"#","")),"Ver en mapa")</f>
        <v>Ver en mapa</v>
      </c>
      <c r="Y387" s="72"/>
      <c r="Z387" s="57"/>
      <c r="AA387" s="72"/>
      <c r="AB387" s="59"/>
      <c r="AC387" s="59"/>
      <c r="AD387" s="72"/>
      <c r="AE387" s="72"/>
      <c r="AF387" s="72"/>
      <c r="AG387" s="72"/>
      <c r="AH387" s="55" t="s">
        <v>2494</v>
      </c>
      <c r="AI387" s="72"/>
      <c r="AJ387" s="56" t="s">
        <v>2970</v>
      </c>
      <c r="AK387" s="77" t="str">
        <f aca="false">IF(AND(ISNUMBER(U387),ISNUMBER(V387),ISNUMBER(14_Cercania!$C$13),ISNUMBER(14_Cercania!$C$14)),6371*2*ASIN(SQRT(SIN(RADIANS(14_Cercania!$C$13-U387)/2)^2+COS(RADIANS(U387))*COS(RADIANS(14_Cercania!$C$13))*SIN(RADIANS(14_Cercania!$C$14-V387)/2)^2))+ROW()*0.000000001,"")</f>
        <v/>
      </c>
    </row>
    <row r="388" customFormat="false" ht="15" hidden="false" customHeight="false" outlineLevel="0" collapsed="false">
      <c r="A388" s="62" t="n">
        <v>386</v>
      </c>
      <c r="B388" s="63"/>
      <c r="C388" s="62"/>
      <c r="D388" s="63"/>
      <c r="E388" s="71"/>
      <c r="F388" s="57"/>
      <c r="G388" s="57"/>
      <c r="H388" s="72"/>
      <c r="I388" s="72"/>
      <c r="J388" s="72"/>
      <c r="K388" s="72"/>
      <c r="L388" s="72"/>
      <c r="M388" s="57"/>
      <c r="N388" s="57"/>
      <c r="O388" s="62"/>
      <c r="P388" s="78"/>
      <c r="Q388" s="78" t="s">
        <v>2490</v>
      </c>
      <c r="R388" s="62" t="s">
        <v>2491</v>
      </c>
      <c r="S388" s="62" t="s">
        <v>2491</v>
      </c>
      <c r="T388" s="62" t="s">
        <v>2491</v>
      </c>
      <c r="U388" s="83"/>
      <c r="V388" s="83"/>
      <c r="W388" s="57" t="s">
        <v>2538</v>
      </c>
      <c r="X388" s="80" t="str">
        <f aca="false">HYPERLINK(IF(AND(ISNUMBER(U388),ISNUMBER(V388)),"https://www.google.com/maps/search/?api=1&amp;query="&amp;U388&amp;","&amp;V388,"https://www.google.com/maps/search/?api=1&amp;query="&amp;SUBSTITUTE(SUBSTITUTE(SUBSTITUTE(B388&amp;", "&amp;M388&amp;", Puno, Peru"," ","+"),"&amp;","y"),"#","")),"Ver en mapa")</f>
        <v>Ver en mapa</v>
      </c>
      <c r="Y388" s="72"/>
      <c r="Z388" s="57"/>
      <c r="AA388" s="72"/>
      <c r="AB388" s="59"/>
      <c r="AC388" s="59"/>
      <c r="AD388" s="72"/>
      <c r="AE388" s="72"/>
      <c r="AF388" s="72"/>
      <c r="AG388" s="72"/>
      <c r="AH388" s="62" t="s">
        <v>2494</v>
      </c>
      <c r="AI388" s="72"/>
      <c r="AJ388" s="63" t="s">
        <v>2970</v>
      </c>
      <c r="AK388" s="81" t="str">
        <f aca="false">IF(AND(ISNUMBER(U388),ISNUMBER(V388),ISNUMBER(14_Cercania!$C$13),ISNUMBER(14_Cercania!$C$14)),6371*2*ASIN(SQRT(SIN(RADIANS(14_Cercania!$C$13-U388)/2)^2+COS(RADIANS(U388))*COS(RADIANS(14_Cercania!$C$13))*SIN(RADIANS(14_Cercania!$C$14-V388)/2)^2))+ROW()*0.000000001,"")</f>
        <v/>
      </c>
    </row>
    <row r="389" customFormat="false" ht="15" hidden="false" customHeight="false" outlineLevel="0" collapsed="false">
      <c r="A389" s="55" t="n">
        <v>387</v>
      </c>
      <c r="B389" s="56"/>
      <c r="C389" s="55"/>
      <c r="D389" s="56"/>
      <c r="E389" s="71"/>
      <c r="F389" s="57"/>
      <c r="G389" s="57"/>
      <c r="H389" s="72"/>
      <c r="I389" s="72"/>
      <c r="J389" s="72"/>
      <c r="K389" s="72"/>
      <c r="L389" s="72"/>
      <c r="M389" s="57"/>
      <c r="N389" s="57"/>
      <c r="O389" s="55"/>
      <c r="P389" s="73"/>
      <c r="Q389" s="73" t="s">
        <v>2490</v>
      </c>
      <c r="R389" s="55" t="s">
        <v>2491</v>
      </c>
      <c r="S389" s="55" t="s">
        <v>2491</v>
      </c>
      <c r="T389" s="55" t="s">
        <v>2491</v>
      </c>
      <c r="U389" s="83"/>
      <c r="V389" s="83"/>
      <c r="W389" s="57" t="s">
        <v>2538</v>
      </c>
      <c r="X389" s="76" t="str">
        <f aca="false">HYPERLINK(IF(AND(ISNUMBER(U389),ISNUMBER(V389)),"https://www.google.com/maps/search/?api=1&amp;query="&amp;U389&amp;","&amp;V389,"https://www.google.com/maps/search/?api=1&amp;query="&amp;SUBSTITUTE(SUBSTITUTE(SUBSTITUTE(B389&amp;", "&amp;M389&amp;", Puno, Peru"," ","+"),"&amp;","y"),"#","")),"Ver en mapa")</f>
        <v>Ver en mapa</v>
      </c>
      <c r="Y389" s="72"/>
      <c r="Z389" s="57"/>
      <c r="AA389" s="72"/>
      <c r="AB389" s="59"/>
      <c r="AC389" s="59"/>
      <c r="AD389" s="72"/>
      <c r="AE389" s="72"/>
      <c r="AF389" s="72"/>
      <c r="AG389" s="72"/>
      <c r="AH389" s="55" t="s">
        <v>2494</v>
      </c>
      <c r="AI389" s="72"/>
      <c r="AJ389" s="56" t="s">
        <v>2970</v>
      </c>
      <c r="AK389" s="77" t="str">
        <f aca="false">IF(AND(ISNUMBER(U389),ISNUMBER(V389),ISNUMBER(14_Cercania!$C$13),ISNUMBER(14_Cercania!$C$14)),6371*2*ASIN(SQRT(SIN(RADIANS(14_Cercania!$C$13-U389)/2)^2+COS(RADIANS(U389))*COS(RADIANS(14_Cercania!$C$13))*SIN(RADIANS(14_Cercania!$C$14-V389)/2)^2))+ROW()*0.000000001,"")</f>
        <v/>
      </c>
    </row>
    <row r="390" customFormat="false" ht="15" hidden="false" customHeight="false" outlineLevel="0" collapsed="false">
      <c r="A390" s="62" t="n">
        <v>388</v>
      </c>
      <c r="B390" s="63"/>
      <c r="C390" s="62"/>
      <c r="D390" s="63"/>
      <c r="E390" s="71"/>
      <c r="F390" s="57"/>
      <c r="G390" s="57"/>
      <c r="H390" s="72"/>
      <c r="I390" s="72"/>
      <c r="J390" s="72"/>
      <c r="K390" s="72"/>
      <c r="L390" s="72"/>
      <c r="M390" s="57"/>
      <c r="N390" s="57"/>
      <c r="O390" s="62"/>
      <c r="P390" s="78"/>
      <c r="Q390" s="78" t="s">
        <v>2490</v>
      </c>
      <c r="R390" s="62" t="s">
        <v>2491</v>
      </c>
      <c r="S390" s="62" t="s">
        <v>2491</v>
      </c>
      <c r="T390" s="62" t="s">
        <v>2491</v>
      </c>
      <c r="U390" s="83"/>
      <c r="V390" s="83"/>
      <c r="W390" s="57" t="s">
        <v>2538</v>
      </c>
      <c r="X390" s="80" t="str">
        <f aca="false">HYPERLINK(IF(AND(ISNUMBER(U390),ISNUMBER(V390)),"https://www.google.com/maps/search/?api=1&amp;query="&amp;U390&amp;","&amp;V390,"https://www.google.com/maps/search/?api=1&amp;query="&amp;SUBSTITUTE(SUBSTITUTE(SUBSTITUTE(B390&amp;", "&amp;M390&amp;", Puno, Peru"," ","+"),"&amp;","y"),"#","")),"Ver en mapa")</f>
        <v>Ver en mapa</v>
      </c>
      <c r="Y390" s="72"/>
      <c r="Z390" s="57"/>
      <c r="AA390" s="72"/>
      <c r="AB390" s="59"/>
      <c r="AC390" s="59"/>
      <c r="AD390" s="72"/>
      <c r="AE390" s="72"/>
      <c r="AF390" s="72"/>
      <c r="AG390" s="72"/>
      <c r="AH390" s="62" t="s">
        <v>2494</v>
      </c>
      <c r="AI390" s="72"/>
      <c r="AJ390" s="63" t="s">
        <v>2970</v>
      </c>
      <c r="AK390" s="81" t="str">
        <f aca="false">IF(AND(ISNUMBER(U390),ISNUMBER(V390),ISNUMBER(14_Cercania!$C$13),ISNUMBER(14_Cercania!$C$14)),6371*2*ASIN(SQRT(SIN(RADIANS(14_Cercania!$C$13-U390)/2)^2+COS(RADIANS(U390))*COS(RADIANS(14_Cercania!$C$13))*SIN(RADIANS(14_Cercania!$C$14-V390)/2)^2))+ROW()*0.000000001,"")</f>
        <v/>
      </c>
    </row>
    <row r="391" customFormat="false" ht="15" hidden="false" customHeight="false" outlineLevel="0" collapsed="false">
      <c r="A391" s="55" t="n">
        <v>389</v>
      </c>
      <c r="B391" s="56"/>
      <c r="C391" s="55"/>
      <c r="D391" s="56"/>
      <c r="E391" s="71"/>
      <c r="F391" s="57"/>
      <c r="G391" s="57"/>
      <c r="H391" s="72"/>
      <c r="I391" s="72"/>
      <c r="J391" s="72"/>
      <c r="K391" s="72"/>
      <c r="L391" s="72"/>
      <c r="M391" s="57"/>
      <c r="N391" s="57"/>
      <c r="O391" s="55"/>
      <c r="P391" s="73"/>
      <c r="Q391" s="73" t="s">
        <v>2490</v>
      </c>
      <c r="R391" s="55" t="s">
        <v>2491</v>
      </c>
      <c r="S391" s="55" t="s">
        <v>2491</v>
      </c>
      <c r="T391" s="55" t="s">
        <v>2491</v>
      </c>
      <c r="U391" s="83"/>
      <c r="V391" s="83"/>
      <c r="W391" s="57" t="s">
        <v>2538</v>
      </c>
      <c r="X391" s="76" t="str">
        <f aca="false">HYPERLINK(IF(AND(ISNUMBER(U391),ISNUMBER(V391)),"https://www.google.com/maps/search/?api=1&amp;query="&amp;U391&amp;","&amp;V391,"https://www.google.com/maps/search/?api=1&amp;query="&amp;SUBSTITUTE(SUBSTITUTE(SUBSTITUTE(B391&amp;", "&amp;M391&amp;", Puno, Peru"," ","+"),"&amp;","y"),"#","")),"Ver en mapa")</f>
        <v>Ver en mapa</v>
      </c>
      <c r="Y391" s="72"/>
      <c r="Z391" s="57"/>
      <c r="AA391" s="72"/>
      <c r="AB391" s="59"/>
      <c r="AC391" s="59"/>
      <c r="AD391" s="72"/>
      <c r="AE391" s="72"/>
      <c r="AF391" s="72"/>
      <c r="AG391" s="72"/>
      <c r="AH391" s="55" t="s">
        <v>2494</v>
      </c>
      <c r="AI391" s="72"/>
      <c r="AJ391" s="56" t="s">
        <v>2970</v>
      </c>
      <c r="AK391" s="77" t="str">
        <f aca="false">IF(AND(ISNUMBER(U391),ISNUMBER(V391),ISNUMBER(14_Cercania!$C$13),ISNUMBER(14_Cercania!$C$14)),6371*2*ASIN(SQRT(SIN(RADIANS(14_Cercania!$C$13-U391)/2)^2+COS(RADIANS(U391))*COS(RADIANS(14_Cercania!$C$13))*SIN(RADIANS(14_Cercania!$C$14-V391)/2)^2))+ROW()*0.000000001,"")</f>
        <v/>
      </c>
    </row>
    <row r="393" customFormat="false" ht="15" hidden="false" customHeight="false" outlineLevel="0" collapsed="false">
      <c r="B393" s="30" t="s">
        <v>2971</v>
      </c>
    </row>
    <row r="394" customFormat="false" ht="15" hidden="false" customHeight="false" outlineLevel="0" collapsed="false">
      <c r="B394" s="28" t="s">
        <v>2972</v>
      </c>
    </row>
    <row r="395" customFormat="false" ht="15" hidden="false" customHeight="false" outlineLevel="0" collapsed="false">
      <c r="B395" s="28" t="s">
        <v>2973</v>
      </c>
    </row>
    <row r="396" customFormat="false" ht="15" hidden="false" customHeight="false" outlineLevel="0" collapsed="false">
      <c r="B396" s="36" t="s">
        <v>2974</v>
      </c>
    </row>
  </sheetData>
  <autoFilter ref="A2:AK391"/>
  <mergeCells count="7">
    <mergeCell ref="A1:D1"/>
    <mergeCell ref="E1:H1"/>
    <mergeCell ref="I1:L1"/>
    <mergeCell ref="M1:T1"/>
    <mergeCell ref="U1:X1"/>
    <mergeCell ref="Y1:AD1"/>
    <mergeCell ref="AE1:AJ1"/>
  </mergeCells>
  <dataValidations count="12">
    <dataValidation allowBlank="true" errorStyle="stop" operator="between" showDropDown="false" showErrorMessage="false" showInputMessage="false" sqref="C3:C391" type="list">
      <formula1>99_Listas!$F$2:$F$23</formula1>
      <formula2>0</formula2>
    </dataValidation>
    <dataValidation allowBlank="true" errorStyle="stop" operator="between" showDropDown="false" showErrorMessage="false" showInputMessage="false" sqref="O3:O391" type="list">
      <formula1>99_Listas!$D$2:$D$17</formula1>
      <formula2>0</formula2>
    </dataValidation>
    <dataValidation allowBlank="true" errorStyle="stop" operator="between" showDropDown="false" showErrorMessage="false" showInputMessage="false" sqref="Y3:Y391" type="list">
      <formula1>99_Listas!$B$2:$B$5</formula1>
      <formula2>0</formula2>
    </dataValidation>
    <dataValidation allowBlank="true" errorStyle="stop" operator="between" showDropDown="false" showErrorMessage="false" showInputMessage="false" sqref="W3:W391" type="list">
      <formula1>"Exacta — OpenStreetMap,Exacta — GPS en campo,Exacta — Google Maps,Aproximada — misma cuadra que un local conocido,Aproximada — interpolada en la calle,Probable — confirmar,Pendiente — tomar en campo"</formula1>
      <formula2>0</formula2>
    </dataValidation>
    <dataValidation allowBlank="true" errorStyle="stop" operator="between" showDropDown="false" showErrorMessage="false" showInputMessage="false" sqref="AA3:AA391" type="list">
      <formula1>"Sí,No,Por confirmar"</formula1>
      <formula2>0</formula2>
    </dataValidation>
    <dataValidation allowBlank="true" errorStyle="stop" operator="between" showDropDown="false" showErrorMessage="false" showInputMessage="false" sqref="AE3:AE391" type="list">
      <formula1>"Sí,No,Por confirmar"</formula1>
      <formula2>0</formula2>
    </dataValidation>
    <dataValidation allowBlank="true" errorStyle="stop" operator="between" showDropDown="false" showErrorMessage="false" showInputMessage="false" sqref="AG3:AG391" type="list">
      <formula1>"Alta,Media,Baja"</formula1>
      <formula2>0</formula2>
    </dataValidation>
    <dataValidation allowBlank="true" errorStyle="stop" operator="between" showDropDown="false" showErrorMessage="false" showInputMessage="false" sqref="AH3:AH391" type="list">
      <formula1>"Sin contactar,Llamado sin respuesta,Llamado - interesado,Visitado,En negociación,Afiliado,No interesado"</formula1>
      <formula2>0</formula2>
    </dataValidation>
    <dataValidation allowBlank="true" errorStyle="stop" operator="between" showDropDown="false" showErrorMessage="false" showInputMessage="false" sqref="H3:H391" type="list">
      <formula1>"Propietario,Gerente,Administrador,Encargado,Chef,Otro"</formula1>
      <formula2>0</formula2>
    </dataValidation>
    <dataValidation allowBlank="true" error="El RUC debe tener 11 dígitos" errorStyle="stop" operator="equal" showDropDown="false" showErrorMessage="true" showInputMessage="false" sqref="E3:E391" type="textLength">
      <formula1>11</formula1>
      <formula2>0</formula2>
    </dataValidation>
    <dataValidation allowBlank="true" error="La coordenada está fuera de la ciudad de Puno. Revisa el signo negativo y el orden latitud/longitud." errorStyle="stop" errorTitle="Coordenada fuera de Puno" operator="between" showDropDown="false" showErrorMessage="true" showInputMessage="false" sqref="U3:U391" type="decimal">
      <formula1>-15.95</formula1>
      <formula2>-15.75</formula2>
    </dataValidation>
    <dataValidation allowBlank="true" error="La coordenada está fuera de la ciudad de Puno. Revisa el signo negativo y el orden latitud/longitud." errorStyle="stop" errorTitle="Coordenada fuera de Puno" operator="between" showDropDown="false" showErrorMessage="true" showInputMessage="false" sqref="V3:V391" type="decimal">
      <formula1>-70.12</formula1>
      <formula2>-69.95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48"/>
  </cols>
  <sheetData>
    <row r="2" customFormat="false" ht="18" hidden="false" customHeight="true" outlineLevel="0" collapsed="false">
      <c r="B2" s="7" t="s">
        <v>2975</v>
      </c>
    </row>
    <row r="3" customFormat="false" ht="15" hidden="false" customHeight="true" outlineLevel="0" collapsed="false">
      <c r="B3" s="8" t="s">
        <v>2976</v>
      </c>
    </row>
    <row r="5" customFormat="false" ht="15" hidden="false" customHeight="true" outlineLevel="0" collapsed="false">
      <c r="B5" s="84" t="s">
        <v>2977</v>
      </c>
      <c r="C5" s="84" t="s">
        <v>2978</v>
      </c>
      <c r="D5" s="84" t="s">
        <v>2979</v>
      </c>
    </row>
    <row r="6" customFormat="false" ht="43.5" hidden="false" customHeight="true" outlineLevel="0" collapsed="false">
      <c r="B6" s="85" t="s">
        <v>2454</v>
      </c>
      <c r="C6" s="56" t="s">
        <v>2980</v>
      </c>
      <c r="D6" s="56" t="s">
        <v>2981</v>
      </c>
    </row>
    <row r="7" customFormat="false" ht="43.5" hidden="false" customHeight="true" outlineLevel="0" collapsed="false">
      <c r="B7" s="85" t="s">
        <v>2982</v>
      </c>
      <c r="C7" s="56" t="s">
        <v>2983</v>
      </c>
      <c r="D7" s="56" t="s">
        <v>2984</v>
      </c>
    </row>
    <row r="8" customFormat="false" ht="43.5" hidden="false" customHeight="true" outlineLevel="0" collapsed="false">
      <c r="B8" s="85" t="s">
        <v>2985</v>
      </c>
      <c r="C8" s="56" t="s">
        <v>2986</v>
      </c>
      <c r="D8" s="56" t="s">
        <v>2987</v>
      </c>
    </row>
    <row r="9" customFormat="false" ht="43.5" hidden="false" customHeight="true" outlineLevel="0" collapsed="false">
      <c r="B9" s="85" t="s">
        <v>2988</v>
      </c>
      <c r="C9" s="56" t="s">
        <v>2983</v>
      </c>
      <c r="D9" s="56" t="s">
        <v>2989</v>
      </c>
    </row>
    <row r="10" customFormat="false" ht="43.5" hidden="false" customHeight="true" outlineLevel="0" collapsed="false">
      <c r="B10" s="85" t="s">
        <v>2990</v>
      </c>
      <c r="C10" s="56" t="s">
        <v>2991</v>
      </c>
      <c r="D10" s="56" t="s">
        <v>2992</v>
      </c>
    </row>
    <row r="11" customFormat="false" ht="43.5" hidden="false" customHeight="true" outlineLevel="0" collapsed="false">
      <c r="B11" s="85" t="s">
        <v>2993</v>
      </c>
      <c r="C11" s="56" t="s">
        <v>2994</v>
      </c>
      <c r="D11" s="56" t="s">
        <v>2995</v>
      </c>
    </row>
    <row r="12" customFormat="false" ht="43.5" hidden="false" customHeight="true" outlineLevel="0" collapsed="false">
      <c r="B12" s="85" t="s">
        <v>2996</v>
      </c>
      <c r="C12" s="56" t="s">
        <v>2997</v>
      </c>
      <c r="D12" s="56" t="s">
        <v>2998</v>
      </c>
    </row>
    <row r="13" customFormat="false" ht="43.5" hidden="false" customHeight="true" outlineLevel="0" collapsed="false">
      <c r="B13" s="85" t="s">
        <v>2999</v>
      </c>
      <c r="C13" s="56" t="s">
        <v>3000</v>
      </c>
      <c r="D13" s="56" t="s">
        <v>3001</v>
      </c>
    </row>
    <row r="14" customFormat="false" ht="43.5" hidden="false" customHeight="true" outlineLevel="0" collapsed="false">
      <c r="B14" s="85" t="s">
        <v>3002</v>
      </c>
      <c r="C14" s="56" t="s">
        <v>3003</v>
      </c>
      <c r="D14" s="56" t="s">
        <v>3004</v>
      </c>
    </row>
    <row r="15" customFormat="false" ht="43.5" hidden="false" customHeight="true" outlineLevel="0" collapsed="false">
      <c r="B15" s="85" t="s">
        <v>3005</v>
      </c>
      <c r="C15" s="56" t="s">
        <v>3006</v>
      </c>
      <c r="D15" s="56" t="s">
        <v>3007</v>
      </c>
    </row>
    <row r="17" customFormat="false" ht="15" hidden="false" customHeight="true" outlineLevel="0" collapsed="false">
      <c r="B17" s="86" t="s">
        <v>3008</v>
      </c>
    </row>
    <row r="18" customFormat="false" ht="30" hidden="false" customHeight="true" outlineLevel="0" collapsed="false">
      <c r="B18" s="87" t="s">
        <v>3009</v>
      </c>
      <c r="C18" s="87"/>
      <c r="D18" s="87"/>
    </row>
    <row r="19" customFormat="false" ht="30" hidden="false" customHeight="true" outlineLevel="0" collapsed="false">
      <c r="B19" s="87" t="s">
        <v>3010</v>
      </c>
      <c r="C19" s="87"/>
      <c r="D19" s="87"/>
    </row>
    <row r="20" customFormat="false" ht="30" hidden="false" customHeight="true" outlineLevel="0" collapsed="false">
      <c r="B20" s="87" t="s">
        <v>3011</v>
      </c>
      <c r="C20" s="87"/>
      <c r="D20" s="87"/>
    </row>
    <row r="21" customFormat="false" ht="30" hidden="false" customHeight="true" outlineLevel="0" collapsed="false">
      <c r="B21" s="87" t="s">
        <v>3012</v>
      </c>
      <c r="C21" s="87"/>
      <c r="D21" s="87"/>
    </row>
  </sheetData>
  <mergeCells count="4">
    <mergeCell ref="B18:D18"/>
    <mergeCell ref="B19:D19"/>
    <mergeCell ref="B20:D20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32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26"/>
    <col collapsed="false" customWidth="true" hidden="false" outlineLevel="0" max="13" min="13" style="1" width="13"/>
    <col collapsed="false" customWidth="true" hidden="false" outlineLevel="0" max="14" min="14" style="1" width="56"/>
  </cols>
  <sheetData>
    <row r="1" customFormat="false" ht="33.75" hidden="false" customHeight="true" outlineLevel="0" collapsed="false">
      <c r="A1" s="13" t="s">
        <v>206</v>
      </c>
      <c r="B1" s="13" t="s">
        <v>3013</v>
      </c>
      <c r="C1" s="13" t="s">
        <v>145</v>
      </c>
      <c r="D1" s="13" t="s">
        <v>3014</v>
      </c>
      <c r="E1" s="13" t="s">
        <v>3015</v>
      </c>
      <c r="F1" s="13" t="s">
        <v>2478</v>
      </c>
      <c r="G1" s="13" t="s">
        <v>3016</v>
      </c>
      <c r="H1" s="13" t="s">
        <v>154</v>
      </c>
      <c r="I1" s="13" t="s">
        <v>3017</v>
      </c>
      <c r="J1" s="13" t="s">
        <v>3018</v>
      </c>
      <c r="K1" s="13" t="s">
        <v>3019</v>
      </c>
      <c r="L1" s="13" t="s">
        <v>3020</v>
      </c>
      <c r="M1" s="13" t="s">
        <v>3021</v>
      </c>
      <c r="N1" s="13" t="s">
        <v>3022</v>
      </c>
    </row>
    <row r="2" customFormat="false" ht="45.75" hidden="false" customHeight="true" outlineLevel="0" collapsed="false">
      <c r="A2" s="55" t="n">
        <v>1</v>
      </c>
      <c r="B2" s="56" t="s">
        <v>3023</v>
      </c>
      <c r="C2" s="55" t="s">
        <v>3024</v>
      </c>
      <c r="D2" s="55" t="s">
        <v>3025</v>
      </c>
      <c r="E2" s="56" t="s">
        <v>3026</v>
      </c>
      <c r="F2" s="72" t="s">
        <v>3027</v>
      </c>
      <c r="G2" s="56" t="s">
        <v>3028</v>
      </c>
      <c r="H2" s="59"/>
      <c r="I2" s="72"/>
      <c r="J2" s="72" t="s">
        <v>3029</v>
      </c>
      <c r="K2" s="72"/>
      <c r="L2" s="55" t="s">
        <v>3030</v>
      </c>
      <c r="M2" s="54" t="n">
        <v>5</v>
      </c>
      <c r="N2" s="56" t="s">
        <v>3031</v>
      </c>
    </row>
    <row r="3" customFormat="false" ht="34.5" hidden="false" customHeight="true" outlineLevel="0" collapsed="false">
      <c r="A3" s="55" t="n">
        <v>2</v>
      </c>
      <c r="B3" s="56" t="s">
        <v>3032</v>
      </c>
      <c r="C3" s="55" t="s">
        <v>3024</v>
      </c>
      <c r="D3" s="55" t="s">
        <v>3025</v>
      </c>
      <c r="E3" s="56" t="s">
        <v>3026</v>
      </c>
      <c r="F3" s="72"/>
      <c r="G3" s="56" t="s">
        <v>3033</v>
      </c>
      <c r="H3" s="59"/>
      <c r="I3" s="72"/>
      <c r="J3" s="72"/>
      <c r="K3" s="72"/>
      <c r="L3" s="55" t="s">
        <v>3034</v>
      </c>
      <c r="M3" s="54" t="n">
        <v>2</v>
      </c>
      <c r="N3" s="56" t="s">
        <v>3035</v>
      </c>
    </row>
    <row r="4" customFormat="false" ht="23.25" hidden="false" customHeight="true" outlineLevel="0" collapsed="false">
      <c r="A4" s="55" t="n">
        <v>3</v>
      </c>
      <c r="B4" s="56" t="s">
        <v>3036</v>
      </c>
      <c r="C4" s="55" t="s">
        <v>3037</v>
      </c>
      <c r="D4" s="55" t="s">
        <v>3025</v>
      </c>
      <c r="E4" s="56" t="s">
        <v>3026</v>
      </c>
      <c r="F4" s="72"/>
      <c r="G4" s="56" t="s">
        <v>3038</v>
      </c>
      <c r="H4" s="59"/>
      <c r="I4" s="72"/>
      <c r="J4" s="72"/>
      <c r="K4" s="72" t="s">
        <v>3039</v>
      </c>
      <c r="L4" s="55" t="s">
        <v>3040</v>
      </c>
      <c r="M4" s="54" t="n">
        <v>3</v>
      </c>
      <c r="N4" s="56" t="s">
        <v>3041</v>
      </c>
    </row>
    <row r="5" customFormat="false" ht="34.5" hidden="false" customHeight="true" outlineLevel="0" collapsed="false">
      <c r="A5" s="55" t="n">
        <v>4</v>
      </c>
      <c r="B5" s="56" t="s">
        <v>3042</v>
      </c>
      <c r="C5" s="55" t="s">
        <v>3037</v>
      </c>
      <c r="D5" s="55" t="s">
        <v>3025</v>
      </c>
      <c r="E5" s="56" t="s">
        <v>3026</v>
      </c>
      <c r="F5" s="72"/>
      <c r="G5" s="56" t="s">
        <v>3043</v>
      </c>
      <c r="H5" s="59"/>
      <c r="I5" s="72"/>
      <c r="J5" s="72"/>
      <c r="K5" s="72" t="s">
        <v>3039</v>
      </c>
      <c r="L5" s="55" t="s">
        <v>3040</v>
      </c>
      <c r="M5" s="54" t="n">
        <v>3</v>
      </c>
      <c r="N5" s="56" t="s">
        <v>3044</v>
      </c>
    </row>
    <row r="6" customFormat="false" ht="34.5" hidden="false" customHeight="true" outlineLevel="0" collapsed="false">
      <c r="A6" s="55" t="n">
        <v>5</v>
      </c>
      <c r="B6" s="56" t="s">
        <v>3045</v>
      </c>
      <c r="C6" s="55" t="s">
        <v>3046</v>
      </c>
      <c r="D6" s="55" t="s">
        <v>3025</v>
      </c>
      <c r="E6" s="56" t="s">
        <v>3026</v>
      </c>
      <c r="F6" s="72" t="s">
        <v>3047</v>
      </c>
      <c r="G6" s="56" t="s">
        <v>3048</v>
      </c>
      <c r="H6" s="59"/>
      <c r="I6" s="72" t="s">
        <v>3049</v>
      </c>
      <c r="J6" s="72"/>
      <c r="K6" s="72" t="s">
        <v>3039</v>
      </c>
      <c r="L6" s="55" t="s">
        <v>3030</v>
      </c>
      <c r="M6" s="54" t="n">
        <v>5</v>
      </c>
      <c r="N6" s="56" t="s">
        <v>3050</v>
      </c>
    </row>
    <row r="7" customFormat="false" ht="23.25" hidden="false" customHeight="true" outlineLevel="0" collapsed="false">
      <c r="A7" s="55" t="n">
        <v>6</v>
      </c>
      <c r="B7" s="56" t="s">
        <v>3051</v>
      </c>
      <c r="C7" s="55" t="s">
        <v>3052</v>
      </c>
      <c r="D7" s="55" t="s">
        <v>3025</v>
      </c>
      <c r="E7" s="56" t="s">
        <v>3026</v>
      </c>
      <c r="F7" s="72" t="s">
        <v>3047</v>
      </c>
      <c r="G7" s="56" t="s">
        <v>3053</v>
      </c>
      <c r="H7" s="59"/>
      <c r="I7" s="72" t="s">
        <v>3049</v>
      </c>
      <c r="J7" s="72"/>
      <c r="K7" s="72" t="s">
        <v>3039</v>
      </c>
      <c r="L7" s="55" t="s">
        <v>3030</v>
      </c>
      <c r="M7" s="54" t="n">
        <v>3</v>
      </c>
      <c r="N7" s="56" t="s">
        <v>3054</v>
      </c>
    </row>
    <row r="8" customFormat="false" ht="34.5" hidden="false" customHeight="true" outlineLevel="0" collapsed="false">
      <c r="A8" s="55" t="n">
        <v>7</v>
      </c>
      <c r="B8" s="56" t="s">
        <v>3055</v>
      </c>
      <c r="C8" s="55" t="s">
        <v>3056</v>
      </c>
      <c r="D8" s="55" t="s">
        <v>3025</v>
      </c>
      <c r="E8" s="56" t="s">
        <v>3057</v>
      </c>
      <c r="F8" s="72" t="s">
        <v>3058</v>
      </c>
      <c r="G8" s="56" t="s">
        <v>3048</v>
      </c>
      <c r="H8" s="59"/>
      <c r="I8" s="72" t="s">
        <v>3049</v>
      </c>
      <c r="J8" s="72"/>
      <c r="K8" s="72" t="s">
        <v>3039</v>
      </c>
      <c r="L8" s="55" t="s">
        <v>3030</v>
      </c>
      <c r="M8" s="54" t="n">
        <v>3</v>
      </c>
      <c r="N8" s="56" t="s">
        <v>3059</v>
      </c>
    </row>
    <row r="9" customFormat="false" ht="34.5" hidden="false" customHeight="true" outlineLevel="0" collapsed="false">
      <c r="A9" s="55" t="n">
        <v>8</v>
      </c>
      <c r="B9" s="56" t="s">
        <v>3060</v>
      </c>
      <c r="C9" s="55" t="s">
        <v>3061</v>
      </c>
      <c r="D9" s="55" t="s">
        <v>3025</v>
      </c>
      <c r="E9" s="56" t="s">
        <v>3062</v>
      </c>
      <c r="F9" s="72" t="s">
        <v>3063</v>
      </c>
      <c r="G9" s="56" t="s">
        <v>3064</v>
      </c>
      <c r="H9" s="59"/>
      <c r="I9" s="72" t="s">
        <v>3049</v>
      </c>
      <c r="J9" s="72"/>
      <c r="K9" s="72" t="s">
        <v>3039</v>
      </c>
      <c r="L9" s="55" t="s">
        <v>3030</v>
      </c>
      <c r="M9" s="54" t="n">
        <v>1</v>
      </c>
      <c r="N9" s="56" t="s">
        <v>3065</v>
      </c>
    </row>
    <row r="10" customFormat="false" ht="34.5" hidden="false" customHeight="true" outlineLevel="0" collapsed="false">
      <c r="A10" s="55" t="n">
        <v>9</v>
      </c>
      <c r="B10" s="56" t="s">
        <v>3066</v>
      </c>
      <c r="C10" s="55" t="s">
        <v>3067</v>
      </c>
      <c r="D10" s="55" t="s">
        <v>3068</v>
      </c>
      <c r="E10" s="56"/>
      <c r="F10" s="72"/>
      <c r="G10" s="56" t="s">
        <v>3069</v>
      </c>
      <c r="H10" s="59"/>
      <c r="I10" s="72"/>
      <c r="J10" s="72"/>
      <c r="K10" s="72" t="s">
        <v>3070</v>
      </c>
      <c r="L10" s="55" t="s">
        <v>3071</v>
      </c>
      <c r="M10" s="54" t="n">
        <v>4</v>
      </c>
      <c r="N10" s="56" t="s">
        <v>3072</v>
      </c>
    </row>
    <row r="11" customFormat="false" ht="34.5" hidden="false" customHeight="true" outlineLevel="0" collapsed="false">
      <c r="A11" s="55" t="n">
        <v>10</v>
      </c>
      <c r="B11" s="56" t="s">
        <v>3073</v>
      </c>
      <c r="C11" s="55" t="s">
        <v>3067</v>
      </c>
      <c r="D11" s="55" t="s">
        <v>3068</v>
      </c>
      <c r="E11" s="56"/>
      <c r="F11" s="72"/>
      <c r="G11" s="56" t="s">
        <v>3074</v>
      </c>
      <c r="H11" s="59"/>
      <c r="I11" s="72"/>
      <c r="J11" s="72"/>
      <c r="K11" s="72" t="s">
        <v>3070</v>
      </c>
      <c r="L11" s="55" t="s">
        <v>3071</v>
      </c>
      <c r="M11" s="54" t="n">
        <v>4</v>
      </c>
      <c r="N11" s="56" t="s">
        <v>3075</v>
      </c>
    </row>
    <row r="12" customFormat="false" ht="15" hidden="false" customHeight="true" outlineLevel="0" collapsed="false">
      <c r="A12" s="55" t="n">
        <v>11</v>
      </c>
      <c r="B12" s="56" t="s">
        <v>3076</v>
      </c>
      <c r="C12" s="55" t="s">
        <v>3067</v>
      </c>
      <c r="D12" s="55" t="s">
        <v>3068</v>
      </c>
      <c r="E12" s="56"/>
      <c r="F12" s="72"/>
      <c r="G12" s="56" t="s">
        <v>3077</v>
      </c>
      <c r="H12" s="59"/>
      <c r="I12" s="72"/>
      <c r="J12" s="72"/>
      <c r="K12" s="72" t="s">
        <v>3070</v>
      </c>
      <c r="L12" s="55" t="s">
        <v>3071</v>
      </c>
      <c r="M12" s="54" t="n">
        <v>3</v>
      </c>
      <c r="N12" s="56" t="s">
        <v>3078</v>
      </c>
    </row>
    <row r="14" customFormat="false" ht="15" hidden="false" customHeight="true" outlineLevel="0" collapsed="false">
      <c r="B14" s="8" t="s">
        <v>3079</v>
      </c>
    </row>
  </sheetData>
  <autoFilter ref="A1:N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34"/>
    <col collapsed="false" customWidth="true" hidden="false" outlineLevel="0" max="12" min="12" style="0" width="22"/>
    <col collapsed="false" customWidth="true" hidden="false" outlineLevel="0" max="13" min="13" style="0" width="24"/>
    <col collapsed="false" customWidth="true" hidden="false" outlineLevel="0" max="15" min="14" style="0" width="10"/>
    <col collapsed="false" customWidth="true" hidden="false" outlineLevel="0" max="16" min="16" style="0" width="13"/>
    <col collapsed="false" customWidth="true" hidden="false" outlineLevel="0" max="18" min="17" style="0" width="11"/>
    <col collapsed="false" customWidth="true" hidden="false" outlineLevel="0" max="20" min="19" style="0" width="13"/>
    <col collapsed="false" customWidth="true" hidden="false" outlineLevel="0" max="21" min="21" style="0" width="26"/>
    <col collapsed="false" customWidth="true" hidden="false" outlineLevel="0" max="22" min="22" style="0" width="14"/>
    <col collapsed="false" customWidth="true" hidden="false" outlineLevel="0" max="23" min="23" style="0" width="12"/>
    <col collapsed="false" customWidth="true" hidden="false" outlineLevel="0" max="24" min="24" style="0" width="11"/>
    <col collapsed="false" customWidth="true" hidden="false" outlineLevel="0" max="25" min="25" style="0" width="13"/>
    <col collapsed="false" customWidth="true" hidden="false" outlineLevel="0" max="26" min="26" style="0" width="18"/>
    <col collapsed="false" customWidth="true" hidden="false" outlineLevel="0" max="27" min="27" style="0" width="13"/>
    <col collapsed="false" customWidth="true" hidden="false" outlineLevel="0" max="28" min="28" style="0" width="56"/>
    <col collapsed="false" customWidth="true" hidden="false" outlineLevel="0" max="29" min="29" style="0" width="16"/>
  </cols>
  <sheetData>
    <row r="1" customFormat="false" ht="19.5" hidden="false" customHeight="true" outlineLevel="0" collapsed="false">
      <c r="A1" s="69" t="s">
        <v>2444</v>
      </c>
      <c r="B1" s="69"/>
      <c r="C1" s="69"/>
      <c r="D1" s="69"/>
      <c r="E1" s="69" t="s">
        <v>3080</v>
      </c>
      <c r="F1" s="69"/>
      <c r="G1" s="69"/>
      <c r="H1" s="69"/>
      <c r="I1" s="69"/>
      <c r="J1" s="69"/>
      <c r="K1" s="69" t="s">
        <v>2447</v>
      </c>
      <c r="L1" s="69"/>
      <c r="M1" s="69"/>
      <c r="N1" s="69"/>
      <c r="O1" s="69"/>
      <c r="P1" s="69"/>
      <c r="Q1" s="69"/>
      <c r="R1" s="69"/>
      <c r="S1" s="70" t="s">
        <v>2448</v>
      </c>
      <c r="T1" s="70"/>
      <c r="U1" s="70"/>
      <c r="V1" s="70"/>
      <c r="W1" s="69" t="s">
        <v>3081</v>
      </c>
      <c r="X1" s="69"/>
      <c r="Y1" s="69"/>
      <c r="Z1" s="69"/>
      <c r="AA1" s="69"/>
      <c r="AB1" s="69"/>
      <c r="AC1" s="69" t="s">
        <v>2451</v>
      </c>
    </row>
    <row r="2" customFormat="false" ht="36" hidden="false" customHeight="true" outlineLevel="0" collapsed="false">
      <c r="A2" s="13" t="s">
        <v>206</v>
      </c>
      <c r="B2" s="13" t="s">
        <v>3082</v>
      </c>
      <c r="C2" s="13" t="s">
        <v>145</v>
      </c>
      <c r="D2" s="13" t="s">
        <v>3013</v>
      </c>
      <c r="E2" s="13" t="s">
        <v>2454</v>
      </c>
      <c r="F2" s="13" t="s">
        <v>2456</v>
      </c>
      <c r="G2" s="13" t="s">
        <v>2457</v>
      </c>
      <c r="H2" s="13" t="s">
        <v>2458</v>
      </c>
      <c r="I2" s="13" t="s">
        <v>2459</v>
      </c>
      <c r="J2" s="13" t="s">
        <v>2460</v>
      </c>
      <c r="K2" s="13" t="s">
        <v>2462</v>
      </c>
      <c r="L2" s="13" t="s">
        <v>3083</v>
      </c>
      <c r="M2" s="13" t="s">
        <v>2464</v>
      </c>
      <c r="N2" s="13" t="s">
        <v>2465</v>
      </c>
      <c r="O2" s="13" t="s">
        <v>2466</v>
      </c>
      <c r="P2" s="13" t="s">
        <v>2467</v>
      </c>
      <c r="Q2" s="13" t="s">
        <v>2468</v>
      </c>
      <c r="R2" s="13" t="s">
        <v>2469</v>
      </c>
      <c r="S2" s="13" t="s">
        <v>2470</v>
      </c>
      <c r="T2" s="13" t="s">
        <v>2471</v>
      </c>
      <c r="U2" s="13" t="s">
        <v>2472</v>
      </c>
      <c r="V2" s="13" t="s">
        <v>2473</v>
      </c>
      <c r="W2" s="13" t="s">
        <v>3084</v>
      </c>
      <c r="X2" s="13" t="s">
        <v>3085</v>
      </c>
      <c r="Y2" s="13" t="s">
        <v>3086</v>
      </c>
      <c r="Z2" s="13" t="s">
        <v>2482</v>
      </c>
      <c r="AA2" s="13" t="s">
        <v>2483</v>
      </c>
      <c r="AB2" s="13" t="s">
        <v>2484</v>
      </c>
      <c r="AC2" s="13" t="s">
        <v>3087</v>
      </c>
    </row>
    <row r="3" customFormat="false" ht="23.85" hidden="false" customHeight="false" outlineLevel="0" collapsed="false">
      <c r="A3" s="55" t="n">
        <v>1</v>
      </c>
      <c r="B3" s="56" t="s">
        <v>3023</v>
      </c>
      <c r="C3" s="55" t="s">
        <v>3024</v>
      </c>
      <c r="D3" s="56" t="s">
        <v>3088</v>
      </c>
      <c r="E3" s="71"/>
      <c r="F3" s="72"/>
      <c r="G3" s="72"/>
      <c r="H3" s="72"/>
      <c r="I3" s="55" t="s">
        <v>3089</v>
      </c>
      <c r="J3" s="72"/>
      <c r="K3" s="56" t="s">
        <v>2491</v>
      </c>
      <c r="L3" s="72"/>
      <c r="M3" s="55" t="s">
        <v>197</v>
      </c>
      <c r="N3" s="73" t="s">
        <v>2489</v>
      </c>
      <c r="O3" s="73" t="s">
        <v>2490</v>
      </c>
      <c r="P3" s="55" t="s">
        <v>2491</v>
      </c>
      <c r="Q3" s="55" t="s">
        <v>2491</v>
      </c>
      <c r="R3" s="55" t="s">
        <v>2491</v>
      </c>
      <c r="S3" s="83"/>
      <c r="T3" s="83"/>
      <c r="U3" s="57" t="s">
        <v>2538</v>
      </c>
      <c r="V3" s="76" t="str">
        <f aca="false">HYPERLINK(IF(AND(ISNUMBER(S3),ISNUMBER(T3)),"https://www.google.com/maps/search/?api=1&amp;query="&amp;S3&amp;","&amp;T3,"https://www.google.com/maps/search/?api=1&amp;query="&amp;SUBSTITUTE(SUBSTITUTE(SUBSTITUTE(B3&amp;", "&amp;K3&amp;", Puno, Peru"," ","+"),"&amp;","y"),"#","")),"Ver en mapa")</f>
        <v>Ver en mapa</v>
      </c>
      <c r="W3" s="72"/>
      <c r="X3" s="72"/>
      <c r="Y3" s="72"/>
      <c r="Z3" s="55" t="s">
        <v>2494</v>
      </c>
      <c r="AA3" s="72"/>
      <c r="AB3" s="56" t="s">
        <v>3090</v>
      </c>
      <c r="AC3" s="77" t="str">
        <f aca="false">IF(AND(ISNUMBER(S3),ISNUMBER(T3),ISNUMBER(14_Cercania!$C$6),ISNUMBER(14_Cercania!$C$7)),6371*2*ASIN(SQRT(SIN(RADIANS(14_Cercania!$C$6-S3)/2)^2+COS(RADIANS(S3))*COS(RADIANS(14_Cercania!$C$6))*SIN(RADIANS(14_Cercania!$C$7-T3)/2)^2))+ROW()*0.000000001,"")</f>
        <v/>
      </c>
    </row>
    <row r="4" customFormat="false" ht="15" hidden="false" customHeight="false" outlineLevel="0" collapsed="false">
      <c r="A4" s="62" t="n">
        <v>2</v>
      </c>
      <c r="B4" s="63" t="s">
        <v>3091</v>
      </c>
      <c r="C4" s="62" t="s">
        <v>3092</v>
      </c>
      <c r="D4" s="63" t="s">
        <v>3093</v>
      </c>
      <c r="E4" s="71"/>
      <c r="F4" s="72"/>
      <c r="G4" s="72"/>
      <c r="H4" s="72"/>
      <c r="I4" s="62" t="s">
        <v>3094</v>
      </c>
      <c r="J4" s="72"/>
      <c r="K4" s="63" t="s">
        <v>3095</v>
      </c>
      <c r="L4" s="72"/>
      <c r="M4" s="62" t="s">
        <v>158</v>
      </c>
      <c r="N4" s="78" t="s">
        <v>2606</v>
      </c>
      <c r="O4" s="78" t="s">
        <v>2490</v>
      </c>
      <c r="P4" s="62" t="s">
        <v>2491</v>
      </c>
      <c r="Q4" s="62" t="s">
        <v>2491</v>
      </c>
      <c r="R4" s="62" t="s">
        <v>2491</v>
      </c>
      <c r="S4" s="83"/>
      <c r="T4" s="83"/>
      <c r="U4" s="57" t="s">
        <v>2538</v>
      </c>
      <c r="V4" s="80" t="str">
        <f aca="false">HYPERLINK(IF(AND(ISNUMBER(S4),ISNUMBER(T4)),"https://www.google.com/maps/search/?api=1&amp;query="&amp;S4&amp;","&amp;T4,"https://www.google.com/maps/search/?api=1&amp;query="&amp;SUBSTITUTE(SUBSTITUTE(SUBSTITUTE(B4&amp;", "&amp;K4&amp;", Puno, Peru"," ","+"),"&amp;","y"),"#","")),"Ver en mapa")</f>
        <v>Ver en mapa</v>
      </c>
      <c r="W4" s="72"/>
      <c r="X4" s="72"/>
      <c r="Y4" s="72"/>
      <c r="Z4" s="62" t="s">
        <v>2494</v>
      </c>
      <c r="AA4" s="72"/>
      <c r="AB4" s="63" t="s">
        <v>2586</v>
      </c>
      <c r="AC4" s="81" t="str">
        <f aca="false">IF(AND(ISNUMBER(S4),ISNUMBER(T4),ISNUMBER(14_Cercania!$C$6),ISNUMBER(14_Cercania!$C$7)),6371*2*ASIN(SQRT(SIN(RADIANS(14_Cercania!$C$6-S4)/2)^2+COS(RADIANS(S4))*COS(RADIANS(14_Cercania!$C$6))*SIN(RADIANS(14_Cercania!$C$7-T4)/2)^2))+ROW()*0.000000001,"")</f>
        <v/>
      </c>
    </row>
    <row r="5" customFormat="false" ht="15" hidden="false" customHeight="false" outlineLevel="0" collapsed="false">
      <c r="A5" s="55" t="n">
        <v>3</v>
      </c>
      <c r="B5" s="56" t="s">
        <v>3036</v>
      </c>
      <c r="C5" s="55" t="s">
        <v>3037</v>
      </c>
      <c r="D5" s="56" t="s">
        <v>3096</v>
      </c>
      <c r="E5" s="71"/>
      <c r="F5" s="72"/>
      <c r="G5" s="72"/>
      <c r="H5" s="72"/>
      <c r="I5" s="72"/>
      <c r="J5" s="72"/>
      <c r="K5" s="56" t="s">
        <v>2491</v>
      </c>
      <c r="L5" s="72"/>
      <c r="M5" s="55" t="s">
        <v>197</v>
      </c>
      <c r="N5" s="73" t="s">
        <v>2489</v>
      </c>
      <c r="O5" s="73" t="s">
        <v>2490</v>
      </c>
      <c r="P5" s="55" t="s">
        <v>2491</v>
      </c>
      <c r="Q5" s="55" t="s">
        <v>2491</v>
      </c>
      <c r="R5" s="55" t="s">
        <v>2491</v>
      </c>
      <c r="S5" s="83"/>
      <c r="T5" s="83"/>
      <c r="U5" s="57" t="s">
        <v>2538</v>
      </c>
      <c r="V5" s="76" t="str">
        <f aca="false">HYPERLINK(IF(AND(ISNUMBER(S5),ISNUMBER(T5)),"https://www.google.com/maps/search/?api=1&amp;query="&amp;S5&amp;","&amp;T5,"https://www.google.com/maps/search/?api=1&amp;query="&amp;SUBSTITUTE(SUBSTITUTE(SUBSTITUTE(B5&amp;", "&amp;K5&amp;", Puno, Peru"," ","+"),"&amp;","y"),"#","")),"Ver en mapa")</f>
        <v>Ver en mapa</v>
      </c>
      <c r="W5" s="72"/>
      <c r="X5" s="72"/>
      <c r="Y5" s="72"/>
      <c r="Z5" s="55" t="s">
        <v>2494</v>
      </c>
      <c r="AA5" s="72"/>
      <c r="AB5" s="56" t="s">
        <v>3097</v>
      </c>
      <c r="AC5" s="77" t="str">
        <f aca="false">IF(AND(ISNUMBER(S5),ISNUMBER(T5),ISNUMBER(14_Cercania!$C$6),ISNUMBER(14_Cercania!$C$7)),6371*2*ASIN(SQRT(SIN(RADIANS(14_Cercania!$C$6-S5)/2)^2+COS(RADIANS(S5))*COS(RADIANS(14_Cercania!$C$6))*SIN(RADIANS(14_Cercania!$C$7-T5)/2)^2))+ROW()*0.000000001,"")</f>
        <v/>
      </c>
    </row>
    <row r="6" customFormat="false" ht="15" hidden="false" customHeight="false" outlineLevel="0" collapsed="false">
      <c r="A6" s="62" t="n">
        <v>4</v>
      </c>
      <c r="B6" s="63" t="s">
        <v>3098</v>
      </c>
      <c r="C6" s="62" t="s">
        <v>3037</v>
      </c>
      <c r="D6" s="63" t="s">
        <v>3096</v>
      </c>
      <c r="E6" s="71"/>
      <c r="F6" s="72"/>
      <c r="G6" s="72"/>
      <c r="H6" s="72"/>
      <c r="I6" s="72"/>
      <c r="J6" s="72"/>
      <c r="K6" s="63" t="s">
        <v>2491</v>
      </c>
      <c r="L6" s="72"/>
      <c r="M6" s="62" t="s">
        <v>197</v>
      </c>
      <c r="N6" s="78" t="s">
        <v>2489</v>
      </c>
      <c r="O6" s="78" t="s">
        <v>2490</v>
      </c>
      <c r="P6" s="62" t="s">
        <v>2491</v>
      </c>
      <c r="Q6" s="62" t="s">
        <v>2491</v>
      </c>
      <c r="R6" s="62" t="s">
        <v>2491</v>
      </c>
      <c r="S6" s="83"/>
      <c r="T6" s="83"/>
      <c r="U6" s="57" t="s">
        <v>2538</v>
      </c>
      <c r="V6" s="80" t="str">
        <f aca="false">HYPERLINK(IF(AND(ISNUMBER(S6),ISNUMBER(T6)),"https://www.google.com/maps/search/?api=1&amp;query="&amp;S6&amp;","&amp;T6,"https://www.google.com/maps/search/?api=1&amp;query="&amp;SUBSTITUTE(SUBSTITUTE(SUBSTITUTE(B6&amp;", "&amp;K6&amp;", Puno, Peru"," ","+"),"&amp;","y"),"#","")),"Ver en mapa")</f>
        <v>Ver en mapa</v>
      </c>
      <c r="W6" s="72"/>
      <c r="X6" s="72"/>
      <c r="Y6" s="72"/>
      <c r="Z6" s="62" t="s">
        <v>2494</v>
      </c>
      <c r="AA6" s="72"/>
      <c r="AB6" s="63" t="s">
        <v>3099</v>
      </c>
      <c r="AC6" s="81" t="str">
        <f aca="false">IF(AND(ISNUMBER(S6),ISNUMBER(T6),ISNUMBER(14_Cercania!$C$6),ISNUMBER(14_Cercania!$C$7)),6371*2*ASIN(SQRT(SIN(RADIANS(14_Cercania!$C$6-S6)/2)^2+COS(RADIANS(S6))*COS(RADIANS(14_Cercania!$C$6))*SIN(RADIANS(14_Cercania!$C$7-T6)/2)^2))+ROW()*0.000000001,"")</f>
        <v/>
      </c>
    </row>
    <row r="7" customFormat="false" ht="15" hidden="false" customHeight="false" outlineLevel="0" collapsed="false">
      <c r="A7" s="55" t="n">
        <v>5</v>
      </c>
      <c r="B7" s="56" t="s">
        <v>3032</v>
      </c>
      <c r="C7" s="55" t="s">
        <v>3024</v>
      </c>
      <c r="D7" s="56" t="s">
        <v>3100</v>
      </c>
      <c r="E7" s="71"/>
      <c r="F7" s="72"/>
      <c r="G7" s="72"/>
      <c r="H7" s="72"/>
      <c r="I7" s="72"/>
      <c r="J7" s="72"/>
      <c r="K7" s="56" t="s">
        <v>2491</v>
      </c>
      <c r="L7" s="72"/>
      <c r="M7" s="55" t="s">
        <v>197</v>
      </c>
      <c r="N7" s="73" t="s">
        <v>2489</v>
      </c>
      <c r="O7" s="73" t="s">
        <v>2490</v>
      </c>
      <c r="P7" s="55" t="s">
        <v>2491</v>
      </c>
      <c r="Q7" s="55" t="s">
        <v>2491</v>
      </c>
      <c r="R7" s="55" t="s">
        <v>2491</v>
      </c>
      <c r="S7" s="83"/>
      <c r="T7" s="83"/>
      <c r="U7" s="57" t="s">
        <v>2538</v>
      </c>
      <c r="V7" s="76" t="str">
        <f aca="false">HYPERLINK(IF(AND(ISNUMBER(S7),ISNUMBER(T7)),"https://www.google.com/maps/search/?api=1&amp;query="&amp;S7&amp;","&amp;T7,"https://www.google.com/maps/search/?api=1&amp;query="&amp;SUBSTITUTE(SUBSTITUTE(SUBSTITUTE(B7&amp;", "&amp;K7&amp;", Puno, Peru"," ","+"),"&amp;","y"),"#","")),"Ver en mapa")</f>
        <v>Ver en mapa</v>
      </c>
      <c r="W7" s="72"/>
      <c r="X7" s="72"/>
      <c r="Y7" s="72"/>
      <c r="Z7" s="55" t="s">
        <v>2494</v>
      </c>
      <c r="AA7" s="72"/>
      <c r="AB7" s="56" t="s">
        <v>3101</v>
      </c>
      <c r="AC7" s="77" t="str">
        <f aca="false">IF(AND(ISNUMBER(S7),ISNUMBER(T7),ISNUMBER(14_Cercania!$C$6),ISNUMBER(14_Cercania!$C$7)),6371*2*ASIN(SQRT(SIN(RADIANS(14_Cercania!$C$6-S7)/2)^2+COS(RADIANS(S7))*COS(RADIANS(14_Cercania!$C$6))*SIN(RADIANS(14_Cercania!$C$7-T7)/2)^2))+ROW()*0.000000001,"")</f>
        <v/>
      </c>
    </row>
    <row r="8" customFormat="false" ht="15" hidden="false" customHeight="false" outlineLevel="0" collapsed="false">
      <c r="A8" s="62" t="n">
        <v>6</v>
      </c>
      <c r="B8" s="63" t="s">
        <v>3102</v>
      </c>
      <c r="C8" s="62" t="s">
        <v>3103</v>
      </c>
      <c r="D8" s="63" t="s">
        <v>3104</v>
      </c>
      <c r="E8" s="71"/>
      <c r="F8" s="72"/>
      <c r="G8" s="72"/>
      <c r="H8" s="62" t="s">
        <v>3105</v>
      </c>
      <c r="I8" s="72"/>
      <c r="J8" s="72"/>
      <c r="K8" s="63" t="s">
        <v>3106</v>
      </c>
      <c r="L8" s="72"/>
      <c r="M8" s="62" t="s">
        <v>158</v>
      </c>
      <c r="N8" s="78" t="s">
        <v>2489</v>
      </c>
      <c r="O8" s="78" t="s">
        <v>2490</v>
      </c>
      <c r="P8" s="62" t="s">
        <v>2491</v>
      </c>
      <c r="Q8" s="62" t="s">
        <v>2491</v>
      </c>
      <c r="R8" s="62" t="s">
        <v>2491</v>
      </c>
      <c r="S8" s="83"/>
      <c r="T8" s="83"/>
      <c r="U8" s="57" t="s">
        <v>2538</v>
      </c>
      <c r="V8" s="80" t="str">
        <f aca="false">HYPERLINK(IF(AND(ISNUMBER(S8),ISNUMBER(T8)),"https://www.google.com/maps/search/?api=1&amp;query="&amp;S8&amp;","&amp;T8,"https://www.google.com/maps/search/?api=1&amp;query="&amp;SUBSTITUTE(SUBSTITUTE(SUBSTITUTE(B8&amp;", "&amp;K8&amp;", Puno, Peru"," ","+"),"&amp;","y"),"#","")),"Ver en mapa")</f>
        <v>Ver en mapa</v>
      </c>
      <c r="W8" s="72"/>
      <c r="X8" s="72"/>
      <c r="Y8" s="72"/>
      <c r="Z8" s="62" t="s">
        <v>2494</v>
      </c>
      <c r="AA8" s="72"/>
      <c r="AB8" s="63" t="s">
        <v>2586</v>
      </c>
      <c r="AC8" s="81" t="str">
        <f aca="false">IF(AND(ISNUMBER(S8),ISNUMBER(T8),ISNUMBER(14_Cercania!$C$6),ISNUMBER(14_Cercania!$C$7)),6371*2*ASIN(SQRT(SIN(RADIANS(14_Cercania!$C$6-S8)/2)^2+COS(RADIANS(S8))*COS(RADIANS(14_Cercania!$C$6))*SIN(RADIANS(14_Cercania!$C$7-T8)/2)^2))+ROW()*0.000000001,"")</f>
        <v/>
      </c>
    </row>
    <row r="9" customFormat="false" ht="35.05" hidden="false" customHeight="false" outlineLevel="0" collapsed="false">
      <c r="A9" s="55" t="n">
        <v>7</v>
      </c>
      <c r="B9" s="56" t="s">
        <v>3107</v>
      </c>
      <c r="C9" s="55" t="s">
        <v>3103</v>
      </c>
      <c r="D9" s="56" t="s">
        <v>3108</v>
      </c>
      <c r="E9" s="71"/>
      <c r="F9" s="72"/>
      <c r="G9" s="72"/>
      <c r="H9" s="55" t="s">
        <v>3109</v>
      </c>
      <c r="I9" s="72"/>
      <c r="J9" s="72"/>
      <c r="K9" s="56" t="s">
        <v>3110</v>
      </c>
      <c r="L9" s="72"/>
      <c r="M9" s="55" t="s">
        <v>158</v>
      </c>
      <c r="N9" s="73" t="s">
        <v>2489</v>
      </c>
      <c r="O9" s="73" t="s">
        <v>2490</v>
      </c>
      <c r="P9" s="55" t="s">
        <v>2491</v>
      </c>
      <c r="Q9" s="55" t="s">
        <v>2491</v>
      </c>
      <c r="R9" s="55" t="s">
        <v>2491</v>
      </c>
      <c r="S9" s="74" t="n">
        <v>-15.8392203</v>
      </c>
      <c r="T9" s="74" t="n">
        <v>-70.0280433</v>
      </c>
      <c r="U9" s="82" t="s">
        <v>2511</v>
      </c>
      <c r="V9" s="76" t="str">
        <f aca="false">HYPERLINK(IF(AND(ISNUMBER(S9),ISNUMBER(T9)),"https://www.google.com/maps/search/?api=1&amp;query="&amp;S9&amp;","&amp;T9,"https://www.google.com/maps/search/?api=1&amp;query="&amp;SUBSTITUTE(SUBSTITUTE(SUBSTITUTE(B9&amp;", "&amp;K9&amp;", Puno, Peru"," ","+"),"&amp;","y"),"#","")),"Ver en mapa")</f>
        <v>Ver en mapa</v>
      </c>
      <c r="W9" s="72"/>
      <c r="X9" s="72"/>
      <c r="Y9" s="72"/>
      <c r="Z9" s="55" t="s">
        <v>2494</v>
      </c>
      <c r="AA9" s="72"/>
      <c r="AB9" s="56" t="s">
        <v>3111</v>
      </c>
      <c r="AC9" s="77" t="n">
        <f aca="false">IF(AND(ISNUMBER(S9),ISNUMBER(T9),ISNUMBER(14_Cercania!$C$6),ISNUMBER(14_Cercania!$C$7)),6371*2*ASIN(SQRT(SIN(RADIANS(14_Cercania!$C$6-S9)/2)^2+COS(RADIANS(S9))*COS(RADIANS(14_Cercania!$C$6))*SIN(RADIANS(14_Cercania!$C$7-T9)/2)^2))+ROW()*0.000000001,"")</f>
        <v>0.154002494315153</v>
      </c>
    </row>
    <row r="10" customFormat="false" ht="15" hidden="false" customHeight="false" outlineLevel="0" collapsed="false">
      <c r="A10" s="62" t="n">
        <v>8</v>
      </c>
      <c r="B10" s="63" t="s">
        <v>3112</v>
      </c>
      <c r="C10" s="62" t="s">
        <v>3113</v>
      </c>
      <c r="D10" s="63" t="s">
        <v>3114</v>
      </c>
      <c r="E10" s="71"/>
      <c r="F10" s="72"/>
      <c r="G10" s="72"/>
      <c r="H10" s="72"/>
      <c r="I10" s="62" t="s">
        <v>3115</v>
      </c>
      <c r="J10" s="72"/>
      <c r="K10" s="63" t="s">
        <v>3116</v>
      </c>
      <c r="L10" s="72"/>
      <c r="M10" s="62" t="s">
        <v>197</v>
      </c>
      <c r="N10" s="78" t="s">
        <v>2489</v>
      </c>
      <c r="O10" s="78" t="s">
        <v>2490</v>
      </c>
      <c r="P10" s="62" t="s">
        <v>2491</v>
      </c>
      <c r="Q10" s="62" t="s">
        <v>2491</v>
      </c>
      <c r="R10" s="62" t="s">
        <v>2491</v>
      </c>
      <c r="S10" s="83"/>
      <c r="T10" s="83"/>
      <c r="U10" s="57" t="s">
        <v>2538</v>
      </c>
      <c r="V10" s="80" t="str">
        <f aca="false">HYPERLINK(IF(AND(ISNUMBER(S10),ISNUMBER(T10)),"https://www.google.com/maps/search/?api=1&amp;query="&amp;S10&amp;","&amp;T10,"https://www.google.com/maps/search/?api=1&amp;query="&amp;SUBSTITUTE(SUBSTITUTE(SUBSTITUTE(B10&amp;", "&amp;K10&amp;", Puno, Peru"," ","+"),"&amp;","y"),"#","")),"Ver en mapa")</f>
        <v>Ver en mapa</v>
      </c>
      <c r="W10" s="72"/>
      <c r="X10" s="72"/>
      <c r="Y10" s="72"/>
      <c r="Z10" s="62" t="s">
        <v>2494</v>
      </c>
      <c r="AA10" s="72"/>
      <c r="AB10" s="63" t="s">
        <v>2586</v>
      </c>
      <c r="AC10" s="81" t="str">
        <f aca="false">IF(AND(ISNUMBER(S10),ISNUMBER(T10),ISNUMBER(14_Cercania!$C$6),ISNUMBER(14_Cercania!$C$7)),6371*2*ASIN(SQRT(SIN(RADIANS(14_Cercania!$C$6-S10)/2)^2+COS(RADIANS(S10))*COS(RADIANS(14_Cercania!$C$6))*SIN(RADIANS(14_Cercania!$C$7-T10)/2)^2))+ROW()*0.000000001,"")</f>
        <v/>
      </c>
    </row>
    <row r="11" customFormat="false" ht="23.85" hidden="false" customHeight="false" outlineLevel="0" collapsed="false">
      <c r="A11" s="55" t="n">
        <v>9</v>
      </c>
      <c r="B11" s="56" t="s">
        <v>3117</v>
      </c>
      <c r="C11" s="55" t="s">
        <v>3113</v>
      </c>
      <c r="D11" s="56" t="s">
        <v>3114</v>
      </c>
      <c r="E11" s="71"/>
      <c r="F11" s="72"/>
      <c r="G11" s="72"/>
      <c r="H11" s="55" t="s">
        <v>3118</v>
      </c>
      <c r="I11" s="72"/>
      <c r="J11" s="72"/>
      <c r="K11" s="56" t="s">
        <v>3119</v>
      </c>
      <c r="L11" s="72"/>
      <c r="M11" s="55" t="s">
        <v>197</v>
      </c>
      <c r="N11" s="73" t="s">
        <v>2489</v>
      </c>
      <c r="O11" s="73" t="s">
        <v>2490</v>
      </c>
      <c r="P11" s="55" t="s">
        <v>2491</v>
      </c>
      <c r="Q11" s="55" t="s">
        <v>2491</v>
      </c>
      <c r="R11" s="55" t="s">
        <v>2491</v>
      </c>
      <c r="S11" s="83"/>
      <c r="T11" s="83"/>
      <c r="U11" s="57" t="s">
        <v>2538</v>
      </c>
      <c r="V11" s="76" t="str">
        <f aca="false">HYPERLINK(IF(AND(ISNUMBER(S11),ISNUMBER(T11)),"https://www.google.com/maps/search/?api=1&amp;query="&amp;S11&amp;","&amp;T11,"https://www.google.com/maps/search/?api=1&amp;query="&amp;SUBSTITUTE(SUBSTITUTE(SUBSTITUTE(B11&amp;", "&amp;K11&amp;", Puno, Peru"," ","+"),"&amp;","y"),"#","")),"Ver en mapa")</f>
        <v>Ver en mapa</v>
      </c>
      <c r="W11" s="72"/>
      <c r="X11" s="72"/>
      <c r="Y11" s="72"/>
      <c r="Z11" s="55" t="s">
        <v>2494</v>
      </c>
      <c r="AA11" s="72"/>
      <c r="AB11" s="56" t="s">
        <v>3120</v>
      </c>
      <c r="AC11" s="77" t="str">
        <f aca="false">IF(AND(ISNUMBER(S11),ISNUMBER(T11),ISNUMBER(14_Cercania!$C$6),ISNUMBER(14_Cercania!$C$7)),6371*2*ASIN(SQRT(SIN(RADIANS(14_Cercania!$C$6-S11)/2)^2+COS(RADIANS(S11))*COS(RADIANS(14_Cercania!$C$6))*SIN(RADIANS(14_Cercania!$C$7-T11)/2)^2))+ROW()*0.000000001,"")</f>
        <v/>
      </c>
    </row>
    <row r="12" customFormat="false" ht="15" hidden="false" customHeight="false" outlineLevel="0" collapsed="false">
      <c r="A12" s="62" t="n">
        <v>10</v>
      </c>
      <c r="B12" s="63" t="s">
        <v>3121</v>
      </c>
      <c r="C12" s="62" t="s">
        <v>3113</v>
      </c>
      <c r="D12" s="63" t="s">
        <v>3114</v>
      </c>
      <c r="E12" s="71"/>
      <c r="F12" s="72"/>
      <c r="G12" s="72"/>
      <c r="H12" s="72"/>
      <c r="I12" s="62" t="s">
        <v>3122</v>
      </c>
      <c r="J12" s="72"/>
      <c r="K12" s="63" t="s">
        <v>3123</v>
      </c>
      <c r="L12" s="72"/>
      <c r="M12" s="62" t="s">
        <v>197</v>
      </c>
      <c r="N12" s="78" t="s">
        <v>2489</v>
      </c>
      <c r="O12" s="78" t="s">
        <v>2490</v>
      </c>
      <c r="P12" s="62" t="s">
        <v>2491</v>
      </c>
      <c r="Q12" s="62" t="s">
        <v>2491</v>
      </c>
      <c r="R12" s="62" t="s">
        <v>2491</v>
      </c>
      <c r="S12" s="83"/>
      <c r="T12" s="83"/>
      <c r="U12" s="57" t="s">
        <v>2538</v>
      </c>
      <c r="V12" s="80" t="str">
        <f aca="false">HYPERLINK(IF(AND(ISNUMBER(S12),ISNUMBER(T12)),"https://www.google.com/maps/search/?api=1&amp;query="&amp;S12&amp;","&amp;T12,"https://www.google.com/maps/search/?api=1&amp;query="&amp;SUBSTITUTE(SUBSTITUTE(SUBSTITUTE(B12&amp;", "&amp;K12&amp;", Puno, Peru"," ","+"),"&amp;","y"),"#","")),"Ver en mapa")</f>
        <v>Ver en mapa</v>
      </c>
      <c r="W12" s="72"/>
      <c r="X12" s="72"/>
      <c r="Y12" s="72"/>
      <c r="Z12" s="62" t="s">
        <v>2494</v>
      </c>
      <c r="AA12" s="72"/>
      <c r="AB12" s="63" t="s">
        <v>3124</v>
      </c>
      <c r="AC12" s="81" t="str">
        <f aca="false">IF(AND(ISNUMBER(S12),ISNUMBER(T12),ISNUMBER(14_Cercania!$C$6),ISNUMBER(14_Cercania!$C$7)),6371*2*ASIN(SQRT(SIN(RADIANS(14_Cercania!$C$6-S12)/2)^2+COS(RADIANS(S12))*COS(RADIANS(14_Cercania!$C$6))*SIN(RADIANS(14_Cercania!$C$7-T12)/2)^2))+ROW()*0.000000001,"")</f>
        <v/>
      </c>
    </row>
    <row r="13" customFormat="false" ht="23.85" hidden="false" customHeight="false" outlineLevel="0" collapsed="false">
      <c r="A13" s="55" t="n">
        <v>11</v>
      </c>
      <c r="B13" s="56" t="s">
        <v>3125</v>
      </c>
      <c r="C13" s="55" t="s">
        <v>3113</v>
      </c>
      <c r="D13" s="56" t="s">
        <v>3114</v>
      </c>
      <c r="E13" s="71"/>
      <c r="F13" s="72"/>
      <c r="G13" s="72"/>
      <c r="H13" s="72"/>
      <c r="I13" s="72"/>
      <c r="J13" s="72"/>
      <c r="K13" s="56" t="s">
        <v>3126</v>
      </c>
      <c r="L13" s="72"/>
      <c r="M13" s="55" t="s">
        <v>197</v>
      </c>
      <c r="N13" s="73" t="s">
        <v>2489</v>
      </c>
      <c r="O13" s="73" t="s">
        <v>2490</v>
      </c>
      <c r="P13" s="55" t="s">
        <v>2491</v>
      </c>
      <c r="Q13" s="55" t="s">
        <v>2491</v>
      </c>
      <c r="R13" s="55" t="s">
        <v>2491</v>
      </c>
      <c r="S13" s="83"/>
      <c r="T13" s="83"/>
      <c r="U13" s="57" t="s">
        <v>2538</v>
      </c>
      <c r="V13" s="76" t="str">
        <f aca="false">HYPERLINK(IF(AND(ISNUMBER(S13),ISNUMBER(T13)),"https://www.google.com/maps/search/?api=1&amp;query="&amp;S13&amp;","&amp;T13,"https://www.google.com/maps/search/?api=1&amp;query="&amp;SUBSTITUTE(SUBSTITUTE(SUBSTITUTE(B13&amp;", "&amp;K13&amp;", Puno, Peru"," ","+"),"&amp;","y"),"#","")),"Ver en mapa")</f>
        <v>Ver en mapa</v>
      </c>
      <c r="W13" s="72"/>
      <c r="X13" s="72"/>
      <c r="Y13" s="72"/>
      <c r="Z13" s="55" t="s">
        <v>2494</v>
      </c>
      <c r="AA13" s="72"/>
      <c r="AB13" s="56" t="s">
        <v>3127</v>
      </c>
      <c r="AC13" s="77" t="str">
        <f aca="false">IF(AND(ISNUMBER(S13),ISNUMBER(T13),ISNUMBER(14_Cercania!$C$6),ISNUMBER(14_Cercania!$C$7)),6371*2*ASIN(SQRT(SIN(RADIANS(14_Cercania!$C$6-S13)/2)^2+COS(RADIANS(S13))*COS(RADIANS(14_Cercania!$C$6))*SIN(RADIANS(14_Cercania!$C$7-T13)/2)^2))+ROW()*0.000000001,"")</f>
        <v/>
      </c>
    </row>
    <row r="14" customFormat="false" ht="15" hidden="false" customHeight="false" outlineLevel="0" collapsed="false">
      <c r="A14" s="62" t="n">
        <v>12</v>
      </c>
      <c r="B14" s="63" t="s">
        <v>3128</v>
      </c>
      <c r="C14" s="62" t="s">
        <v>3113</v>
      </c>
      <c r="D14" s="63" t="s">
        <v>3114</v>
      </c>
      <c r="E14" s="71"/>
      <c r="F14" s="72"/>
      <c r="G14" s="72"/>
      <c r="H14" s="72"/>
      <c r="I14" s="72"/>
      <c r="J14" s="72"/>
      <c r="K14" s="63" t="s">
        <v>3129</v>
      </c>
      <c r="L14" s="72"/>
      <c r="M14" s="62" t="s">
        <v>197</v>
      </c>
      <c r="N14" s="78" t="s">
        <v>2489</v>
      </c>
      <c r="O14" s="78" t="s">
        <v>2490</v>
      </c>
      <c r="P14" s="62" t="s">
        <v>2491</v>
      </c>
      <c r="Q14" s="62" t="s">
        <v>2491</v>
      </c>
      <c r="R14" s="62" t="s">
        <v>2491</v>
      </c>
      <c r="S14" s="83"/>
      <c r="T14" s="83"/>
      <c r="U14" s="57" t="s">
        <v>2538</v>
      </c>
      <c r="V14" s="80" t="str">
        <f aca="false">HYPERLINK(IF(AND(ISNUMBER(S14),ISNUMBER(T14)),"https://www.google.com/maps/search/?api=1&amp;query="&amp;S14&amp;","&amp;T14,"https://www.google.com/maps/search/?api=1&amp;query="&amp;SUBSTITUTE(SUBSTITUTE(SUBSTITUTE(B14&amp;", "&amp;K14&amp;", Puno, Peru"," ","+"),"&amp;","y"),"#","")),"Ver en mapa")</f>
        <v>Ver en mapa</v>
      </c>
      <c r="W14" s="72"/>
      <c r="X14" s="72"/>
      <c r="Y14" s="72"/>
      <c r="Z14" s="62" t="s">
        <v>2494</v>
      </c>
      <c r="AA14" s="72"/>
      <c r="AB14" s="63" t="s">
        <v>3130</v>
      </c>
      <c r="AC14" s="81" t="str">
        <f aca="false">IF(AND(ISNUMBER(S14),ISNUMBER(T14),ISNUMBER(14_Cercania!$C$6),ISNUMBER(14_Cercania!$C$7)),6371*2*ASIN(SQRT(SIN(RADIANS(14_Cercania!$C$6-S14)/2)^2+COS(RADIANS(S14))*COS(RADIANS(14_Cercania!$C$6))*SIN(RADIANS(14_Cercania!$C$7-T14)/2)^2))+ROW()*0.000000001,"")</f>
        <v/>
      </c>
    </row>
    <row r="15" customFormat="false" ht="15" hidden="false" customHeight="false" outlineLevel="0" collapsed="false">
      <c r="A15" s="55" t="n">
        <v>13</v>
      </c>
      <c r="B15" s="56" t="s">
        <v>3131</v>
      </c>
      <c r="C15" s="55" t="s">
        <v>3113</v>
      </c>
      <c r="D15" s="56" t="s">
        <v>3114</v>
      </c>
      <c r="E15" s="71"/>
      <c r="F15" s="72"/>
      <c r="G15" s="72"/>
      <c r="H15" s="72"/>
      <c r="I15" s="72"/>
      <c r="J15" s="72"/>
      <c r="K15" s="56" t="s">
        <v>3132</v>
      </c>
      <c r="L15" s="72"/>
      <c r="M15" s="55" t="s">
        <v>197</v>
      </c>
      <c r="N15" s="73" t="s">
        <v>2489</v>
      </c>
      <c r="O15" s="73" t="s">
        <v>2490</v>
      </c>
      <c r="P15" s="55" t="s">
        <v>2491</v>
      </c>
      <c r="Q15" s="55" t="s">
        <v>2491</v>
      </c>
      <c r="R15" s="55" t="s">
        <v>2491</v>
      </c>
      <c r="S15" s="83"/>
      <c r="T15" s="83"/>
      <c r="U15" s="57" t="s">
        <v>2538</v>
      </c>
      <c r="V15" s="76" t="str">
        <f aca="false">HYPERLINK(IF(AND(ISNUMBER(S15),ISNUMBER(T15)),"https://www.google.com/maps/search/?api=1&amp;query="&amp;S15&amp;","&amp;T15,"https://www.google.com/maps/search/?api=1&amp;query="&amp;SUBSTITUTE(SUBSTITUTE(SUBSTITUTE(B15&amp;", "&amp;K15&amp;", Puno, Peru"," ","+"),"&amp;","y"),"#","")),"Ver en mapa")</f>
        <v>Ver en mapa</v>
      </c>
      <c r="W15" s="72"/>
      <c r="X15" s="72"/>
      <c r="Y15" s="72"/>
      <c r="Z15" s="55" t="s">
        <v>2494</v>
      </c>
      <c r="AA15" s="72"/>
      <c r="AB15" s="56" t="s">
        <v>3130</v>
      </c>
      <c r="AC15" s="77" t="str">
        <f aca="false">IF(AND(ISNUMBER(S15),ISNUMBER(T15),ISNUMBER(14_Cercania!$C$6),ISNUMBER(14_Cercania!$C$7)),6371*2*ASIN(SQRT(SIN(RADIANS(14_Cercania!$C$6-S15)/2)^2+COS(RADIANS(S15))*COS(RADIANS(14_Cercania!$C$6))*SIN(RADIANS(14_Cercania!$C$7-T15)/2)^2))+ROW()*0.000000001,"")</f>
        <v/>
      </c>
    </row>
    <row r="16" customFormat="false" ht="15" hidden="false" customHeight="false" outlineLevel="0" collapsed="false">
      <c r="A16" s="62" t="n">
        <v>14</v>
      </c>
      <c r="B16" s="63" t="s">
        <v>3133</v>
      </c>
      <c r="C16" s="62" t="s">
        <v>3113</v>
      </c>
      <c r="D16" s="63" t="s">
        <v>3114</v>
      </c>
      <c r="E16" s="71"/>
      <c r="F16" s="72"/>
      <c r="G16" s="72"/>
      <c r="H16" s="72"/>
      <c r="I16" s="72"/>
      <c r="J16" s="72"/>
      <c r="K16" s="63" t="s">
        <v>2491</v>
      </c>
      <c r="L16" s="72"/>
      <c r="M16" s="62" t="s">
        <v>197</v>
      </c>
      <c r="N16" s="78" t="s">
        <v>2489</v>
      </c>
      <c r="O16" s="78" t="s">
        <v>2490</v>
      </c>
      <c r="P16" s="62" t="s">
        <v>2491</v>
      </c>
      <c r="Q16" s="62" t="s">
        <v>2491</v>
      </c>
      <c r="R16" s="62" t="s">
        <v>2491</v>
      </c>
      <c r="S16" s="83"/>
      <c r="T16" s="83"/>
      <c r="U16" s="57" t="s">
        <v>2538</v>
      </c>
      <c r="V16" s="80" t="str">
        <f aca="false">HYPERLINK(IF(AND(ISNUMBER(S16),ISNUMBER(T16)),"https://www.google.com/maps/search/?api=1&amp;query="&amp;S16&amp;","&amp;T16,"https://www.google.com/maps/search/?api=1&amp;query="&amp;SUBSTITUTE(SUBSTITUTE(SUBSTITUTE(B16&amp;", "&amp;K16&amp;", Puno, Peru"," ","+"),"&amp;","y"),"#","")),"Ver en mapa")</f>
        <v>Ver en mapa</v>
      </c>
      <c r="W16" s="72"/>
      <c r="X16" s="72"/>
      <c r="Y16" s="72"/>
      <c r="Z16" s="62" t="s">
        <v>2494</v>
      </c>
      <c r="AA16" s="72"/>
      <c r="AB16" s="63" t="s">
        <v>3134</v>
      </c>
      <c r="AC16" s="81" t="str">
        <f aca="false">IF(AND(ISNUMBER(S16),ISNUMBER(T16),ISNUMBER(14_Cercania!$C$6),ISNUMBER(14_Cercania!$C$7)),6371*2*ASIN(SQRT(SIN(RADIANS(14_Cercania!$C$6-S16)/2)^2+COS(RADIANS(S16))*COS(RADIANS(14_Cercania!$C$6))*SIN(RADIANS(14_Cercania!$C$7-T16)/2)^2))+ROW()*0.000000001,"")</f>
        <v/>
      </c>
    </row>
    <row r="17" customFormat="false" ht="15" hidden="false" customHeight="false" outlineLevel="0" collapsed="false">
      <c r="A17" s="55" t="n">
        <v>15</v>
      </c>
      <c r="B17" s="56" t="s">
        <v>3135</v>
      </c>
      <c r="C17" s="55" t="s">
        <v>3113</v>
      </c>
      <c r="D17" s="56" t="s">
        <v>3114</v>
      </c>
      <c r="E17" s="71"/>
      <c r="F17" s="72"/>
      <c r="G17" s="72"/>
      <c r="H17" s="72"/>
      <c r="I17" s="72"/>
      <c r="J17" s="72"/>
      <c r="K17" s="56" t="s">
        <v>2491</v>
      </c>
      <c r="L17" s="72"/>
      <c r="M17" s="55" t="s">
        <v>197</v>
      </c>
      <c r="N17" s="73" t="s">
        <v>2489</v>
      </c>
      <c r="O17" s="73" t="s">
        <v>2490</v>
      </c>
      <c r="P17" s="55" t="s">
        <v>2491</v>
      </c>
      <c r="Q17" s="55" t="s">
        <v>2491</v>
      </c>
      <c r="R17" s="55" t="s">
        <v>2491</v>
      </c>
      <c r="S17" s="83"/>
      <c r="T17" s="83"/>
      <c r="U17" s="57" t="s">
        <v>2538</v>
      </c>
      <c r="V17" s="76" t="str">
        <f aca="false">HYPERLINK(IF(AND(ISNUMBER(S17),ISNUMBER(T17)),"https://www.google.com/maps/search/?api=1&amp;query="&amp;S17&amp;","&amp;T17,"https://www.google.com/maps/search/?api=1&amp;query="&amp;SUBSTITUTE(SUBSTITUTE(SUBSTITUTE(B17&amp;", "&amp;K17&amp;", Puno, Peru"," ","+"),"&amp;","y"),"#","")),"Ver en mapa")</f>
        <v>Ver en mapa</v>
      </c>
      <c r="W17" s="72"/>
      <c r="X17" s="72"/>
      <c r="Y17" s="72"/>
      <c r="Z17" s="55" t="s">
        <v>2494</v>
      </c>
      <c r="AA17" s="72"/>
      <c r="AB17" s="56" t="s">
        <v>3136</v>
      </c>
      <c r="AC17" s="77" t="str">
        <f aca="false">IF(AND(ISNUMBER(S17),ISNUMBER(T17),ISNUMBER(14_Cercania!$C$6),ISNUMBER(14_Cercania!$C$7)),6371*2*ASIN(SQRT(SIN(RADIANS(14_Cercania!$C$6-S17)/2)^2+COS(RADIANS(S17))*COS(RADIANS(14_Cercania!$C$6))*SIN(RADIANS(14_Cercania!$C$7-T17)/2)^2))+ROW()*0.000000001,"")</f>
        <v/>
      </c>
    </row>
    <row r="18" customFormat="false" ht="15" hidden="false" customHeight="false" outlineLevel="0" collapsed="false">
      <c r="A18" s="62" t="n">
        <v>16</v>
      </c>
      <c r="B18" s="63" t="s">
        <v>3137</v>
      </c>
      <c r="C18" s="62" t="s">
        <v>3113</v>
      </c>
      <c r="D18" s="63" t="s">
        <v>3114</v>
      </c>
      <c r="E18" s="71"/>
      <c r="F18" s="72"/>
      <c r="G18" s="72"/>
      <c r="H18" s="72"/>
      <c r="I18" s="72"/>
      <c r="J18" s="72"/>
      <c r="K18" s="63" t="s">
        <v>3138</v>
      </c>
      <c r="L18" s="72"/>
      <c r="M18" s="62" t="s">
        <v>197</v>
      </c>
      <c r="N18" s="78" t="s">
        <v>2489</v>
      </c>
      <c r="O18" s="78" t="s">
        <v>2490</v>
      </c>
      <c r="P18" s="62" t="s">
        <v>2491</v>
      </c>
      <c r="Q18" s="62" t="s">
        <v>2491</v>
      </c>
      <c r="R18" s="62" t="s">
        <v>2491</v>
      </c>
      <c r="S18" s="83"/>
      <c r="T18" s="83"/>
      <c r="U18" s="57" t="s">
        <v>2538</v>
      </c>
      <c r="V18" s="80" t="str">
        <f aca="false">HYPERLINK(IF(AND(ISNUMBER(S18),ISNUMBER(T18)),"https://www.google.com/maps/search/?api=1&amp;query="&amp;S18&amp;","&amp;T18,"https://www.google.com/maps/search/?api=1&amp;query="&amp;SUBSTITUTE(SUBSTITUTE(SUBSTITUTE(B18&amp;", "&amp;K18&amp;", Puno, Peru"," ","+"),"&amp;","y"),"#","")),"Ver en mapa")</f>
        <v>Ver en mapa</v>
      </c>
      <c r="W18" s="72"/>
      <c r="X18" s="72"/>
      <c r="Y18" s="72"/>
      <c r="Z18" s="62" t="s">
        <v>2494</v>
      </c>
      <c r="AA18" s="72"/>
      <c r="AB18" s="63" t="s">
        <v>2878</v>
      </c>
      <c r="AC18" s="81" t="str">
        <f aca="false">IF(AND(ISNUMBER(S18),ISNUMBER(T18),ISNUMBER(14_Cercania!$C$6),ISNUMBER(14_Cercania!$C$7)),6371*2*ASIN(SQRT(SIN(RADIANS(14_Cercania!$C$6-S18)/2)^2+COS(RADIANS(S18))*COS(RADIANS(14_Cercania!$C$6))*SIN(RADIANS(14_Cercania!$C$7-T18)/2)^2))+ROW()*0.000000001,"")</f>
        <v/>
      </c>
    </row>
    <row r="19" customFormat="false" ht="15" hidden="false" customHeight="false" outlineLevel="0" collapsed="false">
      <c r="A19" s="55" t="n">
        <v>17</v>
      </c>
      <c r="B19" s="56" t="s">
        <v>3139</v>
      </c>
      <c r="C19" s="55" t="s">
        <v>3113</v>
      </c>
      <c r="D19" s="56" t="s">
        <v>3114</v>
      </c>
      <c r="E19" s="71"/>
      <c r="F19" s="72"/>
      <c r="G19" s="72"/>
      <c r="H19" s="72"/>
      <c r="I19" s="72"/>
      <c r="J19" s="72"/>
      <c r="K19" s="56" t="s">
        <v>3140</v>
      </c>
      <c r="L19" s="72"/>
      <c r="M19" s="55" t="s">
        <v>197</v>
      </c>
      <c r="N19" s="73" t="s">
        <v>2489</v>
      </c>
      <c r="O19" s="73" t="s">
        <v>2490</v>
      </c>
      <c r="P19" s="55" t="s">
        <v>2491</v>
      </c>
      <c r="Q19" s="55" t="s">
        <v>2491</v>
      </c>
      <c r="R19" s="55" t="s">
        <v>2491</v>
      </c>
      <c r="S19" s="83"/>
      <c r="T19" s="83"/>
      <c r="U19" s="57" t="s">
        <v>2538</v>
      </c>
      <c r="V19" s="76" t="str">
        <f aca="false">HYPERLINK(IF(AND(ISNUMBER(S19),ISNUMBER(T19)),"https://www.google.com/maps/search/?api=1&amp;query="&amp;S19&amp;","&amp;T19,"https://www.google.com/maps/search/?api=1&amp;query="&amp;SUBSTITUTE(SUBSTITUTE(SUBSTITUTE(B19&amp;", "&amp;K19&amp;", Puno, Peru"," ","+"),"&amp;","y"),"#","")),"Ver en mapa")</f>
        <v>Ver en mapa</v>
      </c>
      <c r="W19" s="72"/>
      <c r="X19" s="72"/>
      <c r="Y19" s="72"/>
      <c r="Z19" s="55" t="s">
        <v>2494</v>
      </c>
      <c r="AA19" s="72"/>
      <c r="AB19" s="56" t="s">
        <v>2878</v>
      </c>
      <c r="AC19" s="77" t="str">
        <f aca="false">IF(AND(ISNUMBER(S19),ISNUMBER(T19),ISNUMBER(14_Cercania!$C$6),ISNUMBER(14_Cercania!$C$7)),6371*2*ASIN(SQRT(SIN(RADIANS(14_Cercania!$C$6-S19)/2)^2+COS(RADIANS(S19))*COS(RADIANS(14_Cercania!$C$6))*SIN(RADIANS(14_Cercania!$C$7-T19)/2)^2))+ROW()*0.000000001,"")</f>
        <v/>
      </c>
    </row>
    <row r="20" customFormat="false" ht="15" hidden="false" customHeight="false" outlineLevel="0" collapsed="false">
      <c r="A20" s="62" t="n">
        <v>18</v>
      </c>
      <c r="B20" s="63" t="s">
        <v>3141</v>
      </c>
      <c r="C20" s="62" t="s">
        <v>3142</v>
      </c>
      <c r="D20" s="63" t="s">
        <v>3143</v>
      </c>
      <c r="E20" s="71"/>
      <c r="F20" s="72"/>
      <c r="G20" s="72"/>
      <c r="H20" s="72"/>
      <c r="I20" s="62" t="s">
        <v>3144</v>
      </c>
      <c r="J20" s="72"/>
      <c r="K20" s="63" t="s">
        <v>3145</v>
      </c>
      <c r="L20" s="72"/>
      <c r="M20" s="62" t="s">
        <v>197</v>
      </c>
      <c r="N20" s="78" t="s">
        <v>2489</v>
      </c>
      <c r="O20" s="78" t="s">
        <v>2490</v>
      </c>
      <c r="P20" s="62" t="s">
        <v>2491</v>
      </c>
      <c r="Q20" s="62" t="s">
        <v>2491</v>
      </c>
      <c r="R20" s="62" t="s">
        <v>2491</v>
      </c>
      <c r="S20" s="83"/>
      <c r="T20" s="83"/>
      <c r="U20" s="57" t="s">
        <v>2538</v>
      </c>
      <c r="V20" s="80" t="str">
        <f aca="false">HYPERLINK(IF(AND(ISNUMBER(S20),ISNUMBER(T20)),"https://www.google.com/maps/search/?api=1&amp;query="&amp;S20&amp;","&amp;T20,"https://www.google.com/maps/search/?api=1&amp;query="&amp;SUBSTITUTE(SUBSTITUTE(SUBSTITUTE(B20&amp;", "&amp;K20&amp;", Puno, Peru"," ","+"),"&amp;","y"),"#","")),"Ver en mapa")</f>
        <v>Ver en mapa</v>
      </c>
      <c r="W20" s="72"/>
      <c r="X20" s="72"/>
      <c r="Y20" s="72"/>
      <c r="Z20" s="62" t="s">
        <v>2494</v>
      </c>
      <c r="AA20" s="72"/>
      <c r="AB20" s="63" t="s">
        <v>3146</v>
      </c>
      <c r="AC20" s="81" t="str">
        <f aca="false">IF(AND(ISNUMBER(S20),ISNUMBER(T20),ISNUMBER(14_Cercania!$C$6),ISNUMBER(14_Cercania!$C$7)),6371*2*ASIN(SQRT(SIN(RADIANS(14_Cercania!$C$6-S20)/2)^2+COS(RADIANS(S20))*COS(RADIANS(14_Cercania!$C$6))*SIN(RADIANS(14_Cercania!$C$7-T20)/2)^2))+ROW()*0.000000001,"")</f>
        <v/>
      </c>
    </row>
    <row r="21" customFormat="false" ht="15" hidden="false" customHeight="false" outlineLevel="0" collapsed="false">
      <c r="A21" s="55" t="n">
        <v>19</v>
      </c>
      <c r="B21" s="56" t="s">
        <v>3147</v>
      </c>
      <c r="C21" s="55" t="s">
        <v>3142</v>
      </c>
      <c r="D21" s="56" t="s">
        <v>3143</v>
      </c>
      <c r="E21" s="71"/>
      <c r="F21" s="72"/>
      <c r="G21" s="72"/>
      <c r="H21" s="72"/>
      <c r="I21" s="55" t="s">
        <v>3148</v>
      </c>
      <c r="J21" s="72"/>
      <c r="K21" s="56" t="s">
        <v>3149</v>
      </c>
      <c r="L21" s="72"/>
      <c r="M21" s="55" t="s">
        <v>166</v>
      </c>
      <c r="N21" s="73" t="s">
        <v>2489</v>
      </c>
      <c r="O21" s="73" t="s">
        <v>2490</v>
      </c>
      <c r="P21" s="55" t="s">
        <v>2491</v>
      </c>
      <c r="Q21" s="55" t="s">
        <v>2491</v>
      </c>
      <c r="R21" s="55" t="s">
        <v>2491</v>
      </c>
      <c r="S21" s="83"/>
      <c r="T21" s="83"/>
      <c r="U21" s="57" t="s">
        <v>2538</v>
      </c>
      <c r="V21" s="76" t="str">
        <f aca="false">HYPERLINK(IF(AND(ISNUMBER(S21),ISNUMBER(T21)),"https://www.google.com/maps/search/?api=1&amp;query="&amp;S21&amp;","&amp;T21,"https://www.google.com/maps/search/?api=1&amp;query="&amp;SUBSTITUTE(SUBSTITUTE(SUBSTITUTE(B21&amp;", "&amp;K21&amp;", Puno, Peru"," ","+"),"&amp;","y"),"#","")),"Ver en mapa")</f>
        <v>Ver en mapa</v>
      </c>
      <c r="W21" s="72"/>
      <c r="X21" s="72"/>
      <c r="Y21" s="72"/>
      <c r="Z21" s="55" t="s">
        <v>2494</v>
      </c>
      <c r="AA21" s="72"/>
      <c r="AB21" s="56" t="s">
        <v>3150</v>
      </c>
      <c r="AC21" s="77" t="str">
        <f aca="false">IF(AND(ISNUMBER(S21),ISNUMBER(T21),ISNUMBER(14_Cercania!$C$6),ISNUMBER(14_Cercania!$C$7)),6371*2*ASIN(SQRT(SIN(RADIANS(14_Cercania!$C$6-S21)/2)^2+COS(RADIANS(S21))*COS(RADIANS(14_Cercania!$C$6))*SIN(RADIANS(14_Cercania!$C$7-T21)/2)^2))+ROW()*0.000000001,"")</f>
        <v/>
      </c>
    </row>
    <row r="22" customFormat="false" ht="15" hidden="false" customHeight="false" outlineLevel="0" collapsed="false">
      <c r="A22" s="62" t="n">
        <v>20</v>
      </c>
      <c r="B22" s="63" t="s">
        <v>3151</v>
      </c>
      <c r="C22" s="62" t="s">
        <v>3142</v>
      </c>
      <c r="D22" s="63" t="s">
        <v>3152</v>
      </c>
      <c r="E22" s="71"/>
      <c r="F22" s="72"/>
      <c r="G22" s="72"/>
      <c r="H22" s="62" t="s">
        <v>3153</v>
      </c>
      <c r="I22" s="72"/>
      <c r="J22" s="72"/>
      <c r="K22" s="63" t="s">
        <v>3154</v>
      </c>
      <c r="L22" s="72"/>
      <c r="M22" s="62" t="s">
        <v>176</v>
      </c>
      <c r="N22" s="78" t="s">
        <v>2489</v>
      </c>
      <c r="O22" s="78" t="s">
        <v>2490</v>
      </c>
      <c r="P22" s="62" t="s">
        <v>2491</v>
      </c>
      <c r="Q22" s="62" t="s">
        <v>2491</v>
      </c>
      <c r="R22" s="62" t="s">
        <v>2491</v>
      </c>
      <c r="S22" s="83"/>
      <c r="T22" s="83"/>
      <c r="U22" s="57" t="s">
        <v>2538</v>
      </c>
      <c r="V22" s="80" t="str">
        <f aca="false">HYPERLINK(IF(AND(ISNUMBER(S22),ISNUMBER(T22)),"https://www.google.com/maps/search/?api=1&amp;query="&amp;S22&amp;","&amp;T22,"https://www.google.com/maps/search/?api=1&amp;query="&amp;SUBSTITUTE(SUBSTITUTE(SUBSTITUTE(B22&amp;", "&amp;K22&amp;", Puno, Peru"," ","+"),"&amp;","y"),"#","")),"Ver en mapa")</f>
        <v>Ver en mapa</v>
      </c>
      <c r="W22" s="72"/>
      <c r="X22" s="72"/>
      <c r="Y22" s="72"/>
      <c r="Z22" s="62" t="s">
        <v>2494</v>
      </c>
      <c r="AA22" s="72"/>
      <c r="AB22" s="63" t="s">
        <v>2586</v>
      </c>
      <c r="AC22" s="81" t="str">
        <f aca="false">IF(AND(ISNUMBER(S22),ISNUMBER(T22),ISNUMBER(14_Cercania!$C$6),ISNUMBER(14_Cercania!$C$7)),6371*2*ASIN(SQRT(SIN(RADIANS(14_Cercania!$C$6-S22)/2)^2+COS(RADIANS(S22))*COS(RADIANS(14_Cercania!$C$6))*SIN(RADIANS(14_Cercania!$C$7-T22)/2)^2))+ROW()*0.000000001,"")</f>
        <v/>
      </c>
    </row>
    <row r="23" customFormat="false" ht="15" hidden="false" customHeight="false" outlineLevel="0" collapsed="false">
      <c r="A23" s="55" t="n">
        <v>21</v>
      </c>
      <c r="B23" s="56" t="s">
        <v>3155</v>
      </c>
      <c r="C23" s="55" t="s">
        <v>3142</v>
      </c>
      <c r="D23" s="56" t="s">
        <v>3156</v>
      </c>
      <c r="E23" s="71"/>
      <c r="F23" s="72"/>
      <c r="G23" s="72"/>
      <c r="H23" s="72"/>
      <c r="I23" s="55" t="s">
        <v>3157</v>
      </c>
      <c r="J23" s="72"/>
      <c r="K23" s="56" t="s">
        <v>3158</v>
      </c>
      <c r="L23" s="72"/>
      <c r="M23" s="55" t="s">
        <v>197</v>
      </c>
      <c r="N23" s="73" t="s">
        <v>2489</v>
      </c>
      <c r="O23" s="73" t="s">
        <v>2490</v>
      </c>
      <c r="P23" s="55" t="s">
        <v>2491</v>
      </c>
      <c r="Q23" s="55" t="s">
        <v>2491</v>
      </c>
      <c r="R23" s="55" t="s">
        <v>2491</v>
      </c>
      <c r="S23" s="83"/>
      <c r="T23" s="83"/>
      <c r="U23" s="57" t="s">
        <v>2538</v>
      </c>
      <c r="V23" s="76" t="str">
        <f aca="false">HYPERLINK(IF(AND(ISNUMBER(S23),ISNUMBER(T23)),"https://www.google.com/maps/search/?api=1&amp;query="&amp;S23&amp;","&amp;T23,"https://www.google.com/maps/search/?api=1&amp;query="&amp;SUBSTITUTE(SUBSTITUTE(SUBSTITUTE(B23&amp;", "&amp;K23&amp;", Puno, Peru"," ","+"),"&amp;","y"),"#","")),"Ver en mapa")</f>
        <v>Ver en mapa</v>
      </c>
      <c r="W23" s="72"/>
      <c r="X23" s="72"/>
      <c r="Y23" s="72"/>
      <c r="Z23" s="55" t="s">
        <v>2494</v>
      </c>
      <c r="AA23" s="72"/>
      <c r="AB23" s="56" t="s">
        <v>3146</v>
      </c>
      <c r="AC23" s="77" t="str">
        <f aca="false">IF(AND(ISNUMBER(S23),ISNUMBER(T23),ISNUMBER(14_Cercania!$C$6),ISNUMBER(14_Cercania!$C$7)),6371*2*ASIN(SQRT(SIN(RADIANS(14_Cercania!$C$6-S23)/2)^2+COS(RADIANS(S23))*COS(RADIANS(14_Cercania!$C$6))*SIN(RADIANS(14_Cercania!$C$7-T23)/2)^2))+ROW()*0.000000001,"")</f>
        <v/>
      </c>
    </row>
    <row r="24" customFormat="false" ht="15" hidden="false" customHeight="false" outlineLevel="0" collapsed="false">
      <c r="A24" s="62" t="n">
        <v>22</v>
      </c>
      <c r="B24" s="63" t="s">
        <v>3159</v>
      </c>
      <c r="C24" s="62" t="s">
        <v>3142</v>
      </c>
      <c r="D24" s="63" t="s">
        <v>3160</v>
      </c>
      <c r="E24" s="71"/>
      <c r="F24" s="72"/>
      <c r="G24" s="72"/>
      <c r="H24" s="72"/>
      <c r="I24" s="62" t="s">
        <v>3161</v>
      </c>
      <c r="J24" s="72"/>
      <c r="K24" s="63" t="s">
        <v>3162</v>
      </c>
      <c r="L24" s="72"/>
      <c r="M24" s="62" t="s">
        <v>179</v>
      </c>
      <c r="N24" s="78" t="s">
        <v>2489</v>
      </c>
      <c r="O24" s="78" t="s">
        <v>2490</v>
      </c>
      <c r="P24" s="62" t="s">
        <v>2491</v>
      </c>
      <c r="Q24" s="62" t="s">
        <v>2491</v>
      </c>
      <c r="R24" s="62" t="s">
        <v>2491</v>
      </c>
      <c r="S24" s="83"/>
      <c r="T24" s="83"/>
      <c r="U24" s="57" t="s">
        <v>2538</v>
      </c>
      <c r="V24" s="80" t="str">
        <f aca="false">HYPERLINK(IF(AND(ISNUMBER(S24),ISNUMBER(T24)),"https://www.google.com/maps/search/?api=1&amp;query="&amp;S24&amp;","&amp;T24,"https://www.google.com/maps/search/?api=1&amp;query="&amp;SUBSTITUTE(SUBSTITUTE(SUBSTITUTE(B24&amp;", "&amp;K24&amp;", Puno, Peru"," ","+"),"&amp;","y"),"#","")),"Ver en mapa")</f>
        <v>Ver en mapa</v>
      </c>
      <c r="W24" s="72"/>
      <c r="X24" s="72"/>
      <c r="Y24" s="72"/>
      <c r="Z24" s="62" t="s">
        <v>2494</v>
      </c>
      <c r="AA24" s="72"/>
      <c r="AB24" s="63" t="s">
        <v>3163</v>
      </c>
      <c r="AC24" s="81" t="str">
        <f aca="false">IF(AND(ISNUMBER(S24),ISNUMBER(T24),ISNUMBER(14_Cercania!$C$6),ISNUMBER(14_Cercania!$C$7)),6371*2*ASIN(SQRT(SIN(RADIANS(14_Cercania!$C$6-S24)/2)^2+COS(RADIANS(S24))*COS(RADIANS(14_Cercania!$C$6))*SIN(RADIANS(14_Cercania!$C$7-T24)/2)^2))+ROW()*0.000000001,"")</f>
        <v/>
      </c>
    </row>
    <row r="25" customFormat="false" ht="15" hidden="false" customHeight="false" outlineLevel="0" collapsed="false">
      <c r="A25" s="55" t="n">
        <v>23</v>
      </c>
      <c r="B25" s="56" t="s">
        <v>3164</v>
      </c>
      <c r="C25" s="55" t="s">
        <v>3142</v>
      </c>
      <c r="D25" s="56" t="s">
        <v>3143</v>
      </c>
      <c r="E25" s="71"/>
      <c r="F25" s="72"/>
      <c r="G25" s="72"/>
      <c r="H25" s="72"/>
      <c r="I25" s="72"/>
      <c r="J25" s="72"/>
      <c r="K25" s="56" t="s">
        <v>3165</v>
      </c>
      <c r="L25" s="72"/>
      <c r="M25" s="55" t="s">
        <v>197</v>
      </c>
      <c r="N25" s="73" t="s">
        <v>2489</v>
      </c>
      <c r="O25" s="73" t="s">
        <v>2490</v>
      </c>
      <c r="P25" s="55" t="s">
        <v>2491</v>
      </c>
      <c r="Q25" s="55" t="s">
        <v>2491</v>
      </c>
      <c r="R25" s="55" t="s">
        <v>2491</v>
      </c>
      <c r="S25" s="83"/>
      <c r="T25" s="83"/>
      <c r="U25" s="57" t="s">
        <v>2538</v>
      </c>
      <c r="V25" s="76" t="str">
        <f aca="false">HYPERLINK(IF(AND(ISNUMBER(S25),ISNUMBER(T25)),"https://www.google.com/maps/search/?api=1&amp;query="&amp;S25&amp;","&amp;T25,"https://www.google.com/maps/search/?api=1&amp;query="&amp;SUBSTITUTE(SUBSTITUTE(SUBSTITUTE(B25&amp;", "&amp;K25&amp;", Puno, Peru"," ","+"),"&amp;","y"),"#","")),"Ver en mapa")</f>
        <v>Ver en mapa</v>
      </c>
      <c r="W25" s="72"/>
      <c r="X25" s="72"/>
      <c r="Y25" s="72"/>
      <c r="Z25" s="55" t="s">
        <v>2494</v>
      </c>
      <c r="AA25" s="72"/>
      <c r="AB25" s="56" t="s">
        <v>2878</v>
      </c>
      <c r="AC25" s="77" t="str">
        <f aca="false">IF(AND(ISNUMBER(S25),ISNUMBER(T25),ISNUMBER(14_Cercania!$C$6),ISNUMBER(14_Cercania!$C$7)),6371*2*ASIN(SQRT(SIN(RADIANS(14_Cercania!$C$6-S25)/2)^2+COS(RADIANS(S25))*COS(RADIANS(14_Cercania!$C$6))*SIN(RADIANS(14_Cercania!$C$7-T25)/2)^2))+ROW()*0.000000001,"")</f>
        <v/>
      </c>
    </row>
    <row r="26" customFormat="false" ht="15" hidden="false" customHeight="false" outlineLevel="0" collapsed="false">
      <c r="A26" s="62" t="n">
        <v>24</v>
      </c>
      <c r="B26" s="63" t="s">
        <v>3166</v>
      </c>
      <c r="C26" s="62" t="s">
        <v>3167</v>
      </c>
      <c r="D26" s="63" t="s">
        <v>3168</v>
      </c>
      <c r="E26" s="71"/>
      <c r="F26" s="72"/>
      <c r="G26" s="72"/>
      <c r="H26" s="72"/>
      <c r="I26" s="72"/>
      <c r="J26" s="72"/>
      <c r="K26" s="63" t="s">
        <v>3169</v>
      </c>
      <c r="L26" s="72"/>
      <c r="M26" s="62" t="s">
        <v>162</v>
      </c>
      <c r="N26" s="78" t="s">
        <v>2489</v>
      </c>
      <c r="O26" s="78" t="s">
        <v>2490</v>
      </c>
      <c r="P26" s="62" t="s">
        <v>2491</v>
      </c>
      <c r="Q26" s="62" t="s">
        <v>2491</v>
      </c>
      <c r="R26" s="62" t="s">
        <v>2491</v>
      </c>
      <c r="S26" s="83"/>
      <c r="T26" s="83"/>
      <c r="U26" s="57" t="s">
        <v>2538</v>
      </c>
      <c r="V26" s="80" t="str">
        <f aca="false">HYPERLINK(IF(AND(ISNUMBER(S26),ISNUMBER(T26)),"https://www.google.com/maps/search/?api=1&amp;query="&amp;S26&amp;","&amp;T26,"https://www.google.com/maps/search/?api=1&amp;query="&amp;SUBSTITUTE(SUBSTITUTE(SUBSTITUTE(B26&amp;", "&amp;K26&amp;", Puno, Peru"," ","+"),"&amp;","y"),"#","")),"Ver en mapa")</f>
        <v>Ver en mapa</v>
      </c>
      <c r="W26" s="72"/>
      <c r="X26" s="72"/>
      <c r="Y26" s="72"/>
      <c r="Z26" s="62" t="s">
        <v>2494</v>
      </c>
      <c r="AA26" s="72"/>
      <c r="AB26" s="63" t="s">
        <v>3170</v>
      </c>
      <c r="AC26" s="81" t="str">
        <f aca="false">IF(AND(ISNUMBER(S26),ISNUMBER(T26),ISNUMBER(14_Cercania!$C$6),ISNUMBER(14_Cercania!$C$7)),6371*2*ASIN(SQRT(SIN(RADIANS(14_Cercania!$C$6-S26)/2)^2+COS(RADIANS(S26))*COS(RADIANS(14_Cercania!$C$6))*SIN(RADIANS(14_Cercania!$C$7-T26)/2)^2))+ROW()*0.000000001,"")</f>
        <v/>
      </c>
    </row>
    <row r="27" customFormat="false" ht="15" hidden="false" customHeight="false" outlineLevel="0" collapsed="false">
      <c r="A27" s="55" t="n">
        <v>25</v>
      </c>
      <c r="B27" s="56" t="s">
        <v>3171</v>
      </c>
      <c r="C27" s="55" t="s">
        <v>3167</v>
      </c>
      <c r="D27" s="56" t="s">
        <v>3172</v>
      </c>
      <c r="E27" s="71"/>
      <c r="F27" s="72"/>
      <c r="G27" s="72"/>
      <c r="H27" s="72"/>
      <c r="I27" s="72"/>
      <c r="J27" s="72"/>
      <c r="K27" s="56" t="s">
        <v>2874</v>
      </c>
      <c r="L27" s="72"/>
      <c r="M27" s="55" t="s">
        <v>179</v>
      </c>
      <c r="N27" s="73" t="s">
        <v>2489</v>
      </c>
      <c r="O27" s="73" t="s">
        <v>2490</v>
      </c>
      <c r="P27" s="55" t="s">
        <v>2491</v>
      </c>
      <c r="Q27" s="55" t="s">
        <v>2491</v>
      </c>
      <c r="R27" s="55" t="s">
        <v>2491</v>
      </c>
      <c r="S27" s="83"/>
      <c r="T27" s="83"/>
      <c r="U27" s="57" t="s">
        <v>2538</v>
      </c>
      <c r="V27" s="76" t="str">
        <f aca="false">HYPERLINK(IF(AND(ISNUMBER(S27),ISNUMBER(T27)),"https://www.google.com/maps/search/?api=1&amp;query="&amp;S27&amp;","&amp;T27,"https://www.google.com/maps/search/?api=1&amp;query="&amp;SUBSTITUTE(SUBSTITUTE(SUBSTITUTE(B27&amp;", "&amp;K27&amp;", Puno, Peru"," ","+"),"&amp;","y"),"#","")),"Ver en mapa")</f>
        <v>Ver en mapa</v>
      </c>
      <c r="W27" s="72"/>
      <c r="X27" s="72"/>
      <c r="Y27" s="72"/>
      <c r="Z27" s="55" t="s">
        <v>2494</v>
      </c>
      <c r="AA27" s="72"/>
      <c r="AB27" s="56" t="s">
        <v>3173</v>
      </c>
      <c r="AC27" s="77" t="str">
        <f aca="false">IF(AND(ISNUMBER(S27),ISNUMBER(T27),ISNUMBER(14_Cercania!$C$6),ISNUMBER(14_Cercania!$C$7)),6371*2*ASIN(SQRT(SIN(RADIANS(14_Cercania!$C$6-S27)/2)^2+COS(RADIANS(S27))*COS(RADIANS(14_Cercania!$C$6))*SIN(RADIANS(14_Cercania!$C$7-T27)/2)^2))+ROW()*0.000000001,"")</f>
        <v/>
      </c>
    </row>
    <row r="28" customFormat="false" ht="15" hidden="false" customHeight="false" outlineLevel="0" collapsed="false">
      <c r="A28" s="62" t="n">
        <v>26</v>
      </c>
      <c r="B28" s="63" t="s">
        <v>3174</v>
      </c>
      <c r="C28" s="62" t="s">
        <v>3167</v>
      </c>
      <c r="D28" s="63" t="s">
        <v>3175</v>
      </c>
      <c r="E28" s="71"/>
      <c r="F28" s="72"/>
      <c r="G28" s="72"/>
      <c r="H28" s="72"/>
      <c r="I28" s="72"/>
      <c r="J28" s="72"/>
      <c r="K28" s="63" t="s">
        <v>166</v>
      </c>
      <c r="L28" s="72"/>
      <c r="M28" s="62" t="s">
        <v>166</v>
      </c>
      <c r="N28" s="78" t="s">
        <v>2489</v>
      </c>
      <c r="O28" s="78" t="s">
        <v>2490</v>
      </c>
      <c r="P28" s="62" t="s">
        <v>2491</v>
      </c>
      <c r="Q28" s="62" t="s">
        <v>2491</v>
      </c>
      <c r="R28" s="62" t="s">
        <v>2491</v>
      </c>
      <c r="S28" s="83"/>
      <c r="T28" s="83"/>
      <c r="U28" s="57" t="s">
        <v>2538</v>
      </c>
      <c r="V28" s="80" t="str">
        <f aca="false">HYPERLINK(IF(AND(ISNUMBER(S28),ISNUMBER(T28)),"https://www.google.com/maps/search/?api=1&amp;query="&amp;S28&amp;","&amp;T28,"https://www.google.com/maps/search/?api=1&amp;query="&amp;SUBSTITUTE(SUBSTITUTE(SUBSTITUTE(B28&amp;", "&amp;K28&amp;", Puno, Peru"," ","+"),"&amp;","y"),"#","")),"Ver en mapa")</f>
        <v>Ver en mapa</v>
      </c>
      <c r="W28" s="72"/>
      <c r="X28" s="72"/>
      <c r="Y28" s="72"/>
      <c r="Z28" s="62" t="s">
        <v>2494</v>
      </c>
      <c r="AA28" s="72"/>
      <c r="AB28" s="63" t="s">
        <v>3173</v>
      </c>
      <c r="AC28" s="81" t="str">
        <f aca="false">IF(AND(ISNUMBER(S28),ISNUMBER(T28),ISNUMBER(14_Cercania!$C$6),ISNUMBER(14_Cercania!$C$7)),6371*2*ASIN(SQRT(SIN(RADIANS(14_Cercania!$C$6-S28)/2)^2+COS(RADIANS(S28))*COS(RADIANS(14_Cercania!$C$6))*SIN(RADIANS(14_Cercania!$C$7-T28)/2)^2))+ROW()*0.000000001,"")</f>
        <v/>
      </c>
    </row>
    <row r="29" customFormat="false" ht="15" hidden="false" customHeight="false" outlineLevel="0" collapsed="false">
      <c r="A29" s="55" t="n">
        <v>27</v>
      </c>
      <c r="B29" s="56" t="s">
        <v>3176</v>
      </c>
      <c r="C29" s="55" t="s">
        <v>3167</v>
      </c>
      <c r="D29" s="56" t="s">
        <v>3177</v>
      </c>
      <c r="E29" s="71"/>
      <c r="F29" s="72"/>
      <c r="G29" s="72"/>
      <c r="H29" s="72"/>
      <c r="I29" s="72"/>
      <c r="J29" s="72"/>
      <c r="K29" s="56" t="s">
        <v>2866</v>
      </c>
      <c r="L29" s="72"/>
      <c r="M29" s="55" t="s">
        <v>158</v>
      </c>
      <c r="N29" s="73" t="s">
        <v>2489</v>
      </c>
      <c r="O29" s="73" t="s">
        <v>2490</v>
      </c>
      <c r="P29" s="55" t="s">
        <v>2491</v>
      </c>
      <c r="Q29" s="55" t="s">
        <v>2491</v>
      </c>
      <c r="R29" s="55" t="s">
        <v>2491</v>
      </c>
      <c r="S29" s="83"/>
      <c r="T29" s="83"/>
      <c r="U29" s="57" t="s">
        <v>2538</v>
      </c>
      <c r="V29" s="76" t="str">
        <f aca="false">HYPERLINK(IF(AND(ISNUMBER(S29),ISNUMBER(T29)),"https://www.google.com/maps/search/?api=1&amp;query="&amp;S29&amp;","&amp;T29,"https://www.google.com/maps/search/?api=1&amp;query="&amp;SUBSTITUTE(SUBSTITUTE(SUBSTITUTE(B29&amp;", "&amp;K29&amp;", Puno, Peru"," ","+"),"&amp;","y"),"#","")),"Ver en mapa")</f>
        <v>Ver en mapa</v>
      </c>
      <c r="W29" s="72"/>
      <c r="X29" s="72"/>
      <c r="Y29" s="72"/>
      <c r="Z29" s="55" t="s">
        <v>2494</v>
      </c>
      <c r="AA29" s="72"/>
      <c r="AB29" s="56" t="s">
        <v>3173</v>
      </c>
      <c r="AC29" s="77" t="str">
        <f aca="false">IF(AND(ISNUMBER(S29),ISNUMBER(T29),ISNUMBER(14_Cercania!$C$6),ISNUMBER(14_Cercania!$C$7)),6371*2*ASIN(SQRT(SIN(RADIANS(14_Cercania!$C$6-S29)/2)^2+COS(RADIANS(S29))*COS(RADIANS(14_Cercania!$C$6))*SIN(RADIANS(14_Cercania!$C$7-T29)/2)^2))+ROW()*0.000000001,"")</f>
        <v/>
      </c>
    </row>
    <row r="30" customFormat="false" ht="15" hidden="false" customHeight="false" outlineLevel="0" collapsed="false">
      <c r="A30" s="62" t="n">
        <v>28</v>
      </c>
      <c r="B30" s="63"/>
      <c r="C30" s="62"/>
      <c r="D30" s="63"/>
      <c r="E30" s="71"/>
      <c r="F30" s="72"/>
      <c r="G30" s="72"/>
      <c r="H30" s="72"/>
      <c r="I30" s="72"/>
      <c r="J30" s="72"/>
      <c r="K30" s="63"/>
      <c r="L30" s="72"/>
      <c r="M30" s="62"/>
      <c r="N30" s="78"/>
      <c r="O30" s="78" t="s">
        <v>2490</v>
      </c>
      <c r="P30" s="62" t="s">
        <v>2491</v>
      </c>
      <c r="Q30" s="62" t="s">
        <v>2491</v>
      </c>
      <c r="R30" s="62" t="s">
        <v>2491</v>
      </c>
      <c r="S30" s="83"/>
      <c r="T30" s="83"/>
      <c r="U30" s="57" t="s">
        <v>2538</v>
      </c>
      <c r="V30" s="80" t="str">
        <f aca="false">HYPERLINK(IF(AND(ISNUMBER(S30),ISNUMBER(T30)),"https://www.google.com/maps/search/?api=1&amp;query="&amp;S30&amp;","&amp;T30,"https://www.google.com/maps/search/?api=1&amp;query="&amp;SUBSTITUTE(SUBSTITUTE(SUBSTITUTE(B30&amp;", "&amp;K30&amp;", Puno, Peru"," ","+"),"&amp;","y"),"#","")),"Ver en mapa")</f>
        <v>Ver en mapa</v>
      </c>
      <c r="W30" s="72"/>
      <c r="X30" s="72"/>
      <c r="Y30" s="72"/>
      <c r="Z30" s="62" t="s">
        <v>2494</v>
      </c>
      <c r="AA30" s="72"/>
      <c r="AB30" s="63"/>
      <c r="AC30" s="81" t="str">
        <f aca="false">IF(AND(ISNUMBER(S30),ISNUMBER(T30),ISNUMBER(14_Cercania!$C$6),ISNUMBER(14_Cercania!$C$7)),6371*2*ASIN(SQRT(SIN(RADIANS(14_Cercania!$C$6-S30)/2)^2+COS(RADIANS(S30))*COS(RADIANS(14_Cercania!$C$6))*SIN(RADIANS(14_Cercania!$C$7-T30)/2)^2))+ROW()*0.000000001,"")</f>
        <v/>
      </c>
    </row>
    <row r="31" customFormat="false" ht="15" hidden="false" customHeight="false" outlineLevel="0" collapsed="false">
      <c r="A31" s="55" t="n">
        <v>29</v>
      </c>
      <c r="B31" s="56"/>
      <c r="C31" s="55"/>
      <c r="D31" s="56"/>
      <c r="E31" s="71"/>
      <c r="F31" s="72"/>
      <c r="G31" s="72"/>
      <c r="H31" s="72"/>
      <c r="I31" s="72"/>
      <c r="J31" s="72"/>
      <c r="K31" s="56"/>
      <c r="L31" s="72"/>
      <c r="M31" s="55"/>
      <c r="N31" s="73"/>
      <c r="O31" s="73" t="s">
        <v>2490</v>
      </c>
      <c r="P31" s="55" t="s">
        <v>2491</v>
      </c>
      <c r="Q31" s="55" t="s">
        <v>2491</v>
      </c>
      <c r="R31" s="55" t="s">
        <v>2491</v>
      </c>
      <c r="S31" s="83"/>
      <c r="T31" s="83"/>
      <c r="U31" s="57" t="s">
        <v>2538</v>
      </c>
      <c r="V31" s="76" t="str">
        <f aca="false">HYPERLINK(IF(AND(ISNUMBER(S31),ISNUMBER(T31)),"https://www.google.com/maps/search/?api=1&amp;query="&amp;S31&amp;","&amp;T31,"https://www.google.com/maps/search/?api=1&amp;query="&amp;SUBSTITUTE(SUBSTITUTE(SUBSTITUTE(B31&amp;", "&amp;K31&amp;", Puno, Peru"," ","+"),"&amp;","y"),"#","")),"Ver en mapa")</f>
        <v>Ver en mapa</v>
      </c>
      <c r="W31" s="72"/>
      <c r="X31" s="72"/>
      <c r="Y31" s="72"/>
      <c r="Z31" s="55" t="s">
        <v>2494</v>
      </c>
      <c r="AA31" s="72"/>
      <c r="AB31" s="56"/>
      <c r="AC31" s="77" t="str">
        <f aca="false">IF(AND(ISNUMBER(S31),ISNUMBER(T31),ISNUMBER(14_Cercania!$C$6),ISNUMBER(14_Cercania!$C$7)),6371*2*ASIN(SQRT(SIN(RADIANS(14_Cercania!$C$6-S31)/2)^2+COS(RADIANS(S31))*COS(RADIANS(14_Cercania!$C$6))*SIN(RADIANS(14_Cercania!$C$7-T31)/2)^2))+ROW()*0.000000001,"")</f>
        <v/>
      </c>
    </row>
    <row r="32" customFormat="false" ht="15" hidden="false" customHeight="false" outlineLevel="0" collapsed="false">
      <c r="A32" s="62" t="n">
        <v>30</v>
      </c>
      <c r="B32" s="63"/>
      <c r="C32" s="62"/>
      <c r="D32" s="63"/>
      <c r="E32" s="71"/>
      <c r="F32" s="72"/>
      <c r="G32" s="72"/>
      <c r="H32" s="72"/>
      <c r="I32" s="72"/>
      <c r="J32" s="72"/>
      <c r="K32" s="63"/>
      <c r="L32" s="72"/>
      <c r="M32" s="62"/>
      <c r="N32" s="78"/>
      <c r="O32" s="78" t="s">
        <v>2490</v>
      </c>
      <c r="P32" s="62" t="s">
        <v>2491</v>
      </c>
      <c r="Q32" s="62" t="s">
        <v>2491</v>
      </c>
      <c r="R32" s="62" t="s">
        <v>2491</v>
      </c>
      <c r="S32" s="83"/>
      <c r="T32" s="83"/>
      <c r="U32" s="57" t="s">
        <v>2538</v>
      </c>
      <c r="V32" s="80" t="str">
        <f aca="false">HYPERLINK(IF(AND(ISNUMBER(S32),ISNUMBER(T32)),"https://www.google.com/maps/search/?api=1&amp;query="&amp;S32&amp;","&amp;T32,"https://www.google.com/maps/search/?api=1&amp;query="&amp;SUBSTITUTE(SUBSTITUTE(SUBSTITUTE(B32&amp;", "&amp;K32&amp;", Puno, Peru"," ","+"),"&amp;","y"),"#","")),"Ver en mapa")</f>
        <v>Ver en mapa</v>
      </c>
      <c r="W32" s="72"/>
      <c r="X32" s="72"/>
      <c r="Y32" s="72"/>
      <c r="Z32" s="62" t="s">
        <v>2494</v>
      </c>
      <c r="AA32" s="72"/>
      <c r="AB32" s="63"/>
      <c r="AC32" s="81" t="str">
        <f aca="false">IF(AND(ISNUMBER(S32),ISNUMBER(T32),ISNUMBER(14_Cercania!$C$6),ISNUMBER(14_Cercania!$C$7)),6371*2*ASIN(SQRT(SIN(RADIANS(14_Cercania!$C$6-S32)/2)^2+COS(RADIANS(S32))*COS(RADIANS(14_Cercania!$C$6))*SIN(RADIANS(14_Cercania!$C$7-T32)/2)^2))+ROW()*0.000000001,"")</f>
        <v/>
      </c>
    </row>
    <row r="33" customFormat="false" ht="15" hidden="false" customHeight="false" outlineLevel="0" collapsed="false">
      <c r="A33" s="55" t="n">
        <v>31</v>
      </c>
      <c r="B33" s="56"/>
      <c r="C33" s="55"/>
      <c r="D33" s="56"/>
      <c r="E33" s="71"/>
      <c r="F33" s="72"/>
      <c r="G33" s="72"/>
      <c r="H33" s="72"/>
      <c r="I33" s="72"/>
      <c r="J33" s="72"/>
      <c r="K33" s="56"/>
      <c r="L33" s="72"/>
      <c r="M33" s="55"/>
      <c r="N33" s="73"/>
      <c r="O33" s="73" t="s">
        <v>2490</v>
      </c>
      <c r="P33" s="55" t="s">
        <v>2491</v>
      </c>
      <c r="Q33" s="55" t="s">
        <v>2491</v>
      </c>
      <c r="R33" s="55" t="s">
        <v>2491</v>
      </c>
      <c r="S33" s="83"/>
      <c r="T33" s="83"/>
      <c r="U33" s="57" t="s">
        <v>2538</v>
      </c>
      <c r="V33" s="76" t="str">
        <f aca="false">HYPERLINK(IF(AND(ISNUMBER(S33),ISNUMBER(T33)),"https://www.google.com/maps/search/?api=1&amp;query="&amp;S33&amp;","&amp;T33,"https://www.google.com/maps/search/?api=1&amp;query="&amp;SUBSTITUTE(SUBSTITUTE(SUBSTITUTE(B33&amp;", "&amp;K33&amp;", Puno, Peru"," ","+"),"&amp;","y"),"#","")),"Ver en mapa")</f>
        <v>Ver en mapa</v>
      </c>
      <c r="W33" s="72"/>
      <c r="X33" s="72"/>
      <c r="Y33" s="72"/>
      <c r="Z33" s="55" t="s">
        <v>2494</v>
      </c>
      <c r="AA33" s="72"/>
      <c r="AB33" s="56"/>
      <c r="AC33" s="77" t="str">
        <f aca="false">IF(AND(ISNUMBER(S33),ISNUMBER(T33),ISNUMBER(14_Cercania!$C$6),ISNUMBER(14_Cercania!$C$7)),6371*2*ASIN(SQRT(SIN(RADIANS(14_Cercania!$C$6-S33)/2)^2+COS(RADIANS(S33))*COS(RADIANS(14_Cercania!$C$6))*SIN(RADIANS(14_Cercania!$C$7-T33)/2)^2))+ROW()*0.000000001,"")</f>
        <v/>
      </c>
    </row>
    <row r="34" customFormat="false" ht="15" hidden="false" customHeight="false" outlineLevel="0" collapsed="false">
      <c r="A34" s="62" t="n">
        <v>32</v>
      </c>
      <c r="B34" s="63"/>
      <c r="C34" s="62"/>
      <c r="D34" s="63"/>
      <c r="E34" s="71"/>
      <c r="F34" s="72"/>
      <c r="G34" s="72"/>
      <c r="H34" s="72"/>
      <c r="I34" s="72"/>
      <c r="J34" s="72"/>
      <c r="K34" s="63"/>
      <c r="L34" s="72"/>
      <c r="M34" s="62"/>
      <c r="N34" s="78"/>
      <c r="O34" s="78" t="s">
        <v>2490</v>
      </c>
      <c r="P34" s="62" t="s">
        <v>2491</v>
      </c>
      <c r="Q34" s="62" t="s">
        <v>2491</v>
      </c>
      <c r="R34" s="62" t="s">
        <v>2491</v>
      </c>
      <c r="S34" s="83"/>
      <c r="T34" s="83"/>
      <c r="U34" s="57" t="s">
        <v>2538</v>
      </c>
      <c r="V34" s="80" t="str">
        <f aca="false">HYPERLINK(IF(AND(ISNUMBER(S34),ISNUMBER(T34)),"https://www.google.com/maps/search/?api=1&amp;query="&amp;S34&amp;","&amp;T34,"https://www.google.com/maps/search/?api=1&amp;query="&amp;SUBSTITUTE(SUBSTITUTE(SUBSTITUTE(B34&amp;", "&amp;K34&amp;", Puno, Peru"," ","+"),"&amp;","y"),"#","")),"Ver en mapa")</f>
        <v>Ver en mapa</v>
      </c>
      <c r="W34" s="72"/>
      <c r="X34" s="72"/>
      <c r="Y34" s="72"/>
      <c r="Z34" s="62" t="s">
        <v>2494</v>
      </c>
      <c r="AA34" s="72"/>
      <c r="AB34" s="63"/>
      <c r="AC34" s="81" t="str">
        <f aca="false">IF(AND(ISNUMBER(S34),ISNUMBER(T34),ISNUMBER(14_Cercania!$C$6),ISNUMBER(14_Cercania!$C$7)),6371*2*ASIN(SQRT(SIN(RADIANS(14_Cercania!$C$6-S34)/2)^2+COS(RADIANS(S34))*COS(RADIANS(14_Cercania!$C$6))*SIN(RADIANS(14_Cercania!$C$7-T34)/2)^2))+ROW()*0.000000001,"")</f>
        <v/>
      </c>
    </row>
    <row r="35" customFormat="false" ht="15" hidden="false" customHeight="false" outlineLevel="0" collapsed="false">
      <c r="A35" s="55" t="n">
        <v>33</v>
      </c>
      <c r="B35" s="56"/>
      <c r="C35" s="55"/>
      <c r="D35" s="56"/>
      <c r="E35" s="71"/>
      <c r="F35" s="72"/>
      <c r="G35" s="72"/>
      <c r="H35" s="72"/>
      <c r="I35" s="72"/>
      <c r="J35" s="72"/>
      <c r="K35" s="56"/>
      <c r="L35" s="72"/>
      <c r="M35" s="55"/>
      <c r="N35" s="73"/>
      <c r="O35" s="73" t="s">
        <v>2490</v>
      </c>
      <c r="P35" s="55" t="s">
        <v>2491</v>
      </c>
      <c r="Q35" s="55" t="s">
        <v>2491</v>
      </c>
      <c r="R35" s="55" t="s">
        <v>2491</v>
      </c>
      <c r="S35" s="83"/>
      <c r="T35" s="83"/>
      <c r="U35" s="57" t="s">
        <v>2538</v>
      </c>
      <c r="V35" s="76" t="str">
        <f aca="false">HYPERLINK(IF(AND(ISNUMBER(S35),ISNUMBER(T35)),"https://www.google.com/maps/search/?api=1&amp;query="&amp;S35&amp;","&amp;T35,"https://www.google.com/maps/search/?api=1&amp;query="&amp;SUBSTITUTE(SUBSTITUTE(SUBSTITUTE(B35&amp;", "&amp;K35&amp;", Puno, Peru"," ","+"),"&amp;","y"),"#","")),"Ver en mapa")</f>
        <v>Ver en mapa</v>
      </c>
      <c r="W35" s="72"/>
      <c r="X35" s="72"/>
      <c r="Y35" s="72"/>
      <c r="Z35" s="55" t="s">
        <v>2494</v>
      </c>
      <c r="AA35" s="72"/>
      <c r="AB35" s="56"/>
      <c r="AC35" s="77" t="str">
        <f aca="false">IF(AND(ISNUMBER(S35),ISNUMBER(T35),ISNUMBER(14_Cercania!$C$6),ISNUMBER(14_Cercania!$C$7)),6371*2*ASIN(SQRT(SIN(RADIANS(14_Cercania!$C$6-S35)/2)^2+COS(RADIANS(S35))*COS(RADIANS(14_Cercania!$C$6))*SIN(RADIANS(14_Cercania!$C$7-T35)/2)^2))+ROW()*0.000000001,"")</f>
        <v/>
      </c>
    </row>
    <row r="36" customFormat="false" ht="15" hidden="false" customHeight="false" outlineLevel="0" collapsed="false">
      <c r="A36" s="62" t="n">
        <v>34</v>
      </c>
      <c r="B36" s="63"/>
      <c r="C36" s="62"/>
      <c r="D36" s="63"/>
      <c r="E36" s="71"/>
      <c r="F36" s="72"/>
      <c r="G36" s="72"/>
      <c r="H36" s="72"/>
      <c r="I36" s="72"/>
      <c r="J36" s="72"/>
      <c r="K36" s="63"/>
      <c r="L36" s="72"/>
      <c r="M36" s="62"/>
      <c r="N36" s="78"/>
      <c r="O36" s="78" t="s">
        <v>2490</v>
      </c>
      <c r="P36" s="62" t="s">
        <v>2491</v>
      </c>
      <c r="Q36" s="62" t="s">
        <v>2491</v>
      </c>
      <c r="R36" s="62" t="s">
        <v>2491</v>
      </c>
      <c r="S36" s="83"/>
      <c r="T36" s="83"/>
      <c r="U36" s="57" t="s">
        <v>2538</v>
      </c>
      <c r="V36" s="80" t="str">
        <f aca="false">HYPERLINK(IF(AND(ISNUMBER(S36),ISNUMBER(T36)),"https://www.google.com/maps/search/?api=1&amp;query="&amp;S36&amp;","&amp;T36,"https://www.google.com/maps/search/?api=1&amp;query="&amp;SUBSTITUTE(SUBSTITUTE(SUBSTITUTE(B36&amp;", "&amp;K36&amp;", Puno, Peru"," ","+"),"&amp;","y"),"#","")),"Ver en mapa")</f>
        <v>Ver en mapa</v>
      </c>
      <c r="W36" s="72"/>
      <c r="X36" s="72"/>
      <c r="Y36" s="72"/>
      <c r="Z36" s="62" t="s">
        <v>2494</v>
      </c>
      <c r="AA36" s="72"/>
      <c r="AB36" s="63"/>
      <c r="AC36" s="81" t="str">
        <f aca="false">IF(AND(ISNUMBER(S36),ISNUMBER(T36),ISNUMBER(14_Cercania!$C$6),ISNUMBER(14_Cercania!$C$7)),6371*2*ASIN(SQRT(SIN(RADIANS(14_Cercania!$C$6-S36)/2)^2+COS(RADIANS(S36))*COS(RADIANS(14_Cercania!$C$6))*SIN(RADIANS(14_Cercania!$C$7-T36)/2)^2))+ROW()*0.000000001,"")</f>
        <v/>
      </c>
    </row>
    <row r="37" customFormat="false" ht="15" hidden="false" customHeight="false" outlineLevel="0" collapsed="false">
      <c r="A37" s="55" t="n">
        <v>35</v>
      </c>
      <c r="B37" s="56"/>
      <c r="C37" s="55"/>
      <c r="D37" s="56"/>
      <c r="E37" s="71"/>
      <c r="F37" s="72"/>
      <c r="G37" s="72"/>
      <c r="H37" s="72"/>
      <c r="I37" s="72"/>
      <c r="J37" s="72"/>
      <c r="K37" s="56"/>
      <c r="L37" s="72"/>
      <c r="M37" s="55"/>
      <c r="N37" s="73"/>
      <c r="O37" s="73" t="s">
        <v>2490</v>
      </c>
      <c r="P37" s="55" t="s">
        <v>2491</v>
      </c>
      <c r="Q37" s="55" t="s">
        <v>2491</v>
      </c>
      <c r="R37" s="55" t="s">
        <v>2491</v>
      </c>
      <c r="S37" s="83"/>
      <c r="T37" s="83"/>
      <c r="U37" s="57" t="s">
        <v>2538</v>
      </c>
      <c r="V37" s="76" t="str">
        <f aca="false">HYPERLINK(IF(AND(ISNUMBER(S37),ISNUMBER(T37)),"https://www.google.com/maps/search/?api=1&amp;query="&amp;S37&amp;","&amp;T37,"https://www.google.com/maps/search/?api=1&amp;query="&amp;SUBSTITUTE(SUBSTITUTE(SUBSTITUTE(B37&amp;", "&amp;K37&amp;", Puno, Peru"," ","+"),"&amp;","y"),"#","")),"Ver en mapa")</f>
        <v>Ver en mapa</v>
      </c>
      <c r="W37" s="72"/>
      <c r="X37" s="72"/>
      <c r="Y37" s="72"/>
      <c r="Z37" s="55" t="s">
        <v>2494</v>
      </c>
      <c r="AA37" s="72"/>
      <c r="AB37" s="56"/>
      <c r="AC37" s="77" t="str">
        <f aca="false">IF(AND(ISNUMBER(S37),ISNUMBER(T37),ISNUMBER(14_Cercania!$C$6),ISNUMBER(14_Cercania!$C$7)),6371*2*ASIN(SQRT(SIN(RADIANS(14_Cercania!$C$6-S37)/2)^2+COS(RADIANS(S37))*COS(RADIANS(14_Cercania!$C$6))*SIN(RADIANS(14_Cercania!$C$7-T37)/2)^2))+ROW()*0.000000001,"")</f>
        <v/>
      </c>
    </row>
    <row r="38" customFormat="false" ht="15" hidden="false" customHeight="false" outlineLevel="0" collapsed="false">
      <c r="A38" s="62" t="n">
        <v>36</v>
      </c>
      <c r="B38" s="63"/>
      <c r="C38" s="62"/>
      <c r="D38" s="63"/>
      <c r="E38" s="71"/>
      <c r="F38" s="72"/>
      <c r="G38" s="72"/>
      <c r="H38" s="72"/>
      <c r="I38" s="72"/>
      <c r="J38" s="72"/>
      <c r="K38" s="63"/>
      <c r="L38" s="72"/>
      <c r="M38" s="62"/>
      <c r="N38" s="78"/>
      <c r="O38" s="78" t="s">
        <v>2490</v>
      </c>
      <c r="P38" s="62" t="s">
        <v>2491</v>
      </c>
      <c r="Q38" s="62" t="s">
        <v>2491</v>
      </c>
      <c r="R38" s="62" t="s">
        <v>2491</v>
      </c>
      <c r="S38" s="83"/>
      <c r="T38" s="83"/>
      <c r="U38" s="57" t="s">
        <v>2538</v>
      </c>
      <c r="V38" s="80" t="str">
        <f aca="false">HYPERLINK(IF(AND(ISNUMBER(S38),ISNUMBER(T38)),"https://www.google.com/maps/search/?api=1&amp;query="&amp;S38&amp;","&amp;T38,"https://www.google.com/maps/search/?api=1&amp;query="&amp;SUBSTITUTE(SUBSTITUTE(SUBSTITUTE(B38&amp;", "&amp;K38&amp;", Puno, Peru"," ","+"),"&amp;","y"),"#","")),"Ver en mapa")</f>
        <v>Ver en mapa</v>
      </c>
      <c r="W38" s="72"/>
      <c r="X38" s="72"/>
      <c r="Y38" s="72"/>
      <c r="Z38" s="62" t="s">
        <v>2494</v>
      </c>
      <c r="AA38" s="72"/>
      <c r="AB38" s="63"/>
      <c r="AC38" s="81" t="str">
        <f aca="false">IF(AND(ISNUMBER(S38),ISNUMBER(T38),ISNUMBER(14_Cercania!$C$6),ISNUMBER(14_Cercania!$C$7)),6371*2*ASIN(SQRT(SIN(RADIANS(14_Cercania!$C$6-S38)/2)^2+COS(RADIANS(S38))*COS(RADIANS(14_Cercania!$C$6))*SIN(RADIANS(14_Cercania!$C$7-T38)/2)^2))+ROW()*0.000000001,"")</f>
        <v/>
      </c>
    </row>
    <row r="39" customFormat="false" ht="15" hidden="false" customHeight="false" outlineLevel="0" collapsed="false">
      <c r="A39" s="55" t="n">
        <v>37</v>
      </c>
      <c r="B39" s="56"/>
      <c r="C39" s="55"/>
      <c r="D39" s="56"/>
      <c r="E39" s="71"/>
      <c r="F39" s="72"/>
      <c r="G39" s="72"/>
      <c r="H39" s="72"/>
      <c r="I39" s="72"/>
      <c r="J39" s="72"/>
      <c r="K39" s="56"/>
      <c r="L39" s="72"/>
      <c r="M39" s="55"/>
      <c r="N39" s="73"/>
      <c r="O39" s="73" t="s">
        <v>2490</v>
      </c>
      <c r="P39" s="55" t="s">
        <v>2491</v>
      </c>
      <c r="Q39" s="55" t="s">
        <v>2491</v>
      </c>
      <c r="R39" s="55" t="s">
        <v>2491</v>
      </c>
      <c r="S39" s="83"/>
      <c r="T39" s="83"/>
      <c r="U39" s="57" t="s">
        <v>2538</v>
      </c>
      <c r="V39" s="76" t="str">
        <f aca="false">HYPERLINK(IF(AND(ISNUMBER(S39),ISNUMBER(T39)),"https://www.google.com/maps/search/?api=1&amp;query="&amp;S39&amp;","&amp;T39,"https://www.google.com/maps/search/?api=1&amp;query="&amp;SUBSTITUTE(SUBSTITUTE(SUBSTITUTE(B39&amp;", "&amp;K39&amp;", Puno, Peru"," ","+"),"&amp;","y"),"#","")),"Ver en mapa")</f>
        <v>Ver en mapa</v>
      </c>
      <c r="W39" s="72"/>
      <c r="X39" s="72"/>
      <c r="Y39" s="72"/>
      <c r="Z39" s="55" t="s">
        <v>2494</v>
      </c>
      <c r="AA39" s="72"/>
      <c r="AB39" s="56"/>
      <c r="AC39" s="77" t="str">
        <f aca="false">IF(AND(ISNUMBER(S39),ISNUMBER(T39),ISNUMBER(14_Cercania!$C$6),ISNUMBER(14_Cercania!$C$7)),6371*2*ASIN(SQRT(SIN(RADIANS(14_Cercania!$C$6-S39)/2)^2+COS(RADIANS(S39))*COS(RADIANS(14_Cercania!$C$6))*SIN(RADIANS(14_Cercania!$C$7-T39)/2)^2))+ROW()*0.000000001,"")</f>
        <v/>
      </c>
    </row>
    <row r="40" customFormat="false" ht="15" hidden="false" customHeight="false" outlineLevel="0" collapsed="false">
      <c r="A40" s="62" t="n">
        <v>38</v>
      </c>
      <c r="B40" s="63"/>
      <c r="C40" s="62"/>
      <c r="D40" s="63"/>
      <c r="E40" s="71"/>
      <c r="F40" s="72"/>
      <c r="G40" s="72"/>
      <c r="H40" s="72"/>
      <c r="I40" s="72"/>
      <c r="J40" s="72"/>
      <c r="K40" s="63"/>
      <c r="L40" s="72"/>
      <c r="M40" s="62"/>
      <c r="N40" s="78"/>
      <c r="O40" s="78" t="s">
        <v>2490</v>
      </c>
      <c r="P40" s="62" t="s">
        <v>2491</v>
      </c>
      <c r="Q40" s="62" t="s">
        <v>2491</v>
      </c>
      <c r="R40" s="62" t="s">
        <v>2491</v>
      </c>
      <c r="S40" s="83"/>
      <c r="T40" s="83"/>
      <c r="U40" s="57" t="s">
        <v>2538</v>
      </c>
      <c r="V40" s="80" t="str">
        <f aca="false">HYPERLINK(IF(AND(ISNUMBER(S40),ISNUMBER(T40)),"https://www.google.com/maps/search/?api=1&amp;query="&amp;S40&amp;","&amp;T40,"https://www.google.com/maps/search/?api=1&amp;query="&amp;SUBSTITUTE(SUBSTITUTE(SUBSTITUTE(B40&amp;", "&amp;K40&amp;", Puno, Peru"," ","+"),"&amp;","y"),"#","")),"Ver en mapa")</f>
        <v>Ver en mapa</v>
      </c>
      <c r="W40" s="72"/>
      <c r="X40" s="72"/>
      <c r="Y40" s="72"/>
      <c r="Z40" s="62" t="s">
        <v>2494</v>
      </c>
      <c r="AA40" s="72"/>
      <c r="AB40" s="63"/>
      <c r="AC40" s="81" t="str">
        <f aca="false">IF(AND(ISNUMBER(S40),ISNUMBER(T40),ISNUMBER(14_Cercania!$C$6),ISNUMBER(14_Cercania!$C$7)),6371*2*ASIN(SQRT(SIN(RADIANS(14_Cercania!$C$6-S40)/2)^2+COS(RADIANS(S40))*COS(RADIANS(14_Cercania!$C$6))*SIN(RADIANS(14_Cercania!$C$7-T40)/2)^2))+ROW()*0.000000001,"")</f>
        <v/>
      </c>
    </row>
    <row r="41" customFormat="false" ht="15" hidden="false" customHeight="false" outlineLevel="0" collapsed="false">
      <c r="A41" s="55" t="n">
        <v>39</v>
      </c>
      <c r="B41" s="56"/>
      <c r="C41" s="55"/>
      <c r="D41" s="56"/>
      <c r="E41" s="71"/>
      <c r="F41" s="72"/>
      <c r="G41" s="72"/>
      <c r="H41" s="72"/>
      <c r="I41" s="72"/>
      <c r="J41" s="72"/>
      <c r="K41" s="56"/>
      <c r="L41" s="72"/>
      <c r="M41" s="55"/>
      <c r="N41" s="73"/>
      <c r="O41" s="73" t="s">
        <v>2490</v>
      </c>
      <c r="P41" s="55" t="s">
        <v>2491</v>
      </c>
      <c r="Q41" s="55" t="s">
        <v>2491</v>
      </c>
      <c r="R41" s="55" t="s">
        <v>2491</v>
      </c>
      <c r="S41" s="83"/>
      <c r="T41" s="83"/>
      <c r="U41" s="57" t="s">
        <v>2538</v>
      </c>
      <c r="V41" s="76" t="str">
        <f aca="false">HYPERLINK(IF(AND(ISNUMBER(S41),ISNUMBER(T41)),"https://www.google.com/maps/search/?api=1&amp;query="&amp;S41&amp;","&amp;T41,"https://www.google.com/maps/search/?api=1&amp;query="&amp;SUBSTITUTE(SUBSTITUTE(SUBSTITUTE(B41&amp;", "&amp;K41&amp;", Puno, Peru"," ","+"),"&amp;","y"),"#","")),"Ver en mapa")</f>
        <v>Ver en mapa</v>
      </c>
      <c r="W41" s="72"/>
      <c r="X41" s="72"/>
      <c r="Y41" s="72"/>
      <c r="Z41" s="55" t="s">
        <v>2494</v>
      </c>
      <c r="AA41" s="72"/>
      <c r="AB41" s="56"/>
      <c r="AC41" s="77" t="str">
        <f aca="false">IF(AND(ISNUMBER(S41),ISNUMBER(T41),ISNUMBER(14_Cercania!$C$6),ISNUMBER(14_Cercania!$C$7)),6371*2*ASIN(SQRT(SIN(RADIANS(14_Cercania!$C$6-S41)/2)^2+COS(RADIANS(S41))*COS(RADIANS(14_Cercania!$C$6))*SIN(RADIANS(14_Cercania!$C$7-T41)/2)^2))+ROW()*0.000000001,"")</f>
        <v/>
      </c>
    </row>
    <row r="42" customFormat="false" ht="15" hidden="false" customHeight="false" outlineLevel="0" collapsed="false">
      <c r="A42" s="62" t="n">
        <v>40</v>
      </c>
      <c r="B42" s="63"/>
      <c r="C42" s="62"/>
      <c r="D42" s="63"/>
      <c r="E42" s="71"/>
      <c r="F42" s="72"/>
      <c r="G42" s="72"/>
      <c r="H42" s="72"/>
      <c r="I42" s="72"/>
      <c r="J42" s="72"/>
      <c r="K42" s="63"/>
      <c r="L42" s="72"/>
      <c r="M42" s="62"/>
      <c r="N42" s="78"/>
      <c r="O42" s="78" t="s">
        <v>2490</v>
      </c>
      <c r="P42" s="62" t="s">
        <v>2491</v>
      </c>
      <c r="Q42" s="62" t="s">
        <v>2491</v>
      </c>
      <c r="R42" s="62" t="s">
        <v>2491</v>
      </c>
      <c r="S42" s="83"/>
      <c r="T42" s="83"/>
      <c r="U42" s="57" t="s">
        <v>2538</v>
      </c>
      <c r="V42" s="80" t="str">
        <f aca="false">HYPERLINK(IF(AND(ISNUMBER(S42),ISNUMBER(T42)),"https://www.google.com/maps/search/?api=1&amp;query="&amp;S42&amp;","&amp;T42,"https://www.google.com/maps/search/?api=1&amp;query="&amp;SUBSTITUTE(SUBSTITUTE(SUBSTITUTE(B42&amp;", "&amp;K42&amp;", Puno, Peru"," ","+"),"&amp;","y"),"#","")),"Ver en mapa")</f>
        <v>Ver en mapa</v>
      </c>
      <c r="W42" s="72"/>
      <c r="X42" s="72"/>
      <c r="Y42" s="72"/>
      <c r="Z42" s="62" t="s">
        <v>2494</v>
      </c>
      <c r="AA42" s="72"/>
      <c r="AB42" s="63"/>
      <c r="AC42" s="81" t="str">
        <f aca="false">IF(AND(ISNUMBER(S42),ISNUMBER(T42),ISNUMBER(14_Cercania!$C$6),ISNUMBER(14_Cercania!$C$7)),6371*2*ASIN(SQRT(SIN(RADIANS(14_Cercania!$C$6-S42)/2)^2+COS(RADIANS(S42))*COS(RADIANS(14_Cercania!$C$6))*SIN(RADIANS(14_Cercania!$C$7-T42)/2)^2))+ROW()*0.000000001,"")</f>
        <v/>
      </c>
    </row>
    <row r="43" customFormat="false" ht="15" hidden="false" customHeight="false" outlineLevel="0" collapsed="false">
      <c r="A43" s="55" t="n">
        <v>41</v>
      </c>
      <c r="B43" s="56"/>
      <c r="C43" s="55"/>
      <c r="D43" s="56"/>
      <c r="E43" s="71"/>
      <c r="F43" s="72"/>
      <c r="G43" s="72"/>
      <c r="H43" s="72"/>
      <c r="I43" s="72"/>
      <c r="J43" s="72"/>
      <c r="K43" s="56"/>
      <c r="L43" s="72"/>
      <c r="M43" s="55"/>
      <c r="N43" s="73"/>
      <c r="O43" s="73" t="s">
        <v>2490</v>
      </c>
      <c r="P43" s="55" t="s">
        <v>2491</v>
      </c>
      <c r="Q43" s="55" t="s">
        <v>2491</v>
      </c>
      <c r="R43" s="55" t="s">
        <v>2491</v>
      </c>
      <c r="S43" s="83"/>
      <c r="T43" s="83"/>
      <c r="U43" s="57" t="s">
        <v>2538</v>
      </c>
      <c r="V43" s="76" t="str">
        <f aca="false">HYPERLINK(IF(AND(ISNUMBER(S43),ISNUMBER(T43)),"https://www.google.com/maps/search/?api=1&amp;query="&amp;S43&amp;","&amp;T43,"https://www.google.com/maps/search/?api=1&amp;query="&amp;SUBSTITUTE(SUBSTITUTE(SUBSTITUTE(B43&amp;", "&amp;K43&amp;", Puno, Peru"," ","+"),"&amp;","y"),"#","")),"Ver en mapa")</f>
        <v>Ver en mapa</v>
      </c>
      <c r="W43" s="72"/>
      <c r="X43" s="72"/>
      <c r="Y43" s="72"/>
      <c r="Z43" s="55" t="s">
        <v>2494</v>
      </c>
      <c r="AA43" s="72"/>
      <c r="AB43" s="56"/>
      <c r="AC43" s="77" t="str">
        <f aca="false">IF(AND(ISNUMBER(S43),ISNUMBER(T43),ISNUMBER(14_Cercania!$C$6),ISNUMBER(14_Cercania!$C$7)),6371*2*ASIN(SQRT(SIN(RADIANS(14_Cercania!$C$6-S43)/2)^2+COS(RADIANS(S43))*COS(RADIANS(14_Cercania!$C$6))*SIN(RADIANS(14_Cercania!$C$7-T43)/2)^2))+ROW()*0.000000001,"")</f>
        <v/>
      </c>
    </row>
    <row r="44" customFormat="false" ht="15" hidden="false" customHeight="false" outlineLevel="0" collapsed="false">
      <c r="A44" s="62" t="n">
        <v>42</v>
      </c>
      <c r="B44" s="63"/>
      <c r="C44" s="62"/>
      <c r="D44" s="63"/>
      <c r="E44" s="71"/>
      <c r="F44" s="72"/>
      <c r="G44" s="72"/>
      <c r="H44" s="72"/>
      <c r="I44" s="72"/>
      <c r="J44" s="72"/>
      <c r="K44" s="63"/>
      <c r="L44" s="72"/>
      <c r="M44" s="62"/>
      <c r="N44" s="78"/>
      <c r="O44" s="78" t="s">
        <v>2490</v>
      </c>
      <c r="P44" s="62" t="s">
        <v>2491</v>
      </c>
      <c r="Q44" s="62" t="s">
        <v>2491</v>
      </c>
      <c r="R44" s="62" t="s">
        <v>2491</v>
      </c>
      <c r="S44" s="83"/>
      <c r="T44" s="83"/>
      <c r="U44" s="57" t="s">
        <v>2538</v>
      </c>
      <c r="V44" s="80" t="str">
        <f aca="false">HYPERLINK(IF(AND(ISNUMBER(S44),ISNUMBER(T44)),"https://www.google.com/maps/search/?api=1&amp;query="&amp;S44&amp;","&amp;T44,"https://www.google.com/maps/search/?api=1&amp;query="&amp;SUBSTITUTE(SUBSTITUTE(SUBSTITUTE(B44&amp;", "&amp;K44&amp;", Puno, Peru"," ","+"),"&amp;","y"),"#","")),"Ver en mapa")</f>
        <v>Ver en mapa</v>
      </c>
      <c r="W44" s="72"/>
      <c r="X44" s="72"/>
      <c r="Y44" s="72"/>
      <c r="Z44" s="62" t="s">
        <v>2494</v>
      </c>
      <c r="AA44" s="72"/>
      <c r="AB44" s="63"/>
      <c r="AC44" s="81" t="str">
        <f aca="false">IF(AND(ISNUMBER(S44),ISNUMBER(T44),ISNUMBER(14_Cercania!$C$6),ISNUMBER(14_Cercania!$C$7)),6371*2*ASIN(SQRT(SIN(RADIANS(14_Cercania!$C$6-S44)/2)^2+COS(RADIANS(S44))*COS(RADIANS(14_Cercania!$C$6))*SIN(RADIANS(14_Cercania!$C$7-T44)/2)^2))+ROW()*0.000000001,"")</f>
        <v/>
      </c>
    </row>
    <row r="45" customFormat="false" ht="15" hidden="false" customHeight="false" outlineLevel="0" collapsed="false">
      <c r="A45" s="55" t="n">
        <v>43</v>
      </c>
      <c r="B45" s="56"/>
      <c r="C45" s="55"/>
      <c r="D45" s="56"/>
      <c r="E45" s="71"/>
      <c r="F45" s="72"/>
      <c r="G45" s="72"/>
      <c r="H45" s="72"/>
      <c r="I45" s="72"/>
      <c r="J45" s="72"/>
      <c r="K45" s="56"/>
      <c r="L45" s="72"/>
      <c r="M45" s="55"/>
      <c r="N45" s="73"/>
      <c r="O45" s="73" t="s">
        <v>2490</v>
      </c>
      <c r="P45" s="55" t="s">
        <v>2491</v>
      </c>
      <c r="Q45" s="55" t="s">
        <v>2491</v>
      </c>
      <c r="R45" s="55" t="s">
        <v>2491</v>
      </c>
      <c r="S45" s="83"/>
      <c r="T45" s="83"/>
      <c r="U45" s="57" t="s">
        <v>2538</v>
      </c>
      <c r="V45" s="76" t="str">
        <f aca="false">HYPERLINK(IF(AND(ISNUMBER(S45),ISNUMBER(T45)),"https://www.google.com/maps/search/?api=1&amp;query="&amp;S45&amp;","&amp;T45,"https://www.google.com/maps/search/?api=1&amp;query="&amp;SUBSTITUTE(SUBSTITUTE(SUBSTITUTE(B45&amp;", "&amp;K45&amp;", Puno, Peru"," ","+"),"&amp;","y"),"#","")),"Ver en mapa")</f>
        <v>Ver en mapa</v>
      </c>
      <c r="W45" s="72"/>
      <c r="X45" s="72"/>
      <c r="Y45" s="72"/>
      <c r="Z45" s="55" t="s">
        <v>2494</v>
      </c>
      <c r="AA45" s="72"/>
      <c r="AB45" s="56"/>
      <c r="AC45" s="77" t="str">
        <f aca="false">IF(AND(ISNUMBER(S45),ISNUMBER(T45),ISNUMBER(14_Cercania!$C$6),ISNUMBER(14_Cercania!$C$7)),6371*2*ASIN(SQRT(SIN(RADIANS(14_Cercania!$C$6-S45)/2)^2+COS(RADIANS(S45))*COS(RADIANS(14_Cercania!$C$6))*SIN(RADIANS(14_Cercania!$C$7-T45)/2)^2))+ROW()*0.000000001,"")</f>
        <v/>
      </c>
    </row>
    <row r="46" customFormat="false" ht="15" hidden="false" customHeight="false" outlineLevel="0" collapsed="false">
      <c r="A46" s="62" t="n">
        <v>44</v>
      </c>
      <c r="B46" s="63"/>
      <c r="C46" s="62"/>
      <c r="D46" s="63"/>
      <c r="E46" s="71"/>
      <c r="F46" s="72"/>
      <c r="G46" s="72"/>
      <c r="H46" s="72"/>
      <c r="I46" s="72"/>
      <c r="J46" s="72"/>
      <c r="K46" s="63"/>
      <c r="L46" s="72"/>
      <c r="M46" s="62"/>
      <c r="N46" s="78"/>
      <c r="O46" s="78" t="s">
        <v>2490</v>
      </c>
      <c r="P46" s="62" t="s">
        <v>2491</v>
      </c>
      <c r="Q46" s="62" t="s">
        <v>2491</v>
      </c>
      <c r="R46" s="62" t="s">
        <v>2491</v>
      </c>
      <c r="S46" s="83"/>
      <c r="T46" s="83"/>
      <c r="U46" s="57" t="s">
        <v>2538</v>
      </c>
      <c r="V46" s="80" t="str">
        <f aca="false">HYPERLINK(IF(AND(ISNUMBER(S46),ISNUMBER(T46)),"https://www.google.com/maps/search/?api=1&amp;query="&amp;S46&amp;","&amp;T46,"https://www.google.com/maps/search/?api=1&amp;query="&amp;SUBSTITUTE(SUBSTITUTE(SUBSTITUTE(B46&amp;", "&amp;K46&amp;", Puno, Peru"," ","+"),"&amp;","y"),"#","")),"Ver en mapa")</f>
        <v>Ver en mapa</v>
      </c>
      <c r="W46" s="72"/>
      <c r="X46" s="72"/>
      <c r="Y46" s="72"/>
      <c r="Z46" s="62" t="s">
        <v>2494</v>
      </c>
      <c r="AA46" s="72"/>
      <c r="AB46" s="63"/>
      <c r="AC46" s="81" t="str">
        <f aca="false">IF(AND(ISNUMBER(S46),ISNUMBER(T46),ISNUMBER(14_Cercania!$C$6),ISNUMBER(14_Cercania!$C$7)),6371*2*ASIN(SQRT(SIN(RADIANS(14_Cercania!$C$6-S46)/2)^2+COS(RADIANS(S46))*COS(RADIANS(14_Cercania!$C$6))*SIN(RADIANS(14_Cercania!$C$7-T46)/2)^2))+ROW()*0.000000001,"")</f>
        <v/>
      </c>
    </row>
    <row r="47" customFormat="false" ht="15" hidden="false" customHeight="false" outlineLevel="0" collapsed="false">
      <c r="A47" s="55" t="n">
        <v>45</v>
      </c>
      <c r="B47" s="56"/>
      <c r="C47" s="55"/>
      <c r="D47" s="56"/>
      <c r="E47" s="71"/>
      <c r="F47" s="72"/>
      <c r="G47" s="72"/>
      <c r="H47" s="72"/>
      <c r="I47" s="72"/>
      <c r="J47" s="72"/>
      <c r="K47" s="56"/>
      <c r="L47" s="72"/>
      <c r="M47" s="55"/>
      <c r="N47" s="73"/>
      <c r="O47" s="73" t="s">
        <v>2490</v>
      </c>
      <c r="P47" s="55" t="s">
        <v>2491</v>
      </c>
      <c r="Q47" s="55" t="s">
        <v>2491</v>
      </c>
      <c r="R47" s="55" t="s">
        <v>2491</v>
      </c>
      <c r="S47" s="83"/>
      <c r="T47" s="83"/>
      <c r="U47" s="57" t="s">
        <v>2538</v>
      </c>
      <c r="V47" s="76" t="str">
        <f aca="false">HYPERLINK(IF(AND(ISNUMBER(S47),ISNUMBER(T47)),"https://www.google.com/maps/search/?api=1&amp;query="&amp;S47&amp;","&amp;T47,"https://www.google.com/maps/search/?api=1&amp;query="&amp;SUBSTITUTE(SUBSTITUTE(SUBSTITUTE(B47&amp;", "&amp;K47&amp;", Puno, Peru"," ","+"),"&amp;","y"),"#","")),"Ver en mapa")</f>
        <v>Ver en mapa</v>
      </c>
      <c r="W47" s="72"/>
      <c r="X47" s="72"/>
      <c r="Y47" s="72"/>
      <c r="Z47" s="55" t="s">
        <v>2494</v>
      </c>
      <c r="AA47" s="72"/>
      <c r="AB47" s="56"/>
      <c r="AC47" s="77" t="str">
        <f aca="false">IF(AND(ISNUMBER(S47),ISNUMBER(T47),ISNUMBER(14_Cercania!$C$6),ISNUMBER(14_Cercania!$C$7)),6371*2*ASIN(SQRT(SIN(RADIANS(14_Cercania!$C$6-S47)/2)^2+COS(RADIANS(S47))*COS(RADIANS(14_Cercania!$C$6))*SIN(RADIANS(14_Cercania!$C$7-T47)/2)^2))+ROW()*0.000000001,"")</f>
        <v/>
      </c>
    </row>
    <row r="48" customFormat="false" ht="15" hidden="false" customHeight="false" outlineLevel="0" collapsed="false">
      <c r="A48" s="62" t="n">
        <v>46</v>
      </c>
      <c r="B48" s="63"/>
      <c r="C48" s="62"/>
      <c r="D48" s="63"/>
      <c r="E48" s="71"/>
      <c r="F48" s="72"/>
      <c r="G48" s="72"/>
      <c r="H48" s="72"/>
      <c r="I48" s="72"/>
      <c r="J48" s="72"/>
      <c r="K48" s="63"/>
      <c r="L48" s="72"/>
      <c r="M48" s="62"/>
      <c r="N48" s="78"/>
      <c r="O48" s="78" t="s">
        <v>2490</v>
      </c>
      <c r="P48" s="62" t="s">
        <v>2491</v>
      </c>
      <c r="Q48" s="62" t="s">
        <v>2491</v>
      </c>
      <c r="R48" s="62" t="s">
        <v>2491</v>
      </c>
      <c r="S48" s="83"/>
      <c r="T48" s="83"/>
      <c r="U48" s="57" t="s">
        <v>2538</v>
      </c>
      <c r="V48" s="80" t="str">
        <f aca="false">HYPERLINK(IF(AND(ISNUMBER(S48),ISNUMBER(T48)),"https://www.google.com/maps/search/?api=1&amp;query="&amp;S48&amp;","&amp;T48,"https://www.google.com/maps/search/?api=1&amp;query="&amp;SUBSTITUTE(SUBSTITUTE(SUBSTITUTE(B48&amp;", "&amp;K48&amp;", Puno, Peru"," ","+"),"&amp;","y"),"#","")),"Ver en mapa")</f>
        <v>Ver en mapa</v>
      </c>
      <c r="W48" s="72"/>
      <c r="X48" s="72"/>
      <c r="Y48" s="72"/>
      <c r="Z48" s="62" t="s">
        <v>2494</v>
      </c>
      <c r="AA48" s="72"/>
      <c r="AB48" s="63"/>
      <c r="AC48" s="81" t="str">
        <f aca="false">IF(AND(ISNUMBER(S48),ISNUMBER(T48),ISNUMBER(14_Cercania!$C$6),ISNUMBER(14_Cercania!$C$7)),6371*2*ASIN(SQRT(SIN(RADIANS(14_Cercania!$C$6-S48)/2)^2+COS(RADIANS(S48))*COS(RADIANS(14_Cercania!$C$6))*SIN(RADIANS(14_Cercania!$C$7-T48)/2)^2))+ROW()*0.000000001,"")</f>
        <v/>
      </c>
    </row>
    <row r="49" customFormat="false" ht="15" hidden="false" customHeight="false" outlineLevel="0" collapsed="false">
      <c r="A49" s="55" t="n">
        <v>47</v>
      </c>
      <c r="B49" s="56"/>
      <c r="C49" s="55"/>
      <c r="D49" s="56"/>
      <c r="E49" s="71"/>
      <c r="F49" s="72"/>
      <c r="G49" s="72"/>
      <c r="H49" s="72"/>
      <c r="I49" s="72"/>
      <c r="J49" s="72"/>
      <c r="K49" s="56"/>
      <c r="L49" s="72"/>
      <c r="M49" s="55"/>
      <c r="N49" s="73"/>
      <c r="O49" s="73" t="s">
        <v>2490</v>
      </c>
      <c r="P49" s="55" t="s">
        <v>2491</v>
      </c>
      <c r="Q49" s="55" t="s">
        <v>2491</v>
      </c>
      <c r="R49" s="55" t="s">
        <v>2491</v>
      </c>
      <c r="S49" s="83"/>
      <c r="T49" s="83"/>
      <c r="U49" s="57" t="s">
        <v>2538</v>
      </c>
      <c r="V49" s="76" t="str">
        <f aca="false">HYPERLINK(IF(AND(ISNUMBER(S49),ISNUMBER(T49)),"https://www.google.com/maps/search/?api=1&amp;query="&amp;S49&amp;","&amp;T49,"https://www.google.com/maps/search/?api=1&amp;query="&amp;SUBSTITUTE(SUBSTITUTE(SUBSTITUTE(B49&amp;", "&amp;K49&amp;", Puno, Peru"," ","+"),"&amp;","y"),"#","")),"Ver en mapa")</f>
        <v>Ver en mapa</v>
      </c>
      <c r="W49" s="72"/>
      <c r="X49" s="72"/>
      <c r="Y49" s="72"/>
      <c r="Z49" s="55" t="s">
        <v>2494</v>
      </c>
      <c r="AA49" s="72"/>
      <c r="AB49" s="56"/>
      <c r="AC49" s="77" t="str">
        <f aca="false">IF(AND(ISNUMBER(S49),ISNUMBER(T49),ISNUMBER(14_Cercania!$C$6),ISNUMBER(14_Cercania!$C$7)),6371*2*ASIN(SQRT(SIN(RADIANS(14_Cercania!$C$6-S49)/2)^2+COS(RADIANS(S49))*COS(RADIANS(14_Cercania!$C$6))*SIN(RADIANS(14_Cercania!$C$7-T49)/2)^2))+ROW()*0.000000001,"")</f>
        <v/>
      </c>
    </row>
    <row r="50" customFormat="false" ht="15" hidden="false" customHeight="false" outlineLevel="0" collapsed="false">
      <c r="A50" s="62" t="n">
        <v>48</v>
      </c>
      <c r="B50" s="63"/>
      <c r="C50" s="62"/>
      <c r="D50" s="63"/>
      <c r="E50" s="71"/>
      <c r="F50" s="72"/>
      <c r="G50" s="72"/>
      <c r="H50" s="72"/>
      <c r="I50" s="72"/>
      <c r="J50" s="72"/>
      <c r="K50" s="63"/>
      <c r="L50" s="72"/>
      <c r="M50" s="62"/>
      <c r="N50" s="78"/>
      <c r="O50" s="78" t="s">
        <v>2490</v>
      </c>
      <c r="P50" s="62" t="s">
        <v>2491</v>
      </c>
      <c r="Q50" s="62" t="s">
        <v>2491</v>
      </c>
      <c r="R50" s="62" t="s">
        <v>2491</v>
      </c>
      <c r="S50" s="83"/>
      <c r="T50" s="83"/>
      <c r="U50" s="57" t="s">
        <v>2538</v>
      </c>
      <c r="V50" s="80" t="str">
        <f aca="false">HYPERLINK(IF(AND(ISNUMBER(S50),ISNUMBER(T50)),"https://www.google.com/maps/search/?api=1&amp;query="&amp;S50&amp;","&amp;T50,"https://www.google.com/maps/search/?api=1&amp;query="&amp;SUBSTITUTE(SUBSTITUTE(SUBSTITUTE(B50&amp;", "&amp;K50&amp;", Puno, Peru"," ","+"),"&amp;","y"),"#","")),"Ver en mapa")</f>
        <v>Ver en mapa</v>
      </c>
      <c r="W50" s="72"/>
      <c r="X50" s="72"/>
      <c r="Y50" s="72"/>
      <c r="Z50" s="62" t="s">
        <v>2494</v>
      </c>
      <c r="AA50" s="72"/>
      <c r="AB50" s="63"/>
      <c r="AC50" s="81" t="str">
        <f aca="false">IF(AND(ISNUMBER(S50),ISNUMBER(T50),ISNUMBER(14_Cercania!$C$6),ISNUMBER(14_Cercania!$C$7)),6371*2*ASIN(SQRT(SIN(RADIANS(14_Cercania!$C$6-S50)/2)^2+COS(RADIANS(S50))*COS(RADIANS(14_Cercania!$C$6))*SIN(RADIANS(14_Cercania!$C$7-T50)/2)^2))+ROW()*0.000000001,"")</f>
        <v/>
      </c>
    </row>
    <row r="51" customFormat="false" ht="15" hidden="false" customHeight="false" outlineLevel="0" collapsed="false">
      <c r="A51" s="55" t="n">
        <v>49</v>
      </c>
      <c r="B51" s="56"/>
      <c r="C51" s="55"/>
      <c r="D51" s="56"/>
      <c r="E51" s="71"/>
      <c r="F51" s="72"/>
      <c r="G51" s="72"/>
      <c r="H51" s="72"/>
      <c r="I51" s="72"/>
      <c r="J51" s="72"/>
      <c r="K51" s="56"/>
      <c r="L51" s="72"/>
      <c r="M51" s="55"/>
      <c r="N51" s="73"/>
      <c r="O51" s="73" t="s">
        <v>2490</v>
      </c>
      <c r="P51" s="55" t="s">
        <v>2491</v>
      </c>
      <c r="Q51" s="55" t="s">
        <v>2491</v>
      </c>
      <c r="R51" s="55" t="s">
        <v>2491</v>
      </c>
      <c r="S51" s="83"/>
      <c r="T51" s="83"/>
      <c r="U51" s="57" t="s">
        <v>2538</v>
      </c>
      <c r="V51" s="76" t="str">
        <f aca="false">HYPERLINK(IF(AND(ISNUMBER(S51),ISNUMBER(T51)),"https://www.google.com/maps/search/?api=1&amp;query="&amp;S51&amp;","&amp;T51,"https://www.google.com/maps/search/?api=1&amp;query="&amp;SUBSTITUTE(SUBSTITUTE(SUBSTITUTE(B51&amp;", "&amp;K51&amp;", Puno, Peru"," ","+"),"&amp;","y"),"#","")),"Ver en mapa")</f>
        <v>Ver en mapa</v>
      </c>
      <c r="W51" s="72"/>
      <c r="X51" s="72"/>
      <c r="Y51" s="72"/>
      <c r="Z51" s="55" t="s">
        <v>2494</v>
      </c>
      <c r="AA51" s="72"/>
      <c r="AB51" s="56"/>
      <c r="AC51" s="77" t="str">
        <f aca="false">IF(AND(ISNUMBER(S51),ISNUMBER(T51),ISNUMBER(14_Cercania!$C$6),ISNUMBER(14_Cercania!$C$7)),6371*2*ASIN(SQRT(SIN(RADIANS(14_Cercania!$C$6-S51)/2)^2+COS(RADIANS(S51))*COS(RADIANS(14_Cercania!$C$6))*SIN(RADIANS(14_Cercania!$C$7-T51)/2)^2))+ROW()*0.000000001,"")</f>
        <v/>
      </c>
    </row>
    <row r="52" customFormat="false" ht="15" hidden="false" customHeight="false" outlineLevel="0" collapsed="false">
      <c r="A52" s="62" t="n">
        <v>50</v>
      </c>
      <c r="B52" s="63"/>
      <c r="C52" s="62"/>
      <c r="D52" s="63"/>
      <c r="E52" s="71"/>
      <c r="F52" s="72"/>
      <c r="G52" s="72"/>
      <c r="H52" s="72"/>
      <c r="I52" s="72"/>
      <c r="J52" s="72"/>
      <c r="K52" s="63"/>
      <c r="L52" s="72"/>
      <c r="M52" s="62"/>
      <c r="N52" s="78"/>
      <c r="O52" s="78" t="s">
        <v>2490</v>
      </c>
      <c r="P52" s="62" t="s">
        <v>2491</v>
      </c>
      <c r="Q52" s="62" t="s">
        <v>2491</v>
      </c>
      <c r="R52" s="62" t="s">
        <v>2491</v>
      </c>
      <c r="S52" s="83"/>
      <c r="T52" s="83"/>
      <c r="U52" s="57" t="s">
        <v>2538</v>
      </c>
      <c r="V52" s="80" t="str">
        <f aca="false">HYPERLINK(IF(AND(ISNUMBER(S52),ISNUMBER(T52)),"https://www.google.com/maps/search/?api=1&amp;query="&amp;S52&amp;","&amp;T52,"https://www.google.com/maps/search/?api=1&amp;query="&amp;SUBSTITUTE(SUBSTITUTE(SUBSTITUTE(B52&amp;", "&amp;K52&amp;", Puno, Peru"," ","+"),"&amp;","y"),"#","")),"Ver en mapa")</f>
        <v>Ver en mapa</v>
      </c>
      <c r="W52" s="72"/>
      <c r="X52" s="72"/>
      <c r="Y52" s="72"/>
      <c r="Z52" s="62" t="s">
        <v>2494</v>
      </c>
      <c r="AA52" s="72"/>
      <c r="AB52" s="63"/>
      <c r="AC52" s="81" t="str">
        <f aca="false">IF(AND(ISNUMBER(S52),ISNUMBER(T52),ISNUMBER(14_Cercania!$C$6),ISNUMBER(14_Cercania!$C$7)),6371*2*ASIN(SQRT(SIN(RADIANS(14_Cercania!$C$6-S52)/2)^2+COS(RADIANS(S52))*COS(RADIANS(14_Cercania!$C$6))*SIN(RADIANS(14_Cercania!$C$7-T52)/2)^2))+ROW()*0.000000001,"")</f>
        <v/>
      </c>
    </row>
    <row r="53" customFormat="false" ht="15" hidden="false" customHeight="false" outlineLevel="0" collapsed="false">
      <c r="A53" s="55" t="n">
        <v>51</v>
      </c>
      <c r="B53" s="56"/>
      <c r="C53" s="55"/>
      <c r="D53" s="56"/>
      <c r="E53" s="71"/>
      <c r="F53" s="72"/>
      <c r="G53" s="72"/>
      <c r="H53" s="72"/>
      <c r="I53" s="72"/>
      <c r="J53" s="72"/>
      <c r="K53" s="56"/>
      <c r="L53" s="72"/>
      <c r="M53" s="55"/>
      <c r="N53" s="73"/>
      <c r="O53" s="73" t="s">
        <v>2490</v>
      </c>
      <c r="P53" s="55" t="s">
        <v>2491</v>
      </c>
      <c r="Q53" s="55" t="s">
        <v>2491</v>
      </c>
      <c r="R53" s="55" t="s">
        <v>2491</v>
      </c>
      <c r="S53" s="83"/>
      <c r="T53" s="83"/>
      <c r="U53" s="57" t="s">
        <v>2538</v>
      </c>
      <c r="V53" s="76" t="str">
        <f aca="false">HYPERLINK(IF(AND(ISNUMBER(S53),ISNUMBER(T53)),"https://www.google.com/maps/search/?api=1&amp;query="&amp;S53&amp;","&amp;T53,"https://www.google.com/maps/search/?api=1&amp;query="&amp;SUBSTITUTE(SUBSTITUTE(SUBSTITUTE(B53&amp;", "&amp;K53&amp;", Puno, Peru"," ","+"),"&amp;","y"),"#","")),"Ver en mapa")</f>
        <v>Ver en mapa</v>
      </c>
      <c r="W53" s="72"/>
      <c r="X53" s="72"/>
      <c r="Y53" s="72"/>
      <c r="Z53" s="55" t="s">
        <v>2494</v>
      </c>
      <c r="AA53" s="72"/>
      <c r="AB53" s="56"/>
      <c r="AC53" s="77" t="str">
        <f aca="false">IF(AND(ISNUMBER(S53),ISNUMBER(T53),ISNUMBER(14_Cercania!$C$6),ISNUMBER(14_Cercania!$C$7)),6371*2*ASIN(SQRT(SIN(RADIANS(14_Cercania!$C$6-S53)/2)^2+COS(RADIANS(S53))*COS(RADIANS(14_Cercania!$C$6))*SIN(RADIANS(14_Cercania!$C$7-T53)/2)^2))+ROW()*0.000000001,"")</f>
        <v/>
      </c>
    </row>
    <row r="54" customFormat="false" ht="15" hidden="false" customHeight="false" outlineLevel="0" collapsed="false">
      <c r="A54" s="62" t="n">
        <v>52</v>
      </c>
      <c r="B54" s="63"/>
      <c r="C54" s="62"/>
      <c r="D54" s="63"/>
      <c r="E54" s="71"/>
      <c r="F54" s="72"/>
      <c r="G54" s="72"/>
      <c r="H54" s="72"/>
      <c r="I54" s="72"/>
      <c r="J54" s="72"/>
      <c r="K54" s="63"/>
      <c r="L54" s="72"/>
      <c r="M54" s="62"/>
      <c r="N54" s="78"/>
      <c r="O54" s="78" t="s">
        <v>2490</v>
      </c>
      <c r="P54" s="62" t="s">
        <v>2491</v>
      </c>
      <c r="Q54" s="62" t="s">
        <v>2491</v>
      </c>
      <c r="R54" s="62" t="s">
        <v>2491</v>
      </c>
      <c r="S54" s="83"/>
      <c r="T54" s="83"/>
      <c r="U54" s="57" t="s">
        <v>2538</v>
      </c>
      <c r="V54" s="80" t="str">
        <f aca="false">HYPERLINK(IF(AND(ISNUMBER(S54),ISNUMBER(T54)),"https://www.google.com/maps/search/?api=1&amp;query="&amp;S54&amp;","&amp;T54,"https://www.google.com/maps/search/?api=1&amp;query="&amp;SUBSTITUTE(SUBSTITUTE(SUBSTITUTE(B54&amp;", "&amp;K54&amp;", Puno, Peru"," ","+"),"&amp;","y"),"#","")),"Ver en mapa")</f>
        <v>Ver en mapa</v>
      </c>
      <c r="W54" s="72"/>
      <c r="X54" s="72"/>
      <c r="Y54" s="72"/>
      <c r="Z54" s="62" t="s">
        <v>2494</v>
      </c>
      <c r="AA54" s="72"/>
      <c r="AB54" s="63"/>
      <c r="AC54" s="81" t="str">
        <f aca="false">IF(AND(ISNUMBER(S54),ISNUMBER(T54),ISNUMBER(14_Cercania!$C$6),ISNUMBER(14_Cercania!$C$7)),6371*2*ASIN(SQRT(SIN(RADIANS(14_Cercania!$C$6-S54)/2)^2+COS(RADIANS(S54))*COS(RADIANS(14_Cercania!$C$6))*SIN(RADIANS(14_Cercania!$C$7-T54)/2)^2))+ROW()*0.000000001,"")</f>
        <v/>
      </c>
    </row>
    <row r="55" customFormat="false" ht="15" hidden="false" customHeight="false" outlineLevel="0" collapsed="false">
      <c r="A55" s="55" t="n">
        <v>53</v>
      </c>
      <c r="B55" s="56"/>
      <c r="C55" s="55"/>
      <c r="D55" s="56"/>
      <c r="E55" s="71"/>
      <c r="F55" s="72"/>
      <c r="G55" s="72"/>
      <c r="H55" s="72"/>
      <c r="I55" s="72"/>
      <c r="J55" s="72"/>
      <c r="K55" s="56"/>
      <c r="L55" s="72"/>
      <c r="M55" s="55"/>
      <c r="N55" s="73"/>
      <c r="O55" s="73" t="s">
        <v>2490</v>
      </c>
      <c r="P55" s="55" t="s">
        <v>2491</v>
      </c>
      <c r="Q55" s="55" t="s">
        <v>2491</v>
      </c>
      <c r="R55" s="55" t="s">
        <v>2491</v>
      </c>
      <c r="S55" s="83"/>
      <c r="T55" s="83"/>
      <c r="U55" s="57" t="s">
        <v>2538</v>
      </c>
      <c r="V55" s="76" t="str">
        <f aca="false">HYPERLINK(IF(AND(ISNUMBER(S55),ISNUMBER(T55)),"https://www.google.com/maps/search/?api=1&amp;query="&amp;S55&amp;","&amp;T55,"https://www.google.com/maps/search/?api=1&amp;query="&amp;SUBSTITUTE(SUBSTITUTE(SUBSTITUTE(B55&amp;", "&amp;K55&amp;", Puno, Peru"," ","+"),"&amp;","y"),"#","")),"Ver en mapa")</f>
        <v>Ver en mapa</v>
      </c>
      <c r="W55" s="72"/>
      <c r="X55" s="72"/>
      <c r="Y55" s="72"/>
      <c r="Z55" s="55" t="s">
        <v>2494</v>
      </c>
      <c r="AA55" s="72"/>
      <c r="AB55" s="56"/>
      <c r="AC55" s="77" t="str">
        <f aca="false">IF(AND(ISNUMBER(S55),ISNUMBER(T55),ISNUMBER(14_Cercania!$C$6),ISNUMBER(14_Cercania!$C$7)),6371*2*ASIN(SQRT(SIN(RADIANS(14_Cercania!$C$6-S55)/2)^2+COS(RADIANS(S55))*COS(RADIANS(14_Cercania!$C$6))*SIN(RADIANS(14_Cercania!$C$7-T55)/2)^2))+ROW()*0.000000001,"")</f>
        <v/>
      </c>
    </row>
    <row r="56" customFormat="false" ht="15" hidden="false" customHeight="false" outlineLevel="0" collapsed="false">
      <c r="A56" s="62" t="n">
        <v>54</v>
      </c>
      <c r="B56" s="63"/>
      <c r="C56" s="62"/>
      <c r="D56" s="63"/>
      <c r="E56" s="71"/>
      <c r="F56" s="72"/>
      <c r="G56" s="72"/>
      <c r="H56" s="72"/>
      <c r="I56" s="72"/>
      <c r="J56" s="72"/>
      <c r="K56" s="63"/>
      <c r="L56" s="72"/>
      <c r="M56" s="62"/>
      <c r="N56" s="78"/>
      <c r="O56" s="78" t="s">
        <v>2490</v>
      </c>
      <c r="P56" s="62" t="s">
        <v>2491</v>
      </c>
      <c r="Q56" s="62" t="s">
        <v>2491</v>
      </c>
      <c r="R56" s="62" t="s">
        <v>2491</v>
      </c>
      <c r="S56" s="83"/>
      <c r="T56" s="83"/>
      <c r="U56" s="57" t="s">
        <v>2538</v>
      </c>
      <c r="V56" s="80" t="str">
        <f aca="false">HYPERLINK(IF(AND(ISNUMBER(S56),ISNUMBER(T56)),"https://www.google.com/maps/search/?api=1&amp;query="&amp;S56&amp;","&amp;T56,"https://www.google.com/maps/search/?api=1&amp;query="&amp;SUBSTITUTE(SUBSTITUTE(SUBSTITUTE(B56&amp;", "&amp;K56&amp;", Puno, Peru"," ","+"),"&amp;","y"),"#","")),"Ver en mapa")</f>
        <v>Ver en mapa</v>
      </c>
      <c r="W56" s="72"/>
      <c r="X56" s="72"/>
      <c r="Y56" s="72"/>
      <c r="Z56" s="62" t="s">
        <v>2494</v>
      </c>
      <c r="AA56" s="72"/>
      <c r="AB56" s="63"/>
      <c r="AC56" s="81" t="str">
        <f aca="false">IF(AND(ISNUMBER(S56),ISNUMBER(T56),ISNUMBER(14_Cercania!$C$6),ISNUMBER(14_Cercania!$C$7)),6371*2*ASIN(SQRT(SIN(RADIANS(14_Cercania!$C$6-S56)/2)^2+COS(RADIANS(S56))*COS(RADIANS(14_Cercania!$C$6))*SIN(RADIANS(14_Cercania!$C$7-T56)/2)^2))+ROW()*0.000000001,"")</f>
        <v/>
      </c>
    </row>
    <row r="57" customFormat="false" ht="15" hidden="false" customHeight="false" outlineLevel="0" collapsed="false">
      <c r="A57" s="55" t="n">
        <v>55</v>
      </c>
      <c r="B57" s="56"/>
      <c r="C57" s="55"/>
      <c r="D57" s="56"/>
      <c r="E57" s="71"/>
      <c r="F57" s="72"/>
      <c r="G57" s="72"/>
      <c r="H57" s="72"/>
      <c r="I57" s="72"/>
      <c r="J57" s="72"/>
      <c r="K57" s="56"/>
      <c r="L57" s="72"/>
      <c r="M57" s="55"/>
      <c r="N57" s="73"/>
      <c r="O57" s="73" t="s">
        <v>2490</v>
      </c>
      <c r="P57" s="55" t="s">
        <v>2491</v>
      </c>
      <c r="Q57" s="55" t="s">
        <v>2491</v>
      </c>
      <c r="R57" s="55" t="s">
        <v>2491</v>
      </c>
      <c r="S57" s="83"/>
      <c r="T57" s="83"/>
      <c r="U57" s="57" t="s">
        <v>2538</v>
      </c>
      <c r="V57" s="76" t="str">
        <f aca="false">HYPERLINK(IF(AND(ISNUMBER(S57),ISNUMBER(T57)),"https://www.google.com/maps/search/?api=1&amp;query="&amp;S57&amp;","&amp;T57,"https://www.google.com/maps/search/?api=1&amp;query="&amp;SUBSTITUTE(SUBSTITUTE(SUBSTITUTE(B57&amp;", "&amp;K57&amp;", Puno, Peru"," ","+"),"&amp;","y"),"#","")),"Ver en mapa")</f>
        <v>Ver en mapa</v>
      </c>
      <c r="W57" s="72"/>
      <c r="X57" s="72"/>
      <c r="Y57" s="72"/>
      <c r="Z57" s="55" t="s">
        <v>2494</v>
      </c>
      <c r="AA57" s="72"/>
      <c r="AB57" s="56"/>
      <c r="AC57" s="77" t="str">
        <f aca="false">IF(AND(ISNUMBER(S57),ISNUMBER(T57),ISNUMBER(14_Cercania!$C$6),ISNUMBER(14_Cercania!$C$7)),6371*2*ASIN(SQRT(SIN(RADIANS(14_Cercania!$C$6-S57)/2)^2+COS(RADIANS(S57))*COS(RADIANS(14_Cercania!$C$6))*SIN(RADIANS(14_Cercania!$C$7-T57)/2)^2))+ROW()*0.000000001,"")</f>
        <v/>
      </c>
    </row>
    <row r="58" customFormat="false" ht="15" hidden="false" customHeight="false" outlineLevel="0" collapsed="false">
      <c r="A58" s="62" t="n">
        <v>56</v>
      </c>
      <c r="B58" s="63"/>
      <c r="C58" s="62"/>
      <c r="D58" s="63"/>
      <c r="E58" s="71"/>
      <c r="F58" s="72"/>
      <c r="G58" s="72"/>
      <c r="H58" s="72"/>
      <c r="I58" s="72"/>
      <c r="J58" s="72"/>
      <c r="K58" s="63"/>
      <c r="L58" s="72"/>
      <c r="M58" s="62"/>
      <c r="N58" s="78"/>
      <c r="O58" s="78" t="s">
        <v>2490</v>
      </c>
      <c r="P58" s="62" t="s">
        <v>2491</v>
      </c>
      <c r="Q58" s="62" t="s">
        <v>2491</v>
      </c>
      <c r="R58" s="62" t="s">
        <v>2491</v>
      </c>
      <c r="S58" s="83"/>
      <c r="T58" s="83"/>
      <c r="U58" s="57" t="s">
        <v>2538</v>
      </c>
      <c r="V58" s="80" t="str">
        <f aca="false">HYPERLINK(IF(AND(ISNUMBER(S58),ISNUMBER(T58)),"https://www.google.com/maps/search/?api=1&amp;query="&amp;S58&amp;","&amp;T58,"https://www.google.com/maps/search/?api=1&amp;query="&amp;SUBSTITUTE(SUBSTITUTE(SUBSTITUTE(B58&amp;", "&amp;K58&amp;", Puno, Peru"," ","+"),"&amp;","y"),"#","")),"Ver en mapa")</f>
        <v>Ver en mapa</v>
      </c>
      <c r="W58" s="72"/>
      <c r="X58" s="72"/>
      <c r="Y58" s="72"/>
      <c r="Z58" s="62" t="s">
        <v>2494</v>
      </c>
      <c r="AA58" s="72"/>
      <c r="AB58" s="63"/>
      <c r="AC58" s="81" t="str">
        <f aca="false">IF(AND(ISNUMBER(S58),ISNUMBER(T58),ISNUMBER(14_Cercania!$C$6),ISNUMBER(14_Cercania!$C$7)),6371*2*ASIN(SQRT(SIN(RADIANS(14_Cercania!$C$6-S58)/2)^2+COS(RADIANS(S58))*COS(RADIANS(14_Cercania!$C$6))*SIN(RADIANS(14_Cercania!$C$7-T58)/2)^2))+ROW()*0.000000001,"")</f>
        <v/>
      </c>
    </row>
    <row r="59" customFormat="false" ht="15" hidden="false" customHeight="false" outlineLevel="0" collapsed="false">
      <c r="A59" s="55" t="n">
        <v>57</v>
      </c>
      <c r="B59" s="56"/>
      <c r="C59" s="55"/>
      <c r="D59" s="56"/>
      <c r="E59" s="71"/>
      <c r="F59" s="72"/>
      <c r="G59" s="72"/>
      <c r="H59" s="72"/>
      <c r="I59" s="72"/>
      <c r="J59" s="72"/>
      <c r="K59" s="56"/>
      <c r="L59" s="72"/>
      <c r="M59" s="55"/>
      <c r="N59" s="73"/>
      <c r="O59" s="73" t="s">
        <v>2490</v>
      </c>
      <c r="P59" s="55" t="s">
        <v>2491</v>
      </c>
      <c r="Q59" s="55" t="s">
        <v>2491</v>
      </c>
      <c r="R59" s="55" t="s">
        <v>2491</v>
      </c>
      <c r="S59" s="83"/>
      <c r="T59" s="83"/>
      <c r="U59" s="57" t="s">
        <v>2538</v>
      </c>
      <c r="V59" s="76" t="str">
        <f aca="false">HYPERLINK(IF(AND(ISNUMBER(S59),ISNUMBER(T59)),"https://www.google.com/maps/search/?api=1&amp;query="&amp;S59&amp;","&amp;T59,"https://www.google.com/maps/search/?api=1&amp;query="&amp;SUBSTITUTE(SUBSTITUTE(SUBSTITUTE(B59&amp;", "&amp;K59&amp;", Puno, Peru"," ","+"),"&amp;","y"),"#","")),"Ver en mapa")</f>
        <v>Ver en mapa</v>
      </c>
      <c r="W59" s="72"/>
      <c r="X59" s="72"/>
      <c r="Y59" s="72"/>
      <c r="Z59" s="55" t="s">
        <v>2494</v>
      </c>
      <c r="AA59" s="72"/>
      <c r="AB59" s="56"/>
      <c r="AC59" s="77" t="str">
        <f aca="false">IF(AND(ISNUMBER(S59),ISNUMBER(T59),ISNUMBER(14_Cercania!$C$6),ISNUMBER(14_Cercania!$C$7)),6371*2*ASIN(SQRT(SIN(RADIANS(14_Cercania!$C$6-S59)/2)^2+COS(RADIANS(S59))*COS(RADIANS(14_Cercania!$C$6))*SIN(RADIANS(14_Cercania!$C$7-T59)/2)^2))+ROW()*0.000000001,"")</f>
        <v/>
      </c>
    </row>
    <row r="60" customFormat="false" ht="15" hidden="false" customHeight="false" outlineLevel="0" collapsed="false">
      <c r="A60" s="62" t="n">
        <v>58</v>
      </c>
      <c r="B60" s="63"/>
      <c r="C60" s="62"/>
      <c r="D60" s="63"/>
      <c r="E60" s="71"/>
      <c r="F60" s="72"/>
      <c r="G60" s="72"/>
      <c r="H60" s="72"/>
      <c r="I60" s="72"/>
      <c r="J60" s="72"/>
      <c r="K60" s="63"/>
      <c r="L60" s="72"/>
      <c r="M60" s="62"/>
      <c r="N60" s="78"/>
      <c r="O60" s="78" t="s">
        <v>2490</v>
      </c>
      <c r="P60" s="62" t="s">
        <v>2491</v>
      </c>
      <c r="Q60" s="62" t="s">
        <v>2491</v>
      </c>
      <c r="R60" s="62" t="s">
        <v>2491</v>
      </c>
      <c r="S60" s="83"/>
      <c r="T60" s="83"/>
      <c r="U60" s="57" t="s">
        <v>2538</v>
      </c>
      <c r="V60" s="80" t="str">
        <f aca="false">HYPERLINK(IF(AND(ISNUMBER(S60),ISNUMBER(T60)),"https://www.google.com/maps/search/?api=1&amp;query="&amp;S60&amp;","&amp;T60,"https://www.google.com/maps/search/?api=1&amp;query="&amp;SUBSTITUTE(SUBSTITUTE(SUBSTITUTE(B60&amp;", "&amp;K60&amp;", Puno, Peru"," ","+"),"&amp;","y"),"#","")),"Ver en mapa")</f>
        <v>Ver en mapa</v>
      </c>
      <c r="W60" s="72"/>
      <c r="X60" s="72"/>
      <c r="Y60" s="72"/>
      <c r="Z60" s="62" t="s">
        <v>2494</v>
      </c>
      <c r="AA60" s="72"/>
      <c r="AB60" s="63"/>
      <c r="AC60" s="81" t="str">
        <f aca="false">IF(AND(ISNUMBER(S60),ISNUMBER(T60),ISNUMBER(14_Cercania!$C$6),ISNUMBER(14_Cercania!$C$7)),6371*2*ASIN(SQRT(SIN(RADIANS(14_Cercania!$C$6-S60)/2)^2+COS(RADIANS(S60))*COS(RADIANS(14_Cercania!$C$6))*SIN(RADIANS(14_Cercania!$C$7-T60)/2)^2))+ROW()*0.000000001,"")</f>
        <v/>
      </c>
    </row>
    <row r="61" customFormat="false" ht="15" hidden="false" customHeight="false" outlineLevel="0" collapsed="false">
      <c r="A61" s="55" t="n">
        <v>59</v>
      </c>
      <c r="B61" s="56"/>
      <c r="C61" s="55"/>
      <c r="D61" s="56"/>
      <c r="E61" s="71"/>
      <c r="F61" s="72"/>
      <c r="G61" s="72"/>
      <c r="H61" s="72"/>
      <c r="I61" s="72"/>
      <c r="J61" s="72"/>
      <c r="K61" s="56"/>
      <c r="L61" s="72"/>
      <c r="M61" s="55"/>
      <c r="N61" s="73"/>
      <c r="O61" s="73" t="s">
        <v>2490</v>
      </c>
      <c r="P61" s="55" t="s">
        <v>2491</v>
      </c>
      <c r="Q61" s="55" t="s">
        <v>2491</v>
      </c>
      <c r="R61" s="55" t="s">
        <v>2491</v>
      </c>
      <c r="S61" s="83"/>
      <c r="T61" s="83"/>
      <c r="U61" s="57" t="s">
        <v>2538</v>
      </c>
      <c r="V61" s="76" t="str">
        <f aca="false">HYPERLINK(IF(AND(ISNUMBER(S61),ISNUMBER(T61)),"https://www.google.com/maps/search/?api=1&amp;query="&amp;S61&amp;","&amp;T61,"https://www.google.com/maps/search/?api=1&amp;query="&amp;SUBSTITUTE(SUBSTITUTE(SUBSTITUTE(B61&amp;", "&amp;K61&amp;", Puno, Peru"," ","+"),"&amp;","y"),"#","")),"Ver en mapa")</f>
        <v>Ver en mapa</v>
      </c>
      <c r="W61" s="72"/>
      <c r="X61" s="72"/>
      <c r="Y61" s="72"/>
      <c r="Z61" s="55" t="s">
        <v>2494</v>
      </c>
      <c r="AA61" s="72"/>
      <c r="AB61" s="56"/>
      <c r="AC61" s="77" t="str">
        <f aca="false">IF(AND(ISNUMBER(S61),ISNUMBER(T61),ISNUMBER(14_Cercania!$C$6),ISNUMBER(14_Cercania!$C$7)),6371*2*ASIN(SQRT(SIN(RADIANS(14_Cercania!$C$6-S61)/2)^2+COS(RADIANS(S61))*COS(RADIANS(14_Cercania!$C$6))*SIN(RADIANS(14_Cercania!$C$7-T61)/2)^2))+ROW()*0.000000001,"")</f>
        <v/>
      </c>
    </row>
    <row r="62" customFormat="false" ht="15" hidden="false" customHeight="false" outlineLevel="0" collapsed="false">
      <c r="A62" s="62" t="n">
        <v>60</v>
      </c>
      <c r="B62" s="63"/>
      <c r="C62" s="62"/>
      <c r="D62" s="63"/>
      <c r="E62" s="71"/>
      <c r="F62" s="72"/>
      <c r="G62" s="72"/>
      <c r="H62" s="72"/>
      <c r="I62" s="72"/>
      <c r="J62" s="72"/>
      <c r="K62" s="63"/>
      <c r="L62" s="72"/>
      <c r="M62" s="62"/>
      <c r="N62" s="78"/>
      <c r="O62" s="78" t="s">
        <v>2490</v>
      </c>
      <c r="P62" s="62" t="s">
        <v>2491</v>
      </c>
      <c r="Q62" s="62" t="s">
        <v>2491</v>
      </c>
      <c r="R62" s="62" t="s">
        <v>2491</v>
      </c>
      <c r="S62" s="83"/>
      <c r="T62" s="83"/>
      <c r="U62" s="57" t="s">
        <v>2538</v>
      </c>
      <c r="V62" s="80" t="str">
        <f aca="false">HYPERLINK(IF(AND(ISNUMBER(S62),ISNUMBER(T62)),"https://www.google.com/maps/search/?api=1&amp;query="&amp;S62&amp;","&amp;T62,"https://www.google.com/maps/search/?api=1&amp;query="&amp;SUBSTITUTE(SUBSTITUTE(SUBSTITUTE(B62&amp;", "&amp;K62&amp;", Puno, Peru"," ","+"),"&amp;","y"),"#","")),"Ver en mapa")</f>
        <v>Ver en mapa</v>
      </c>
      <c r="W62" s="72"/>
      <c r="X62" s="72"/>
      <c r="Y62" s="72"/>
      <c r="Z62" s="62" t="s">
        <v>2494</v>
      </c>
      <c r="AA62" s="72"/>
      <c r="AB62" s="63"/>
      <c r="AC62" s="81" t="str">
        <f aca="false">IF(AND(ISNUMBER(S62),ISNUMBER(T62),ISNUMBER(14_Cercania!$C$6),ISNUMBER(14_Cercania!$C$7)),6371*2*ASIN(SQRT(SIN(RADIANS(14_Cercania!$C$6-S62)/2)^2+COS(RADIANS(S62))*COS(RADIANS(14_Cercania!$C$6))*SIN(RADIANS(14_Cercania!$C$7-T62)/2)^2))+ROW()*0.000000001,"")</f>
        <v/>
      </c>
    </row>
    <row r="63" customFormat="false" ht="15" hidden="false" customHeight="false" outlineLevel="0" collapsed="false">
      <c r="A63" s="55" t="n">
        <v>61</v>
      </c>
      <c r="B63" s="56"/>
      <c r="C63" s="55"/>
      <c r="D63" s="56"/>
      <c r="E63" s="71"/>
      <c r="F63" s="72"/>
      <c r="G63" s="72"/>
      <c r="H63" s="72"/>
      <c r="I63" s="72"/>
      <c r="J63" s="72"/>
      <c r="K63" s="56"/>
      <c r="L63" s="72"/>
      <c r="M63" s="55"/>
      <c r="N63" s="73"/>
      <c r="O63" s="73" t="s">
        <v>2490</v>
      </c>
      <c r="P63" s="55" t="s">
        <v>2491</v>
      </c>
      <c r="Q63" s="55" t="s">
        <v>2491</v>
      </c>
      <c r="R63" s="55" t="s">
        <v>2491</v>
      </c>
      <c r="S63" s="83"/>
      <c r="T63" s="83"/>
      <c r="U63" s="57" t="s">
        <v>2538</v>
      </c>
      <c r="V63" s="76" t="str">
        <f aca="false">HYPERLINK(IF(AND(ISNUMBER(S63),ISNUMBER(T63)),"https://www.google.com/maps/search/?api=1&amp;query="&amp;S63&amp;","&amp;T63,"https://www.google.com/maps/search/?api=1&amp;query="&amp;SUBSTITUTE(SUBSTITUTE(SUBSTITUTE(B63&amp;", "&amp;K63&amp;", Puno, Peru"," ","+"),"&amp;","y"),"#","")),"Ver en mapa")</f>
        <v>Ver en mapa</v>
      </c>
      <c r="W63" s="72"/>
      <c r="X63" s="72"/>
      <c r="Y63" s="72"/>
      <c r="Z63" s="55" t="s">
        <v>2494</v>
      </c>
      <c r="AA63" s="72"/>
      <c r="AB63" s="56"/>
      <c r="AC63" s="77" t="str">
        <f aca="false">IF(AND(ISNUMBER(S63),ISNUMBER(T63),ISNUMBER(14_Cercania!$C$6),ISNUMBER(14_Cercania!$C$7)),6371*2*ASIN(SQRT(SIN(RADIANS(14_Cercania!$C$6-S63)/2)^2+COS(RADIANS(S63))*COS(RADIANS(14_Cercania!$C$6))*SIN(RADIANS(14_Cercania!$C$7-T63)/2)^2))+ROW()*0.000000001,"")</f>
        <v/>
      </c>
    </row>
    <row r="64" customFormat="false" ht="15" hidden="false" customHeight="false" outlineLevel="0" collapsed="false">
      <c r="A64" s="62" t="n">
        <v>62</v>
      </c>
      <c r="B64" s="63"/>
      <c r="C64" s="62"/>
      <c r="D64" s="63"/>
      <c r="E64" s="71"/>
      <c r="F64" s="72"/>
      <c r="G64" s="72"/>
      <c r="H64" s="72"/>
      <c r="I64" s="72"/>
      <c r="J64" s="72"/>
      <c r="K64" s="63"/>
      <c r="L64" s="72"/>
      <c r="M64" s="62"/>
      <c r="N64" s="78"/>
      <c r="O64" s="78" t="s">
        <v>2490</v>
      </c>
      <c r="P64" s="62" t="s">
        <v>2491</v>
      </c>
      <c r="Q64" s="62" t="s">
        <v>2491</v>
      </c>
      <c r="R64" s="62" t="s">
        <v>2491</v>
      </c>
      <c r="S64" s="83"/>
      <c r="T64" s="83"/>
      <c r="U64" s="57" t="s">
        <v>2538</v>
      </c>
      <c r="V64" s="80" t="str">
        <f aca="false">HYPERLINK(IF(AND(ISNUMBER(S64),ISNUMBER(T64)),"https://www.google.com/maps/search/?api=1&amp;query="&amp;S64&amp;","&amp;T64,"https://www.google.com/maps/search/?api=1&amp;query="&amp;SUBSTITUTE(SUBSTITUTE(SUBSTITUTE(B64&amp;", "&amp;K64&amp;", Puno, Peru"," ","+"),"&amp;","y"),"#","")),"Ver en mapa")</f>
        <v>Ver en mapa</v>
      </c>
      <c r="W64" s="72"/>
      <c r="X64" s="72"/>
      <c r="Y64" s="72"/>
      <c r="Z64" s="62" t="s">
        <v>2494</v>
      </c>
      <c r="AA64" s="72"/>
      <c r="AB64" s="63"/>
      <c r="AC64" s="81" t="str">
        <f aca="false">IF(AND(ISNUMBER(S64),ISNUMBER(T64),ISNUMBER(14_Cercania!$C$6),ISNUMBER(14_Cercania!$C$7)),6371*2*ASIN(SQRT(SIN(RADIANS(14_Cercania!$C$6-S64)/2)^2+COS(RADIANS(S64))*COS(RADIANS(14_Cercania!$C$6))*SIN(RADIANS(14_Cercania!$C$7-T64)/2)^2))+ROW()*0.000000001,"")</f>
        <v/>
      </c>
    </row>
    <row r="65" customFormat="false" ht="15" hidden="false" customHeight="false" outlineLevel="0" collapsed="false">
      <c r="A65" s="55" t="n">
        <v>63</v>
      </c>
      <c r="B65" s="56"/>
      <c r="C65" s="55"/>
      <c r="D65" s="56"/>
      <c r="E65" s="71"/>
      <c r="F65" s="72"/>
      <c r="G65" s="72"/>
      <c r="H65" s="72"/>
      <c r="I65" s="72"/>
      <c r="J65" s="72"/>
      <c r="K65" s="56"/>
      <c r="L65" s="72"/>
      <c r="M65" s="55"/>
      <c r="N65" s="73"/>
      <c r="O65" s="73" t="s">
        <v>2490</v>
      </c>
      <c r="P65" s="55" t="s">
        <v>2491</v>
      </c>
      <c r="Q65" s="55" t="s">
        <v>2491</v>
      </c>
      <c r="R65" s="55" t="s">
        <v>2491</v>
      </c>
      <c r="S65" s="83"/>
      <c r="T65" s="83"/>
      <c r="U65" s="57" t="s">
        <v>2538</v>
      </c>
      <c r="V65" s="76" t="str">
        <f aca="false">HYPERLINK(IF(AND(ISNUMBER(S65),ISNUMBER(T65)),"https://www.google.com/maps/search/?api=1&amp;query="&amp;S65&amp;","&amp;T65,"https://www.google.com/maps/search/?api=1&amp;query="&amp;SUBSTITUTE(SUBSTITUTE(SUBSTITUTE(B65&amp;", "&amp;K65&amp;", Puno, Peru"," ","+"),"&amp;","y"),"#","")),"Ver en mapa")</f>
        <v>Ver en mapa</v>
      </c>
      <c r="W65" s="72"/>
      <c r="X65" s="72"/>
      <c r="Y65" s="72"/>
      <c r="Z65" s="55" t="s">
        <v>2494</v>
      </c>
      <c r="AA65" s="72"/>
      <c r="AB65" s="56"/>
      <c r="AC65" s="77" t="str">
        <f aca="false">IF(AND(ISNUMBER(S65),ISNUMBER(T65),ISNUMBER(14_Cercania!$C$6),ISNUMBER(14_Cercania!$C$7)),6371*2*ASIN(SQRT(SIN(RADIANS(14_Cercania!$C$6-S65)/2)^2+COS(RADIANS(S65))*COS(RADIANS(14_Cercania!$C$6))*SIN(RADIANS(14_Cercania!$C$7-T65)/2)^2))+ROW()*0.000000001,"")</f>
        <v/>
      </c>
    </row>
    <row r="66" customFormat="false" ht="15" hidden="false" customHeight="false" outlineLevel="0" collapsed="false">
      <c r="A66" s="62" t="n">
        <v>64</v>
      </c>
      <c r="B66" s="63"/>
      <c r="C66" s="62"/>
      <c r="D66" s="63"/>
      <c r="E66" s="71"/>
      <c r="F66" s="72"/>
      <c r="G66" s="72"/>
      <c r="H66" s="72"/>
      <c r="I66" s="72"/>
      <c r="J66" s="72"/>
      <c r="K66" s="63"/>
      <c r="L66" s="72"/>
      <c r="M66" s="62"/>
      <c r="N66" s="78"/>
      <c r="O66" s="78" t="s">
        <v>2490</v>
      </c>
      <c r="P66" s="62" t="s">
        <v>2491</v>
      </c>
      <c r="Q66" s="62" t="s">
        <v>2491</v>
      </c>
      <c r="R66" s="62" t="s">
        <v>2491</v>
      </c>
      <c r="S66" s="83"/>
      <c r="T66" s="83"/>
      <c r="U66" s="57" t="s">
        <v>2538</v>
      </c>
      <c r="V66" s="80" t="str">
        <f aca="false">HYPERLINK(IF(AND(ISNUMBER(S66),ISNUMBER(T66)),"https://www.google.com/maps/search/?api=1&amp;query="&amp;S66&amp;","&amp;T66,"https://www.google.com/maps/search/?api=1&amp;query="&amp;SUBSTITUTE(SUBSTITUTE(SUBSTITUTE(B66&amp;", "&amp;K66&amp;", Puno, Peru"," ","+"),"&amp;","y"),"#","")),"Ver en mapa")</f>
        <v>Ver en mapa</v>
      </c>
      <c r="W66" s="72"/>
      <c r="X66" s="72"/>
      <c r="Y66" s="72"/>
      <c r="Z66" s="62" t="s">
        <v>2494</v>
      </c>
      <c r="AA66" s="72"/>
      <c r="AB66" s="63"/>
      <c r="AC66" s="81" t="str">
        <f aca="false">IF(AND(ISNUMBER(S66),ISNUMBER(T66),ISNUMBER(14_Cercania!$C$6),ISNUMBER(14_Cercania!$C$7)),6371*2*ASIN(SQRT(SIN(RADIANS(14_Cercania!$C$6-S66)/2)^2+COS(RADIANS(S66))*COS(RADIANS(14_Cercania!$C$6))*SIN(RADIANS(14_Cercania!$C$7-T66)/2)^2))+ROW()*0.000000001,"")</f>
        <v/>
      </c>
    </row>
    <row r="67" customFormat="false" ht="15" hidden="false" customHeight="false" outlineLevel="0" collapsed="false">
      <c r="A67" s="55" t="n">
        <v>65</v>
      </c>
      <c r="B67" s="56"/>
      <c r="C67" s="55"/>
      <c r="D67" s="56"/>
      <c r="E67" s="71"/>
      <c r="F67" s="72"/>
      <c r="G67" s="72"/>
      <c r="H67" s="72"/>
      <c r="I67" s="72"/>
      <c r="J67" s="72"/>
      <c r="K67" s="56"/>
      <c r="L67" s="72"/>
      <c r="M67" s="55"/>
      <c r="N67" s="73"/>
      <c r="O67" s="73" t="s">
        <v>2490</v>
      </c>
      <c r="P67" s="55" t="s">
        <v>2491</v>
      </c>
      <c r="Q67" s="55" t="s">
        <v>2491</v>
      </c>
      <c r="R67" s="55" t="s">
        <v>2491</v>
      </c>
      <c r="S67" s="83"/>
      <c r="T67" s="83"/>
      <c r="U67" s="57" t="s">
        <v>2538</v>
      </c>
      <c r="V67" s="76" t="str">
        <f aca="false">HYPERLINK(IF(AND(ISNUMBER(S67),ISNUMBER(T67)),"https://www.google.com/maps/search/?api=1&amp;query="&amp;S67&amp;","&amp;T67,"https://www.google.com/maps/search/?api=1&amp;query="&amp;SUBSTITUTE(SUBSTITUTE(SUBSTITUTE(B67&amp;", "&amp;K67&amp;", Puno, Peru"," ","+"),"&amp;","y"),"#","")),"Ver en mapa")</f>
        <v>Ver en mapa</v>
      </c>
      <c r="W67" s="72"/>
      <c r="X67" s="72"/>
      <c r="Y67" s="72"/>
      <c r="Z67" s="55" t="s">
        <v>2494</v>
      </c>
      <c r="AA67" s="72"/>
      <c r="AB67" s="56"/>
      <c r="AC67" s="77" t="str">
        <f aca="false">IF(AND(ISNUMBER(S67),ISNUMBER(T67),ISNUMBER(14_Cercania!$C$6),ISNUMBER(14_Cercania!$C$7)),6371*2*ASIN(SQRT(SIN(RADIANS(14_Cercania!$C$6-S67)/2)^2+COS(RADIANS(S67))*COS(RADIANS(14_Cercania!$C$6))*SIN(RADIANS(14_Cercania!$C$7-T67)/2)^2))+ROW()*0.000000001,"")</f>
        <v/>
      </c>
    </row>
    <row r="68" customFormat="false" ht="15" hidden="false" customHeight="false" outlineLevel="0" collapsed="false">
      <c r="A68" s="62" t="n">
        <v>66</v>
      </c>
      <c r="B68" s="63"/>
      <c r="C68" s="62"/>
      <c r="D68" s="63"/>
      <c r="E68" s="71"/>
      <c r="F68" s="72"/>
      <c r="G68" s="72"/>
      <c r="H68" s="72"/>
      <c r="I68" s="72"/>
      <c r="J68" s="72"/>
      <c r="K68" s="63"/>
      <c r="L68" s="72"/>
      <c r="M68" s="62"/>
      <c r="N68" s="78"/>
      <c r="O68" s="78" t="s">
        <v>2490</v>
      </c>
      <c r="P68" s="62" t="s">
        <v>2491</v>
      </c>
      <c r="Q68" s="62" t="s">
        <v>2491</v>
      </c>
      <c r="R68" s="62" t="s">
        <v>2491</v>
      </c>
      <c r="S68" s="83"/>
      <c r="T68" s="83"/>
      <c r="U68" s="57" t="s">
        <v>2538</v>
      </c>
      <c r="V68" s="80" t="str">
        <f aca="false">HYPERLINK(IF(AND(ISNUMBER(S68),ISNUMBER(T68)),"https://www.google.com/maps/search/?api=1&amp;query="&amp;S68&amp;","&amp;T68,"https://www.google.com/maps/search/?api=1&amp;query="&amp;SUBSTITUTE(SUBSTITUTE(SUBSTITUTE(B68&amp;", "&amp;K68&amp;", Puno, Peru"," ","+"),"&amp;","y"),"#","")),"Ver en mapa")</f>
        <v>Ver en mapa</v>
      </c>
      <c r="W68" s="72"/>
      <c r="X68" s="72"/>
      <c r="Y68" s="72"/>
      <c r="Z68" s="62" t="s">
        <v>2494</v>
      </c>
      <c r="AA68" s="72"/>
      <c r="AB68" s="63"/>
      <c r="AC68" s="81" t="str">
        <f aca="false">IF(AND(ISNUMBER(S68),ISNUMBER(T68),ISNUMBER(14_Cercania!$C$6),ISNUMBER(14_Cercania!$C$7)),6371*2*ASIN(SQRT(SIN(RADIANS(14_Cercania!$C$6-S68)/2)^2+COS(RADIANS(S68))*COS(RADIANS(14_Cercania!$C$6))*SIN(RADIANS(14_Cercania!$C$7-T68)/2)^2))+ROW()*0.000000001,"")</f>
        <v/>
      </c>
    </row>
    <row r="69" customFormat="false" ht="15" hidden="false" customHeight="false" outlineLevel="0" collapsed="false">
      <c r="A69" s="55" t="n">
        <v>67</v>
      </c>
      <c r="B69" s="56"/>
      <c r="C69" s="55"/>
      <c r="D69" s="56"/>
      <c r="E69" s="71"/>
      <c r="F69" s="72"/>
      <c r="G69" s="72"/>
      <c r="H69" s="72"/>
      <c r="I69" s="72"/>
      <c r="J69" s="72"/>
      <c r="K69" s="56"/>
      <c r="L69" s="72"/>
      <c r="M69" s="55"/>
      <c r="N69" s="73"/>
      <c r="O69" s="73" t="s">
        <v>2490</v>
      </c>
      <c r="P69" s="55" t="s">
        <v>2491</v>
      </c>
      <c r="Q69" s="55" t="s">
        <v>2491</v>
      </c>
      <c r="R69" s="55" t="s">
        <v>2491</v>
      </c>
      <c r="S69" s="83"/>
      <c r="T69" s="83"/>
      <c r="U69" s="57" t="s">
        <v>2538</v>
      </c>
      <c r="V69" s="76" t="str">
        <f aca="false">HYPERLINK(IF(AND(ISNUMBER(S69),ISNUMBER(T69)),"https://www.google.com/maps/search/?api=1&amp;query="&amp;S69&amp;","&amp;T69,"https://www.google.com/maps/search/?api=1&amp;query="&amp;SUBSTITUTE(SUBSTITUTE(SUBSTITUTE(B69&amp;", "&amp;K69&amp;", Puno, Peru"," ","+"),"&amp;","y"),"#","")),"Ver en mapa")</f>
        <v>Ver en mapa</v>
      </c>
      <c r="W69" s="72"/>
      <c r="X69" s="72"/>
      <c r="Y69" s="72"/>
      <c r="Z69" s="55" t="s">
        <v>2494</v>
      </c>
      <c r="AA69" s="72"/>
      <c r="AB69" s="56"/>
      <c r="AC69" s="77" t="str">
        <f aca="false">IF(AND(ISNUMBER(S69),ISNUMBER(T69),ISNUMBER(14_Cercania!$C$6),ISNUMBER(14_Cercania!$C$7)),6371*2*ASIN(SQRT(SIN(RADIANS(14_Cercania!$C$6-S69)/2)^2+COS(RADIANS(S69))*COS(RADIANS(14_Cercania!$C$6))*SIN(RADIANS(14_Cercania!$C$7-T69)/2)^2))+ROW()*0.000000001,"")</f>
        <v/>
      </c>
    </row>
    <row r="70" customFormat="false" ht="15" hidden="false" customHeight="false" outlineLevel="0" collapsed="false">
      <c r="A70" s="62" t="n">
        <v>68</v>
      </c>
      <c r="B70" s="63"/>
      <c r="C70" s="62"/>
      <c r="D70" s="63"/>
      <c r="E70" s="71"/>
      <c r="F70" s="72"/>
      <c r="G70" s="72"/>
      <c r="H70" s="72"/>
      <c r="I70" s="72"/>
      <c r="J70" s="72"/>
      <c r="K70" s="63"/>
      <c r="L70" s="72"/>
      <c r="M70" s="62"/>
      <c r="N70" s="78"/>
      <c r="O70" s="78" t="s">
        <v>2490</v>
      </c>
      <c r="P70" s="62" t="s">
        <v>2491</v>
      </c>
      <c r="Q70" s="62" t="s">
        <v>2491</v>
      </c>
      <c r="R70" s="62" t="s">
        <v>2491</v>
      </c>
      <c r="S70" s="83"/>
      <c r="T70" s="83"/>
      <c r="U70" s="57" t="s">
        <v>2538</v>
      </c>
      <c r="V70" s="80" t="str">
        <f aca="false">HYPERLINK(IF(AND(ISNUMBER(S70),ISNUMBER(T70)),"https://www.google.com/maps/search/?api=1&amp;query="&amp;S70&amp;","&amp;T70,"https://www.google.com/maps/search/?api=1&amp;query="&amp;SUBSTITUTE(SUBSTITUTE(SUBSTITUTE(B70&amp;", "&amp;K70&amp;", Puno, Peru"," ","+"),"&amp;","y"),"#","")),"Ver en mapa")</f>
        <v>Ver en mapa</v>
      </c>
      <c r="W70" s="72"/>
      <c r="X70" s="72"/>
      <c r="Y70" s="72"/>
      <c r="Z70" s="62" t="s">
        <v>2494</v>
      </c>
      <c r="AA70" s="72"/>
      <c r="AB70" s="63"/>
      <c r="AC70" s="81" t="str">
        <f aca="false">IF(AND(ISNUMBER(S70),ISNUMBER(T70),ISNUMBER(14_Cercania!$C$6),ISNUMBER(14_Cercania!$C$7)),6371*2*ASIN(SQRT(SIN(RADIANS(14_Cercania!$C$6-S70)/2)^2+COS(RADIANS(S70))*COS(RADIANS(14_Cercania!$C$6))*SIN(RADIANS(14_Cercania!$C$7-T70)/2)^2))+ROW()*0.000000001,"")</f>
        <v/>
      </c>
    </row>
    <row r="71" customFormat="false" ht="15" hidden="false" customHeight="false" outlineLevel="0" collapsed="false">
      <c r="A71" s="55" t="n">
        <v>69</v>
      </c>
      <c r="B71" s="56"/>
      <c r="C71" s="55"/>
      <c r="D71" s="56"/>
      <c r="E71" s="71"/>
      <c r="F71" s="72"/>
      <c r="G71" s="72"/>
      <c r="H71" s="72"/>
      <c r="I71" s="72"/>
      <c r="J71" s="72"/>
      <c r="K71" s="56"/>
      <c r="L71" s="72"/>
      <c r="M71" s="55"/>
      <c r="N71" s="73"/>
      <c r="O71" s="73" t="s">
        <v>2490</v>
      </c>
      <c r="P71" s="55" t="s">
        <v>2491</v>
      </c>
      <c r="Q71" s="55" t="s">
        <v>2491</v>
      </c>
      <c r="R71" s="55" t="s">
        <v>2491</v>
      </c>
      <c r="S71" s="83"/>
      <c r="T71" s="83"/>
      <c r="U71" s="57" t="s">
        <v>2538</v>
      </c>
      <c r="V71" s="76" t="str">
        <f aca="false">HYPERLINK(IF(AND(ISNUMBER(S71),ISNUMBER(T71)),"https://www.google.com/maps/search/?api=1&amp;query="&amp;S71&amp;","&amp;T71,"https://www.google.com/maps/search/?api=1&amp;query="&amp;SUBSTITUTE(SUBSTITUTE(SUBSTITUTE(B71&amp;", "&amp;K71&amp;", Puno, Peru"," ","+"),"&amp;","y"),"#","")),"Ver en mapa")</f>
        <v>Ver en mapa</v>
      </c>
      <c r="W71" s="72"/>
      <c r="X71" s="72"/>
      <c r="Y71" s="72"/>
      <c r="Z71" s="55" t="s">
        <v>2494</v>
      </c>
      <c r="AA71" s="72"/>
      <c r="AB71" s="56"/>
      <c r="AC71" s="77" t="str">
        <f aca="false">IF(AND(ISNUMBER(S71),ISNUMBER(T71),ISNUMBER(14_Cercania!$C$6),ISNUMBER(14_Cercania!$C$7)),6371*2*ASIN(SQRT(SIN(RADIANS(14_Cercania!$C$6-S71)/2)^2+COS(RADIANS(S71))*COS(RADIANS(14_Cercania!$C$6))*SIN(RADIANS(14_Cercania!$C$7-T71)/2)^2))+ROW()*0.000000001,"")</f>
        <v/>
      </c>
    </row>
    <row r="72" customFormat="false" ht="15" hidden="false" customHeight="false" outlineLevel="0" collapsed="false">
      <c r="A72" s="62" t="n">
        <v>70</v>
      </c>
      <c r="B72" s="63"/>
      <c r="C72" s="62"/>
      <c r="D72" s="63"/>
      <c r="E72" s="71"/>
      <c r="F72" s="72"/>
      <c r="G72" s="72"/>
      <c r="H72" s="72"/>
      <c r="I72" s="72"/>
      <c r="J72" s="72"/>
      <c r="K72" s="63"/>
      <c r="L72" s="72"/>
      <c r="M72" s="62"/>
      <c r="N72" s="78"/>
      <c r="O72" s="78" t="s">
        <v>2490</v>
      </c>
      <c r="P72" s="62" t="s">
        <v>2491</v>
      </c>
      <c r="Q72" s="62" t="s">
        <v>2491</v>
      </c>
      <c r="R72" s="62" t="s">
        <v>2491</v>
      </c>
      <c r="S72" s="83"/>
      <c r="T72" s="83"/>
      <c r="U72" s="57" t="s">
        <v>2538</v>
      </c>
      <c r="V72" s="80" t="str">
        <f aca="false">HYPERLINK(IF(AND(ISNUMBER(S72),ISNUMBER(T72)),"https://www.google.com/maps/search/?api=1&amp;query="&amp;S72&amp;","&amp;T72,"https://www.google.com/maps/search/?api=1&amp;query="&amp;SUBSTITUTE(SUBSTITUTE(SUBSTITUTE(B72&amp;", "&amp;K72&amp;", Puno, Peru"," ","+"),"&amp;","y"),"#","")),"Ver en mapa")</f>
        <v>Ver en mapa</v>
      </c>
      <c r="W72" s="72"/>
      <c r="X72" s="72"/>
      <c r="Y72" s="72"/>
      <c r="Z72" s="62" t="s">
        <v>2494</v>
      </c>
      <c r="AA72" s="72"/>
      <c r="AB72" s="63"/>
      <c r="AC72" s="81" t="str">
        <f aca="false">IF(AND(ISNUMBER(S72),ISNUMBER(T72),ISNUMBER(14_Cercania!$C$6),ISNUMBER(14_Cercania!$C$7)),6371*2*ASIN(SQRT(SIN(RADIANS(14_Cercania!$C$6-S72)/2)^2+COS(RADIANS(S72))*COS(RADIANS(14_Cercania!$C$6))*SIN(RADIANS(14_Cercania!$C$7-T72)/2)^2))+ROW()*0.000000001,"")</f>
        <v/>
      </c>
    </row>
    <row r="73" customFormat="false" ht="15" hidden="false" customHeight="false" outlineLevel="0" collapsed="false">
      <c r="A73" s="55" t="n">
        <v>71</v>
      </c>
      <c r="B73" s="56"/>
      <c r="C73" s="55"/>
      <c r="D73" s="56"/>
      <c r="E73" s="71"/>
      <c r="F73" s="72"/>
      <c r="G73" s="72"/>
      <c r="H73" s="72"/>
      <c r="I73" s="72"/>
      <c r="J73" s="72"/>
      <c r="K73" s="56"/>
      <c r="L73" s="72"/>
      <c r="M73" s="55"/>
      <c r="N73" s="73"/>
      <c r="O73" s="73" t="s">
        <v>2490</v>
      </c>
      <c r="P73" s="55" t="s">
        <v>2491</v>
      </c>
      <c r="Q73" s="55" t="s">
        <v>2491</v>
      </c>
      <c r="R73" s="55" t="s">
        <v>2491</v>
      </c>
      <c r="S73" s="83"/>
      <c r="T73" s="83"/>
      <c r="U73" s="57" t="s">
        <v>2538</v>
      </c>
      <c r="V73" s="76" t="str">
        <f aca="false">HYPERLINK(IF(AND(ISNUMBER(S73),ISNUMBER(T73)),"https://www.google.com/maps/search/?api=1&amp;query="&amp;S73&amp;","&amp;T73,"https://www.google.com/maps/search/?api=1&amp;query="&amp;SUBSTITUTE(SUBSTITUTE(SUBSTITUTE(B73&amp;", "&amp;K73&amp;", Puno, Peru"," ","+"),"&amp;","y"),"#","")),"Ver en mapa")</f>
        <v>Ver en mapa</v>
      </c>
      <c r="W73" s="72"/>
      <c r="X73" s="72"/>
      <c r="Y73" s="72"/>
      <c r="Z73" s="55" t="s">
        <v>2494</v>
      </c>
      <c r="AA73" s="72"/>
      <c r="AB73" s="56"/>
      <c r="AC73" s="77" t="str">
        <f aca="false">IF(AND(ISNUMBER(S73),ISNUMBER(T73),ISNUMBER(14_Cercania!$C$6),ISNUMBER(14_Cercania!$C$7)),6371*2*ASIN(SQRT(SIN(RADIANS(14_Cercania!$C$6-S73)/2)^2+COS(RADIANS(S73))*COS(RADIANS(14_Cercania!$C$6))*SIN(RADIANS(14_Cercania!$C$7-T73)/2)^2))+ROW()*0.000000001,"")</f>
        <v/>
      </c>
    </row>
    <row r="74" customFormat="false" ht="15" hidden="false" customHeight="false" outlineLevel="0" collapsed="false">
      <c r="A74" s="62" t="n">
        <v>72</v>
      </c>
      <c r="B74" s="63"/>
      <c r="C74" s="62"/>
      <c r="D74" s="63"/>
      <c r="E74" s="71"/>
      <c r="F74" s="72"/>
      <c r="G74" s="72"/>
      <c r="H74" s="72"/>
      <c r="I74" s="72"/>
      <c r="J74" s="72"/>
      <c r="K74" s="63"/>
      <c r="L74" s="72"/>
      <c r="M74" s="62"/>
      <c r="N74" s="78"/>
      <c r="O74" s="78" t="s">
        <v>2490</v>
      </c>
      <c r="P74" s="62" t="s">
        <v>2491</v>
      </c>
      <c r="Q74" s="62" t="s">
        <v>2491</v>
      </c>
      <c r="R74" s="62" t="s">
        <v>2491</v>
      </c>
      <c r="S74" s="83"/>
      <c r="T74" s="83"/>
      <c r="U74" s="57" t="s">
        <v>2538</v>
      </c>
      <c r="V74" s="80" t="str">
        <f aca="false">HYPERLINK(IF(AND(ISNUMBER(S74),ISNUMBER(T74)),"https://www.google.com/maps/search/?api=1&amp;query="&amp;S74&amp;","&amp;T74,"https://www.google.com/maps/search/?api=1&amp;query="&amp;SUBSTITUTE(SUBSTITUTE(SUBSTITUTE(B74&amp;", "&amp;K74&amp;", Puno, Peru"," ","+"),"&amp;","y"),"#","")),"Ver en mapa")</f>
        <v>Ver en mapa</v>
      </c>
      <c r="W74" s="72"/>
      <c r="X74" s="72"/>
      <c r="Y74" s="72"/>
      <c r="Z74" s="62" t="s">
        <v>2494</v>
      </c>
      <c r="AA74" s="72"/>
      <c r="AB74" s="63"/>
      <c r="AC74" s="81" t="str">
        <f aca="false">IF(AND(ISNUMBER(S74),ISNUMBER(T74),ISNUMBER(14_Cercania!$C$6),ISNUMBER(14_Cercania!$C$7)),6371*2*ASIN(SQRT(SIN(RADIANS(14_Cercania!$C$6-S74)/2)^2+COS(RADIANS(S74))*COS(RADIANS(14_Cercania!$C$6))*SIN(RADIANS(14_Cercania!$C$7-T74)/2)^2))+ROW()*0.000000001,"")</f>
        <v/>
      </c>
    </row>
    <row r="75" customFormat="false" ht="15" hidden="false" customHeight="false" outlineLevel="0" collapsed="false">
      <c r="A75" s="55" t="n">
        <v>73</v>
      </c>
      <c r="B75" s="56"/>
      <c r="C75" s="55"/>
      <c r="D75" s="56"/>
      <c r="E75" s="71"/>
      <c r="F75" s="72"/>
      <c r="G75" s="72"/>
      <c r="H75" s="72"/>
      <c r="I75" s="72"/>
      <c r="J75" s="72"/>
      <c r="K75" s="56"/>
      <c r="L75" s="72"/>
      <c r="M75" s="55"/>
      <c r="N75" s="73"/>
      <c r="O75" s="73" t="s">
        <v>2490</v>
      </c>
      <c r="P75" s="55" t="s">
        <v>2491</v>
      </c>
      <c r="Q75" s="55" t="s">
        <v>2491</v>
      </c>
      <c r="R75" s="55" t="s">
        <v>2491</v>
      </c>
      <c r="S75" s="83"/>
      <c r="T75" s="83"/>
      <c r="U75" s="57" t="s">
        <v>2538</v>
      </c>
      <c r="V75" s="76" t="str">
        <f aca="false">HYPERLINK(IF(AND(ISNUMBER(S75),ISNUMBER(T75)),"https://www.google.com/maps/search/?api=1&amp;query="&amp;S75&amp;","&amp;T75,"https://www.google.com/maps/search/?api=1&amp;query="&amp;SUBSTITUTE(SUBSTITUTE(SUBSTITUTE(B75&amp;", "&amp;K75&amp;", Puno, Peru"," ","+"),"&amp;","y"),"#","")),"Ver en mapa")</f>
        <v>Ver en mapa</v>
      </c>
      <c r="W75" s="72"/>
      <c r="X75" s="72"/>
      <c r="Y75" s="72"/>
      <c r="Z75" s="55" t="s">
        <v>2494</v>
      </c>
      <c r="AA75" s="72"/>
      <c r="AB75" s="56"/>
      <c r="AC75" s="77" t="str">
        <f aca="false">IF(AND(ISNUMBER(S75),ISNUMBER(T75),ISNUMBER(14_Cercania!$C$6),ISNUMBER(14_Cercania!$C$7)),6371*2*ASIN(SQRT(SIN(RADIANS(14_Cercania!$C$6-S75)/2)^2+COS(RADIANS(S75))*COS(RADIANS(14_Cercania!$C$6))*SIN(RADIANS(14_Cercania!$C$7-T75)/2)^2))+ROW()*0.000000001,"")</f>
        <v/>
      </c>
    </row>
    <row r="76" customFormat="false" ht="15" hidden="false" customHeight="false" outlineLevel="0" collapsed="false">
      <c r="A76" s="62" t="n">
        <v>74</v>
      </c>
      <c r="B76" s="63"/>
      <c r="C76" s="62"/>
      <c r="D76" s="63"/>
      <c r="E76" s="71"/>
      <c r="F76" s="72"/>
      <c r="G76" s="72"/>
      <c r="H76" s="72"/>
      <c r="I76" s="72"/>
      <c r="J76" s="72"/>
      <c r="K76" s="63"/>
      <c r="L76" s="72"/>
      <c r="M76" s="62"/>
      <c r="N76" s="78"/>
      <c r="O76" s="78" t="s">
        <v>2490</v>
      </c>
      <c r="P76" s="62" t="s">
        <v>2491</v>
      </c>
      <c r="Q76" s="62" t="s">
        <v>2491</v>
      </c>
      <c r="R76" s="62" t="s">
        <v>2491</v>
      </c>
      <c r="S76" s="83"/>
      <c r="T76" s="83"/>
      <c r="U76" s="57" t="s">
        <v>2538</v>
      </c>
      <c r="V76" s="80" t="str">
        <f aca="false">HYPERLINK(IF(AND(ISNUMBER(S76),ISNUMBER(T76)),"https://www.google.com/maps/search/?api=1&amp;query="&amp;S76&amp;","&amp;T76,"https://www.google.com/maps/search/?api=1&amp;query="&amp;SUBSTITUTE(SUBSTITUTE(SUBSTITUTE(B76&amp;", "&amp;K76&amp;", Puno, Peru"," ","+"),"&amp;","y"),"#","")),"Ver en mapa")</f>
        <v>Ver en mapa</v>
      </c>
      <c r="W76" s="72"/>
      <c r="X76" s="72"/>
      <c r="Y76" s="72"/>
      <c r="Z76" s="62" t="s">
        <v>2494</v>
      </c>
      <c r="AA76" s="72"/>
      <c r="AB76" s="63"/>
      <c r="AC76" s="81" t="str">
        <f aca="false">IF(AND(ISNUMBER(S76),ISNUMBER(T76),ISNUMBER(14_Cercania!$C$6),ISNUMBER(14_Cercania!$C$7)),6371*2*ASIN(SQRT(SIN(RADIANS(14_Cercania!$C$6-S76)/2)^2+COS(RADIANS(S76))*COS(RADIANS(14_Cercania!$C$6))*SIN(RADIANS(14_Cercania!$C$7-T76)/2)^2))+ROW()*0.000000001,"")</f>
        <v/>
      </c>
    </row>
    <row r="77" customFormat="false" ht="15" hidden="false" customHeight="false" outlineLevel="0" collapsed="false">
      <c r="A77" s="55" t="n">
        <v>75</v>
      </c>
      <c r="B77" s="56"/>
      <c r="C77" s="55"/>
      <c r="D77" s="56"/>
      <c r="E77" s="71"/>
      <c r="F77" s="72"/>
      <c r="G77" s="72"/>
      <c r="H77" s="72"/>
      <c r="I77" s="72"/>
      <c r="J77" s="72"/>
      <c r="K77" s="56"/>
      <c r="L77" s="72"/>
      <c r="M77" s="55"/>
      <c r="N77" s="73"/>
      <c r="O77" s="73" t="s">
        <v>2490</v>
      </c>
      <c r="P77" s="55" t="s">
        <v>2491</v>
      </c>
      <c r="Q77" s="55" t="s">
        <v>2491</v>
      </c>
      <c r="R77" s="55" t="s">
        <v>2491</v>
      </c>
      <c r="S77" s="83"/>
      <c r="T77" s="83"/>
      <c r="U77" s="57" t="s">
        <v>2538</v>
      </c>
      <c r="V77" s="76" t="str">
        <f aca="false">HYPERLINK(IF(AND(ISNUMBER(S77),ISNUMBER(T77)),"https://www.google.com/maps/search/?api=1&amp;query="&amp;S77&amp;","&amp;T77,"https://www.google.com/maps/search/?api=1&amp;query="&amp;SUBSTITUTE(SUBSTITUTE(SUBSTITUTE(B77&amp;", "&amp;K77&amp;", Puno, Peru"," ","+"),"&amp;","y"),"#","")),"Ver en mapa")</f>
        <v>Ver en mapa</v>
      </c>
      <c r="W77" s="72"/>
      <c r="X77" s="72"/>
      <c r="Y77" s="72"/>
      <c r="Z77" s="55" t="s">
        <v>2494</v>
      </c>
      <c r="AA77" s="72"/>
      <c r="AB77" s="56"/>
      <c r="AC77" s="77" t="str">
        <f aca="false">IF(AND(ISNUMBER(S77),ISNUMBER(T77),ISNUMBER(14_Cercania!$C$6),ISNUMBER(14_Cercania!$C$7)),6371*2*ASIN(SQRT(SIN(RADIANS(14_Cercania!$C$6-S77)/2)^2+COS(RADIANS(S77))*COS(RADIANS(14_Cercania!$C$6))*SIN(RADIANS(14_Cercania!$C$7-T77)/2)^2))+ROW()*0.000000001,"")</f>
        <v/>
      </c>
    </row>
    <row r="78" customFormat="false" ht="15" hidden="false" customHeight="false" outlineLevel="0" collapsed="false">
      <c r="A78" s="62" t="n">
        <v>76</v>
      </c>
      <c r="B78" s="63"/>
      <c r="C78" s="62"/>
      <c r="D78" s="63"/>
      <c r="E78" s="71"/>
      <c r="F78" s="72"/>
      <c r="G78" s="72"/>
      <c r="H78" s="72"/>
      <c r="I78" s="72"/>
      <c r="J78" s="72"/>
      <c r="K78" s="63"/>
      <c r="L78" s="72"/>
      <c r="M78" s="62"/>
      <c r="N78" s="78"/>
      <c r="O78" s="78" t="s">
        <v>2490</v>
      </c>
      <c r="P78" s="62" t="s">
        <v>2491</v>
      </c>
      <c r="Q78" s="62" t="s">
        <v>2491</v>
      </c>
      <c r="R78" s="62" t="s">
        <v>2491</v>
      </c>
      <c r="S78" s="83"/>
      <c r="T78" s="83"/>
      <c r="U78" s="57" t="s">
        <v>2538</v>
      </c>
      <c r="V78" s="80" t="str">
        <f aca="false">HYPERLINK(IF(AND(ISNUMBER(S78),ISNUMBER(T78)),"https://www.google.com/maps/search/?api=1&amp;query="&amp;S78&amp;","&amp;T78,"https://www.google.com/maps/search/?api=1&amp;query="&amp;SUBSTITUTE(SUBSTITUTE(SUBSTITUTE(B78&amp;", "&amp;K78&amp;", Puno, Peru"," ","+"),"&amp;","y"),"#","")),"Ver en mapa")</f>
        <v>Ver en mapa</v>
      </c>
      <c r="W78" s="72"/>
      <c r="X78" s="72"/>
      <c r="Y78" s="72"/>
      <c r="Z78" s="62" t="s">
        <v>2494</v>
      </c>
      <c r="AA78" s="72"/>
      <c r="AB78" s="63"/>
      <c r="AC78" s="81" t="str">
        <f aca="false">IF(AND(ISNUMBER(S78),ISNUMBER(T78),ISNUMBER(14_Cercania!$C$6),ISNUMBER(14_Cercania!$C$7)),6371*2*ASIN(SQRT(SIN(RADIANS(14_Cercania!$C$6-S78)/2)^2+COS(RADIANS(S78))*COS(RADIANS(14_Cercania!$C$6))*SIN(RADIANS(14_Cercania!$C$7-T78)/2)^2))+ROW()*0.000000001,"")</f>
        <v/>
      </c>
    </row>
    <row r="79" customFormat="false" ht="15" hidden="false" customHeight="false" outlineLevel="0" collapsed="false">
      <c r="A79" s="55" t="n">
        <v>77</v>
      </c>
      <c r="B79" s="56"/>
      <c r="C79" s="55"/>
      <c r="D79" s="56"/>
      <c r="E79" s="71"/>
      <c r="F79" s="72"/>
      <c r="G79" s="72"/>
      <c r="H79" s="72"/>
      <c r="I79" s="72"/>
      <c r="J79" s="72"/>
      <c r="K79" s="56"/>
      <c r="L79" s="72"/>
      <c r="M79" s="55"/>
      <c r="N79" s="73"/>
      <c r="O79" s="73" t="s">
        <v>2490</v>
      </c>
      <c r="P79" s="55" t="s">
        <v>2491</v>
      </c>
      <c r="Q79" s="55" t="s">
        <v>2491</v>
      </c>
      <c r="R79" s="55" t="s">
        <v>2491</v>
      </c>
      <c r="S79" s="83"/>
      <c r="T79" s="83"/>
      <c r="U79" s="57" t="s">
        <v>2538</v>
      </c>
      <c r="V79" s="76" t="str">
        <f aca="false">HYPERLINK(IF(AND(ISNUMBER(S79),ISNUMBER(T79)),"https://www.google.com/maps/search/?api=1&amp;query="&amp;S79&amp;","&amp;T79,"https://www.google.com/maps/search/?api=1&amp;query="&amp;SUBSTITUTE(SUBSTITUTE(SUBSTITUTE(B79&amp;", "&amp;K79&amp;", Puno, Peru"," ","+"),"&amp;","y"),"#","")),"Ver en mapa")</f>
        <v>Ver en mapa</v>
      </c>
      <c r="W79" s="72"/>
      <c r="X79" s="72"/>
      <c r="Y79" s="72"/>
      <c r="Z79" s="55" t="s">
        <v>2494</v>
      </c>
      <c r="AA79" s="72"/>
      <c r="AB79" s="56"/>
      <c r="AC79" s="77" t="str">
        <f aca="false">IF(AND(ISNUMBER(S79),ISNUMBER(T79),ISNUMBER(14_Cercania!$C$6),ISNUMBER(14_Cercania!$C$7)),6371*2*ASIN(SQRT(SIN(RADIANS(14_Cercania!$C$6-S79)/2)^2+COS(RADIANS(S79))*COS(RADIANS(14_Cercania!$C$6))*SIN(RADIANS(14_Cercania!$C$7-T79)/2)^2))+ROW()*0.000000001,"")</f>
        <v/>
      </c>
    </row>
    <row r="80" customFormat="false" ht="15" hidden="false" customHeight="false" outlineLevel="0" collapsed="false">
      <c r="A80" s="62" t="n">
        <v>78</v>
      </c>
      <c r="B80" s="63"/>
      <c r="C80" s="62"/>
      <c r="D80" s="63"/>
      <c r="E80" s="71"/>
      <c r="F80" s="72"/>
      <c r="G80" s="72"/>
      <c r="H80" s="72"/>
      <c r="I80" s="72"/>
      <c r="J80" s="72"/>
      <c r="K80" s="63"/>
      <c r="L80" s="72"/>
      <c r="M80" s="62"/>
      <c r="N80" s="78"/>
      <c r="O80" s="78" t="s">
        <v>2490</v>
      </c>
      <c r="P80" s="62" t="s">
        <v>2491</v>
      </c>
      <c r="Q80" s="62" t="s">
        <v>2491</v>
      </c>
      <c r="R80" s="62" t="s">
        <v>2491</v>
      </c>
      <c r="S80" s="83"/>
      <c r="T80" s="83"/>
      <c r="U80" s="57" t="s">
        <v>2538</v>
      </c>
      <c r="V80" s="80" t="str">
        <f aca="false">HYPERLINK(IF(AND(ISNUMBER(S80),ISNUMBER(T80)),"https://www.google.com/maps/search/?api=1&amp;query="&amp;S80&amp;","&amp;T80,"https://www.google.com/maps/search/?api=1&amp;query="&amp;SUBSTITUTE(SUBSTITUTE(SUBSTITUTE(B80&amp;", "&amp;K80&amp;", Puno, Peru"," ","+"),"&amp;","y"),"#","")),"Ver en mapa")</f>
        <v>Ver en mapa</v>
      </c>
      <c r="W80" s="72"/>
      <c r="X80" s="72"/>
      <c r="Y80" s="72"/>
      <c r="Z80" s="62" t="s">
        <v>2494</v>
      </c>
      <c r="AA80" s="72"/>
      <c r="AB80" s="63"/>
      <c r="AC80" s="81" t="str">
        <f aca="false">IF(AND(ISNUMBER(S80),ISNUMBER(T80),ISNUMBER(14_Cercania!$C$6),ISNUMBER(14_Cercania!$C$7)),6371*2*ASIN(SQRT(SIN(RADIANS(14_Cercania!$C$6-S80)/2)^2+COS(RADIANS(S80))*COS(RADIANS(14_Cercania!$C$6))*SIN(RADIANS(14_Cercania!$C$7-T80)/2)^2))+ROW()*0.000000001,"")</f>
        <v/>
      </c>
    </row>
    <row r="81" customFormat="false" ht="15" hidden="false" customHeight="false" outlineLevel="0" collapsed="false">
      <c r="A81" s="55" t="n">
        <v>79</v>
      </c>
      <c r="B81" s="56"/>
      <c r="C81" s="55"/>
      <c r="D81" s="56"/>
      <c r="E81" s="71"/>
      <c r="F81" s="72"/>
      <c r="G81" s="72"/>
      <c r="H81" s="72"/>
      <c r="I81" s="72"/>
      <c r="J81" s="72"/>
      <c r="K81" s="56"/>
      <c r="L81" s="72"/>
      <c r="M81" s="55"/>
      <c r="N81" s="73"/>
      <c r="O81" s="73" t="s">
        <v>2490</v>
      </c>
      <c r="P81" s="55" t="s">
        <v>2491</v>
      </c>
      <c r="Q81" s="55" t="s">
        <v>2491</v>
      </c>
      <c r="R81" s="55" t="s">
        <v>2491</v>
      </c>
      <c r="S81" s="83"/>
      <c r="T81" s="83"/>
      <c r="U81" s="57" t="s">
        <v>2538</v>
      </c>
      <c r="V81" s="76" t="str">
        <f aca="false">HYPERLINK(IF(AND(ISNUMBER(S81),ISNUMBER(T81)),"https://www.google.com/maps/search/?api=1&amp;query="&amp;S81&amp;","&amp;T81,"https://www.google.com/maps/search/?api=1&amp;query="&amp;SUBSTITUTE(SUBSTITUTE(SUBSTITUTE(B81&amp;", "&amp;K81&amp;", Puno, Peru"," ","+"),"&amp;","y"),"#","")),"Ver en mapa")</f>
        <v>Ver en mapa</v>
      </c>
      <c r="W81" s="72"/>
      <c r="X81" s="72"/>
      <c r="Y81" s="72"/>
      <c r="Z81" s="55" t="s">
        <v>2494</v>
      </c>
      <c r="AA81" s="72"/>
      <c r="AB81" s="56"/>
      <c r="AC81" s="77" t="str">
        <f aca="false">IF(AND(ISNUMBER(S81),ISNUMBER(T81),ISNUMBER(14_Cercania!$C$6),ISNUMBER(14_Cercania!$C$7)),6371*2*ASIN(SQRT(SIN(RADIANS(14_Cercania!$C$6-S81)/2)^2+COS(RADIANS(S81))*COS(RADIANS(14_Cercania!$C$6))*SIN(RADIANS(14_Cercania!$C$7-T81)/2)^2))+ROW()*0.000000001,"")</f>
        <v/>
      </c>
    </row>
    <row r="82" customFormat="false" ht="15" hidden="false" customHeight="false" outlineLevel="0" collapsed="false">
      <c r="A82" s="62" t="n">
        <v>80</v>
      </c>
      <c r="B82" s="63"/>
      <c r="C82" s="62"/>
      <c r="D82" s="63"/>
      <c r="E82" s="71"/>
      <c r="F82" s="72"/>
      <c r="G82" s="72"/>
      <c r="H82" s="72"/>
      <c r="I82" s="72"/>
      <c r="J82" s="72"/>
      <c r="K82" s="63"/>
      <c r="L82" s="72"/>
      <c r="M82" s="62"/>
      <c r="N82" s="78"/>
      <c r="O82" s="78" t="s">
        <v>2490</v>
      </c>
      <c r="P82" s="62" t="s">
        <v>2491</v>
      </c>
      <c r="Q82" s="62" t="s">
        <v>2491</v>
      </c>
      <c r="R82" s="62" t="s">
        <v>2491</v>
      </c>
      <c r="S82" s="83"/>
      <c r="T82" s="83"/>
      <c r="U82" s="57" t="s">
        <v>2538</v>
      </c>
      <c r="V82" s="80" t="str">
        <f aca="false">HYPERLINK(IF(AND(ISNUMBER(S82),ISNUMBER(T82)),"https://www.google.com/maps/search/?api=1&amp;query="&amp;S82&amp;","&amp;T82,"https://www.google.com/maps/search/?api=1&amp;query="&amp;SUBSTITUTE(SUBSTITUTE(SUBSTITUTE(B82&amp;", "&amp;K82&amp;", Puno, Peru"," ","+"),"&amp;","y"),"#","")),"Ver en mapa")</f>
        <v>Ver en mapa</v>
      </c>
      <c r="W82" s="72"/>
      <c r="X82" s="72"/>
      <c r="Y82" s="72"/>
      <c r="Z82" s="62" t="s">
        <v>2494</v>
      </c>
      <c r="AA82" s="72"/>
      <c r="AB82" s="63"/>
      <c r="AC82" s="81" t="str">
        <f aca="false">IF(AND(ISNUMBER(S82),ISNUMBER(T82),ISNUMBER(14_Cercania!$C$6),ISNUMBER(14_Cercania!$C$7)),6371*2*ASIN(SQRT(SIN(RADIANS(14_Cercania!$C$6-S82)/2)^2+COS(RADIANS(S82))*COS(RADIANS(14_Cercania!$C$6))*SIN(RADIANS(14_Cercania!$C$7-T82)/2)^2))+ROW()*0.000000001,"")</f>
        <v/>
      </c>
    </row>
    <row r="83" customFormat="false" ht="15" hidden="false" customHeight="false" outlineLevel="0" collapsed="false">
      <c r="A83" s="55" t="n">
        <v>81</v>
      </c>
      <c r="B83" s="56"/>
      <c r="C83" s="55"/>
      <c r="D83" s="56"/>
      <c r="E83" s="71"/>
      <c r="F83" s="72"/>
      <c r="G83" s="72"/>
      <c r="H83" s="72"/>
      <c r="I83" s="72"/>
      <c r="J83" s="72"/>
      <c r="K83" s="56"/>
      <c r="L83" s="72"/>
      <c r="M83" s="55"/>
      <c r="N83" s="73"/>
      <c r="O83" s="73" t="s">
        <v>2490</v>
      </c>
      <c r="P83" s="55" t="s">
        <v>2491</v>
      </c>
      <c r="Q83" s="55" t="s">
        <v>2491</v>
      </c>
      <c r="R83" s="55" t="s">
        <v>2491</v>
      </c>
      <c r="S83" s="83"/>
      <c r="T83" s="83"/>
      <c r="U83" s="57" t="s">
        <v>2538</v>
      </c>
      <c r="V83" s="76" t="str">
        <f aca="false">HYPERLINK(IF(AND(ISNUMBER(S83),ISNUMBER(T83)),"https://www.google.com/maps/search/?api=1&amp;query="&amp;S83&amp;","&amp;T83,"https://www.google.com/maps/search/?api=1&amp;query="&amp;SUBSTITUTE(SUBSTITUTE(SUBSTITUTE(B83&amp;", "&amp;K83&amp;", Puno, Peru"," ","+"),"&amp;","y"),"#","")),"Ver en mapa")</f>
        <v>Ver en mapa</v>
      </c>
      <c r="W83" s="72"/>
      <c r="X83" s="72"/>
      <c r="Y83" s="72"/>
      <c r="Z83" s="55" t="s">
        <v>2494</v>
      </c>
      <c r="AA83" s="72"/>
      <c r="AB83" s="56"/>
      <c r="AC83" s="77" t="str">
        <f aca="false">IF(AND(ISNUMBER(S83),ISNUMBER(T83),ISNUMBER(14_Cercania!$C$6),ISNUMBER(14_Cercania!$C$7)),6371*2*ASIN(SQRT(SIN(RADIANS(14_Cercania!$C$6-S83)/2)^2+COS(RADIANS(S83))*COS(RADIANS(14_Cercania!$C$6))*SIN(RADIANS(14_Cercania!$C$7-T83)/2)^2))+ROW()*0.000000001,"")</f>
        <v/>
      </c>
    </row>
    <row r="84" customFormat="false" ht="15" hidden="false" customHeight="false" outlineLevel="0" collapsed="false">
      <c r="A84" s="62" t="n">
        <v>82</v>
      </c>
      <c r="B84" s="63"/>
      <c r="C84" s="62"/>
      <c r="D84" s="63"/>
      <c r="E84" s="71"/>
      <c r="F84" s="72"/>
      <c r="G84" s="72"/>
      <c r="H84" s="72"/>
      <c r="I84" s="72"/>
      <c r="J84" s="72"/>
      <c r="K84" s="63"/>
      <c r="L84" s="72"/>
      <c r="M84" s="62"/>
      <c r="N84" s="78"/>
      <c r="O84" s="78" t="s">
        <v>2490</v>
      </c>
      <c r="P84" s="62" t="s">
        <v>2491</v>
      </c>
      <c r="Q84" s="62" t="s">
        <v>2491</v>
      </c>
      <c r="R84" s="62" t="s">
        <v>2491</v>
      </c>
      <c r="S84" s="83"/>
      <c r="T84" s="83"/>
      <c r="U84" s="57" t="s">
        <v>2538</v>
      </c>
      <c r="V84" s="80" t="str">
        <f aca="false">HYPERLINK(IF(AND(ISNUMBER(S84),ISNUMBER(T84)),"https://www.google.com/maps/search/?api=1&amp;query="&amp;S84&amp;","&amp;T84,"https://www.google.com/maps/search/?api=1&amp;query="&amp;SUBSTITUTE(SUBSTITUTE(SUBSTITUTE(B84&amp;", "&amp;K84&amp;", Puno, Peru"," ","+"),"&amp;","y"),"#","")),"Ver en mapa")</f>
        <v>Ver en mapa</v>
      </c>
      <c r="W84" s="72"/>
      <c r="X84" s="72"/>
      <c r="Y84" s="72"/>
      <c r="Z84" s="62" t="s">
        <v>2494</v>
      </c>
      <c r="AA84" s="72"/>
      <c r="AB84" s="63"/>
      <c r="AC84" s="81" t="str">
        <f aca="false">IF(AND(ISNUMBER(S84),ISNUMBER(T84),ISNUMBER(14_Cercania!$C$6),ISNUMBER(14_Cercania!$C$7)),6371*2*ASIN(SQRT(SIN(RADIANS(14_Cercania!$C$6-S84)/2)^2+COS(RADIANS(S84))*COS(RADIANS(14_Cercania!$C$6))*SIN(RADIANS(14_Cercania!$C$7-T84)/2)^2))+ROW()*0.000000001,"")</f>
        <v/>
      </c>
    </row>
    <row r="85" customFormat="false" ht="15" hidden="false" customHeight="false" outlineLevel="0" collapsed="false">
      <c r="A85" s="55" t="n">
        <v>83</v>
      </c>
      <c r="B85" s="56"/>
      <c r="C85" s="55"/>
      <c r="D85" s="56"/>
      <c r="E85" s="71"/>
      <c r="F85" s="72"/>
      <c r="G85" s="72"/>
      <c r="H85" s="72"/>
      <c r="I85" s="72"/>
      <c r="J85" s="72"/>
      <c r="K85" s="56"/>
      <c r="L85" s="72"/>
      <c r="M85" s="55"/>
      <c r="N85" s="73"/>
      <c r="O85" s="73" t="s">
        <v>2490</v>
      </c>
      <c r="P85" s="55" t="s">
        <v>2491</v>
      </c>
      <c r="Q85" s="55" t="s">
        <v>2491</v>
      </c>
      <c r="R85" s="55" t="s">
        <v>2491</v>
      </c>
      <c r="S85" s="83"/>
      <c r="T85" s="83"/>
      <c r="U85" s="57" t="s">
        <v>2538</v>
      </c>
      <c r="V85" s="76" t="str">
        <f aca="false">HYPERLINK(IF(AND(ISNUMBER(S85),ISNUMBER(T85)),"https://www.google.com/maps/search/?api=1&amp;query="&amp;S85&amp;","&amp;T85,"https://www.google.com/maps/search/?api=1&amp;query="&amp;SUBSTITUTE(SUBSTITUTE(SUBSTITUTE(B85&amp;", "&amp;K85&amp;", Puno, Peru"," ","+"),"&amp;","y"),"#","")),"Ver en mapa")</f>
        <v>Ver en mapa</v>
      </c>
      <c r="W85" s="72"/>
      <c r="X85" s="72"/>
      <c r="Y85" s="72"/>
      <c r="Z85" s="55" t="s">
        <v>2494</v>
      </c>
      <c r="AA85" s="72"/>
      <c r="AB85" s="56"/>
      <c r="AC85" s="77" t="str">
        <f aca="false">IF(AND(ISNUMBER(S85),ISNUMBER(T85),ISNUMBER(14_Cercania!$C$6),ISNUMBER(14_Cercania!$C$7)),6371*2*ASIN(SQRT(SIN(RADIANS(14_Cercania!$C$6-S85)/2)^2+COS(RADIANS(S85))*COS(RADIANS(14_Cercania!$C$6))*SIN(RADIANS(14_Cercania!$C$7-T85)/2)^2))+ROW()*0.000000001,"")</f>
        <v/>
      </c>
    </row>
    <row r="86" customFormat="false" ht="15" hidden="false" customHeight="false" outlineLevel="0" collapsed="false">
      <c r="A86" s="62" t="n">
        <v>84</v>
      </c>
      <c r="B86" s="63"/>
      <c r="C86" s="62"/>
      <c r="D86" s="63"/>
      <c r="E86" s="71"/>
      <c r="F86" s="72"/>
      <c r="G86" s="72"/>
      <c r="H86" s="72"/>
      <c r="I86" s="72"/>
      <c r="J86" s="72"/>
      <c r="K86" s="63"/>
      <c r="L86" s="72"/>
      <c r="M86" s="62"/>
      <c r="N86" s="78"/>
      <c r="O86" s="78" t="s">
        <v>2490</v>
      </c>
      <c r="P86" s="62" t="s">
        <v>2491</v>
      </c>
      <c r="Q86" s="62" t="s">
        <v>2491</v>
      </c>
      <c r="R86" s="62" t="s">
        <v>2491</v>
      </c>
      <c r="S86" s="83"/>
      <c r="T86" s="83"/>
      <c r="U86" s="57" t="s">
        <v>2538</v>
      </c>
      <c r="V86" s="80" t="str">
        <f aca="false">HYPERLINK(IF(AND(ISNUMBER(S86),ISNUMBER(T86)),"https://www.google.com/maps/search/?api=1&amp;query="&amp;S86&amp;","&amp;T86,"https://www.google.com/maps/search/?api=1&amp;query="&amp;SUBSTITUTE(SUBSTITUTE(SUBSTITUTE(B86&amp;", "&amp;K86&amp;", Puno, Peru"," ","+"),"&amp;","y"),"#","")),"Ver en mapa")</f>
        <v>Ver en mapa</v>
      </c>
      <c r="W86" s="72"/>
      <c r="X86" s="72"/>
      <c r="Y86" s="72"/>
      <c r="Z86" s="62" t="s">
        <v>2494</v>
      </c>
      <c r="AA86" s="72"/>
      <c r="AB86" s="63"/>
      <c r="AC86" s="81" t="str">
        <f aca="false">IF(AND(ISNUMBER(S86),ISNUMBER(T86),ISNUMBER(14_Cercania!$C$6),ISNUMBER(14_Cercania!$C$7)),6371*2*ASIN(SQRT(SIN(RADIANS(14_Cercania!$C$6-S86)/2)^2+COS(RADIANS(S86))*COS(RADIANS(14_Cercania!$C$6))*SIN(RADIANS(14_Cercania!$C$7-T86)/2)^2))+ROW()*0.000000001,"")</f>
        <v/>
      </c>
    </row>
    <row r="87" customFormat="false" ht="15" hidden="false" customHeight="false" outlineLevel="0" collapsed="false">
      <c r="A87" s="55" t="n">
        <v>85</v>
      </c>
      <c r="B87" s="56"/>
      <c r="C87" s="55"/>
      <c r="D87" s="56"/>
      <c r="E87" s="71"/>
      <c r="F87" s="72"/>
      <c r="G87" s="72"/>
      <c r="H87" s="72"/>
      <c r="I87" s="72"/>
      <c r="J87" s="72"/>
      <c r="K87" s="56"/>
      <c r="L87" s="72"/>
      <c r="M87" s="55"/>
      <c r="N87" s="73"/>
      <c r="O87" s="73" t="s">
        <v>2490</v>
      </c>
      <c r="P87" s="55" t="s">
        <v>2491</v>
      </c>
      <c r="Q87" s="55" t="s">
        <v>2491</v>
      </c>
      <c r="R87" s="55" t="s">
        <v>2491</v>
      </c>
      <c r="S87" s="83"/>
      <c r="T87" s="83"/>
      <c r="U87" s="57" t="s">
        <v>2538</v>
      </c>
      <c r="V87" s="76" t="str">
        <f aca="false">HYPERLINK(IF(AND(ISNUMBER(S87),ISNUMBER(T87)),"https://www.google.com/maps/search/?api=1&amp;query="&amp;S87&amp;","&amp;T87,"https://www.google.com/maps/search/?api=1&amp;query="&amp;SUBSTITUTE(SUBSTITUTE(SUBSTITUTE(B87&amp;", "&amp;K87&amp;", Puno, Peru"," ","+"),"&amp;","y"),"#","")),"Ver en mapa")</f>
        <v>Ver en mapa</v>
      </c>
      <c r="W87" s="72"/>
      <c r="X87" s="72"/>
      <c r="Y87" s="72"/>
      <c r="Z87" s="55" t="s">
        <v>2494</v>
      </c>
      <c r="AA87" s="72"/>
      <c r="AB87" s="56"/>
      <c r="AC87" s="77" t="str">
        <f aca="false">IF(AND(ISNUMBER(S87),ISNUMBER(T87),ISNUMBER(14_Cercania!$C$6),ISNUMBER(14_Cercania!$C$7)),6371*2*ASIN(SQRT(SIN(RADIANS(14_Cercania!$C$6-S87)/2)^2+COS(RADIANS(S87))*COS(RADIANS(14_Cercania!$C$6))*SIN(RADIANS(14_Cercania!$C$7-T87)/2)^2))+ROW()*0.000000001,"")</f>
        <v/>
      </c>
    </row>
    <row r="88" customFormat="false" ht="15" hidden="false" customHeight="false" outlineLevel="0" collapsed="false">
      <c r="A88" s="62" t="n">
        <v>86</v>
      </c>
      <c r="B88" s="63"/>
      <c r="C88" s="62"/>
      <c r="D88" s="63"/>
      <c r="E88" s="71"/>
      <c r="F88" s="72"/>
      <c r="G88" s="72"/>
      <c r="H88" s="72"/>
      <c r="I88" s="72"/>
      <c r="J88" s="72"/>
      <c r="K88" s="63"/>
      <c r="L88" s="72"/>
      <c r="M88" s="62"/>
      <c r="N88" s="78"/>
      <c r="O88" s="78" t="s">
        <v>2490</v>
      </c>
      <c r="P88" s="62" t="s">
        <v>2491</v>
      </c>
      <c r="Q88" s="62" t="s">
        <v>2491</v>
      </c>
      <c r="R88" s="62" t="s">
        <v>2491</v>
      </c>
      <c r="S88" s="83"/>
      <c r="T88" s="83"/>
      <c r="U88" s="57" t="s">
        <v>2538</v>
      </c>
      <c r="V88" s="80" t="str">
        <f aca="false">HYPERLINK(IF(AND(ISNUMBER(S88),ISNUMBER(T88)),"https://www.google.com/maps/search/?api=1&amp;query="&amp;S88&amp;","&amp;T88,"https://www.google.com/maps/search/?api=1&amp;query="&amp;SUBSTITUTE(SUBSTITUTE(SUBSTITUTE(B88&amp;", "&amp;K88&amp;", Puno, Peru"," ","+"),"&amp;","y"),"#","")),"Ver en mapa")</f>
        <v>Ver en mapa</v>
      </c>
      <c r="W88" s="72"/>
      <c r="X88" s="72"/>
      <c r="Y88" s="72"/>
      <c r="Z88" s="62" t="s">
        <v>2494</v>
      </c>
      <c r="AA88" s="72"/>
      <c r="AB88" s="63"/>
      <c r="AC88" s="81" t="str">
        <f aca="false">IF(AND(ISNUMBER(S88),ISNUMBER(T88),ISNUMBER(14_Cercania!$C$6),ISNUMBER(14_Cercania!$C$7)),6371*2*ASIN(SQRT(SIN(RADIANS(14_Cercania!$C$6-S88)/2)^2+COS(RADIANS(S88))*COS(RADIANS(14_Cercania!$C$6))*SIN(RADIANS(14_Cercania!$C$7-T88)/2)^2))+ROW()*0.000000001,"")</f>
        <v/>
      </c>
    </row>
    <row r="89" customFormat="false" ht="15" hidden="false" customHeight="false" outlineLevel="0" collapsed="false">
      <c r="A89" s="55" t="n">
        <v>87</v>
      </c>
      <c r="B89" s="56"/>
      <c r="C89" s="55"/>
      <c r="D89" s="56"/>
      <c r="E89" s="71"/>
      <c r="F89" s="72"/>
      <c r="G89" s="72"/>
      <c r="H89" s="72"/>
      <c r="I89" s="72"/>
      <c r="J89" s="72"/>
      <c r="K89" s="56"/>
      <c r="L89" s="72"/>
      <c r="M89" s="55"/>
      <c r="N89" s="73"/>
      <c r="O89" s="73" t="s">
        <v>2490</v>
      </c>
      <c r="P89" s="55" t="s">
        <v>2491</v>
      </c>
      <c r="Q89" s="55" t="s">
        <v>2491</v>
      </c>
      <c r="R89" s="55" t="s">
        <v>2491</v>
      </c>
      <c r="S89" s="83"/>
      <c r="T89" s="83"/>
      <c r="U89" s="57" t="s">
        <v>2538</v>
      </c>
      <c r="V89" s="76" t="str">
        <f aca="false">HYPERLINK(IF(AND(ISNUMBER(S89),ISNUMBER(T89)),"https://www.google.com/maps/search/?api=1&amp;query="&amp;S89&amp;","&amp;T89,"https://www.google.com/maps/search/?api=1&amp;query="&amp;SUBSTITUTE(SUBSTITUTE(SUBSTITUTE(B89&amp;", "&amp;K89&amp;", Puno, Peru"," ","+"),"&amp;","y"),"#","")),"Ver en mapa")</f>
        <v>Ver en mapa</v>
      </c>
      <c r="W89" s="72"/>
      <c r="X89" s="72"/>
      <c r="Y89" s="72"/>
      <c r="Z89" s="55" t="s">
        <v>2494</v>
      </c>
      <c r="AA89" s="72"/>
      <c r="AB89" s="56"/>
      <c r="AC89" s="77" t="str">
        <f aca="false">IF(AND(ISNUMBER(S89),ISNUMBER(T89),ISNUMBER(14_Cercania!$C$6),ISNUMBER(14_Cercania!$C$7)),6371*2*ASIN(SQRT(SIN(RADIANS(14_Cercania!$C$6-S89)/2)^2+COS(RADIANS(S89))*COS(RADIANS(14_Cercania!$C$6))*SIN(RADIANS(14_Cercania!$C$7-T89)/2)^2))+ROW()*0.000000001,"")</f>
        <v/>
      </c>
    </row>
    <row r="90" customFormat="false" ht="15" hidden="false" customHeight="false" outlineLevel="0" collapsed="false">
      <c r="A90" s="62" t="n">
        <v>88</v>
      </c>
      <c r="B90" s="63"/>
      <c r="C90" s="62"/>
      <c r="D90" s="63"/>
      <c r="E90" s="71"/>
      <c r="F90" s="72"/>
      <c r="G90" s="72"/>
      <c r="H90" s="72"/>
      <c r="I90" s="72"/>
      <c r="J90" s="72"/>
      <c r="K90" s="63"/>
      <c r="L90" s="72"/>
      <c r="M90" s="62"/>
      <c r="N90" s="78"/>
      <c r="O90" s="78" t="s">
        <v>2490</v>
      </c>
      <c r="P90" s="62" t="s">
        <v>2491</v>
      </c>
      <c r="Q90" s="62" t="s">
        <v>2491</v>
      </c>
      <c r="R90" s="62" t="s">
        <v>2491</v>
      </c>
      <c r="S90" s="83"/>
      <c r="T90" s="83"/>
      <c r="U90" s="57" t="s">
        <v>2538</v>
      </c>
      <c r="V90" s="80" t="str">
        <f aca="false">HYPERLINK(IF(AND(ISNUMBER(S90),ISNUMBER(T90)),"https://www.google.com/maps/search/?api=1&amp;query="&amp;S90&amp;","&amp;T90,"https://www.google.com/maps/search/?api=1&amp;query="&amp;SUBSTITUTE(SUBSTITUTE(SUBSTITUTE(B90&amp;", "&amp;K90&amp;", Puno, Peru"," ","+"),"&amp;","y"),"#","")),"Ver en mapa")</f>
        <v>Ver en mapa</v>
      </c>
      <c r="W90" s="72"/>
      <c r="X90" s="72"/>
      <c r="Y90" s="72"/>
      <c r="Z90" s="62" t="s">
        <v>2494</v>
      </c>
      <c r="AA90" s="72"/>
      <c r="AB90" s="63"/>
      <c r="AC90" s="81" t="str">
        <f aca="false">IF(AND(ISNUMBER(S90),ISNUMBER(T90),ISNUMBER(14_Cercania!$C$6),ISNUMBER(14_Cercania!$C$7)),6371*2*ASIN(SQRT(SIN(RADIANS(14_Cercania!$C$6-S90)/2)^2+COS(RADIANS(S90))*COS(RADIANS(14_Cercania!$C$6))*SIN(RADIANS(14_Cercania!$C$7-T90)/2)^2))+ROW()*0.000000001,"")</f>
        <v/>
      </c>
    </row>
    <row r="91" customFormat="false" ht="15" hidden="false" customHeight="false" outlineLevel="0" collapsed="false">
      <c r="A91" s="55" t="n">
        <v>89</v>
      </c>
      <c r="B91" s="56"/>
      <c r="C91" s="55"/>
      <c r="D91" s="56"/>
      <c r="E91" s="71"/>
      <c r="F91" s="72"/>
      <c r="G91" s="72"/>
      <c r="H91" s="72"/>
      <c r="I91" s="72"/>
      <c r="J91" s="72"/>
      <c r="K91" s="56"/>
      <c r="L91" s="72"/>
      <c r="M91" s="55"/>
      <c r="N91" s="73"/>
      <c r="O91" s="73" t="s">
        <v>2490</v>
      </c>
      <c r="P91" s="55" t="s">
        <v>2491</v>
      </c>
      <c r="Q91" s="55" t="s">
        <v>2491</v>
      </c>
      <c r="R91" s="55" t="s">
        <v>2491</v>
      </c>
      <c r="S91" s="83"/>
      <c r="T91" s="83"/>
      <c r="U91" s="57" t="s">
        <v>2538</v>
      </c>
      <c r="V91" s="76" t="str">
        <f aca="false">HYPERLINK(IF(AND(ISNUMBER(S91),ISNUMBER(T91)),"https://www.google.com/maps/search/?api=1&amp;query="&amp;S91&amp;","&amp;T91,"https://www.google.com/maps/search/?api=1&amp;query="&amp;SUBSTITUTE(SUBSTITUTE(SUBSTITUTE(B91&amp;", "&amp;K91&amp;", Puno, Peru"," ","+"),"&amp;","y"),"#","")),"Ver en mapa")</f>
        <v>Ver en mapa</v>
      </c>
      <c r="W91" s="72"/>
      <c r="X91" s="72"/>
      <c r="Y91" s="72"/>
      <c r="Z91" s="55" t="s">
        <v>2494</v>
      </c>
      <c r="AA91" s="72"/>
      <c r="AB91" s="56"/>
      <c r="AC91" s="77" t="str">
        <f aca="false">IF(AND(ISNUMBER(S91),ISNUMBER(T91),ISNUMBER(14_Cercania!$C$6),ISNUMBER(14_Cercania!$C$7)),6371*2*ASIN(SQRT(SIN(RADIANS(14_Cercania!$C$6-S91)/2)^2+COS(RADIANS(S91))*COS(RADIANS(14_Cercania!$C$6))*SIN(RADIANS(14_Cercania!$C$7-T91)/2)^2))+ROW()*0.000000001,"")</f>
        <v/>
      </c>
    </row>
    <row r="92" customFormat="false" ht="15" hidden="false" customHeight="false" outlineLevel="0" collapsed="false">
      <c r="A92" s="62" t="n">
        <v>90</v>
      </c>
      <c r="B92" s="63"/>
      <c r="C92" s="62"/>
      <c r="D92" s="63"/>
      <c r="E92" s="71"/>
      <c r="F92" s="72"/>
      <c r="G92" s="72"/>
      <c r="H92" s="72"/>
      <c r="I92" s="72"/>
      <c r="J92" s="72"/>
      <c r="K92" s="63"/>
      <c r="L92" s="72"/>
      <c r="M92" s="62"/>
      <c r="N92" s="78"/>
      <c r="O92" s="78" t="s">
        <v>2490</v>
      </c>
      <c r="P92" s="62" t="s">
        <v>2491</v>
      </c>
      <c r="Q92" s="62" t="s">
        <v>2491</v>
      </c>
      <c r="R92" s="62" t="s">
        <v>2491</v>
      </c>
      <c r="S92" s="83"/>
      <c r="T92" s="83"/>
      <c r="U92" s="57" t="s">
        <v>2538</v>
      </c>
      <c r="V92" s="80" t="str">
        <f aca="false">HYPERLINK(IF(AND(ISNUMBER(S92),ISNUMBER(T92)),"https://www.google.com/maps/search/?api=1&amp;query="&amp;S92&amp;","&amp;T92,"https://www.google.com/maps/search/?api=1&amp;query="&amp;SUBSTITUTE(SUBSTITUTE(SUBSTITUTE(B92&amp;", "&amp;K92&amp;", Puno, Peru"," ","+"),"&amp;","y"),"#","")),"Ver en mapa")</f>
        <v>Ver en mapa</v>
      </c>
      <c r="W92" s="72"/>
      <c r="X92" s="72"/>
      <c r="Y92" s="72"/>
      <c r="Z92" s="62" t="s">
        <v>2494</v>
      </c>
      <c r="AA92" s="72"/>
      <c r="AB92" s="63"/>
      <c r="AC92" s="81" t="str">
        <f aca="false">IF(AND(ISNUMBER(S92),ISNUMBER(T92),ISNUMBER(14_Cercania!$C$6),ISNUMBER(14_Cercania!$C$7)),6371*2*ASIN(SQRT(SIN(RADIANS(14_Cercania!$C$6-S92)/2)^2+COS(RADIANS(S92))*COS(RADIANS(14_Cercania!$C$6))*SIN(RADIANS(14_Cercania!$C$7-T92)/2)^2))+ROW()*0.000000001,"")</f>
        <v/>
      </c>
    </row>
    <row r="93" customFormat="false" ht="15" hidden="false" customHeight="false" outlineLevel="0" collapsed="false">
      <c r="A93" s="55" t="n">
        <v>91</v>
      </c>
      <c r="B93" s="56"/>
      <c r="C93" s="55"/>
      <c r="D93" s="56"/>
      <c r="E93" s="71"/>
      <c r="F93" s="72"/>
      <c r="G93" s="72"/>
      <c r="H93" s="72"/>
      <c r="I93" s="72"/>
      <c r="J93" s="72"/>
      <c r="K93" s="56"/>
      <c r="L93" s="72"/>
      <c r="M93" s="55"/>
      <c r="N93" s="73"/>
      <c r="O93" s="73" t="s">
        <v>2490</v>
      </c>
      <c r="P93" s="55" t="s">
        <v>2491</v>
      </c>
      <c r="Q93" s="55" t="s">
        <v>2491</v>
      </c>
      <c r="R93" s="55" t="s">
        <v>2491</v>
      </c>
      <c r="S93" s="83"/>
      <c r="T93" s="83"/>
      <c r="U93" s="57" t="s">
        <v>2538</v>
      </c>
      <c r="V93" s="76" t="str">
        <f aca="false">HYPERLINK(IF(AND(ISNUMBER(S93),ISNUMBER(T93)),"https://www.google.com/maps/search/?api=1&amp;query="&amp;S93&amp;","&amp;T93,"https://www.google.com/maps/search/?api=1&amp;query="&amp;SUBSTITUTE(SUBSTITUTE(SUBSTITUTE(B93&amp;", "&amp;K93&amp;", Puno, Peru"," ","+"),"&amp;","y"),"#","")),"Ver en mapa")</f>
        <v>Ver en mapa</v>
      </c>
      <c r="W93" s="72"/>
      <c r="X93" s="72"/>
      <c r="Y93" s="72"/>
      <c r="Z93" s="55" t="s">
        <v>2494</v>
      </c>
      <c r="AA93" s="72"/>
      <c r="AB93" s="56"/>
      <c r="AC93" s="77" t="str">
        <f aca="false">IF(AND(ISNUMBER(S93),ISNUMBER(T93),ISNUMBER(14_Cercania!$C$6),ISNUMBER(14_Cercania!$C$7)),6371*2*ASIN(SQRT(SIN(RADIANS(14_Cercania!$C$6-S93)/2)^2+COS(RADIANS(S93))*COS(RADIANS(14_Cercania!$C$6))*SIN(RADIANS(14_Cercania!$C$7-T93)/2)^2))+ROW()*0.000000001,"")</f>
        <v/>
      </c>
    </row>
    <row r="94" customFormat="false" ht="15" hidden="false" customHeight="false" outlineLevel="0" collapsed="false">
      <c r="A94" s="62" t="n">
        <v>92</v>
      </c>
      <c r="B94" s="63"/>
      <c r="C94" s="62"/>
      <c r="D94" s="63"/>
      <c r="E94" s="71"/>
      <c r="F94" s="72"/>
      <c r="G94" s="72"/>
      <c r="H94" s="72"/>
      <c r="I94" s="72"/>
      <c r="J94" s="72"/>
      <c r="K94" s="63"/>
      <c r="L94" s="72"/>
      <c r="M94" s="62"/>
      <c r="N94" s="78"/>
      <c r="O94" s="78" t="s">
        <v>2490</v>
      </c>
      <c r="P94" s="62" t="s">
        <v>2491</v>
      </c>
      <c r="Q94" s="62" t="s">
        <v>2491</v>
      </c>
      <c r="R94" s="62" t="s">
        <v>2491</v>
      </c>
      <c r="S94" s="83"/>
      <c r="T94" s="83"/>
      <c r="U94" s="57" t="s">
        <v>2538</v>
      </c>
      <c r="V94" s="80" t="str">
        <f aca="false">HYPERLINK(IF(AND(ISNUMBER(S94),ISNUMBER(T94)),"https://www.google.com/maps/search/?api=1&amp;query="&amp;S94&amp;","&amp;T94,"https://www.google.com/maps/search/?api=1&amp;query="&amp;SUBSTITUTE(SUBSTITUTE(SUBSTITUTE(B94&amp;", "&amp;K94&amp;", Puno, Peru"," ","+"),"&amp;","y"),"#","")),"Ver en mapa")</f>
        <v>Ver en mapa</v>
      </c>
      <c r="W94" s="72"/>
      <c r="X94" s="72"/>
      <c r="Y94" s="72"/>
      <c r="Z94" s="62" t="s">
        <v>2494</v>
      </c>
      <c r="AA94" s="72"/>
      <c r="AB94" s="63"/>
      <c r="AC94" s="81" t="str">
        <f aca="false">IF(AND(ISNUMBER(S94),ISNUMBER(T94),ISNUMBER(14_Cercania!$C$6),ISNUMBER(14_Cercania!$C$7)),6371*2*ASIN(SQRT(SIN(RADIANS(14_Cercania!$C$6-S94)/2)^2+COS(RADIANS(S94))*COS(RADIANS(14_Cercania!$C$6))*SIN(RADIANS(14_Cercania!$C$7-T94)/2)^2))+ROW()*0.000000001,"")</f>
        <v/>
      </c>
    </row>
    <row r="95" customFormat="false" ht="15" hidden="false" customHeight="false" outlineLevel="0" collapsed="false">
      <c r="A95" s="55" t="n">
        <v>93</v>
      </c>
      <c r="B95" s="56"/>
      <c r="C95" s="55"/>
      <c r="D95" s="56"/>
      <c r="E95" s="71"/>
      <c r="F95" s="72"/>
      <c r="G95" s="72"/>
      <c r="H95" s="72"/>
      <c r="I95" s="72"/>
      <c r="J95" s="72"/>
      <c r="K95" s="56"/>
      <c r="L95" s="72"/>
      <c r="M95" s="55"/>
      <c r="N95" s="73"/>
      <c r="O95" s="73" t="s">
        <v>2490</v>
      </c>
      <c r="P95" s="55" t="s">
        <v>2491</v>
      </c>
      <c r="Q95" s="55" t="s">
        <v>2491</v>
      </c>
      <c r="R95" s="55" t="s">
        <v>2491</v>
      </c>
      <c r="S95" s="83"/>
      <c r="T95" s="83"/>
      <c r="U95" s="57" t="s">
        <v>2538</v>
      </c>
      <c r="V95" s="76" t="str">
        <f aca="false">HYPERLINK(IF(AND(ISNUMBER(S95),ISNUMBER(T95)),"https://www.google.com/maps/search/?api=1&amp;query="&amp;S95&amp;","&amp;T95,"https://www.google.com/maps/search/?api=1&amp;query="&amp;SUBSTITUTE(SUBSTITUTE(SUBSTITUTE(B95&amp;", "&amp;K95&amp;", Puno, Peru"," ","+"),"&amp;","y"),"#","")),"Ver en mapa")</f>
        <v>Ver en mapa</v>
      </c>
      <c r="W95" s="72"/>
      <c r="X95" s="72"/>
      <c r="Y95" s="72"/>
      <c r="Z95" s="55" t="s">
        <v>2494</v>
      </c>
      <c r="AA95" s="72"/>
      <c r="AB95" s="56"/>
      <c r="AC95" s="77" t="str">
        <f aca="false">IF(AND(ISNUMBER(S95),ISNUMBER(T95),ISNUMBER(14_Cercania!$C$6),ISNUMBER(14_Cercania!$C$7)),6371*2*ASIN(SQRT(SIN(RADIANS(14_Cercania!$C$6-S95)/2)^2+COS(RADIANS(S95))*COS(RADIANS(14_Cercania!$C$6))*SIN(RADIANS(14_Cercania!$C$7-T95)/2)^2))+ROW()*0.000000001,"")</f>
        <v/>
      </c>
    </row>
    <row r="96" customFormat="false" ht="15" hidden="false" customHeight="false" outlineLevel="0" collapsed="false">
      <c r="A96" s="62" t="n">
        <v>94</v>
      </c>
      <c r="B96" s="63"/>
      <c r="C96" s="62"/>
      <c r="D96" s="63"/>
      <c r="E96" s="71"/>
      <c r="F96" s="72"/>
      <c r="G96" s="72"/>
      <c r="H96" s="72"/>
      <c r="I96" s="72"/>
      <c r="J96" s="72"/>
      <c r="K96" s="63"/>
      <c r="L96" s="72"/>
      <c r="M96" s="62"/>
      <c r="N96" s="78"/>
      <c r="O96" s="78" t="s">
        <v>2490</v>
      </c>
      <c r="P96" s="62" t="s">
        <v>2491</v>
      </c>
      <c r="Q96" s="62" t="s">
        <v>2491</v>
      </c>
      <c r="R96" s="62" t="s">
        <v>2491</v>
      </c>
      <c r="S96" s="83"/>
      <c r="T96" s="83"/>
      <c r="U96" s="57" t="s">
        <v>2538</v>
      </c>
      <c r="V96" s="80" t="str">
        <f aca="false">HYPERLINK(IF(AND(ISNUMBER(S96),ISNUMBER(T96)),"https://www.google.com/maps/search/?api=1&amp;query="&amp;S96&amp;","&amp;T96,"https://www.google.com/maps/search/?api=1&amp;query="&amp;SUBSTITUTE(SUBSTITUTE(SUBSTITUTE(B96&amp;", "&amp;K96&amp;", Puno, Peru"," ","+"),"&amp;","y"),"#","")),"Ver en mapa")</f>
        <v>Ver en mapa</v>
      </c>
      <c r="W96" s="72"/>
      <c r="X96" s="72"/>
      <c r="Y96" s="72"/>
      <c r="Z96" s="62" t="s">
        <v>2494</v>
      </c>
      <c r="AA96" s="72"/>
      <c r="AB96" s="63"/>
      <c r="AC96" s="81" t="str">
        <f aca="false">IF(AND(ISNUMBER(S96),ISNUMBER(T96),ISNUMBER(14_Cercania!$C$6),ISNUMBER(14_Cercania!$C$7)),6371*2*ASIN(SQRT(SIN(RADIANS(14_Cercania!$C$6-S96)/2)^2+COS(RADIANS(S96))*COS(RADIANS(14_Cercania!$C$6))*SIN(RADIANS(14_Cercania!$C$7-T96)/2)^2))+ROW()*0.000000001,"")</f>
        <v/>
      </c>
    </row>
    <row r="97" customFormat="false" ht="15" hidden="false" customHeight="false" outlineLevel="0" collapsed="false">
      <c r="A97" s="55" t="n">
        <v>95</v>
      </c>
      <c r="B97" s="56"/>
      <c r="C97" s="55"/>
      <c r="D97" s="56"/>
      <c r="E97" s="71"/>
      <c r="F97" s="72"/>
      <c r="G97" s="72"/>
      <c r="H97" s="72"/>
      <c r="I97" s="72"/>
      <c r="J97" s="72"/>
      <c r="K97" s="56"/>
      <c r="L97" s="72"/>
      <c r="M97" s="55"/>
      <c r="N97" s="73"/>
      <c r="O97" s="73" t="s">
        <v>2490</v>
      </c>
      <c r="P97" s="55" t="s">
        <v>2491</v>
      </c>
      <c r="Q97" s="55" t="s">
        <v>2491</v>
      </c>
      <c r="R97" s="55" t="s">
        <v>2491</v>
      </c>
      <c r="S97" s="83"/>
      <c r="T97" s="83"/>
      <c r="U97" s="57" t="s">
        <v>2538</v>
      </c>
      <c r="V97" s="76" t="str">
        <f aca="false">HYPERLINK(IF(AND(ISNUMBER(S97),ISNUMBER(T97)),"https://www.google.com/maps/search/?api=1&amp;query="&amp;S97&amp;","&amp;T97,"https://www.google.com/maps/search/?api=1&amp;query="&amp;SUBSTITUTE(SUBSTITUTE(SUBSTITUTE(B97&amp;", "&amp;K97&amp;", Puno, Peru"," ","+"),"&amp;","y"),"#","")),"Ver en mapa")</f>
        <v>Ver en mapa</v>
      </c>
      <c r="W97" s="72"/>
      <c r="X97" s="72"/>
      <c r="Y97" s="72"/>
      <c r="Z97" s="55" t="s">
        <v>2494</v>
      </c>
      <c r="AA97" s="72"/>
      <c r="AB97" s="56"/>
      <c r="AC97" s="77" t="str">
        <f aca="false">IF(AND(ISNUMBER(S97),ISNUMBER(T97),ISNUMBER(14_Cercania!$C$6),ISNUMBER(14_Cercania!$C$7)),6371*2*ASIN(SQRT(SIN(RADIANS(14_Cercania!$C$6-S97)/2)^2+COS(RADIANS(S97))*COS(RADIANS(14_Cercania!$C$6))*SIN(RADIANS(14_Cercania!$C$7-T97)/2)^2))+ROW()*0.000000001,"")</f>
        <v/>
      </c>
    </row>
    <row r="98" customFormat="false" ht="15" hidden="false" customHeight="false" outlineLevel="0" collapsed="false">
      <c r="A98" s="62" t="n">
        <v>96</v>
      </c>
      <c r="B98" s="63"/>
      <c r="C98" s="62"/>
      <c r="D98" s="63"/>
      <c r="E98" s="71"/>
      <c r="F98" s="72"/>
      <c r="G98" s="72"/>
      <c r="H98" s="72"/>
      <c r="I98" s="72"/>
      <c r="J98" s="72"/>
      <c r="K98" s="63"/>
      <c r="L98" s="72"/>
      <c r="M98" s="62"/>
      <c r="N98" s="78"/>
      <c r="O98" s="78" t="s">
        <v>2490</v>
      </c>
      <c r="P98" s="62" t="s">
        <v>2491</v>
      </c>
      <c r="Q98" s="62" t="s">
        <v>2491</v>
      </c>
      <c r="R98" s="62" t="s">
        <v>2491</v>
      </c>
      <c r="S98" s="83"/>
      <c r="T98" s="83"/>
      <c r="U98" s="57" t="s">
        <v>2538</v>
      </c>
      <c r="V98" s="80" t="str">
        <f aca="false">HYPERLINK(IF(AND(ISNUMBER(S98),ISNUMBER(T98)),"https://www.google.com/maps/search/?api=1&amp;query="&amp;S98&amp;","&amp;T98,"https://www.google.com/maps/search/?api=1&amp;query="&amp;SUBSTITUTE(SUBSTITUTE(SUBSTITUTE(B98&amp;", "&amp;K98&amp;", Puno, Peru"," ","+"),"&amp;","y"),"#","")),"Ver en mapa")</f>
        <v>Ver en mapa</v>
      </c>
      <c r="W98" s="72"/>
      <c r="X98" s="72"/>
      <c r="Y98" s="72"/>
      <c r="Z98" s="62" t="s">
        <v>2494</v>
      </c>
      <c r="AA98" s="72"/>
      <c r="AB98" s="63"/>
      <c r="AC98" s="81" t="str">
        <f aca="false">IF(AND(ISNUMBER(S98),ISNUMBER(T98),ISNUMBER(14_Cercania!$C$6),ISNUMBER(14_Cercania!$C$7)),6371*2*ASIN(SQRT(SIN(RADIANS(14_Cercania!$C$6-S98)/2)^2+COS(RADIANS(S98))*COS(RADIANS(14_Cercania!$C$6))*SIN(RADIANS(14_Cercania!$C$7-T98)/2)^2))+ROW()*0.000000001,"")</f>
        <v/>
      </c>
    </row>
    <row r="99" customFormat="false" ht="15" hidden="false" customHeight="false" outlineLevel="0" collapsed="false">
      <c r="A99" s="55" t="n">
        <v>97</v>
      </c>
      <c r="B99" s="56"/>
      <c r="C99" s="55"/>
      <c r="D99" s="56"/>
      <c r="E99" s="71"/>
      <c r="F99" s="72"/>
      <c r="G99" s="72"/>
      <c r="H99" s="72"/>
      <c r="I99" s="72"/>
      <c r="J99" s="72"/>
      <c r="K99" s="56"/>
      <c r="L99" s="72"/>
      <c r="M99" s="55"/>
      <c r="N99" s="73"/>
      <c r="O99" s="73" t="s">
        <v>2490</v>
      </c>
      <c r="P99" s="55" t="s">
        <v>2491</v>
      </c>
      <c r="Q99" s="55" t="s">
        <v>2491</v>
      </c>
      <c r="R99" s="55" t="s">
        <v>2491</v>
      </c>
      <c r="S99" s="83"/>
      <c r="T99" s="83"/>
      <c r="U99" s="57" t="s">
        <v>2538</v>
      </c>
      <c r="V99" s="76" t="str">
        <f aca="false">HYPERLINK(IF(AND(ISNUMBER(S99),ISNUMBER(T99)),"https://www.google.com/maps/search/?api=1&amp;query="&amp;S99&amp;","&amp;T99,"https://www.google.com/maps/search/?api=1&amp;query="&amp;SUBSTITUTE(SUBSTITUTE(SUBSTITUTE(B99&amp;", "&amp;K99&amp;", Puno, Peru"," ","+"),"&amp;","y"),"#","")),"Ver en mapa")</f>
        <v>Ver en mapa</v>
      </c>
      <c r="W99" s="72"/>
      <c r="X99" s="72"/>
      <c r="Y99" s="72"/>
      <c r="Z99" s="55" t="s">
        <v>2494</v>
      </c>
      <c r="AA99" s="72"/>
      <c r="AB99" s="56"/>
      <c r="AC99" s="77" t="str">
        <f aca="false">IF(AND(ISNUMBER(S99),ISNUMBER(T99),ISNUMBER(14_Cercania!$C$6),ISNUMBER(14_Cercania!$C$7)),6371*2*ASIN(SQRT(SIN(RADIANS(14_Cercania!$C$6-S99)/2)^2+COS(RADIANS(S99))*COS(RADIANS(14_Cercania!$C$6))*SIN(RADIANS(14_Cercania!$C$7-T99)/2)^2))+ROW()*0.000000001,"")</f>
        <v/>
      </c>
    </row>
    <row r="100" customFormat="false" ht="15" hidden="false" customHeight="false" outlineLevel="0" collapsed="false">
      <c r="A100" s="62" t="n">
        <v>98</v>
      </c>
      <c r="B100" s="63"/>
      <c r="C100" s="62"/>
      <c r="D100" s="63"/>
      <c r="E100" s="71"/>
      <c r="F100" s="72"/>
      <c r="G100" s="72"/>
      <c r="H100" s="72"/>
      <c r="I100" s="72"/>
      <c r="J100" s="72"/>
      <c r="K100" s="63"/>
      <c r="L100" s="72"/>
      <c r="M100" s="62"/>
      <c r="N100" s="78"/>
      <c r="O100" s="78" t="s">
        <v>2490</v>
      </c>
      <c r="P100" s="62" t="s">
        <v>2491</v>
      </c>
      <c r="Q100" s="62" t="s">
        <v>2491</v>
      </c>
      <c r="R100" s="62" t="s">
        <v>2491</v>
      </c>
      <c r="S100" s="83"/>
      <c r="T100" s="83"/>
      <c r="U100" s="57" t="s">
        <v>2538</v>
      </c>
      <c r="V100" s="80" t="str">
        <f aca="false">HYPERLINK(IF(AND(ISNUMBER(S100),ISNUMBER(T100)),"https://www.google.com/maps/search/?api=1&amp;query="&amp;S100&amp;","&amp;T100,"https://www.google.com/maps/search/?api=1&amp;query="&amp;SUBSTITUTE(SUBSTITUTE(SUBSTITUTE(B100&amp;", "&amp;K100&amp;", Puno, Peru"," ","+"),"&amp;","y"),"#","")),"Ver en mapa")</f>
        <v>Ver en mapa</v>
      </c>
      <c r="W100" s="72"/>
      <c r="X100" s="72"/>
      <c r="Y100" s="72"/>
      <c r="Z100" s="62" t="s">
        <v>2494</v>
      </c>
      <c r="AA100" s="72"/>
      <c r="AB100" s="63"/>
      <c r="AC100" s="81" t="str">
        <f aca="false">IF(AND(ISNUMBER(S100),ISNUMBER(T100),ISNUMBER(14_Cercania!$C$6),ISNUMBER(14_Cercania!$C$7)),6371*2*ASIN(SQRT(SIN(RADIANS(14_Cercania!$C$6-S100)/2)^2+COS(RADIANS(S100))*COS(RADIANS(14_Cercania!$C$6))*SIN(RADIANS(14_Cercania!$C$7-T100)/2)^2))+ROW()*0.000000001,"")</f>
        <v/>
      </c>
    </row>
    <row r="101" customFormat="false" ht="15" hidden="false" customHeight="false" outlineLevel="0" collapsed="false">
      <c r="A101" s="55" t="n">
        <v>99</v>
      </c>
      <c r="B101" s="56"/>
      <c r="C101" s="55"/>
      <c r="D101" s="56"/>
      <c r="E101" s="71"/>
      <c r="F101" s="72"/>
      <c r="G101" s="72"/>
      <c r="H101" s="72"/>
      <c r="I101" s="72"/>
      <c r="J101" s="72"/>
      <c r="K101" s="56"/>
      <c r="L101" s="72"/>
      <c r="M101" s="55"/>
      <c r="N101" s="73"/>
      <c r="O101" s="73" t="s">
        <v>2490</v>
      </c>
      <c r="P101" s="55" t="s">
        <v>2491</v>
      </c>
      <c r="Q101" s="55" t="s">
        <v>2491</v>
      </c>
      <c r="R101" s="55" t="s">
        <v>2491</v>
      </c>
      <c r="S101" s="83"/>
      <c r="T101" s="83"/>
      <c r="U101" s="57" t="s">
        <v>2538</v>
      </c>
      <c r="V101" s="76" t="str">
        <f aca="false">HYPERLINK(IF(AND(ISNUMBER(S101),ISNUMBER(T101)),"https://www.google.com/maps/search/?api=1&amp;query="&amp;S101&amp;","&amp;T101,"https://www.google.com/maps/search/?api=1&amp;query="&amp;SUBSTITUTE(SUBSTITUTE(SUBSTITUTE(B101&amp;", "&amp;K101&amp;", Puno, Peru"," ","+"),"&amp;","y"),"#","")),"Ver en mapa")</f>
        <v>Ver en mapa</v>
      </c>
      <c r="W101" s="72"/>
      <c r="X101" s="72"/>
      <c r="Y101" s="72"/>
      <c r="Z101" s="55" t="s">
        <v>2494</v>
      </c>
      <c r="AA101" s="72"/>
      <c r="AB101" s="56"/>
      <c r="AC101" s="77" t="str">
        <f aca="false">IF(AND(ISNUMBER(S101),ISNUMBER(T101),ISNUMBER(14_Cercania!$C$6),ISNUMBER(14_Cercania!$C$7)),6371*2*ASIN(SQRT(SIN(RADIANS(14_Cercania!$C$6-S101)/2)^2+COS(RADIANS(S101))*COS(RADIANS(14_Cercania!$C$6))*SIN(RADIANS(14_Cercania!$C$7-T101)/2)^2))+ROW()*0.000000001,"")</f>
        <v/>
      </c>
    </row>
    <row r="102" customFormat="false" ht="15" hidden="false" customHeight="false" outlineLevel="0" collapsed="false">
      <c r="A102" s="62" t="n">
        <v>100</v>
      </c>
      <c r="B102" s="63"/>
      <c r="C102" s="62"/>
      <c r="D102" s="63"/>
      <c r="E102" s="71"/>
      <c r="F102" s="72"/>
      <c r="G102" s="72"/>
      <c r="H102" s="72"/>
      <c r="I102" s="72"/>
      <c r="J102" s="72"/>
      <c r="K102" s="63"/>
      <c r="L102" s="72"/>
      <c r="M102" s="62"/>
      <c r="N102" s="78"/>
      <c r="O102" s="78" t="s">
        <v>2490</v>
      </c>
      <c r="P102" s="62" t="s">
        <v>2491</v>
      </c>
      <c r="Q102" s="62" t="s">
        <v>2491</v>
      </c>
      <c r="R102" s="62" t="s">
        <v>2491</v>
      </c>
      <c r="S102" s="83"/>
      <c r="T102" s="83"/>
      <c r="U102" s="57" t="s">
        <v>2538</v>
      </c>
      <c r="V102" s="80" t="str">
        <f aca="false">HYPERLINK(IF(AND(ISNUMBER(S102),ISNUMBER(T102)),"https://www.google.com/maps/search/?api=1&amp;query="&amp;S102&amp;","&amp;T102,"https://www.google.com/maps/search/?api=1&amp;query="&amp;SUBSTITUTE(SUBSTITUTE(SUBSTITUTE(B102&amp;", "&amp;K102&amp;", Puno, Peru"," ","+"),"&amp;","y"),"#","")),"Ver en mapa")</f>
        <v>Ver en mapa</v>
      </c>
      <c r="W102" s="72"/>
      <c r="X102" s="72"/>
      <c r="Y102" s="72"/>
      <c r="Z102" s="62" t="s">
        <v>2494</v>
      </c>
      <c r="AA102" s="72"/>
      <c r="AB102" s="63"/>
      <c r="AC102" s="81" t="str">
        <f aca="false">IF(AND(ISNUMBER(S102),ISNUMBER(T102),ISNUMBER(14_Cercania!$C$6),ISNUMBER(14_Cercania!$C$7)),6371*2*ASIN(SQRT(SIN(RADIANS(14_Cercania!$C$6-S102)/2)^2+COS(RADIANS(S102))*COS(RADIANS(14_Cercania!$C$6))*SIN(RADIANS(14_Cercania!$C$7-T102)/2)^2))+ROW()*0.000000001,"")</f>
        <v/>
      </c>
    </row>
    <row r="103" customFormat="false" ht="15" hidden="false" customHeight="false" outlineLevel="0" collapsed="false">
      <c r="A103" s="55" t="n">
        <v>101</v>
      </c>
      <c r="B103" s="56"/>
      <c r="C103" s="55"/>
      <c r="D103" s="56"/>
      <c r="E103" s="71"/>
      <c r="F103" s="72"/>
      <c r="G103" s="72"/>
      <c r="H103" s="72"/>
      <c r="I103" s="72"/>
      <c r="J103" s="72"/>
      <c r="K103" s="56"/>
      <c r="L103" s="72"/>
      <c r="M103" s="55"/>
      <c r="N103" s="73"/>
      <c r="O103" s="73" t="s">
        <v>2490</v>
      </c>
      <c r="P103" s="55" t="s">
        <v>2491</v>
      </c>
      <c r="Q103" s="55" t="s">
        <v>2491</v>
      </c>
      <c r="R103" s="55" t="s">
        <v>2491</v>
      </c>
      <c r="S103" s="83"/>
      <c r="T103" s="83"/>
      <c r="U103" s="57" t="s">
        <v>2538</v>
      </c>
      <c r="V103" s="76" t="str">
        <f aca="false">HYPERLINK(IF(AND(ISNUMBER(S103),ISNUMBER(T103)),"https://www.google.com/maps/search/?api=1&amp;query="&amp;S103&amp;","&amp;T103,"https://www.google.com/maps/search/?api=1&amp;query="&amp;SUBSTITUTE(SUBSTITUTE(SUBSTITUTE(B103&amp;", "&amp;K103&amp;", Puno, Peru"," ","+"),"&amp;","y"),"#","")),"Ver en mapa")</f>
        <v>Ver en mapa</v>
      </c>
      <c r="W103" s="72"/>
      <c r="X103" s="72"/>
      <c r="Y103" s="72"/>
      <c r="Z103" s="55" t="s">
        <v>2494</v>
      </c>
      <c r="AA103" s="72"/>
      <c r="AB103" s="56"/>
      <c r="AC103" s="77" t="str">
        <f aca="false">IF(AND(ISNUMBER(S103),ISNUMBER(T103),ISNUMBER(14_Cercania!$C$6),ISNUMBER(14_Cercania!$C$7)),6371*2*ASIN(SQRT(SIN(RADIANS(14_Cercania!$C$6-S103)/2)^2+COS(RADIANS(S103))*COS(RADIANS(14_Cercania!$C$6))*SIN(RADIANS(14_Cercania!$C$7-T103)/2)^2))+ROW()*0.000000001,"")</f>
        <v/>
      </c>
    </row>
    <row r="104" customFormat="false" ht="15" hidden="false" customHeight="false" outlineLevel="0" collapsed="false">
      <c r="A104" s="62" t="n">
        <v>102</v>
      </c>
      <c r="B104" s="63"/>
      <c r="C104" s="62"/>
      <c r="D104" s="63"/>
      <c r="E104" s="71"/>
      <c r="F104" s="72"/>
      <c r="G104" s="72"/>
      <c r="H104" s="72"/>
      <c r="I104" s="72"/>
      <c r="J104" s="72"/>
      <c r="K104" s="63"/>
      <c r="L104" s="72"/>
      <c r="M104" s="62"/>
      <c r="N104" s="78"/>
      <c r="O104" s="78" t="s">
        <v>2490</v>
      </c>
      <c r="P104" s="62" t="s">
        <v>2491</v>
      </c>
      <c r="Q104" s="62" t="s">
        <v>2491</v>
      </c>
      <c r="R104" s="62" t="s">
        <v>2491</v>
      </c>
      <c r="S104" s="83"/>
      <c r="T104" s="83"/>
      <c r="U104" s="57" t="s">
        <v>2538</v>
      </c>
      <c r="V104" s="80" t="str">
        <f aca="false">HYPERLINK(IF(AND(ISNUMBER(S104),ISNUMBER(T104)),"https://www.google.com/maps/search/?api=1&amp;query="&amp;S104&amp;","&amp;T104,"https://www.google.com/maps/search/?api=1&amp;query="&amp;SUBSTITUTE(SUBSTITUTE(SUBSTITUTE(B104&amp;", "&amp;K104&amp;", Puno, Peru"," ","+"),"&amp;","y"),"#","")),"Ver en mapa")</f>
        <v>Ver en mapa</v>
      </c>
      <c r="W104" s="72"/>
      <c r="X104" s="72"/>
      <c r="Y104" s="72"/>
      <c r="Z104" s="62" t="s">
        <v>2494</v>
      </c>
      <c r="AA104" s="72"/>
      <c r="AB104" s="63"/>
      <c r="AC104" s="81" t="str">
        <f aca="false">IF(AND(ISNUMBER(S104),ISNUMBER(T104),ISNUMBER(14_Cercania!$C$6),ISNUMBER(14_Cercania!$C$7)),6371*2*ASIN(SQRT(SIN(RADIANS(14_Cercania!$C$6-S104)/2)^2+COS(RADIANS(S104))*COS(RADIANS(14_Cercania!$C$6))*SIN(RADIANS(14_Cercania!$C$7-T104)/2)^2))+ROW()*0.000000001,"")</f>
        <v/>
      </c>
    </row>
    <row r="105" customFormat="false" ht="15" hidden="false" customHeight="false" outlineLevel="0" collapsed="false">
      <c r="A105" s="55" t="n">
        <v>103</v>
      </c>
      <c r="B105" s="56"/>
      <c r="C105" s="55"/>
      <c r="D105" s="56"/>
      <c r="E105" s="71"/>
      <c r="F105" s="72"/>
      <c r="G105" s="72"/>
      <c r="H105" s="72"/>
      <c r="I105" s="72"/>
      <c r="J105" s="72"/>
      <c r="K105" s="56"/>
      <c r="L105" s="72"/>
      <c r="M105" s="55"/>
      <c r="N105" s="73"/>
      <c r="O105" s="73" t="s">
        <v>2490</v>
      </c>
      <c r="P105" s="55" t="s">
        <v>2491</v>
      </c>
      <c r="Q105" s="55" t="s">
        <v>2491</v>
      </c>
      <c r="R105" s="55" t="s">
        <v>2491</v>
      </c>
      <c r="S105" s="83"/>
      <c r="T105" s="83"/>
      <c r="U105" s="57" t="s">
        <v>2538</v>
      </c>
      <c r="V105" s="76" t="str">
        <f aca="false">HYPERLINK(IF(AND(ISNUMBER(S105),ISNUMBER(T105)),"https://www.google.com/maps/search/?api=1&amp;query="&amp;S105&amp;","&amp;T105,"https://www.google.com/maps/search/?api=1&amp;query="&amp;SUBSTITUTE(SUBSTITUTE(SUBSTITUTE(B105&amp;", "&amp;K105&amp;", Puno, Peru"," ","+"),"&amp;","y"),"#","")),"Ver en mapa")</f>
        <v>Ver en mapa</v>
      </c>
      <c r="W105" s="72"/>
      <c r="X105" s="72"/>
      <c r="Y105" s="72"/>
      <c r="Z105" s="55" t="s">
        <v>2494</v>
      </c>
      <c r="AA105" s="72"/>
      <c r="AB105" s="56"/>
      <c r="AC105" s="77" t="str">
        <f aca="false">IF(AND(ISNUMBER(S105),ISNUMBER(T105),ISNUMBER(14_Cercania!$C$6),ISNUMBER(14_Cercania!$C$7)),6371*2*ASIN(SQRT(SIN(RADIANS(14_Cercania!$C$6-S105)/2)^2+COS(RADIANS(S105))*COS(RADIANS(14_Cercania!$C$6))*SIN(RADIANS(14_Cercania!$C$7-T105)/2)^2))+ROW()*0.000000001,"")</f>
        <v/>
      </c>
    </row>
    <row r="106" customFormat="false" ht="15" hidden="false" customHeight="false" outlineLevel="0" collapsed="false">
      <c r="A106" s="62" t="n">
        <v>104</v>
      </c>
      <c r="B106" s="63"/>
      <c r="C106" s="62"/>
      <c r="D106" s="63"/>
      <c r="E106" s="71"/>
      <c r="F106" s="72"/>
      <c r="G106" s="72"/>
      <c r="H106" s="72"/>
      <c r="I106" s="72"/>
      <c r="J106" s="72"/>
      <c r="K106" s="63"/>
      <c r="L106" s="72"/>
      <c r="M106" s="62"/>
      <c r="N106" s="78"/>
      <c r="O106" s="78" t="s">
        <v>2490</v>
      </c>
      <c r="P106" s="62" t="s">
        <v>2491</v>
      </c>
      <c r="Q106" s="62" t="s">
        <v>2491</v>
      </c>
      <c r="R106" s="62" t="s">
        <v>2491</v>
      </c>
      <c r="S106" s="83"/>
      <c r="T106" s="83"/>
      <c r="U106" s="57" t="s">
        <v>2538</v>
      </c>
      <c r="V106" s="80" t="str">
        <f aca="false">HYPERLINK(IF(AND(ISNUMBER(S106),ISNUMBER(T106)),"https://www.google.com/maps/search/?api=1&amp;query="&amp;S106&amp;","&amp;T106,"https://www.google.com/maps/search/?api=1&amp;query="&amp;SUBSTITUTE(SUBSTITUTE(SUBSTITUTE(B106&amp;", "&amp;K106&amp;", Puno, Peru"," ","+"),"&amp;","y"),"#","")),"Ver en mapa")</f>
        <v>Ver en mapa</v>
      </c>
      <c r="W106" s="72"/>
      <c r="X106" s="72"/>
      <c r="Y106" s="72"/>
      <c r="Z106" s="62" t="s">
        <v>2494</v>
      </c>
      <c r="AA106" s="72"/>
      <c r="AB106" s="63"/>
      <c r="AC106" s="81" t="str">
        <f aca="false">IF(AND(ISNUMBER(S106),ISNUMBER(T106),ISNUMBER(14_Cercania!$C$6),ISNUMBER(14_Cercania!$C$7)),6371*2*ASIN(SQRT(SIN(RADIANS(14_Cercania!$C$6-S106)/2)^2+COS(RADIANS(S106))*COS(RADIANS(14_Cercania!$C$6))*SIN(RADIANS(14_Cercania!$C$7-T106)/2)^2))+ROW()*0.000000001,"")</f>
        <v/>
      </c>
    </row>
    <row r="107" customFormat="false" ht="15" hidden="false" customHeight="false" outlineLevel="0" collapsed="false">
      <c r="A107" s="55" t="n">
        <v>105</v>
      </c>
      <c r="B107" s="56"/>
      <c r="C107" s="55"/>
      <c r="D107" s="56"/>
      <c r="E107" s="71"/>
      <c r="F107" s="72"/>
      <c r="G107" s="72"/>
      <c r="H107" s="72"/>
      <c r="I107" s="72"/>
      <c r="J107" s="72"/>
      <c r="K107" s="56"/>
      <c r="L107" s="72"/>
      <c r="M107" s="55"/>
      <c r="N107" s="73"/>
      <c r="O107" s="73" t="s">
        <v>2490</v>
      </c>
      <c r="P107" s="55" t="s">
        <v>2491</v>
      </c>
      <c r="Q107" s="55" t="s">
        <v>2491</v>
      </c>
      <c r="R107" s="55" t="s">
        <v>2491</v>
      </c>
      <c r="S107" s="83"/>
      <c r="T107" s="83"/>
      <c r="U107" s="57" t="s">
        <v>2538</v>
      </c>
      <c r="V107" s="76" t="str">
        <f aca="false">HYPERLINK(IF(AND(ISNUMBER(S107),ISNUMBER(T107)),"https://www.google.com/maps/search/?api=1&amp;query="&amp;S107&amp;","&amp;T107,"https://www.google.com/maps/search/?api=1&amp;query="&amp;SUBSTITUTE(SUBSTITUTE(SUBSTITUTE(B107&amp;", "&amp;K107&amp;", Puno, Peru"," ","+"),"&amp;","y"),"#","")),"Ver en mapa")</f>
        <v>Ver en mapa</v>
      </c>
      <c r="W107" s="72"/>
      <c r="X107" s="72"/>
      <c r="Y107" s="72"/>
      <c r="Z107" s="55" t="s">
        <v>2494</v>
      </c>
      <c r="AA107" s="72"/>
      <c r="AB107" s="56"/>
      <c r="AC107" s="77" t="str">
        <f aca="false">IF(AND(ISNUMBER(S107),ISNUMBER(T107),ISNUMBER(14_Cercania!$C$6),ISNUMBER(14_Cercania!$C$7)),6371*2*ASIN(SQRT(SIN(RADIANS(14_Cercania!$C$6-S107)/2)^2+COS(RADIANS(S107))*COS(RADIANS(14_Cercania!$C$6))*SIN(RADIANS(14_Cercania!$C$7-T107)/2)^2))+ROW()*0.000000001,"")</f>
        <v/>
      </c>
    </row>
    <row r="108" customFormat="false" ht="15" hidden="false" customHeight="false" outlineLevel="0" collapsed="false">
      <c r="A108" s="62" t="n">
        <v>106</v>
      </c>
      <c r="B108" s="63"/>
      <c r="C108" s="62"/>
      <c r="D108" s="63"/>
      <c r="E108" s="71"/>
      <c r="F108" s="72"/>
      <c r="G108" s="72"/>
      <c r="H108" s="72"/>
      <c r="I108" s="72"/>
      <c r="J108" s="72"/>
      <c r="K108" s="63"/>
      <c r="L108" s="72"/>
      <c r="M108" s="62"/>
      <c r="N108" s="78"/>
      <c r="O108" s="78" t="s">
        <v>2490</v>
      </c>
      <c r="P108" s="62" t="s">
        <v>2491</v>
      </c>
      <c r="Q108" s="62" t="s">
        <v>2491</v>
      </c>
      <c r="R108" s="62" t="s">
        <v>2491</v>
      </c>
      <c r="S108" s="83"/>
      <c r="T108" s="83"/>
      <c r="U108" s="57" t="s">
        <v>2538</v>
      </c>
      <c r="V108" s="80" t="str">
        <f aca="false">HYPERLINK(IF(AND(ISNUMBER(S108),ISNUMBER(T108)),"https://www.google.com/maps/search/?api=1&amp;query="&amp;S108&amp;","&amp;T108,"https://www.google.com/maps/search/?api=1&amp;query="&amp;SUBSTITUTE(SUBSTITUTE(SUBSTITUTE(B108&amp;", "&amp;K108&amp;", Puno, Peru"," ","+"),"&amp;","y"),"#","")),"Ver en mapa")</f>
        <v>Ver en mapa</v>
      </c>
      <c r="W108" s="72"/>
      <c r="X108" s="72"/>
      <c r="Y108" s="72"/>
      <c r="Z108" s="62" t="s">
        <v>2494</v>
      </c>
      <c r="AA108" s="72"/>
      <c r="AB108" s="63"/>
      <c r="AC108" s="81" t="str">
        <f aca="false">IF(AND(ISNUMBER(S108),ISNUMBER(T108),ISNUMBER(14_Cercania!$C$6),ISNUMBER(14_Cercania!$C$7)),6371*2*ASIN(SQRT(SIN(RADIANS(14_Cercania!$C$6-S108)/2)^2+COS(RADIANS(S108))*COS(RADIANS(14_Cercania!$C$6))*SIN(RADIANS(14_Cercania!$C$7-T108)/2)^2))+ROW()*0.000000001,"")</f>
        <v/>
      </c>
    </row>
    <row r="109" customFormat="false" ht="15" hidden="false" customHeight="false" outlineLevel="0" collapsed="false">
      <c r="A109" s="55" t="n">
        <v>107</v>
      </c>
      <c r="B109" s="56"/>
      <c r="C109" s="55"/>
      <c r="D109" s="56"/>
      <c r="E109" s="71"/>
      <c r="F109" s="72"/>
      <c r="G109" s="72"/>
      <c r="H109" s="72"/>
      <c r="I109" s="72"/>
      <c r="J109" s="72"/>
      <c r="K109" s="56"/>
      <c r="L109" s="72"/>
      <c r="M109" s="55"/>
      <c r="N109" s="73"/>
      <c r="O109" s="73" t="s">
        <v>2490</v>
      </c>
      <c r="P109" s="55" t="s">
        <v>2491</v>
      </c>
      <c r="Q109" s="55" t="s">
        <v>2491</v>
      </c>
      <c r="R109" s="55" t="s">
        <v>2491</v>
      </c>
      <c r="S109" s="83"/>
      <c r="T109" s="83"/>
      <c r="U109" s="57" t="s">
        <v>2538</v>
      </c>
      <c r="V109" s="76" t="str">
        <f aca="false">HYPERLINK(IF(AND(ISNUMBER(S109),ISNUMBER(T109)),"https://www.google.com/maps/search/?api=1&amp;query="&amp;S109&amp;","&amp;T109,"https://www.google.com/maps/search/?api=1&amp;query="&amp;SUBSTITUTE(SUBSTITUTE(SUBSTITUTE(B109&amp;", "&amp;K109&amp;", Puno, Peru"," ","+"),"&amp;","y"),"#","")),"Ver en mapa")</f>
        <v>Ver en mapa</v>
      </c>
      <c r="W109" s="72"/>
      <c r="X109" s="72"/>
      <c r="Y109" s="72"/>
      <c r="Z109" s="55" t="s">
        <v>2494</v>
      </c>
      <c r="AA109" s="72"/>
      <c r="AB109" s="56"/>
      <c r="AC109" s="77" t="str">
        <f aca="false">IF(AND(ISNUMBER(S109),ISNUMBER(T109),ISNUMBER(14_Cercania!$C$6),ISNUMBER(14_Cercania!$C$7)),6371*2*ASIN(SQRT(SIN(RADIANS(14_Cercania!$C$6-S109)/2)^2+COS(RADIANS(S109))*COS(RADIANS(14_Cercania!$C$6))*SIN(RADIANS(14_Cercania!$C$7-T109)/2)^2))+ROW()*0.000000001,"")</f>
        <v/>
      </c>
    </row>
    <row r="111" customFormat="false" ht="15" hidden="false" customHeight="false" outlineLevel="0" collapsed="false">
      <c r="B111" s="30" t="s">
        <v>3178</v>
      </c>
    </row>
    <row r="112" customFormat="false" ht="15" hidden="false" customHeight="false" outlineLevel="0" collapsed="false">
      <c r="B112" s="36" t="s">
        <v>3179</v>
      </c>
    </row>
    <row r="113" customFormat="false" ht="15" hidden="false" customHeight="false" outlineLevel="0" collapsed="false">
      <c r="B113" s="28" t="s">
        <v>3180</v>
      </c>
    </row>
  </sheetData>
  <autoFilter ref="A2:AC109"/>
  <mergeCells count="5">
    <mergeCell ref="A1:D1"/>
    <mergeCell ref="E1:J1"/>
    <mergeCell ref="K1:R1"/>
    <mergeCell ref="S1:V1"/>
    <mergeCell ref="W1:AB1"/>
  </mergeCells>
  <dataValidations count="8">
    <dataValidation allowBlank="true" errorStyle="stop" operator="between" showDropDown="false" showErrorMessage="false" showInputMessage="false" sqref="U3:U109" type="list">
      <formula1>"Exacta — OpenStreetMap,Exacta — GPS en campo,Exacta — Google Maps,Aproximada — misma cuadra que un local conocido,Aproximada — interpolada en la calle,Probable — confirmar,Pendiente — tomar en campo"</formula1>
      <formula2>0</formula2>
    </dataValidation>
    <dataValidation allowBlank="true" errorStyle="stop" operator="between" showDropDown="false" showErrorMessage="false" showInputMessage="false" sqref="M3:M109" type="list">
      <formula1>99_Listas!$D$2:$D$17</formula1>
      <formula2>0</formula2>
    </dataValidation>
    <dataValidation allowBlank="true" errorStyle="stop" operator="between" showDropDown="false" showErrorMessage="false" showInputMessage="false" sqref="X3:X109" type="list">
      <formula1>"Sí,No,Por confirmar"</formula1>
      <formula2>0</formula2>
    </dataValidation>
    <dataValidation allowBlank="true" errorStyle="stop" operator="between" showDropDown="false" showErrorMessage="false" showInputMessage="false" sqref="Y3:Y109" type="list">
      <formula1>"Sí,No,Por confirmar"</formula1>
      <formula2>0</formula2>
    </dataValidation>
    <dataValidation allowBlank="true" errorStyle="stop" operator="between" showDropDown="false" showErrorMessage="false" showInputMessage="false" sqref="Z3:Z109" type="list">
      <formula1>"Sin contactar,Llamado sin respuesta,Llamado - interesado,Visitado,En negociación,Convenio firmado,No interesado"</formula1>
      <formula2>0</formula2>
    </dataValidation>
    <dataValidation allowBlank="true" errorStyle="stop" operator="between" showDropDown="false" showErrorMessage="false" showInputMessage="false" sqref="C3:C109" type="list">
      <formula1>"Plataforma de delivery local,Empresa de delivery,Delivery por redes sociales,Courier / mensajería,Radio taxi,Taxi / transporte,Asociación de mototaxis,Punto de reclutamiento"</formula1>
      <formula2>0</formula2>
    </dataValidation>
    <dataValidation allowBlank="true" error="La coordenada está fuera de la ciudad de Puno." errorStyle="stop" operator="between" showDropDown="false" showErrorMessage="true" showInputMessage="false" sqref="S3:S109" type="decimal">
      <formula1>-15.95</formula1>
      <formula2>-15.75</formula2>
    </dataValidation>
    <dataValidation allowBlank="true" error="La coordenada está fuera de la ciudad de Puno." errorStyle="stop" operator="between" showDropDown="false" showErrorMessage="true" showInputMessage="false" sqref="T3:T109" type="decimal">
      <formula1>-70.12</formula1>
      <formula2>-69.95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E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28"/>
    <col collapsed="false" customWidth="true" hidden="false" outlineLevel="0" max="13" min="12" style="0" width="13"/>
    <col collapsed="false" customWidth="true" hidden="false" outlineLevel="0" max="14" min="14" style="0" width="22"/>
    <col collapsed="false" customWidth="true" hidden="false" outlineLevel="0" max="15" min="15" style="0" width="14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8" min="18" style="0" width="14"/>
    <col collapsed="false" customWidth="true" hidden="false" outlineLevel="0" max="20" min="19" style="0" width="11"/>
    <col collapsed="false" customWidth="true" hidden="false" outlineLevel="0" max="22" min="21" style="0" width="12"/>
    <col collapsed="false" customWidth="true" hidden="false" outlineLevel="0" max="23" min="23" style="0" width="20"/>
    <col collapsed="false" customWidth="true" hidden="false" outlineLevel="0" max="24" min="24" style="0" width="26"/>
    <col collapsed="false" customWidth="true" hidden="false" outlineLevel="0" max="25" min="25" style="0" width="16"/>
    <col collapsed="false" customWidth="true" hidden="false" outlineLevel="0" max="27" min="26" style="0" width="17"/>
    <col collapsed="false" customWidth="true" hidden="false" outlineLevel="0" max="28" min="28" style="0" width="14"/>
    <col collapsed="false" customWidth="true" hidden="false" outlineLevel="0" max="29" min="29" style="0" width="15"/>
    <col collapsed="false" customWidth="true" hidden="false" outlineLevel="0" max="30" min="30" style="0" width="36"/>
    <col collapsed="false" customWidth="true" hidden="false" outlineLevel="0" max="31" min="31" style="0" width="16"/>
  </cols>
  <sheetData>
    <row r="1" customFormat="false" ht="18.55" hidden="false" customHeight="false" outlineLevel="0" collapsed="false">
      <c r="B1" s="27" t="s">
        <v>3181</v>
      </c>
    </row>
    <row r="2" customFormat="false" ht="15" hidden="false" customHeight="false" outlineLevel="0" collapsed="false">
      <c r="B2" s="36" t="s">
        <v>3182</v>
      </c>
    </row>
    <row r="3" customFormat="false" ht="15" hidden="false" customHeight="false" outlineLevel="0" collapsed="false">
      <c r="B3" s="28" t="s">
        <v>3183</v>
      </c>
    </row>
    <row r="4" customFormat="false" ht="15" hidden="false" customHeight="false" outlineLevel="0" collapsed="false">
      <c r="B4" s="69" t="s">
        <v>3184</v>
      </c>
      <c r="C4" s="69"/>
      <c r="D4" s="69"/>
      <c r="E4" s="69"/>
      <c r="F4" s="69"/>
      <c r="G4" s="69"/>
      <c r="H4" s="69"/>
      <c r="I4" s="69"/>
      <c r="J4" s="69"/>
      <c r="K4" s="70" t="s">
        <v>3185</v>
      </c>
      <c r="L4" s="70"/>
      <c r="M4" s="70"/>
      <c r="N4" s="70"/>
      <c r="O4" s="70"/>
      <c r="P4" s="69" t="s">
        <v>3186</v>
      </c>
      <c r="Q4" s="69"/>
      <c r="R4" s="69"/>
      <c r="S4" s="69"/>
      <c r="T4" s="69"/>
      <c r="U4" s="69"/>
      <c r="V4" s="69"/>
      <c r="W4" s="69" t="s">
        <v>3187</v>
      </c>
      <c r="X4" s="69"/>
      <c r="Y4" s="69"/>
      <c r="Z4" s="69"/>
      <c r="AA4" s="69"/>
      <c r="AB4" s="69"/>
      <c r="AC4" s="69"/>
      <c r="AD4" s="69"/>
      <c r="AE4" s="69" t="s">
        <v>2451</v>
      </c>
    </row>
    <row r="5" customFormat="false" ht="49.5" hidden="false" customHeight="true" outlineLevel="0" collapsed="false">
      <c r="B5" s="13" t="s">
        <v>68</v>
      </c>
      <c r="C5" s="13" t="s">
        <v>3188</v>
      </c>
      <c r="D5" s="13" t="s">
        <v>3189</v>
      </c>
      <c r="E5" s="13" t="s">
        <v>3190</v>
      </c>
      <c r="F5" s="13" t="s">
        <v>2459</v>
      </c>
      <c r="G5" s="13" t="s">
        <v>2460</v>
      </c>
      <c r="H5" s="13" t="s">
        <v>3191</v>
      </c>
      <c r="I5" s="13" t="s">
        <v>153</v>
      </c>
      <c r="J5" s="13" t="s">
        <v>2466</v>
      </c>
      <c r="K5" s="13" t="s">
        <v>3192</v>
      </c>
      <c r="L5" s="13" t="s">
        <v>3193</v>
      </c>
      <c r="M5" s="13" t="s">
        <v>3194</v>
      </c>
      <c r="N5" s="13" t="s">
        <v>3195</v>
      </c>
      <c r="O5" s="13" t="s">
        <v>2473</v>
      </c>
      <c r="P5" s="13" t="s">
        <v>3196</v>
      </c>
      <c r="Q5" s="13" t="s">
        <v>3197</v>
      </c>
      <c r="R5" s="13" t="s">
        <v>3198</v>
      </c>
      <c r="S5" s="13" t="s">
        <v>70</v>
      </c>
      <c r="T5" s="13" t="s">
        <v>3199</v>
      </c>
      <c r="U5" s="13" t="s">
        <v>3200</v>
      </c>
      <c r="V5" s="13" t="s">
        <v>3201</v>
      </c>
      <c r="W5" s="13" t="s">
        <v>3202</v>
      </c>
      <c r="X5" s="13" t="s">
        <v>3203</v>
      </c>
      <c r="Y5" s="13" t="s">
        <v>3204</v>
      </c>
      <c r="Z5" s="13" t="s">
        <v>3205</v>
      </c>
      <c r="AA5" s="13" t="s">
        <v>3206</v>
      </c>
      <c r="AB5" s="13" t="s">
        <v>3207</v>
      </c>
      <c r="AC5" s="13" t="s">
        <v>138</v>
      </c>
      <c r="AD5" s="13" t="s">
        <v>3208</v>
      </c>
      <c r="AE5" s="13" t="s">
        <v>3087</v>
      </c>
    </row>
    <row r="6" customFormat="false" ht="15" hidden="false" customHeight="false" outlineLevel="0" collapsed="false">
      <c r="B6" s="88"/>
      <c r="C6" s="89" t="s">
        <v>3209</v>
      </c>
      <c r="D6" s="89" t="s">
        <v>3210</v>
      </c>
      <c r="E6" s="89" t="s">
        <v>3211</v>
      </c>
      <c r="F6" s="89" t="s">
        <v>3212</v>
      </c>
      <c r="G6" s="89" t="s">
        <v>3213</v>
      </c>
      <c r="H6" s="89" t="s">
        <v>3214</v>
      </c>
      <c r="I6" s="89" t="s">
        <v>166</v>
      </c>
      <c r="J6" s="89" t="s">
        <v>2490</v>
      </c>
      <c r="K6" s="89" t="s">
        <v>3215</v>
      </c>
      <c r="L6" s="90" t="n">
        <v>-15.8334622</v>
      </c>
      <c r="M6" s="90" t="n">
        <v>-70.0234387</v>
      </c>
      <c r="N6" s="89" t="s">
        <v>3216</v>
      </c>
      <c r="O6" s="88"/>
      <c r="P6" s="89" t="s">
        <v>3217</v>
      </c>
      <c r="Q6" s="89" t="s">
        <v>3218</v>
      </c>
      <c r="R6" s="89" t="s">
        <v>3070</v>
      </c>
      <c r="S6" s="89" t="s">
        <v>3219</v>
      </c>
      <c r="T6" s="89" t="s">
        <v>3070</v>
      </c>
      <c r="U6" s="89" t="s">
        <v>3070</v>
      </c>
      <c r="V6" s="89" t="s">
        <v>3039</v>
      </c>
      <c r="W6" s="89" t="s">
        <v>3220</v>
      </c>
      <c r="X6" s="89" t="s">
        <v>3221</v>
      </c>
      <c r="Y6" s="89" t="s">
        <v>3222</v>
      </c>
      <c r="Z6" s="89" t="s">
        <v>3070</v>
      </c>
      <c r="AA6" s="89" t="s">
        <v>3070</v>
      </c>
      <c r="AB6" s="89" t="s">
        <v>3223</v>
      </c>
      <c r="AC6" s="89" t="s">
        <v>3224</v>
      </c>
      <c r="AD6" s="89" t="s">
        <v>3225</v>
      </c>
      <c r="AE6" s="88"/>
    </row>
    <row r="7" customFormat="false" ht="15" hidden="false" customHeight="false" outlineLevel="0" collapsed="false">
      <c r="B7" s="45" t="n">
        <v>1</v>
      </c>
      <c r="C7" s="91"/>
      <c r="D7" s="91"/>
      <c r="E7" s="92"/>
      <c r="F7" s="92"/>
      <c r="G7" s="91"/>
      <c r="H7" s="91"/>
      <c r="I7" s="91"/>
      <c r="J7" s="93" t="s">
        <v>2490</v>
      </c>
      <c r="K7" s="91"/>
      <c r="L7" s="94"/>
      <c r="M7" s="94"/>
      <c r="N7" s="91"/>
      <c r="O7" s="35" t="str">
        <f aca="false">HYPERLINK(IF(AND(ISNUMBER(L7),ISNUMBER(M7)),"https://www.google.com/maps/search/?api=1&amp;query="&amp;L7&amp;","&amp;M7,"https://www.google.com/maps/search/?api=1&amp;query="&amp;SUBSTITUTE(SUBSTITUTE(SUBSTITUTE(K7&amp;", "&amp;I7&amp;", Puno, Peru"," ","+"),"&amp;","y"),"#","")),"Ver en mapa")</f>
        <v>Ver en mapa</v>
      </c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5" t="str">
        <f aca="false">IF(AND(ISNUMBER(L7),ISNUMBER(M7),ISNUMBER(14_Cercania!$C$6),ISNUMBER(14_Cercania!$C$7),AC7&lt;&gt;"Rechazado",AC7&lt;&gt;"Inactivo"),6371*2*ASIN(SQRT(SIN(RADIANS(14_Cercania!$C$6-L7)/2)^2+COS(RADIANS(L7))*COS(RADIANS(14_Cercania!$C$6))*SIN(RADIANS(14_Cercania!$C$7-M7)/2)^2))+ROW()*0.000000001,"")</f>
        <v/>
      </c>
    </row>
    <row r="8" customFormat="false" ht="15" hidden="false" customHeight="false" outlineLevel="0" collapsed="false">
      <c r="B8" s="45" t="n">
        <v>2</v>
      </c>
      <c r="C8" s="91"/>
      <c r="D8" s="91"/>
      <c r="E8" s="92"/>
      <c r="F8" s="92"/>
      <c r="G8" s="91"/>
      <c r="H8" s="91"/>
      <c r="I8" s="91"/>
      <c r="J8" s="93" t="s">
        <v>2490</v>
      </c>
      <c r="K8" s="91"/>
      <c r="L8" s="94"/>
      <c r="M8" s="94"/>
      <c r="N8" s="91"/>
      <c r="O8" s="35" t="str">
        <f aca="false">HYPERLINK(IF(AND(ISNUMBER(L8),ISNUMBER(M8)),"https://www.google.com/maps/search/?api=1&amp;query="&amp;L8&amp;","&amp;M8,"https://www.google.com/maps/search/?api=1&amp;query="&amp;SUBSTITUTE(SUBSTITUTE(SUBSTITUTE(K8&amp;", "&amp;I8&amp;", Puno, Peru"," ","+"),"&amp;","y"),"#","")),"Ver en mapa")</f>
        <v>Ver en mapa</v>
      </c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5" t="str">
        <f aca="false">IF(AND(ISNUMBER(L8),ISNUMBER(M8),ISNUMBER(14_Cercania!$C$6),ISNUMBER(14_Cercania!$C$7),AC8&lt;&gt;"Rechazado",AC8&lt;&gt;"Inactivo"),6371*2*ASIN(SQRT(SIN(RADIANS(14_Cercania!$C$6-L8)/2)^2+COS(RADIANS(L8))*COS(RADIANS(14_Cercania!$C$6))*SIN(RADIANS(14_Cercania!$C$7-M8)/2)^2))+ROW()*0.000000001,"")</f>
        <v/>
      </c>
    </row>
    <row r="9" customFormat="false" ht="15" hidden="false" customHeight="false" outlineLevel="0" collapsed="false">
      <c r="B9" s="45" t="n">
        <v>3</v>
      </c>
      <c r="C9" s="91"/>
      <c r="D9" s="91"/>
      <c r="E9" s="92"/>
      <c r="F9" s="92"/>
      <c r="G9" s="91"/>
      <c r="H9" s="91"/>
      <c r="I9" s="91"/>
      <c r="J9" s="93" t="s">
        <v>2490</v>
      </c>
      <c r="K9" s="91"/>
      <c r="L9" s="94"/>
      <c r="M9" s="94"/>
      <c r="N9" s="91"/>
      <c r="O9" s="35" t="str">
        <f aca="false">HYPERLINK(IF(AND(ISNUMBER(L9),ISNUMBER(M9)),"https://www.google.com/maps/search/?api=1&amp;query="&amp;L9&amp;","&amp;M9,"https://www.google.com/maps/search/?api=1&amp;query="&amp;SUBSTITUTE(SUBSTITUTE(SUBSTITUTE(K9&amp;", "&amp;I9&amp;", Puno, Peru"," ","+"),"&amp;","y"),"#","")),"Ver en mapa")</f>
        <v>Ver en mapa</v>
      </c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5" t="str">
        <f aca="false">IF(AND(ISNUMBER(L9),ISNUMBER(M9),ISNUMBER(14_Cercania!$C$6),ISNUMBER(14_Cercania!$C$7),AC9&lt;&gt;"Rechazado",AC9&lt;&gt;"Inactivo"),6371*2*ASIN(SQRT(SIN(RADIANS(14_Cercania!$C$6-L9)/2)^2+COS(RADIANS(L9))*COS(RADIANS(14_Cercania!$C$6))*SIN(RADIANS(14_Cercania!$C$7-M9)/2)^2))+ROW()*0.000000001,"")</f>
        <v/>
      </c>
    </row>
    <row r="10" customFormat="false" ht="15" hidden="false" customHeight="false" outlineLevel="0" collapsed="false">
      <c r="B10" s="45" t="n">
        <v>4</v>
      </c>
      <c r="C10" s="91"/>
      <c r="D10" s="91"/>
      <c r="E10" s="92"/>
      <c r="F10" s="92"/>
      <c r="G10" s="91"/>
      <c r="H10" s="91"/>
      <c r="I10" s="91"/>
      <c r="J10" s="93" t="s">
        <v>2490</v>
      </c>
      <c r="K10" s="91"/>
      <c r="L10" s="94"/>
      <c r="M10" s="94"/>
      <c r="N10" s="91"/>
      <c r="O10" s="35" t="str">
        <f aca="false">HYPERLINK(IF(AND(ISNUMBER(L10),ISNUMBER(M10)),"https://www.google.com/maps/search/?api=1&amp;query="&amp;L10&amp;","&amp;M10,"https://www.google.com/maps/search/?api=1&amp;query="&amp;SUBSTITUTE(SUBSTITUTE(SUBSTITUTE(K10&amp;", "&amp;I10&amp;", Puno, Peru"," ","+"),"&amp;","y"),"#","")),"Ver en mapa")</f>
        <v>Ver en mapa</v>
      </c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5" t="str">
        <f aca="false">IF(AND(ISNUMBER(L10),ISNUMBER(M10),ISNUMBER(14_Cercania!$C$6),ISNUMBER(14_Cercania!$C$7),AC10&lt;&gt;"Rechazado",AC10&lt;&gt;"Inactivo"),6371*2*ASIN(SQRT(SIN(RADIANS(14_Cercania!$C$6-L10)/2)^2+COS(RADIANS(L10))*COS(RADIANS(14_Cercania!$C$6))*SIN(RADIANS(14_Cercania!$C$7-M10)/2)^2))+ROW()*0.000000001,"")</f>
        <v/>
      </c>
    </row>
    <row r="11" customFormat="false" ht="15" hidden="false" customHeight="false" outlineLevel="0" collapsed="false">
      <c r="B11" s="45" t="n">
        <v>5</v>
      </c>
      <c r="C11" s="91"/>
      <c r="D11" s="91"/>
      <c r="E11" s="92"/>
      <c r="F11" s="92"/>
      <c r="G11" s="91"/>
      <c r="H11" s="91"/>
      <c r="I11" s="91"/>
      <c r="J11" s="93" t="s">
        <v>2490</v>
      </c>
      <c r="K11" s="91"/>
      <c r="L11" s="94"/>
      <c r="M11" s="94"/>
      <c r="N11" s="91"/>
      <c r="O11" s="35" t="str">
        <f aca="false">HYPERLINK(IF(AND(ISNUMBER(L11),ISNUMBER(M11)),"https://www.google.com/maps/search/?api=1&amp;query="&amp;L11&amp;","&amp;M11,"https://www.google.com/maps/search/?api=1&amp;query="&amp;SUBSTITUTE(SUBSTITUTE(SUBSTITUTE(K11&amp;", "&amp;I11&amp;", Puno, Peru"," ","+"),"&amp;","y"),"#","")),"Ver en mapa")</f>
        <v>Ver en mapa</v>
      </c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5" t="str">
        <f aca="false">IF(AND(ISNUMBER(L11),ISNUMBER(M11),ISNUMBER(14_Cercania!$C$6),ISNUMBER(14_Cercania!$C$7),AC11&lt;&gt;"Rechazado",AC11&lt;&gt;"Inactivo"),6371*2*ASIN(SQRT(SIN(RADIANS(14_Cercania!$C$6-L11)/2)^2+COS(RADIANS(L11))*COS(RADIANS(14_Cercania!$C$6))*SIN(RADIANS(14_Cercania!$C$7-M11)/2)^2))+ROW()*0.000000001,"")</f>
        <v/>
      </c>
    </row>
    <row r="12" customFormat="false" ht="15" hidden="false" customHeight="false" outlineLevel="0" collapsed="false">
      <c r="B12" s="45" t="n">
        <v>6</v>
      </c>
      <c r="C12" s="91"/>
      <c r="D12" s="91"/>
      <c r="E12" s="92"/>
      <c r="F12" s="92"/>
      <c r="G12" s="91"/>
      <c r="H12" s="91"/>
      <c r="I12" s="91"/>
      <c r="J12" s="93" t="s">
        <v>2490</v>
      </c>
      <c r="K12" s="91"/>
      <c r="L12" s="94"/>
      <c r="M12" s="94"/>
      <c r="N12" s="91"/>
      <c r="O12" s="35" t="str">
        <f aca="false">HYPERLINK(IF(AND(ISNUMBER(L12),ISNUMBER(M12)),"https://www.google.com/maps/search/?api=1&amp;query="&amp;L12&amp;","&amp;M12,"https://www.google.com/maps/search/?api=1&amp;query="&amp;SUBSTITUTE(SUBSTITUTE(SUBSTITUTE(K12&amp;", "&amp;I12&amp;", Puno, Peru"," ","+"),"&amp;","y"),"#","")),"Ver en mapa")</f>
        <v>Ver en mapa</v>
      </c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5" t="str">
        <f aca="false">IF(AND(ISNUMBER(L12),ISNUMBER(M12),ISNUMBER(14_Cercania!$C$6),ISNUMBER(14_Cercania!$C$7),AC12&lt;&gt;"Rechazado",AC12&lt;&gt;"Inactivo"),6371*2*ASIN(SQRT(SIN(RADIANS(14_Cercania!$C$6-L12)/2)^2+COS(RADIANS(L12))*COS(RADIANS(14_Cercania!$C$6))*SIN(RADIANS(14_Cercania!$C$7-M12)/2)^2))+ROW()*0.000000001,"")</f>
        <v/>
      </c>
    </row>
    <row r="13" customFormat="false" ht="15" hidden="false" customHeight="false" outlineLevel="0" collapsed="false">
      <c r="B13" s="45" t="n">
        <v>7</v>
      </c>
      <c r="C13" s="91"/>
      <c r="D13" s="91"/>
      <c r="E13" s="92"/>
      <c r="F13" s="92"/>
      <c r="G13" s="91"/>
      <c r="H13" s="91"/>
      <c r="I13" s="91"/>
      <c r="J13" s="93" t="s">
        <v>2490</v>
      </c>
      <c r="K13" s="91"/>
      <c r="L13" s="94"/>
      <c r="M13" s="94"/>
      <c r="N13" s="91"/>
      <c r="O13" s="35" t="str">
        <f aca="false">HYPERLINK(IF(AND(ISNUMBER(L13),ISNUMBER(M13)),"https://www.google.com/maps/search/?api=1&amp;query="&amp;L13&amp;","&amp;M13,"https://www.google.com/maps/search/?api=1&amp;query="&amp;SUBSTITUTE(SUBSTITUTE(SUBSTITUTE(K13&amp;", "&amp;I13&amp;", Puno, Peru"," ","+"),"&amp;","y"),"#","")),"Ver en mapa")</f>
        <v>Ver en mapa</v>
      </c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5" t="str">
        <f aca="false">IF(AND(ISNUMBER(L13),ISNUMBER(M13),ISNUMBER(14_Cercania!$C$6),ISNUMBER(14_Cercania!$C$7),AC13&lt;&gt;"Rechazado",AC13&lt;&gt;"Inactivo"),6371*2*ASIN(SQRT(SIN(RADIANS(14_Cercania!$C$6-L13)/2)^2+COS(RADIANS(L13))*COS(RADIANS(14_Cercania!$C$6))*SIN(RADIANS(14_Cercania!$C$7-M13)/2)^2))+ROW()*0.000000001,"")</f>
        <v/>
      </c>
    </row>
    <row r="14" customFormat="false" ht="15" hidden="false" customHeight="false" outlineLevel="0" collapsed="false">
      <c r="B14" s="45" t="n">
        <v>8</v>
      </c>
      <c r="C14" s="91"/>
      <c r="D14" s="91"/>
      <c r="E14" s="92"/>
      <c r="F14" s="92"/>
      <c r="G14" s="91"/>
      <c r="H14" s="91"/>
      <c r="I14" s="91"/>
      <c r="J14" s="93" t="s">
        <v>2490</v>
      </c>
      <c r="K14" s="91"/>
      <c r="L14" s="94"/>
      <c r="M14" s="94"/>
      <c r="N14" s="91"/>
      <c r="O14" s="35" t="str">
        <f aca="false">HYPERLINK(IF(AND(ISNUMBER(L14),ISNUMBER(M14)),"https://www.google.com/maps/search/?api=1&amp;query="&amp;L14&amp;","&amp;M14,"https://www.google.com/maps/search/?api=1&amp;query="&amp;SUBSTITUTE(SUBSTITUTE(SUBSTITUTE(K14&amp;", "&amp;I14&amp;", Puno, Peru"," ","+"),"&amp;","y"),"#","")),"Ver en mapa")</f>
        <v>Ver en mapa</v>
      </c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5" t="str">
        <f aca="false">IF(AND(ISNUMBER(L14),ISNUMBER(M14),ISNUMBER(14_Cercania!$C$6),ISNUMBER(14_Cercania!$C$7),AC14&lt;&gt;"Rechazado",AC14&lt;&gt;"Inactivo"),6371*2*ASIN(SQRT(SIN(RADIANS(14_Cercania!$C$6-L14)/2)^2+COS(RADIANS(L14))*COS(RADIANS(14_Cercania!$C$6))*SIN(RADIANS(14_Cercania!$C$7-M14)/2)^2))+ROW()*0.000000001,"")</f>
        <v/>
      </c>
    </row>
    <row r="15" customFormat="false" ht="15" hidden="false" customHeight="false" outlineLevel="0" collapsed="false">
      <c r="B15" s="45" t="n">
        <v>9</v>
      </c>
      <c r="C15" s="91"/>
      <c r="D15" s="91"/>
      <c r="E15" s="92"/>
      <c r="F15" s="92"/>
      <c r="G15" s="91"/>
      <c r="H15" s="91"/>
      <c r="I15" s="91"/>
      <c r="J15" s="93" t="s">
        <v>2490</v>
      </c>
      <c r="K15" s="91"/>
      <c r="L15" s="94"/>
      <c r="M15" s="94"/>
      <c r="N15" s="91"/>
      <c r="O15" s="35" t="str">
        <f aca="false">HYPERLINK(IF(AND(ISNUMBER(L15),ISNUMBER(M15)),"https://www.google.com/maps/search/?api=1&amp;query="&amp;L15&amp;","&amp;M15,"https://www.google.com/maps/search/?api=1&amp;query="&amp;SUBSTITUTE(SUBSTITUTE(SUBSTITUTE(K15&amp;", "&amp;I15&amp;", Puno, Peru"," ","+"),"&amp;","y"),"#","")),"Ver en mapa")</f>
        <v>Ver en mapa</v>
      </c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5" t="str">
        <f aca="false">IF(AND(ISNUMBER(L15),ISNUMBER(M15),ISNUMBER(14_Cercania!$C$6),ISNUMBER(14_Cercania!$C$7),AC15&lt;&gt;"Rechazado",AC15&lt;&gt;"Inactivo"),6371*2*ASIN(SQRT(SIN(RADIANS(14_Cercania!$C$6-L15)/2)^2+COS(RADIANS(L15))*COS(RADIANS(14_Cercania!$C$6))*SIN(RADIANS(14_Cercania!$C$7-M15)/2)^2))+ROW()*0.000000001,"")</f>
        <v/>
      </c>
    </row>
    <row r="16" customFormat="false" ht="15" hidden="false" customHeight="false" outlineLevel="0" collapsed="false">
      <c r="B16" s="45" t="n">
        <v>10</v>
      </c>
      <c r="C16" s="91"/>
      <c r="D16" s="91"/>
      <c r="E16" s="92"/>
      <c r="F16" s="92"/>
      <c r="G16" s="91"/>
      <c r="H16" s="91"/>
      <c r="I16" s="91"/>
      <c r="J16" s="93" t="s">
        <v>2490</v>
      </c>
      <c r="K16" s="91"/>
      <c r="L16" s="94"/>
      <c r="M16" s="94"/>
      <c r="N16" s="91"/>
      <c r="O16" s="35" t="str">
        <f aca="false">HYPERLINK(IF(AND(ISNUMBER(L16),ISNUMBER(M16)),"https://www.google.com/maps/search/?api=1&amp;query="&amp;L16&amp;","&amp;M16,"https://www.google.com/maps/search/?api=1&amp;query="&amp;SUBSTITUTE(SUBSTITUTE(SUBSTITUTE(K16&amp;", "&amp;I16&amp;", Puno, Peru"," ","+"),"&amp;","y"),"#","")),"Ver en mapa")</f>
        <v>Ver en mapa</v>
      </c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5" t="str">
        <f aca="false">IF(AND(ISNUMBER(L16),ISNUMBER(M16),ISNUMBER(14_Cercania!$C$6),ISNUMBER(14_Cercania!$C$7),AC16&lt;&gt;"Rechazado",AC16&lt;&gt;"Inactivo"),6371*2*ASIN(SQRT(SIN(RADIANS(14_Cercania!$C$6-L16)/2)^2+COS(RADIANS(L16))*COS(RADIANS(14_Cercania!$C$6))*SIN(RADIANS(14_Cercania!$C$7-M16)/2)^2))+ROW()*0.000000001,"")</f>
        <v/>
      </c>
    </row>
    <row r="17" customFormat="false" ht="15" hidden="false" customHeight="false" outlineLevel="0" collapsed="false">
      <c r="B17" s="45" t="n">
        <v>11</v>
      </c>
      <c r="C17" s="91"/>
      <c r="D17" s="91"/>
      <c r="E17" s="92"/>
      <c r="F17" s="92"/>
      <c r="G17" s="91"/>
      <c r="H17" s="91"/>
      <c r="I17" s="91"/>
      <c r="J17" s="93" t="s">
        <v>2490</v>
      </c>
      <c r="K17" s="91"/>
      <c r="L17" s="94"/>
      <c r="M17" s="94"/>
      <c r="N17" s="91"/>
      <c r="O17" s="35" t="str">
        <f aca="false">HYPERLINK(IF(AND(ISNUMBER(L17),ISNUMBER(M17)),"https://www.google.com/maps/search/?api=1&amp;query="&amp;L17&amp;","&amp;M17,"https://www.google.com/maps/search/?api=1&amp;query="&amp;SUBSTITUTE(SUBSTITUTE(SUBSTITUTE(K17&amp;", "&amp;I17&amp;", Puno, Peru"," ","+"),"&amp;","y"),"#","")),"Ver en mapa")</f>
        <v>Ver en mapa</v>
      </c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5" t="str">
        <f aca="false">IF(AND(ISNUMBER(L17),ISNUMBER(M17),ISNUMBER(14_Cercania!$C$6),ISNUMBER(14_Cercania!$C$7),AC17&lt;&gt;"Rechazado",AC17&lt;&gt;"Inactivo"),6371*2*ASIN(SQRT(SIN(RADIANS(14_Cercania!$C$6-L17)/2)^2+COS(RADIANS(L17))*COS(RADIANS(14_Cercania!$C$6))*SIN(RADIANS(14_Cercania!$C$7-M17)/2)^2))+ROW()*0.000000001,"")</f>
        <v/>
      </c>
    </row>
    <row r="18" customFormat="false" ht="15" hidden="false" customHeight="false" outlineLevel="0" collapsed="false">
      <c r="B18" s="45" t="n">
        <v>12</v>
      </c>
      <c r="C18" s="91"/>
      <c r="D18" s="91"/>
      <c r="E18" s="92"/>
      <c r="F18" s="92"/>
      <c r="G18" s="91"/>
      <c r="H18" s="91"/>
      <c r="I18" s="91"/>
      <c r="J18" s="93" t="s">
        <v>2490</v>
      </c>
      <c r="K18" s="91"/>
      <c r="L18" s="94"/>
      <c r="M18" s="94"/>
      <c r="N18" s="91"/>
      <c r="O18" s="35" t="str">
        <f aca="false">HYPERLINK(IF(AND(ISNUMBER(L18),ISNUMBER(M18)),"https://www.google.com/maps/search/?api=1&amp;query="&amp;L18&amp;","&amp;M18,"https://www.google.com/maps/search/?api=1&amp;query="&amp;SUBSTITUTE(SUBSTITUTE(SUBSTITUTE(K18&amp;", "&amp;I18&amp;", Puno, Peru"," ","+"),"&amp;","y"),"#","")),"Ver en mapa")</f>
        <v>Ver en mapa</v>
      </c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5" t="str">
        <f aca="false">IF(AND(ISNUMBER(L18),ISNUMBER(M18),ISNUMBER(14_Cercania!$C$6),ISNUMBER(14_Cercania!$C$7),AC18&lt;&gt;"Rechazado",AC18&lt;&gt;"Inactivo"),6371*2*ASIN(SQRT(SIN(RADIANS(14_Cercania!$C$6-L18)/2)^2+COS(RADIANS(L18))*COS(RADIANS(14_Cercania!$C$6))*SIN(RADIANS(14_Cercania!$C$7-M18)/2)^2))+ROW()*0.000000001,"")</f>
        <v/>
      </c>
    </row>
    <row r="19" customFormat="false" ht="15" hidden="false" customHeight="false" outlineLevel="0" collapsed="false">
      <c r="B19" s="45" t="n">
        <v>13</v>
      </c>
      <c r="C19" s="91"/>
      <c r="D19" s="91"/>
      <c r="E19" s="92"/>
      <c r="F19" s="92"/>
      <c r="G19" s="91"/>
      <c r="H19" s="91"/>
      <c r="I19" s="91"/>
      <c r="J19" s="93" t="s">
        <v>2490</v>
      </c>
      <c r="K19" s="91"/>
      <c r="L19" s="94"/>
      <c r="M19" s="94"/>
      <c r="N19" s="91"/>
      <c r="O19" s="35" t="str">
        <f aca="false">HYPERLINK(IF(AND(ISNUMBER(L19),ISNUMBER(M19)),"https://www.google.com/maps/search/?api=1&amp;query="&amp;L19&amp;","&amp;M19,"https://www.google.com/maps/search/?api=1&amp;query="&amp;SUBSTITUTE(SUBSTITUTE(SUBSTITUTE(K19&amp;", "&amp;I19&amp;", Puno, Peru"," ","+"),"&amp;","y"),"#","")),"Ver en mapa")</f>
        <v>Ver en mapa</v>
      </c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5" t="str">
        <f aca="false">IF(AND(ISNUMBER(L19),ISNUMBER(M19),ISNUMBER(14_Cercania!$C$6),ISNUMBER(14_Cercania!$C$7),AC19&lt;&gt;"Rechazado",AC19&lt;&gt;"Inactivo"),6371*2*ASIN(SQRT(SIN(RADIANS(14_Cercania!$C$6-L19)/2)^2+COS(RADIANS(L19))*COS(RADIANS(14_Cercania!$C$6))*SIN(RADIANS(14_Cercania!$C$7-M19)/2)^2))+ROW()*0.000000001,"")</f>
        <v/>
      </c>
    </row>
    <row r="20" customFormat="false" ht="15" hidden="false" customHeight="false" outlineLevel="0" collapsed="false">
      <c r="B20" s="45" t="n">
        <v>14</v>
      </c>
      <c r="C20" s="91"/>
      <c r="D20" s="91"/>
      <c r="E20" s="92"/>
      <c r="F20" s="92"/>
      <c r="G20" s="91"/>
      <c r="H20" s="91"/>
      <c r="I20" s="91"/>
      <c r="J20" s="93" t="s">
        <v>2490</v>
      </c>
      <c r="K20" s="91"/>
      <c r="L20" s="94"/>
      <c r="M20" s="94"/>
      <c r="N20" s="91"/>
      <c r="O20" s="35" t="str">
        <f aca="false">HYPERLINK(IF(AND(ISNUMBER(L20),ISNUMBER(M20)),"https://www.google.com/maps/search/?api=1&amp;query="&amp;L20&amp;","&amp;M20,"https://www.google.com/maps/search/?api=1&amp;query="&amp;SUBSTITUTE(SUBSTITUTE(SUBSTITUTE(K20&amp;", "&amp;I20&amp;", Puno, Peru"," ","+"),"&amp;","y"),"#","")),"Ver en mapa")</f>
        <v>Ver en mapa</v>
      </c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5" t="str">
        <f aca="false">IF(AND(ISNUMBER(L20),ISNUMBER(M20),ISNUMBER(14_Cercania!$C$6),ISNUMBER(14_Cercania!$C$7),AC20&lt;&gt;"Rechazado",AC20&lt;&gt;"Inactivo"),6371*2*ASIN(SQRT(SIN(RADIANS(14_Cercania!$C$6-L20)/2)^2+COS(RADIANS(L20))*COS(RADIANS(14_Cercania!$C$6))*SIN(RADIANS(14_Cercania!$C$7-M20)/2)^2))+ROW()*0.000000001,"")</f>
        <v/>
      </c>
    </row>
    <row r="21" customFormat="false" ht="15" hidden="false" customHeight="false" outlineLevel="0" collapsed="false">
      <c r="B21" s="45" t="n">
        <v>15</v>
      </c>
      <c r="C21" s="91"/>
      <c r="D21" s="91"/>
      <c r="E21" s="92"/>
      <c r="F21" s="92"/>
      <c r="G21" s="91"/>
      <c r="H21" s="91"/>
      <c r="I21" s="91"/>
      <c r="J21" s="93" t="s">
        <v>2490</v>
      </c>
      <c r="K21" s="91"/>
      <c r="L21" s="94"/>
      <c r="M21" s="94"/>
      <c r="N21" s="91"/>
      <c r="O21" s="35" t="str">
        <f aca="false">HYPERLINK(IF(AND(ISNUMBER(L21),ISNUMBER(M21)),"https://www.google.com/maps/search/?api=1&amp;query="&amp;L21&amp;","&amp;M21,"https://www.google.com/maps/search/?api=1&amp;query="&amp;SUBSTITUTE(SUBSTITUTE(SUBSTITUTE(K21&amp;", "&amp;I21&amp;", Puno, Peru"," ","+"),"&amp;","y"),"#","")),"Ver en mapa")</f>
        <v>Ver en mapa</v>
      </c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5" t="str">
        <f aca="false">IF(AND(ISNUMBER(L21),ISNUMBER(M21),ISNUMBER(14_Cercania!$C$6),ISNUMBER(14_Cercania!$C$7),AC21&lt;&gt;"Rechazado",AC21&lt;&gt;"Inactivo"),6371*2*ASIN(SQRT(SIN(RADIANS(14_Cercania!$C$6-L21)/2)^2+COS(RADIANS(L21))*COS(RADIANS(14_Cercania!$C$6))*SIN(RADIANS(14_Cercania!$C$7-M21)/2)^2))+ROW()*0.000000001,"")</f>
        <v/>
      </c>
    </row>
    <row r="22" customFormat="false" ht="15" hidden="false" customHeight="false" outlineLevel="0" collapsed="false">
      <c r="B22" s="45" t="n">
        <v>16</v>
      </c>
      <c r="C22" s="91"/>
      <c r="D22" s="91"/>
      <c r="E22" s="92"/>
      <c r="F22" s="92"/>
      <c r="G22" s="91"/>
      <c r="H22" s="91"/>
      <c r="I22" s="91"/>
      <c r="J22" s="93" t="s">
        <v>2490</v>
      </c>
      <c r="K22" s="91"/>
      <c r="L22" s="94"/>
      <c r="M22" s="94"/>
      <c r="N22" s="91"/>
      <c r="O22" s="35" t="str">
        <f aca="false">HYPERLINK(IF(AND(ISNUMBER(L22),ISNUMBER(M22)),"https://www.google.com/maps/search/?api=1&amp;query="&amp;L22&amp;","&amp;M22,"https://www.google.com/maps/search/?api=1&amp;query="&amp;SUBSTITUTE(SUBSTITUTE(SUBSTITUTE(K22&amp;", "&amp;I22&amp;", Puno, Peru"," ","+"),"&amp;","y"),"#","")),"Ver en mapa")</f>
        <v>Ver en mapa</v>
      </c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5" t="str">
        <f aca="false">IF(AND(ISNUMBER(L22),ISNUMBER(M22),ISNUMBER(14_Cercania!$C$6),ISNUMBER(14_Cercania!$C$7),AC22&lt;&gt;"Rechazado",AC22&lt;&gt;"Inactivo"),6371*2*ASIN(SQRT(SIN(RADIANS(14_Cercania!$C$6-L22)/2)^2+COS(RADIANS(L22))*COS(RADIANS(14_Cercania!$C$6))*SIN(RADIANS(14_Cercania!$C$7-M22)/2)^2))+ROW()*0.000000001,"")</f>
        <v/>
      </c>
    </row>
    <row r="23" customFormat="false" ht="15" hidden="false" customHeight="false" outlineLevel="0" collapsed="false">
      <c r="B23" s="45" t="n">
        <v>17</v>
      </c>
      <c r="C23" s="91"/>
      <c r="D23" s="91"/>
      <c r="E23" s="92"/>
      <c r="F23" s="92"/>
      <c r="G23" s="91"/>
      <c r="H23" s="91"/>
      <c r="I23" s="91"/>
      <c r="J23" s="93" t="s">
        <v>2490</v>
      </c>
      <c r="K23" s="91"/>
      <c r="L23" s="94"/>
      <c r="M23" s="94"/>
      <c r="N23" s="91"/>
      <c r="O23" s="35" t="str">
        <f aca="false">HYPERLINK(IF(AND(ISNUMBER(L23),ISNUMBER(M23)),"https://www.google.com/maps/search/?api=1&amp;query="&amp;L23&amp;","&amp;M23,"https://www.google.com/maps/search/?api=1&amp;query="&amp;SUBSTITUTE(SUBSTITUTE(SUBSTITUTE(K23&amp;", "&amp;I23&amp;", Puno, Peru"," ","+"),"&amp;","y"),"#","")),"Ver en mapa")</f>
        <v>Ver en mapa</v>
      </c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5" t="str">
        <f aca="false">IF(AND(ISNUMBER(L23),ISNUMBER(M23),ISNUMBER(14_Cercania!$C$6),ISNUMBER(14_Cercania!$C$7),AC23&lt;&gt;"Rechazado",AC23&lt;&gt;"Inactivo"),6371*2*ASIN(SQRT(SIN(RADIANS(14_Cercania!$C$6-L23)/2)^2+COS(RADIANS(L23))*COS(RADIANS(14_Cercania!$C$6))*SIN(RADIANS(14_Cercania!$C$7-M23)/2)^2))+ROW()*0.000000001,"")</f>
        <v/>
      </c>
    </row>
    <row r="24" customFormat="false" ht="15" hidden="false" customHeight="false" outlineLevel="0" collapsed="false">
      <c r="B24" s="45" t="n">
        <v>18</v>
      </c>
      <c r="C24" s="91"/>
      <c r="D24" s="91"/>
      <c r="E24" s="92"/>
      <c r="F24" s="92"/>
      <c r="G24" s="91"/>
      <c r="H24" s="91"/>
      <c r="I24" s="91"/>
      <c r="J24" s="93" t="s">
        <v>2490</v>
      </c>
      <c r="K24" s="91"/>
      <c r="L24" s="94"/>
      <c r="M24" s="94"/>
      <c r="N24" s="91"/>
      <c r="O24" s="35" t="str">
        <f aca="false">HYPERLINK(IF(AND(ISNUMBER(L24),ISNUMBER(M24)),"https://www.google.com/maps/search/?api=1&amp;query="&amp;L24&amp;","&amp;M24,"https://www.google.com/maps/search/?api=1&amp;query="&amp;SUBSTITUTE(SUBSTITUTE(SUBSTITUTE(K24&amp;", "&amp;I24&amp;", Puno, Peru"," ","+"),"&amp;","y"),"#","")),"Ver en mapa")</f>
        <v>Ver en mapa</v>
      </c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5" t="str">
        <f aca="false">IF(AND(ISNUMBER(L24),ISNUMBER(M24),ISNUMBER(14_Cercania!$C$6),ISNUMBER(14_Cercania!$C$7),AC24&lt;&gt;"Rechazado",AC24&lt;&gt;"Inactivo"),6371*2*ASIN(SQRT(SIN(RADIANS(14_Cercania!$C$6-L24)/2)^2+COS(RADIANS(L24))*COS(RADIANS(14_Cercania!$C$6))*SIN(RADIANS(14_Cercania!$C$7-M24)/2)^2))+ROW()*0.000000001,"")</f>
        <v/>
      </c>
    </row>
    <row r="25" customFormat="false" ht="15" hidden="false" customHeight="false" outlineLevel="0" collapsed="false">
      <c r="B25" s="45" t="n">
        <v>19</v>
      </c>
      <c r="C25" s="91"/>
      <c r="D25" s="91"/>
      <c r="E25" s="92"/>
      <c r="F25" s="92"/>
      <c r="G25" s="91"/>
      <c r="H25" s="91"/>
      <c r="I25" s="91"/>
      <c r="J25" s="93" t="s">
        <v>2490</v>
      </c>
      <c r="K25" s="91"/>
      <c r="L25" s="94"/>
      <c r="M25" s="94"/>
      <c r="N25" s="91"/>
      <c r="O25" s="35" t="str">
        <f aca="false">HYPERLINK(IF(AND(ISNUMBER(L25),ISNUMBER(M25)),"https://www.google.com/maps/search/?api=1&amp;query="&amp;L25&amp;","&amp;M25,"https://www.google.com/maps/search/?api=1&amp;query="&amp;SUBSTITUTE(SUBSTITUTE(SUBSTITUTE(K25&amp;", "&amp;I25&amp;", Puno, Peru"," ","+"),"&amp;","y"),"#","")),"Ver en mapa")</f>
        <v>Ver en mapa</v>
      </c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5" t="str">
        <f aca="false">IF(AND(ISNUMBER(L25),ISNUMBER(M25),ISNUMBER(14_Cercania!$C$6),ISNUMBER(14_Cercania!$C$7),AC25&lt;&gt;"Rechazado",AC25&lt;&gt;"Inactivo"),6371*2*ASIN(SQRT(SIN(RADIANS(14_Cercania!$C$6-L25)/2)^2+COS(RADIANS(L25))*COS(RADIANS(14_Cercania!$C$6))*SIN(RADIANS(14_Cercania!$C$7-M25)/2)^2))+ROW()*0.000000001,"")</f>
        <v/>
      </c>
    </row>
    <row r="26" customFormat="false" ht="15" hidden="false" customHeight="false" outlineLevel="0" collapsed="false">
      <c r="B26" s="45" t="n">
        <v>20</v>
      </c>
      <c r="C26" s="91"/>
      <c r="D26" s="91"/>
      <c r="E26" s="92"/>
      <c r="F26" s="92"/>
      <c r="G26" s="91"/>
      <c r="H26" s="91"/>
      <c r="I26" s="91"/>
      <c r="J26" s="93" t="s">
        <v>2490</v>
      </c>
      <c r="K26" s="91"/>
      <c r="L26" s="94"/>
      <c r="M26" s="94"/>
      <c r="N26" s="91"/>
      <c r="O26" s="35" t="str">
        <f aca="false">HYPERLINK(IF(AND(ISNUMBER(L26),ISNUMBER(M26)),"https://www.google.com/maps/search/?api=1&amp;query="&amp;L26&amp;","&amp;M26,"https://www.google.com/maps/search/?api=1&amp;query="&amp;SUBSTITUTE(SUBSTITUTE(SUBSTITUTE(K26&amp;", "&amp;I26&amp;", Puno, Peru"," ","+"),"&amp;","y"),"#","")),"Ver en mapa")</f>
        <v>Ver en mapa</v>
      </c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5" t="str">
        <f aca="false">IF(AND(ISNUMBER(L26),ISNUMBER(M26),ISNUMBER(14_Cercania!$C$6),ISNUMBER(14_Cercania!$C$7),AC26&lt;&gt;"Rechazado",AC26&lt;&gt;"Inactivo"),6371*2*ASIN(SQRT(SIN(RADIANS(14_Cercania!$C$6-L26)/2)^2+COS(RADIANS(L26))*COS(RADIANS(14_Cercania!$C$6))*SIN(RADIANS(14_Cercania!$C$7-M26)/2)^2))+ROW()*0.000000001,"")</f>
        <v/>
      </c>
    </row>
    <row r="27" customFormat="false" ht="15" hidden="false" customHeight="false" outlineLevel="0" collapsed="false">
      <c r="B27" s="45" t="n">
        <v>21</v>
      </c>
      <c r="C27" s="91"/>
      <c r="D27" s="91"/>
      <c r="E27" s="92"/>
      <c r="F27" s="92"/>
      <c r="G27" s="91"/>
      <c r="H27" s="91"/>
      <c r="I27" s="91"/>
      <c r="J27" s="93" t="s">
        <v>2490</v>
      </c>
      <c r="K27" s="91"/>
      <c r="L27" s="94"/>
      <c r="M27" s="94"/>
      <c r="N27" s="91"/>
      <c r="O27" s="35" t="str">
        <f aca="false">HYPERLINK(IF(AND(ISNUMBER(L27),ISNUMBER(M27)),"https://www.google.com/maps/search/?api=1&amp;query="&amp;L27&amp;","&amp;M27,"https://www.google.com/maps/search/?api=1&amp;query="&amp;SUBSTITUTE(SUBSTITUTE(SUBSTITUTE(K27&amp;", "&amp;I27&amp;", Puno, Peru"," ","+"),"&amp;","y"),"#","")),"Ver en mapa")</f>
        <v>Ver en mapa</v>
      </c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5" t="str">
        <f aca="false">IF(AND(ISNUMBER(L27),ISNUMBER(M27),ISNUMBER(14_Cercania!$C$6),ISNUMBER(14_Cercania!$C$7),AC27&lt;&gt;"Rechazado",AC27&lt;&gt;"Inactivo"),6371*2*ASIN(SQRT(SIN(RADIANS(14_Cercania!$C$6-L27)/2)^2+COS(RADIANS(L27))*COS(RADIANS(14_Cercania!$C$6))*SIN(RADIANS(14_Cercania!$C$7-M27)/2)^2))+ROW()*0.000000001,"")</f>
        <v/>
      </c>
    </row>
    <row r="28" customFormat="false" ht="15" hidden="false" customHeight="false" outlineLevel="0" collapsed="false">
      <c r="B28" s="45" t="n">
        <v>22</v>
      </c>
      <c r="C28" s="91"/>
      <c r="D28" s="91"/>
      <c r="E28" s="92"/>
      <c r="F28" s="92"/>
      <c r="G28" s="91"/>
      <c r="H28" s="91"/>
      <c r="I28" s="91"/>
      <c r="J28" s="93" t="s">
        <v>2490</v>
      </c>
      <c r="K28" s="91"/>
      <c r="L28" s="94"/>
      <c r="M28" s="94"/>
      <c r="N28" s="91"/>
      <c r="O28" s="35" t="str">
        <f aca="false">HYPERLINK(IF(AND(ISNUMBER(L28),ISNUMBER(M28)),"https://www.google.com/maps/search/?api=1&amp;query="&amp;L28&amp;","&amp;M28,"https://www.google.com/maps/search/?api=1&amp;query="&amp;SUBSTITUTE(SUBSTITUTE(SUBSTITUTE(K28&amp;", "&amp;I28&amp;", Puno, Peru"," ","+"),"&amp;","y"),"#","")),"Ver en mapa")</f>
        <v>Ver en mapa</v>
      </c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5" t="str">
        <f aca="false">IF(AND(ISNUMBER(L28),ISNUMBER(M28),ISNUMBER(14_Cercania!$C$6),ISNUMBER(14_Cercania!$C$7),AC28&lt;&gt;"Rechazado",AC28&lt;&gt;"Inactivo"),6371*2*ASIN(SQRT(SIN(RADIANS(14_Cercania!$C$6-L28)/2)^2+COS(RADIANS(L28))*COS(RADIANS(14_Cercania!$C$6))*SIN(RADIANS(14_Cercania!$C$7-M28)/2)^2))+ROW()*0.000000001,"")</f>
        <v/>
      </c>
    </row>
    <row r="29" customFormat="false" ht="15" hidden="false" customHeight="false" outlineLevel="0" collapsed="false">
      <c r="B29" s="45" t="n">
        <v>23</v>
      </c>
      <c r="C29" s="91"/>
      <c r="D29" s="91"/>
      <c r="E29" s="92"/>
      <c r="F29" s="92"/>
      <c r="G29" s="91"/>
      <c r="H29" s="91"/>
      <c r="I29" s="91"/>
      <c r="J29" s="93" t="s">
        <v>2490</v>
      </c>
      <c r="K29" s="91"/>
      <c r="L29" s="94"/>
      <c r="M29" s="94"/>
      <c r="N29" s="91"/>
      <c r="O29" s="35" t="str">
        <f aca="false">HYPERLINK(IF(AND(ISNUMBER(L29),ISNUMBER(M29)),"https://www.google.com/maps/search/?api=1&amp;query="&amp;L29&amp;","&amp;M29,"https://www.google.com/maps/search/?api=1&amp;query="&amp;SUBSTITUTE(SUBSTITUTE(SUBSTITUTE(K29&amp;", "&amp;I29&amp;", Puno, Peru"," ","+"),"&amp;","y"),"#","")),"Ver en mapa")</f>
        <v>Ver en mapa</v>
      </c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5" t="str">
        <f aca="false">IF(AND(ISNUMBER(L29),ISNUMBER(M29),ISNUMBER(14_Cercania!$C$6),ISNUMBER(14_Cercania!$C$7),AC29&lt;&gt;"Rechazado",AC29&lt;&gt;"Inactivo"),6371*2*ASIN(SQRT(SIN(RADIANS(14_Cercania!$C$6-L29)/2)^2+COS(RADIANS(L29))*COS(RADIANS(14_Cercania!$C$6))*SIN(RADIANS(14_Cercania!$C$7-M29)/2)^2))+ROW()*0.000000001,"")</f>
        <v/>
      </c>
    </row>
    <row r="30" customFormat="false" ht="15" hidden="false" customHeight="false" outlineLevel="0" collapsed="false">
      <c r="B30" s="45" t="n">
        <v>24</v>
      </c>
      <c r="C30" s="91"/>
      <c r="D30" s="91"/>
      <c r="E30" s="92"/>
      <c r="F30" s="92"/>
      <c r="G30" s="91"/>
      <c r="H30" s="91"/>
      <c r="I30" s="91"/>
      <c r="J30" s="93" t="s">
        <v>2490</v>
      </c>
      <c r="K30" s="91"/>
      <c r="L30" s="94"/>
      <c r="M30" s="94"/>
      <c r="N30" s="91"/>
      <c r="O30" s="35" t="str">
        <f aca="false">HYPERLINK(IF(AND(ISNUMBER(L30),ISNUMBER(M30)),"https://www.google.com/maps/search/?api=1&amp;query="&amp;L30&amp;","&amp;M30,"https://www.google.com/maps/search/?api=1&amp;query="&amp;SUBSTITUTE(SUBSTITUTE(SUBSTITUTE(K30&amp;", "&amp;I30&amp;", Puno, Peru"," ","+"),"&amp;","y"),"#","")),"Ver en mapa")</f>
        <v>Ver en mapa</v>
      </c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5" t="str">
        <f aca="false">IF(AND(ISNUMBER(L30),ISNUMBER(M30),ISNUMBER(14_Cercania!$C$6),ISNUMBER(14_Cercania!$C$7),AC30&lt;&gt;"Rechazado",AC30&lt;&gt;"Inactivo"),6371*2*ASIN(SQRT(SIN(RADIANS(14_Cercania!$C$6-L30)/2)^2+COS(RADIANS(L30))*COS(RADIANS(14_Cercania!$C$6))*SIN(RADIANS(14_Cercania!$C$7-M30)/2)^2))+ROW()*0.000000001,"")</f>
        <v/>
      </c>
    </row>
    <row r="31" customFormat="false" ht="15" hidden="false" customHeight="false" outlineLevel="0" collapsed="false">
      <c r="B31" s="45" t="n">
        <v>25</v>
      </c>
      <c r="C31" s="91"/>
      <c r="D31" s="91"/>
      <c r="E31" s="92"/>
      <c r="F31" s="92"/>
      <c r="G31" s="91"/>
      <c r="H31" s="91"/>
      <c r="I31" s="91"/>
      <c r="J31" s="93" t="s">
        <v>2490</v>
      </c>
      <c r="K31" s="91"/>
      <c r="L31" s="94"/>
      <c r="M31" s="94"/>
      <c r="N31" s="91"/>
      <c r="O31" s="35" t="str">
        <f aca="false">HYPERLINK(IF(AND(ISNUMBER(L31),ISNUMBER(M31)),"https://www.google.com/maps/search/?api=1&amp;query="&amp;L31&amp;","&amp;M31,"https://www.google.com/maps/search/?api=1&amp;query="&amp;SUBSTITUTE(SUBSTITUTE(SUBSTITUTE(K31&amp;", "&amp;I31&amp;", Puno, Peru"," ","+"),"&amp;","y"),"#","")),"Ver en mapa")</f>
        <v>Ver en mapa</v>
      </c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5" t="str">
        <f aca="false">IF(AND(ISNUMBER(L31),ISNUMBER(M31),ISNUMBER(14_Cercania!$C$6),ISNUMBER(14_Cercania!$C$7),AC31&lt;&gt;"Rechazado",AC31&lt;&gt;"Inactivo"),6371*2*ASIN(SQRT(SIN(RADIANS(14_Cercania!$C$6-L31)/2)^2+COS(RADIANS(L31))*COS(RADIANS(14_Cercania!$C$6))*SIN(RADIANS(14_Cercania!$C$7-M31)/2)^2))+ROW()*0.000000001,"")</f>
        <v/>
      </c>
    </row>
    <row r="32" customFormat="false" ht="15" hidden="false" customHeight="false" outlineLevel="0" collapsed="false">
      <c r="B32" s="45" t="n">
        <v>26</v>
      </c>
      <c r="C32" s="91"/>
      <c r="D32" s="91"/>
      <c r="E32" s="92"/>
      <c r="F32" s="92"/>
      <c r="G32" s="91"/>
      <c r="H32" s="91"/>
      <c r="I32" s="91"/>
      <c r="J32" s="93" t="s">
        <v>2490</v>
      </c>
      <c r="K32" s="91"/>
      <c r="L32" s="94"/>
      <c r="M32" s="94"/>
      <c r="N32" s="91"/>
      <c r="O32" s="35" t="str">
        <f aca="false">HYPERLINK(IF(AND(ISNUMBER(L32),ISNUMBER(M32)),"https://www.google.com/maps/search/?api=1&amp;query="&amp;L32&amp;","&amp;M32,"https://www.google.com/maps/search/?api=1&amp;query="&amp;SUBSTITUTE(SUBSTITUTE(SUBSTITUTE(K32&amp;", "&amp;I32&amp;", Puno, Peru"," ","+"),"&amp;","y"),"#","")),"Ver en mapa")</f>
        <v>Ver en mapa</v>
      </c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5" t="str">
        <f aca="false">IF(AND(ISNUMBER(L32),ISNUMBER(M32),ISNUMBER(14_Cercania!$C$6),ISNUMBER(14_Cercania!$C$7),AC32&lt;&gt;"Rechazado",AC32&lt;&gt;"Inactivo"),6371*2*ASIN(SQRT(SIN(RADIANS(14_Cercania!$C$6-L32)/2)^2+COS(RADIANS(L32))*COS(RADIANS(14_Cercania!$C$6))*SIN(RADIANS(14_Cercania!$C$7-M32)/2)^2))+ROW()*0.000000001,"")</f>
        <v/>
      </c>
    </row>
    <row r="33" customFormat="false" ht="15" hidden="false" customHeight="false" outlineLevel="0" collapsed="false">
      <c r="B33" s="45" t="n">
        <v>27</v>
      </c>
      <c r="C33" s="91"/>
      <c r="D33" s="91"/>
      <c r="E33" s="92"/>
      <c r="F33" s="92"/>
      <c r="G33" s="91"/>
      <c r="H33" s="91"/>
      <c r="I33" s="91"/>
      <c r="J33" s="93" t="s">
        <v>2490</v>
      </c>
      <c r="K33" s="91"/>
      <c r="L33" s="94"/>
      <c r="M33" s="94"/>
      <c r="N33" s="91"/>
      <c r="O33" s="35" t="str">
        <f aca="false">HYPERLINK(IF(AND(ISNUMBER(L33),ISNUMBER(M33)),"https://www.google.com/maps/search/?api=1&amp;query="&amp;L33&amp;","&amp;M33,"https://www.google.com/maps/search/?api=1&amp;query="&amp;SUBSTITUTE(SUBSTITUTE(SUBSTITUTE(K33&amp;", "&amp;I33&amp;", Puno, Peru"," ","+"),"&amp;","y"),"#","")),"Ver en mapa")</f>
        <v>Ver en mapa</v>
      </c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5" t="str">
        <f aca="false">IF(AND(ISNUMBER(L33),ISNUMBER(M33),ISNUMBER(14_Cercania!$C$6),ISNUMBER(14_Cercania!$C$7),AC33&lt;&gt;"Rechazado",AC33&lt;&gt;"Inactivo"),6371*2*ASIN(SQRT(SIN(RADIANS(14_Cercania!$C$6-L33)/2)^2+COS(RADIANS(L33))*COS(RADIANS(14_Cercania!$C$6))*SIN(RADIANS(14_Cercania!$C$7-M33)/2)^2))+ROW()*0.000000001,"")</f>
        <v/>
      </c>
    </row>
    <row r="34" customFormat="false" ht="15" hidden="false" customHeight="false" outlineLevel="0" collapsed="false">
      <c r="B34" s="45" t="n">
        <v>28</v>
      </c>
      <c r="C34" s="91"/>
      <c r="D34" s="91"/>
      <c r="E34" s="92"/>
      <c r="F34" s="92"/>
      <c r="G34" s="91"/>
      <c r="H34" s="91"/>
      <c r="I34" s="91"/>
      <c r="J34" s="93" t="s">
        <v>2490</v>
      </c>
      <c r="K34" s="91"/>
      <c r="L34" s="94"/>
      <c r="M34" s="94"/>
      <c r="N34" s="91"/>
      <c r="O34" s="35" t="str">
        <f aca="false">HYPERLINK(IF(AND(ISNUMBER(L34),ISNUMBER(M34)),"https://www.google.com/maps/search/?api=1&amp;query="&amp;L34&amp;","&amp;M34,"https://www.google.com/maps/search/?api=1&amp;query="&amp;SUBSTITUTE(SUBSTITUTE(SUBSTITUTE(K34&amp;", "&amp;I34&amp;", Puno, Peru"," ","+"),"&amp;","y"),"#","")),"Ver en mapa")</f>
        <v>Ver en mapa</v>
      </c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5" t="str">
        <f aca="false">IF(AND(ISNUMBER(L34),ISNUMBER(M34),ISNUMBER(14_Cercania!$C$6),ISNUMBER(14_Cercania!$C$7),AC34&lt;&gt;"Rechazado",AC34&lt;&gt;"Inactivo"),6371*2*ASIN(SQRT(SIN(RADIANS(14_Cercania!$C$6-L34)/2)^2+COS(RADIANS(L34))*COS(RADIANS(14_Cercania!$C$6))*SIN(RADIANS(14_Cercania!$C$7-M34)/2)^2))+ROW()*0.000000001,"")</f>
        <v/>
      </c>
    </row>
    <row r="35" customFormat="false" ht="15" hidden="false" customHeight="false" outlineLevel="0" collapsed="false">
      <c r="B35" s="45" t="n">
        <v>29</v>
      </c>
      <c r="C35" s="91"/>
      <c r="D35" s="91"/>
      <c r="E35" s="92"/>
      <c r="F35" s="92"/>
      <c r="G35" s="91"/>
      <c r="H35" s="91"/>
      <c r="I35" s="91"/>
      <c r="J35" s="93" t="s">
        <v>2490</v>
      </c>
      <c r="K35" s="91"/>
      <c r="L35" s="94"/>
      <c r="M35" s="94"/>
      <c r="N35" s="91"/>
      <c r="O35" s="35" t="str">
        <f aca="false">HYPERLINK(IF(AND(ISNUMBER(L35),ISNUMBER(M35)),"https://www.google.com/maps/search/?api=1&amp;query="&amp;L35&amp;","&amp;M35,"https://www.google.com/maps/search/?api=1&amp;query="&amp;SUBSTITUTE(SUBSTITUTE(SUBSTITUTE(K35&amp;", "&amp;I35&amp;", Puno, Peru"," ","+"),"&amp;","y"),"#","")),"Ver en mapa")</f>
        <v>Ver en mapa</v>
      </c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5" t="str">
        <f aca="false">IF(AND(ISNUMBER(L35),ISNUMBER(M35),ISNUMBER(14_Cercania!$C$6),ISNUMBER(14_Cercania!$C$7),AC35&lt;&gt;"Rechazado",AC35&lt;&gt;"Inactivo"),6371*2*ASIN(SQRT(SIN(RADIANS(14_Cercania!$C$6-L35)/2)^2+COS(RADIANS(L35))*COS(RADIANS(14_Cercania!$C$6))*SIN(RADIANS(14_Cercania!$C$7-M35)/2)^2))+ROW()*0.000000001,"")</f>
        <v/>
      </c>
    </row>
    <row r="36" customFormat="false" ht="15" hidden="false" customHeight="false" outlineLevel="0" collapsed="false">
      <c r="B36" s="45" t="n">
        <v>30</v>
      </c>
      <c r="C36" s="91"/>
      <c r="D36" s="91"/>
      <c r="E36" s="92"/>
      <c r="F36" s="92"/>
      <c r="G36" s="91"/>
      <c r="H36" s="91"/>
      <c r="I36" s="91"/>
      <c r="J36" s="93" t="s">
        <v>2490</v>
      </c>
      <c r="K36" s="91"/>
      <c r="L36" s="94"/>
      <c r="M36" s="94"/>
      <c r="N36" s="91"/>
      <c r="O36" s="35" t="str">
        <f aca="false">HYPERLINK(IF(AND(ISNUMBER(L36),ISNUMBER(M36)),"https://www.google.com/maps/search/?api=1&amp;query="&amp;L36&amp;","&amp;M36,"https://www.google.com/maps/search/?api=1&amp;query="&amp;SUBSTITUTE(SUBSTITUTE(SUBSTITUTE(K36&amp;", "&amp;I36&amp;", Puno, Peru"," ","+"),"&amp;","y"),"#","")),"Ver en mapa")</f>
        <v>Ver en mapa</v>
      </c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5" t="str">
        <f aca="false">IF(AND(ISNUMBER(L36),ISNUMBER(M36),ISNUMBER(14_Cercania!$C$6),ISNUMBER(14_Cercania!$C$7),AC36&lt;&gt;"Rechazado",AC36&lt;&gt;"Inactivo"),6371*2*ASIN(SQRT(SIN(RADIANS(14_Cercania!$C$6-L36)/2)^2+COS(RADIANS(L36))*COS(RADIANS(14_Cercania!$C$6))*SIN(RADIANS(14_Cercania!$C$7-M36)/2)^2))+ROW()*0.000000001,"")</f>
        <v/>
      </c>
    </row>
    <row r="37" customFormat="false" ht="15" hidden="false" customHeight="false" outlineLevel="0" collapsed="false">
      <c r="B37" s="45" t="n">
        <v>31</v>
      </c>
      <c r="C37" s="91"/>
      <c r="D37" s="91"/>
      <c r="E37" s="92"/>
      <c r="F37" s="92"/>
      <c r="G37" s="91"/>
      <c r="H37" s="91"/>
      <c r="I37" s="91"/>
      <c r="J37" s="93" t="s">
        <v>2490</v>
      </c>
      <c r="K37" s="91"/>
      <c r="L37" s="94"/>
      <c r="M37" s="94"/>
      <c r="N37" s="91"/>
      <c r="O37" s="35" t="str">
        <f aca="false">HYPERLINK(IF(AND(ISNUMBER(L37),ISNUMBER(M37)),"https://www.google.com/maps/search/?api=1&amp;query="&amp;L37&amp;","&amp;M37,"https://www.google.com/maps/search/?api=1&amp;query="&amp;SUBSTITUTE(SUBSTITUTE(SUBSTITUTE(K37&amp;", "&amp;I37&amp;", Puno, Peru"," ","+"),"&amp;","y"),"#","")),"Ver en mapa")</f>
        <v>Ver en mapa</v>
      </c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5" t="str">
        <f aca="false">IF(AND(ISNUMBER(L37),ISNUMBER(M37),ISNUMBER(14_Cercania!$C$6),ISNUMBER(14_Cercania!$C$7),AC37&lt;&gt;"Rechazado",AC37&lt;&gt;"Inactivo"),6371*2*ASIN(SQRT(SIN(RADIANS(14_Cercania!$C$6-L37)/2)^2+COS(RADIANS(L37))*COS(RADIANS(14_Cercania!$C$6))*SIN(RADIANS(14_Cercania!$C$7-M37)/2)^2))+ROW()*0.000000001,"")</f>
        <v/>
      </c>
    </row>
    <row r="38" customFormat="false" ht="15" hidden="false" customHeight="false" outlineLevel="0" collapsed="false">
      <c r="B38" s="45" t="n">
        <v>32</v>
      </c>
      <c r="C38" s="91"/>
      <c r="D38" s="91"/>
      <c r="E38" s="92"/>
      <c r="F38" s="92"/>
      <c r="G38" s="91"/>
      <c r="H38" s="91"/>
      <c r="I38" s="91"/>
      <c r="J38" s="93" t="s">
        <v>2490</v>
      </c>
      <c r="K38" s="91"/>
      <c r="L38" s="94"/>
      <c r="M38" s="94"/>
      <c r="N38" s="91"/>
      <c r="O38" s="35" t="str">
        <f aca="false">HYPERLINK(IF(AND(ISNUMBER(L38),ISNUMBER(M38)),"https://www.google.com/maps/search/?api=1&amp;query="&amp;L38&amp;","&amp;M38,"https://www.google.com/maps/search/?api=1&amp;query="&amp;SUBSTITUTE(SUBSTITUTE(SUBSTITUTE(K38&amp;", "&amp;I38&amp;", Puno, Peru"," ","+"),"&amp;","y"),"#","")),"Ver en mapa")</f>
        <v>Ver en mapa</v>
      </c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5" t="str">
        <f aca="false">IF(AND(ISNUMBER(L38),ISNUMBER(M38),ISNUMBER(14_Cercania!$C$6),ISNUMBER(14_Cercania!$C$7),AC38&lt;&gt;"Rechazado",AC38&lt;&gt;"Inactivo"),6371*2*ASIN(SQRT(SIN(RADIANS(14_Cercania!$C$6-L38)/2)^2+COS(RADIANS(L38))*COS(RADIANS(14_Cercania!$C$6))*SIN(RADIANS(14_Cercania!$C$7-M38)/2)^2))+ROW()*0.000000001,"")</f>
        <v/>
      </c>
    </row>
    <row r="39" customFormat="false" ht="15" hidden="false" customHeight="false" outlineLevel="0" collapsed="false">
      <c r="B39" s="45" t="n">
        <v>33</v>
      </c>
      <c r="C39" s="91"/>
      <c r="D39" s="91"/>
      <c r="E39" s="92"/>
      <c r="F39" s="92"/>
      <c r="G39" s="91"/>
      <c r="H39" s="91"/>
      <c r="I39" s="91"/>
      <c r="J39" s="93" t="s">
        <v>2490</v>
      </c>
      <c r="K39" s="91"/>
      <c r="L39" s="94"/>
      <c r="M39" s="94"/>
      <c r="N39" s="91"/>
      <c r="O39" s="35" t="str">
        <f aca="false">HYPERLINK(IF(AND(ISNUMBER(L39),ISNUMBER(M39)),"https://www.google.com/maps/search/?api=1&amp;query="&amp;L39&amp;","&amp;M39,"https://www.google.com/maps/search/?api=1&amp;query="&amp;SUBSTITUTE(SUBSTITUTE(SUBSTITUTE(K39&amp;", "&amp;I39&amp;", Puno, Peru"," ","+"),"&amp;","y"),"#","")),"Ver en mapa")</f>
        <v>Ver en mapa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5" t="str">
        <f aca="false">IF(AND(ISNUMBER(L39),ISNUMBER(M39),ISNUMBER(14_Cercania!$C$6),ISNUMBER(14_Cercania!$C$7),AC39&lt;&gt;"Rechazado",AC39&lt;&gt;"Inactivo"),6371*2*ASIN(SQRT(SIN(RADIANS(14_Cercania!$C$6-L39)/2)^2+COS(RADIANS(L39))*COS(RADIANS(14_Cercania!$C$6))*SIN(RADIANS(14_Cercania!$C$7-M39)/2)^2))+ROW()*0.000000001,"")</f>
        <v/>
      </c>
    </row>
    <row r="40" customFormat="false" ht="15" hidden="false" customHeight="false" outlineLevel="0" collapsed="false">
      <c r="B40" s="45" t="n">
        <v>34</v>
      </c>
      <c r="C40" s="91"/>
      <c r="D40" s="91"/>
      <c r="E40" s="92"/>
      <c r="F40" s="92"/>
      <c r="G40" s="91"/>
      <c r="H40" s="91"/>
      <c r="I40" s="91"/>
      <c r="J40" s="93" t="s">
        <v>2490</v>
      </c>
      <c r="K40" s="91"/>
      <c r="L40" s="94"/>
      <c r="M40" s="94"/>
      <c r="N40" s="91"/>
      <c r="O40" s="35" t="str">
        <f aca="false">HYPERLINK(IF(AND(ISNUMBER(L40),ISNUMBER(M40)),"https://www.google.com/maps/search/?api=1&amp;query="&amp;L40&amp;","&amp;M40,"https://www.google.com/maps/search/?api=1&amp;query="&amp;SUBSTITUTE(SUBSTITUTE(SUBSTITUTE(K40&amp;", "&amp;I40&amp;", Puno, Peru"," ","+"),"&amp;","y"),"#","")),"Ver en mapa")</f>
        <v>Ver en mapa</v>
      </c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5" t="str">
        <f aca="false">IF(AND(ISNUMBER(L40),ISNUMBER(M40),ISNUMBER(14_Cercania!$C$6),ISNUMBER(14_Cercania!$C$7),AC40&lt;&gt;"Rechazado",AC40&lt;&gt;"Inactivo"),6371*2*ASIN(SQRT(SIN(RADIANS(14_Cercania!$C$6-L40)/2)^2+COS(RADIANS(L40))*COS(RADIANS(14_Cercania!$C$6))*SIN(RADIANS(14_Cercania!$C$7-M40)/2)^2))+ROW()*0.000000001,"")</f>
        <v/>
      </c>
    </row>
    <row r="41" customFormat="false" ht="15" hidden="false" customHeight="false" outlineLevel="0" collapsed="false">
      <c r="B41" s="45" t="n">
        <v>35</v>
      </c>
      <c r="C41" s="91"/>
      <c r="D41" s="91"/>
      <c r="E41" s="92"/>
      <c r="F41" s="92"/>
      <c r="G41" s="91"/>
      <c r="H41" s="91"/>
      <c r="I41" s="91"/>
      <c r="J41" s="93" t="s">
        <v>2490</v>
      </c>
      <c r="K41" s="91"/>
      <c r="L41" s="94"/>
      <c r="M41" s="94"/>
      <c r="N41" s="91"/>
      <c r="O41" s="35" t="str">
        <f aca="false">HYPERLINK(IF(AND(ISNUMBER(L41),ISNUMBER(M41)),"https://www.google.com/maps/search/?api=1&amp;query="&amp;L41&amp;","&amp;M41,"https://www.google.com/maps/search/?api=1&amp;query="&amp;SUBSTITUTE(SUBSTITUTE(SUBSTITUTE(K41&amp;", "&amp;I41&amp;", Puno, Peru"," ","+"),"&amp;","y"),"#","")),"Ver en mapa")</f>
        <v>Ver en mapa</v>
      </c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5" t="str">
        <f aca="false">IF(AND(ISNUMBER(L41),ISNUMBER(M41),ISNUMBER(14_Cercania!$C$6),ISNUMBER(14_Cercania!$C$7),AC41&lt;&gt;"Rechazado",AC41&lt;&gt;"Inactivo"),6371*2*ASIN(SQRT(SIN(RADIANS(14_Cercania!$C$6-L41)/2)^2+COS(RADIANS(L41))*COS(RADIANS(14_Cercania!$C$6))*SIN(RADIANS(14_Cercania!$C$7-M41)/2)^2))+ROW()*0.000000001,"")</f>
        <v/>
      </c>
    </row>
    <row r="42" customFormat="false" ht="15" hidden="false" customHeight="false" outlineLevel="0" collapsed="false">
      <c r="B42" s="45" t="n">
        <v>36</v>
      </c>
      <c r="C42" s="91"/>
      <c r="D42" s="91"/>
      <c r="E42" s="92"/>
      <c r="F42" s="92"/>
      <c r="G42" s="91"/>
      <c r="H42" s="91"/>
      <c r="I42" s="91"/>
      <c r="J42" s="93" t="s">
        <v>2490</v>
      </c>
      <c r="K42" s="91"/>
      <c r="L42" s="94"/>
      <c r="M42" s="94"/>
      <c r="N42" s="91"/>
      <c r="O42" s="35" t="str">
        <f aca="false">HYPERLINK(IF(AND(ISNUMBER(L42),ISNUMBER(M42)),"https://www.google.com/maps/search/?api=1&amp;query="&amp;L42&amp;","&amp;M42,"https://www.google.com/maps/search/?api=1&amp;query="&amp;SUBSTITUTE(SUBSTITUTE(SUBSTITUTE(K42&amp;", "&amp;I42&amp;", Puno, Peru"," ","+"),"&amp;","y"),"#","")),"Ver en mapa")</f>
        <v>Ver en mapa</v>
      </c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5" t="str">
        <f aca="false">IF(AND(ISNUMBER(L42),ISNUMBER(M42),ISNUMBER(14_Cercania!$C$6),ISNUMBER(14_Cercania!$C$7),AC42&lt;&gt;"Rechazado",AC42&lt;&gt;"Inactivo"),6371*2*ASIN(SQRT(SIN(RADIANS(14_Cercania!$C$6-L42)/2)^2+COS(RADIANS(L42))*COS(RADIANS(14_Cercania!$C$6))*SIN(RADIANS(14_Cercania!$C$7-M42)/2)^2))+ROW()*0.000000001,"")</f>
        <v/>
      </c>
    </row>
    <row r="43" customFormat="false" ht="15" hidden="false" customHeight="false" outlineLevel="0" collapsed="false">
      <c r="B43" s="45" t="n">
        <v>37</v>
      </c>
      <c r="C43" s="91"/>
      <c r="D43" s="91"/>
      <c r="E43" s="92"/>
      <c r="F43" s="92"/>
      <c r="G43" s="91"/>
      <c r="H43" s="91"/>
      <c r="I43" s="91"/>
      <c r="J43" s="93" t="s">
        <v>2490</v>
      </c>
      <c r="K43" s="91"/>
      <c r="L43" s="94"/>
      <c r="M43" s="94"/>
      <c r="N43" s="91"/>
      <c r="O43" s="35" t="str">
        <f aca="false">HYPERLINK(IF(AND(ISNUMBER(L43),ISNUMBER(M43)),"https://www.google.com/maps/search/?api=1&amp;query="&amp;L43&amp;","&amp;M43,"https://www.google.com/maps/search/?api=1&amp;query="&amp;SUBSTITUTE(SUBSTITUTE(SUBSTITUTE(K43&amp;", "&amp;I43&amp;", Puno, Peru"," ","+"),"&amp;","y"),"#","")),"Ver en mapa")</f>
        <v>Ver en mapa</v>
      </c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5" t="str">
        <f aca="false">IF(AND(ISNUMBER(L43),ISNUMBER(M43),ISNUMBER(14_Cercania!$C$6),ISNUMBER(14_Cercania!$C$7),AC43&lt;&gt;"Rechazado",AC43&lt;&gt;"Inactivo"),6371*2*ASIN(SQRT(SIN(RADIANS(14_Cercania!$C$6-L43)/2)^2+COS(RADIANS(L43))*COS(RADIANS(14_Cercania!$C$6))*SIN(RADIANS(14_Cercania!$C$7-M43)/2)^2))+ROW()*0.000000001,"")</f>
        <v/>
      </c>
    </row>
    <row r="44" customFormat="false" ht="15" hidden="false" customHeight="false" outlineLevel="0" collapsed="false">
      <c r="B44" s="45" t="n">
        <v>38</v>
      </c>
      <c r="C44" s="91"/>
      <c r="D44" s="91"/>
      <c r="E44" s="92"/>
      <c r="F44" s="92"/>
      <c r="G44" s="91"/>
      <c r="H44" s="91"/>
      <c r="I44" s="91"/>
      <c r="J44" s="93" t="s">
        <v>2490</v>
      </c>
      <c r="K44" s="91"/>
      <c r="L44" s="94"/>
      <c r="M44" s="94"/>
      <c r="N44" s="91"/>
      <c r="O44" s="35" t="str">
        <f aca="false">HYPERLINK(IF(AND(ISNUMBER(L44),ISNUMBER(M44)),"https://www.google.com/maps/search/?api=1&amp;query="&amp;L44&amp;","&amp;M44,"https://www.google.com/maps/search/?api=1&amp;query="&amp;SUBSTITUTE(SUBSTITUTE(SUBSTITUTE(K44&amp;", "&amp;I44&amp;", Puno, Peru"," ","+"),"&amp;","y"),"#","")),"Ver en mapa")</f>
        <v>Ver en mapa</v>
      </c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5" t="str">
        <f aca="false">IF(AND(ISNUMBER(L44),ISNUMBER(M44),ISNUMBER(14_Cercania!$C$6),ISNUMBER(14_Cercania!$C$7),AC44&lt;&gt;"Rechazado",AC44&lt;&gt;"Inactivo"),6371*2*ASIN(SQRT(SIN(RADIANS(14_Cercania!$C$6-L44)/2)^2+COS(RADIANS(L44))*COS(RADIANS(14_Cercania!$C$6))*SIN(RADIANS(14_Cercania!$C$7-M44)/2)^2))+ROW()*0.000000001,"")</f>
        <v/>
      </c>
    </row>
    <row r="45" customFormat="false" ht="15" hidden="false" customHeight="false" outlineLevel="0" collapsed="false">
      <c r="B45" s="45" t="n">
        <v>39</v>
      </c>
      <c r="C45" s="91"/>
      <c r="D45" s="91"/>
      <c r="E45" s="92"/>
      <c r="F45" s="92"/>
      <c r="G45" s="91"/>
      <c r="H45" s="91"/>
      <c r="I45" s="91"/>
      <c r="J45" s="93" t="s">
        <v>2490</v>
      </c>
      <c r="K45" s="91"/>
      <c r="L45" s="94"/>
      <c r="M45" s="94"/>
      <c r="N45" s="91"/>
      <c r="O45" s="35" t="str">
        <f aca="false">HYPERLINK(IF(AND(ISNUMBER(L45),ISNUMBER(M45)),"https://www.google.com/maps/search/?api=1&amp;query="&amp;L45&amp;","&amp;M45,"https://www.google.com/maps/search/?api=1&amp;query="&amp;SUBSTITUTE(SUBSTITUTE(SUBSTITUTE(K45&amp;", "&amp;I45&amp;", Puno, Peru"," ","+"),"&amp;","y"),"#","")),"Ver en mapa")</f>
        <v>Ver en mapa</v>
      </c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5" t="str">
        <f aca="false">IF(AND(ISNUMBER(L45),ISNUMBER(M45),ISNUMBER(14_Cercania!$C$6),ISNUMBER(14_Cercania!$C$7),AC45&lt;&gt;"Rechazado",AC45&lt;&gt;"Inactivo"),6371*2*ASIN(SQRT(SIN(RADIANS(14_Cercania!$C$6-L45)/2)^2+COS(RADIANS(L45))*COS(RADIANS(14_Cercania!$C$6))*SIN(RADIANS(14_Cercania!$C$7-M45)/2)^2))+ROW()*0.000000001,"")</f>
        <v/>
      </c>
    </row>
    <row r="46" customFormat="false" ht="15" hidden="false" customHeight="false" outlineLevel="0" collapsed="false">
      <c r="B46" s="45" t="n">
        <v>40</v>
      </c>
      <c r="C46" s="91"/>
      <c r="D46" s="91"/>
      <c r="E46" s="92"/>
      <c r="F46" s="92"/>
      <c r="G46" s="91"/>
      <c r="H46" s="91"/>
      <c r="I46" s="91"/>
      <c r="J46" s="93" t="s">
        <v>2490</v>
      </c>
      <c r="K46" s="91"/>
      <c r="L46" s="94"/>
      <c r="M46" s="94"/>
      <c r="N46" s="91"/>
      <c r="O46" s="35" t="str">
        <f aca="false">HYPERLINK(IF(AND(ISNUMBER(L46),ISNUMBER(M46)),"https://www.google.com/maps/search/?api=1&amp;query="&amp;L46&amp;","&amp;M46,"https://www.google.com/maps/search/?api=1&amp;query="&amp;SUBSTITUTE(SUBSTITUTE(SUBSTITUTE(K46&amp;", "&amp;I46&amp;", Puno, Peru"," ","+"),"&amp;","y"),"#","")),"Ver en mapa")</f>
        <v>Ver en mapa</v>
      </c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5" t="str">
        <f aca="false">IF(AND(ISNUMBER(L46),ISNUMBER(M46),ISNUMBER(14_Cercania!$C$6),ISNUMBER(14_Cercania!$C$7),AC46&lt;&gt;"Rechazado",AC46&lt;&gt;"Inactivo"),6371*2*ASIN(SQRT(SIN(RADIANS(14_Cercania!$C$6-L46)/2)^2+COS(RADIANS(L46))*COS(RADIANS(14_Cercania!$C$6))*SIN(RADIANS(14_Cercania!$C$7-M46)/2)^2))+ROW()*0.000000001,"")</f>
        <v/>
      </c>
    </row>
    <row r="47" customFormat="false" ht="15" hidden="false" customHeight="false" outlineLevel="0" collapsed="false">
      <c r="B47" s="45" t="n">
        <v>41</v>
      </c>
      <c r="C47" s="91"/>
      <c r="D47" s="91"/>
      <c r="E47" s="92"/>
      <c r="F47" s="92"/>
      <c r="G47" s="91"/>
      <c r="H47" s="91"/>
      <c r="I47" s="91"/>
      <c r="J47" s="93" t="s">
        <v>2490</v>
      </c>
      <c r="K47" s="91"/>
      <c r="L47" s="94"/>
      <c r="M47" s="94"/>
      <c r="N47" s="91"/>
      <c r="O47" s="35" t="str">
        <f aca="false">HYPERLINK(IF(AND(ISNUMBER(L47),ISNUMBER(M47)),"https://www.google.com/maps/search/?api=1&amp;query="&amp;L47&amp;","&amp;M47,"https://www.google.com/maps/search/?api=1&amp;query="&amp;SUBSTITUTE(SUBSTITUTE(SUBSTITUTE(K47&amp;", "&amp;I47&amp;", Puno, Peru"," ","+"),"&amp;","y"),"#","")),"Ver en mapa")</f>
        <v>Ver en mapa</v>
      </c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5" t="str">
        <f aca="false">IF(AND(ISNUMBER(L47),ISNUMBER(M47),ISNUMBER(14_Cercania!$C$6),ISNUMBER(14_Cercania!$C$7),AC47&lt;&gt;"Rechazado",AC47&lt;&gt;"Inactivo"),6371*2*ASIN(SQRT(SIN(RADIANS(14_Cercania!$C$6-L47)/2)^2+COS(RADIANS(L47))*COS(RADIANS(14_Cercania!$C$6))*SIN(RADIANS(14_Cercania!$C$7-M47)/2)^2))+ROW()*0.000000001,"")</f>
        <v/>
      </c>
    </row>
    <row r="48" customFormat="false" ht="15" hidden="false" customHeight="false" outlineLevel="0" collapsed="false">
      <c r="B48" s="45" t="n">
        <v>42</v>
      </c>
      <c r="C48" s="91"/>
      <c r="D48" s="91"/>
      <c r="E48" s="92"/>
      <c r="F48" s="92"/>
      <c r="G48" s="91"/>
      <c r="H48" s="91"/>
      <c r="I48" s="91"/>
      <c r="J48" s="93" t="s">
        <v>2490</v>
      </c>
      <c r="K48" s="91"/>
      <c r="L48" s="94"/>
      <c r="M48" s="94"/>
      <c r="N48" s="91"/>
      <c r="O48" s="35" t="str">
        <f aca="false">HYPERLINK(IF(AND(ISNUMBER(L48),ISNUMBER(M48)),"https://www.google.com/maps/search/?api=1&amp;query="&amp;L48&amp;","&amp;M48,"https://www.google.com/maps/search/?api=1&amp;query="&amp;SUBSTITUTE(SUBSTITUTE(SUBSTITUTE(K48&amp;", "&amp;I48&amp;", Puno, Peru"," ","+"),"&amp;","y"),"#","")),"Ver en mapa")</f>
        <v>Ver en mapa</v>
      </c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5" t="str">
        <f aca="false">IF(AND(ISNUMBER(L48),ISNUMBER(M48),ISNUMBER(14_Cercania!$C$6),ISNUMBER(14_Cercania!$C$7),AC48&lt;&gt;"Rechazado",AC48&lt;&gt;"Inactivo"),6371*2*ASIN(SQRT(SIN(RADIANS(14_Cercania!$C$6-L48)/2)^2+COS(RADIANS(L48))*COS(RADIANS(14_Cercania!$C$6))*SIN(RADIANS(14_Cercania!$C$7-M48)/2)^2))+ROW()*0.000000001,"")</f>
        <v/>
      </c>
    </row>
    <row r="49" customFormat="false" ht="15" hidden="false" customHeight="false" outlineLevel="0" collapsed="false">
      <c r="B49" s="45" t="n">
        <v>43</v>
      </c>
      <c r="C49" s="91"/>
      <c r="D49" s="91"/>
      <c r="E49" s="92"/>
      <c r="F49" s="92"/>
      <c r="G49" s="91"/>
      <c r="H49" s="91"/>
      <c r="I49" s="91"/>
      <c r="J49" s="93" t="s">
        <v>2490</v>
      </c>
      <c r="K49" s="91"/>
      <c r="L49" s="94"/>
      <c r="M49" s="94"/>
      <c r="N49" s="91"/>
      <c r="O49" s="35" t="str">
        <f aca="false">HYPERLINK(IF(AND(ISNUMBER(L49),ISNUMBER(M49)),"https://www.google.com/maps/search/?api=1&amp;query="&amp;L49&amp;","&amp;M49,"https://www.google.com/maps/search/?api=1&amp;query="&amp;SUBSTITUTE(SUBSTITUTE(SUBSTITUTE(K49&amp;", "&amp;I49&amp;", Puno, Peru"," ","+"),"&amp;","y"),"#","")),"Ver en mapa")</f>
        <v>Ver en mapa</v>
      </c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5" t="str">
        <f aca="false">IF(AND(ISNUMBER(L49),ISNUMBER(M49),ISNUMBER(14_Cercania!$C$6),ISNUMBER(14_Cercania!$C$7),AC49&lt;&gt;"Rechazado",AC49&lt;&gt;"Inactivo"),6371*2*ASIN(SQRT(SIN(RADIANS(14_Cercania!$C$6-L49)/2)^2+COS(RADIANS(L49))*COS(RADIANS(14_Cercania!$C$6))*SIN(RADIANS(14_Cercania!$C$7-M49)/2)^2))+ROW()*0.000000001,"")</f>
        <v/>
      </c>
    </row>
    <row r="50" customFormat="false" ht="15" hidden="false" customHeight="false" outlineLevel="0" collapsed="false">
      <c r="B50" s="45" t="n">
        <v>44</v>
      </c>
      <c r="C50" s="91"/>
      <c r="D50" s="91"/>
      <c r="E50" s="92"/>
      <c r="F50" s="92"/>
      <c r="G50" s="91"/>
      <c r="H50" s="91"/>
      <c r="I50" s="91"/>
      <c r="J50" s="93" t="s">
        <v>2490</v>
      </c>
      <c r="K50" s="91"/>
      <c r="L50" s="94"/>
      <c r="M50" s="94"/>
      <c r="N50" s="91"/>
      <c r="O50" s="35" t="str">
        <f aca="false">HYPERLINK(IF(AND(ISNUMBER(L50),ISNUMBER(M50)),"https://www.google.com/maps/search/?api=1&amp;query="&amp;L50&amp;","&amp;M50,"https://www.google.com/maps/search/?api=1&amp;query="&amp;SUBSTITUTE(SUBSTITUTE(SUBSTITUTE(K50&amp;", "&amp;I50&amp;", Puno, Peru"," ","+"),"&amp;","y"),"#","")),"Ver en mapa")</f>
        <v>Ver en mapa</v>
      </c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5" t="str">
        <f aca="false">IF(AND(ISNUMBER(L50),ISNUMBER(M50),ISNUMBER(14_Cercania!$C$6),ISNUMBER(14_Cercania!$C$7),AC50&lt;&gt;"Rechazado",AC50&lt;&gt;"Inactivo"),6371*2*ASIN(SQRT(SIN(RADIANS(14_Cercania!$C$6-L50)/2)^2+COS(RADIANS(L50))*COS(RADIANS(14_Cercania!$C$6))*SIN(RADIANS(14_Cercania!$C$7-M50)/2)^2))+ROW()*0.000000001,"")</f>
        <v/>
      </c>
    </row>
    <row r="51" customFormat="false" ht="15" hidden="false" customHeight="false" outlineLevel="0" collapsed="false">
      <c r="B51" s="45" t="n">
        <v>45</v>
      </c>
      <c r="C51" s="91"/>
      <c r="D51" s="91"/>
      <c r="E51" s="92"/>
      <c r="F51" s="92"/>
      <c r="G51" s="91"/>
      <c r="H51" s="91"/>
      <c r="I51" s="91"/>
      <c r="J51" s="93" t="s">
        <v>2490</v>
      </c>
      <c r="K51" s="91"/>
      <c r="L51" s="94"/>
      <c r="M51" s="94"/>
      <c r="N51" s="91"/>
      <c r="O51" s="35" t="str">
        <f aca="false">HYPERLINK(IF(AND(ISNUMBER(L51),ISNUMBER(M51)),"https://www.google.com/maps/search/?api=1&amp;query="&amp;L51&amp;","&amp;M51,"https://www.google.com/maps/search/?api=1&amp;query="&amp;SUBSTITUTE(SUBSTITUTE(SUBSTITUTE(K51&amp;", "&amp;I51&amp;", Puno, Peru"," ","+"),"&amp;","y"),"#","")),"Ver en mapa")</f>
        <v>Ver en mapa</v>
      </c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5" t="str">
        <f aca="false">IF(AND(ISNUMBER(L51),ISNUMBER(M51),ISNUMBER(14_Cercania!$C$6),ISNUMBER(14_Cercania!$C$7),AC51&lt;&gt;"Rechazado",AC51&lt;&gt;"Inactivo"),6371*2*ASIN(SQRT(SIN(RADIANS(14_Cercania!$C$6-L51)/2)^2+COS(RADIANS(L51))*COS(RADIANS(14_Cercania!$C$6))*SIN(RADIANS(14_Cercania!$C$7-M51)/2)^2))+ROW()*0.000000001,"")</f>
        <v/>
      </c>
    </row>
    <row r="52" customFormat="false" ht="15" hidden="false" customHeight="false" outlineLevel="0" collapsed="false">
      <c r="B52" s="45" t="n">
        <v>46</v>
      </c>
      <c r="C52" s="91"/>
      <c r="D52" s="91"/>
      <c r="E52" s="92"/>
      <c r="F52" s="92"/>
      <c r="G52" s="91"/>
      <c r="H52" s="91"/>
      <c r="I52" s="91"/>
      <c r="J52" s="93" t="s">
        <v>2490</v>
      </c>
      <c r="K52" s="91"/>
      <c r="L52" s="94"/>
      <c r="M52" s="94"/>
      <c r="N52" s="91"/>
      <c r="O52" s="35" t="str">
        <f aca="false">HYPERLINK(IF(AND(ISNUMBER(L52),ISNUMBER(M52)),"https://www.google.com/maps/search/?api=1&amp;query="&amp;L52&amp;","&amp;M52,"https://www.google.com/maps/search/?api=1&amp;query="&amp;SUBSTITUTE(SUBSTITUTE(SUBSTITUTE(K52&amp;", "&amp;I52&amp;", Puno, Peru"," ","+"),"&amp;","y"),"#","")),"Ver en mapa")</f>
        <v>Ver en mapa</v>
      </c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5" t="str">
        <f aca="false">IF(AND(ISNUMBER(L52),ISNUMBER(M52),ISNUMBER(14_Cercania!$C$6),ISNUMBER(14_Cercania!$C$7),AC52&lt;&gt;"Rechazado",AC52&lt;&gt;"Inactivo"),6371*2*ASIN(SQRT(SIN(RADIANS(14_Cercania!$C$6-L52)/2)^2+COS(RADIANS(L52))*COS(RADIANS(14_Cercania!$C$6))*SIN(RADIANS(14_Cercania!$C$7-M52)/2)^2))+ROW()*0.000000001,"")</f>
        <v/>
      </c>
    </row>
    <row r="53" customFormat="false" ht="15" hidden="false" customHeight="false" outlineLevel="0" collapsed="false">
      <c r="B53" s="45" t="n">
        <v>47</v>
      </c>
      <c r="C53" s="91"/>
      <c r="D53" s="91"/>
      <c r="E53" s="92"/>
      <c r="F53" s="92"/>
      <c r="G53" s="91"/>
      <c r="H53" s="91"/>
      <c r="I53" s="91"/>
      <c r="J53" s="93" t="s">
        <v>2490</v>
      </c>
      <c r="K53" s="91"/>
      <c r="L53" s="94"/>
      <c r="M53" s="94"/>
      <c r="N53" s="91"/>
      <c r="O53" s="35" t="str">
        <f aca="false">HYPERLINK(IF(AND(ISNUMBER(L53),ISNUMBER(M53)),"https://www.google.com/maps/search/?api=1&amp;query="&amp;L53&amp;","&amp;M53,"https://www.google.com/maps/search/?api=1&amp;query="&amp;SUBSTITUTE(SUBSTITUTE(SUBSTITUTE(K53&amp;", "&amp;I53&amp;", Puno, Peru"," ","+"),"&amp;","y"),"#","")),"Ver en mapa")</f>
        <v>Ver en mapa</v>
      </c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5" t="str">
        <f aca="false">IF(AND(ISNUMBER(L53),ISNUMBER(M53),ISNUMBER(14_Cercania!$C$6),ISNUMBER(14_Cercania!$C$7),AC53&lt;&gt;"Rechazado",AC53&lt;&gt;"Inactivo"),6371*2*ASIN(SQRT(SIN(RADIANS(14_Cercania!$C$6-L53)/2)^2+COS(RADIANS(L53))*COS(RADIANS(14_Cercania!$C$6))*SIN(RADIANS(14_Cercania!$C$7-M53)/2)^2))+ROW()*0.000000001,"")</f>
        <v/>
      </c>
    </row>
    <row r="54" customFormat="false" ht="15" hidden="false" customHeight="false" outlineLevel="0" collapsed="false">
      <c r="B54" s="45" t="n">
        <v>48</v>
      </c>
      <c r="C54" s="91"/>
      <c r="D54" s="91"/>
      <c r="E54" s="92"/>
      <c r="F54" s="92"/>
      <c r="G54" s="91"/>
      <c r="H54" s="91"/>
      <c r="I54" s="91"/>
      <c r="J54" s="93" t="s">
        <v>2490</v>
      </c>
      <c r="K54" s="91"/>
      <c r="L54" s="94"/>
      <c r="M54" s="94"/>
      <c r="N54" s="91"/>
      <c r="O54" s="35" t="str">
        <f aca="false">HYPERLINK(IF(AND(ISNUMBER(L54),ISNUMBER(M54)),"https://www.google.com/maps/search/?api=1&amp;query="&amp;L54&amp;","&amp;M54,"https://www.google.com/maps/search/?api=1&amp;query="&amp;SUBSTITUTE(SUBSTITUTE(SUBSTITUTE(K54&amp;", "&amp;I54&amp;", Puno, Peru"," ","+"),"&amp;","y"),"#","")),"Ver en mapa")</f>
        <v>Ver en mapa</v>
      </c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5" t="str">
        <f aca="false">IF(AND(ISNUMBER(L54),ISNUMBER(M54),ISNUMBER(14_Cercania!$C$6),ISNUMBER(14_Cercania!$C$7),AC54&lt;&gt;"Rechazado",AC54&lt;&gt;"Inactivo"),6371*2*ASIN(SQRT(SIN(RADIANS(14_Cercania!$C$6-L54)/2)^2+COS(RADIANS(L54))*COS(RADIANS(14_Cercania!$C$6))*SIN(RADIANS(14_Cercania!$C$7-M54)/2)^2))+ROW()*0.000000001,"")</f>
        <v/>
      </c>
    </row>
    <row r="55" customFormat="false" ht="15" hidden="false" customHeight="false" outlineLevel="0" collapsed="false">
      <c r="B55" s="45" t="n">
        <v>49</v>
      </c>
      <c r="C55" s="91"/>
      <c r="D55" s="91"/>
      <c r="E55" s="92"/>
      <c r="F55" s="92"/>
      <c r="G55" s="91"/>
      <c r="H55" s="91"/>
      <c r="I55" s="91"/>
      <c r="J55" s="93" t="s">
        <v>2490</v>
      </c>
      <c r="K55" s="91"/>
      <c r="L55" s="94"/>
      <c r="M55" s="94"/>
      <c r="N55" s="91"/>
      <c r="O55" s="35" t="str">
        <f aca="false">HYPERLINK(IF(AND(ISNUMBER(L55),ISNUMBER(M55)),"https://www.google.com/maps/search/?api=1&amp;query="&amp;L55&amp;","&amp;M55,"https://www.google.com/maps/search/?api=1&amp;query="&amp;SUBSTITUTE(SUBSTITUTE(SUBSTITUTE(K55&amp;", "&amp;I55&amp;", Puno, Peru"," ","+"),"&amp;","y"),"#","")),"Ver en mapa")</f>
        <v>Ver en mapa</v>
      </c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5" t="str">
        <f aca="false">IF(AND(ISNUMBER(L55),ISNUMBER(M55),ISNUMBER(14_Cercania!$C$6),ISNUMBER(14_Cercania!$C$7),AC55&lt;&gt;"Rechazado",AC55&lt;&gt;"Inactivo"),6371*2*ASIN(SQRT(SIN(RADIANS(14_Cercania!$C$6-L55)/2)^2+COS(RADIANS(L55))*COS(RADIANS(14_Cercania!$C$6))*SIN(RADIANS(14_Cercania!$C$7-M55)/2)^2))+ROW()*0.000000001,"")</f>
        <v/>
      </c>
    </row>
    <row r="56" customFormat="false" ht="15" hidden="false" customHeight="false" outlineLevel="0" collapsed="false">
      <c r="B56" s="45" t="n">
        <v>50</v>
      </c>
      <c r="C56" s="91"/>
      <c r="D56" s="91"/>
      <c r="E56" s="92"/>
      <c r="F56" s="92"/>
      <c r="G56" s="91"/>
      <c r="H56" s="91"/>
      <c r="I56" s="91"/>
      <c r="J56" s="93" t="s">
        <v>2490</v>
      </c>
      <c r="K56" s="91"/>
      <c r="L56" s="94"/>
      <c r="M56" s="94"/>
      <c r="N56" s="91"/>
      <c r="O56" s="35" t="str">
        <f aca="false">HYPERLINK(IF(AND(ISNUMBER(L56),ISNUMBER(M56)),"https://www.google.com/maps/search/?api=1&amp;query="&amp;L56&amp;","&amp;M56,"https://www.google.com/maps/search/?api=1&amp;query="&amp;SUBSTITUTE(SUBSTITUTE(SUBSTITUTE(K56&amp;", "&amp;I56&amp;", Puno, Peru"," ","+"),"&amp;","y"),"#","")),"Ver en mapa")</f>
        <v>Ver en mapa</v>
      </c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5" t="str">
        <f aca="false">IF(AND(ISNUMBER(L56),ISNUMBER(M56),ISNUMBER(14_Cercania!$C$6),ISNUMBER(14_Cercania!$C$7),AC56&lt;&gt;"Rechazado",AC56&lt;&gt;"Inactivo"),6371*2*ASIN(SQRT(SIN(RADIANS(14_Cercania!$C$6-L56)/2)^2+COS(RADIANS(L56))*COS(RADIANS(14_Cercania!$C$6))*SIN(RADIANS(14_Cercania!$C$7-M56)/2)^2))+ROW()*0.000000001,"")</f>
        <v/>
      </c>
    </row>
    <row r="57" customFormat="false" ht="15" hidden="false" customHeight="false" outlineLevel="0" collapsed="false">
      <c r="B57" s="45" t="n">
        <v>51</v>
      </c>
      <c r="C57" s="91"/>
      <c r="D57" s="91"/>
      <c r="E57" s="92"/>
      <c r="F57" s="92"/>
      <c r="G57" s="91"/>
      <c r="H57" s="91"/>
      <c r="I57" s="91"/>
      <c r="J57" s="93" t="s">
        <v>2490</v>
      </c>
      <c r="K57" s="91"/>
      <c r="L57" s="94"/>
      <c r="M57" s="94"/>
      <c r="N57" s="91"/>
      <c r="O57" s="35" t="str">
        <f aca="false">HYPERLINK(IF(AND(ISNUMBER(L57),ISNUMBER(M57)),"https://www.google.com/maps/search/?api=1&amp;query="&amp;L57&amp;","&amp;M57,"https://www.google.com/maps/search/?api=1&amp;query="&amp;SUBSTITUTE(SUBSTITUTE(SUBSTITUTE(K57&amp;", "&amp;I57&amp;", Puno, Peru"," ","+"),"&amp;","y"),"#","")),"Ver en mapa")</f>
        <v>Ver en mapa</v>
      </c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5" t="str">
        <f aca="false">IF(AND(ISNUMBER(L57),ISNUMBER(M57),ISNUMBER(14_Cercania!$C$6),ISNUMBER(14_Cercania!$C$7),AC57&lt;&gt;"Rechazado",AC57&lt;&gt;"Inactivo"),6371*2*ASIN(SQRT(SIN(RADIANS(14_Cercania!$C$6-L57)/2)^2+COS(RADIANS(L57))*COS(RADIANS(14_Cercania!$C$6))*SIN(RADIANS(14_Cercania!$C$7-M57)/2)^2))+ROW()*0.000000001,"")</f>
        <v/>
      </c>
    </row>
    <row r="58" customFormat="false" ht="15" hidden="false" customHeight="false" outlineLevel="0" collapsed="false">
      <c r="B58" s="45" t="n">
        <v>52</v>
      </c>
      <c r="C58" s="91"/>
      <c r="D58" s="91"/>
      <c r="E58" s="92"/>
      <c r="F58" s="92"/>
      <c r="G58" s="91"/>
      <c r="H58" s="91"/>
      <c r="I58" s="91"/>
      <c r="J58" s="93" t="s">
        <v>2490</v>
      </c>
      <c r="K58" s="91"/>
      <c r="L58" s="94"/>
      <c r="M58" s="94"/>
      <c r="N58" s="91"/>
      <c r="O58" s="35" t="str">
        <f aca="false">HYPERLINK(IF(AND(ISNUMBER(L58),ISNUMBER(M58)),"https://www.google.com/maps/search/?api=1&amp;query="&amp;L58&amp;","&amp;M58,"https://www.google.com/maps/search/?api=1&amp;query="&amp;SUBSTITUTE(SUBSTITUTE(SUBSTITUTE(K58&amp;", "&amp;I58&amp;", Puno, Peru"," ","+"),"&amp;","y"),"#","")),"Ver en mapa")</f>
        <v>Ver en mapa</v>
      </c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5" t="str">
        <f aca="false">IF(AND(ISNUMBER(L58),ISNUMBER(M58),ISNUMBER(14_Cercania!$C$6),ISNUMBER(14_Cercania!$C$7),AC58&lt;&gt;"Rechazado",AC58&lt;&gt;"Inactivo"),6371*2*ASIN(SQRT(SIN(RADIANS(14_Cercania!$C$6-L58)/2)^2+COS(RADIANS(L58))*COS(RADIANS(14_Cercania!$C$6))*SIN(RADIANS(14_Cercania!$C$7-M58)/2)^2))+ROW()*0.000000001,"")</f>
        <v/>
      </c>
    </row>
    <row r="59" customFormat="false" ht="15" hidden="false" customHeight="false" outlineLevel="0" collapsed="false">
      <c r="B59" s="45" t="n">
        <v>53</v>
      </c>
      <c r="C59" s="91"/>
      <c r="D59" s="91"/>
      <c r="E59" s="92"/>
      <c r="F59" s="92"/>
      <c r="G59" s="91"/>
      <c r="H59" s="91"/>
      <c r="I59" s="91"/>
      <c r="J59" s="93" t="s">
        <v>2490</v>
      </c>
      <c r="K59" s="91"/>
      <c r="L59" s="94"/>
      <c r="M59" s="94"/>
      <c r="N59" s="91"/>
      <c r="O59" s="35" t="str">
        <f aca="false">HYPERLINK(IF(AND(ISNUMBER(L59),ISNUMBER(M59)),"https://www.google.com/maps/search/?api=1&amp;query="&amp;L59&amp;","&amp;M59,"https://www.google.com/maps/search/?api=1&amp;query="&amp;SUBSTITUTE(SUBSTITUTE(SUBSTITUTE(K59&amp;", "&amp;I59&amp;", Puno, Peru"," ","+"),"&amp;","y"),"#","")),"Ver en mapa")</f>
        <v>Ver en mapa</v>
      </c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5" t="str">
        <f aca="false">IF(AND(ISNUMBER(L59),ISNUMBER(M59),ISNUMBER(14_Cercania!$C$6),ISNUMBER(14_Cercania!$C$7),AC59&lt;&gt;"Rechazado",AC59&lt;&gt;"Inactivo"),6371*2*ASIN(SQRT(SIN(RADIANS(14_Cercania!$C$6-L59)/2)^2+COS(RADIANS(L59))*COS(RADIANS(14_Cercania!$C$6))*SIN(RADIANS(14_Cercania!$C$7-M59)/2)^2))+ROW()*0.000000001,"")</f>
        <v/>
      </c>
    </row>
    <row r="60" customFormat="false" ht="15" hidden="false" customHeight="false" outlineLevel="0" collapsed="false">
      <c r="B60" s="45" t="n">
        <v>54</v>
      </c>
      <c r="C60" s="91"/>
      <c r="D60" s="91"/>
      <c r="E60" s="92"/>
      <c r="F60" s="92"/>
      <c r="G60" s="91"/>
      <c r="H60" s="91"/>
      <c r="I60" s="91"/>
      <c r="J60" s="93" t="s">
        <v>2490</v>
      </c>
      <c r="K60" s="91"/>
      <c r="L60" s="94"/>
      <c r="M60" s="94"/>
      <c r="N60" s="91"/>
      <c r="O60" s="35" t="str">
        <f aca="false">HYPERLINK(IF(AND(ISNUMBER(L60),ISNUMBER(M60)),"https://www.google.com/maps/search/?api=1&amp;query="&amp;L60&amp;","&amp;M60,"https://www.google.com/maps/search/?api=1&amp;query="&amp;SUBSTITUTE(SUBSTITUTE(SUBSTITUTE(K60&amp;", "&amp;I60&amp;", Puno, Peru"," ","+"),"&amp;","y"),"#","")),"Ver en mapa")</f>
        <v>Ver en mapa</v>
      </c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5" t="str">
        <f aca="false">IF(AND(ISNUMBER(L60),ISNUMBER(M60),ISNUMBER(14_Cercania!$C$6),ISNUMBER(14_Cercania!$C$7),AC60&lt;&gt;"Rechazado",AC60&lt;&gt;"Inactivo"),6371*2*ASIN(SQRT(SIN(RADIANS(14_Cercania!$C$6-L60)/2)^2+COS(RADIANS(L60))*COS(RADIANS(14_Cercania!$C$6))*SIN(RADIANS(14_Cercania!$C$7-M60)/2)^2))+ROW()*0.000000001,"")</f>
        <v/>
      </c>
    </row>
    <row r="61" customFormat="false" ht="15" hidden="false" customHeight="false" outlineLevel="0" collapsed="false">
      <c r="B61" s="45" t="n">
        <v>55</v>
      </c>
      <c r="C61" s="91"/>
      <c r="D61" s="91"/>
      <c r="E61" s="92"/>
      <c r="F61" s="92"/>
      <c r="G61" s="91"/>
      <c r="H61" s="91"/>
      <c r="I61" s="91"/>
      <c r="J61" s="93" t="s">
        <v>2490</v>
      </c>
      <c r="K61" s="91"/>
      <c r="L61" s="94"/>
      <c r="M61" s="94"/>
      <c r="N61" s="91"/>
      <c r="O61" s="35" t="str">
        <f aca="false">HYPERLINK(IF(AND(ISNUMBER(L61),ISNUMBER(M61)),"https://www.google.com/maps/search/?api=1&amp;query="&amp;L61&amp;","&amp;M61,"https://www.google.com/maps/search/?api=1&amp;query="&amp;SUBSTITUTE(SUBSTITUTE(SUBSTITUTE(K61&amp;", "&amp;I61&amp;", Puno, Peru"," ","+"),"&amp;","y"),"#","")),"Ver en mapa")</f>
        <v>Ver en mapa</v>
      </c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5" t="str">
        <f aca="false">IF(AND(ISNUMBER(L61),ISNUMBER(M61),ISNUMBER(14_Cercania!$C$6),ISNUMBER(14_Cercania!$C$7),AC61&lt;&gt;"Rechazado",AC61&lt;&gt;"Inactivo"),6371*2*ASIN(SQRT(SIN(RADIANS(14_Cercania!$C$6-L61)/2)^2+COS(RADIANS(L61))*COS(RADIANS(14_Cercania!$C$6))*SIN(RADIANS(14_Cercania!$C$7-M61)/2)^2))+ROW()*0.000000001,"")</f>
        <v/>
      </c>
    </row>
    <row r="62" customFormat="false" ht="15" hidden="false" customHeight="false" outlineLevel="0" collapsed="false">
      <c r="B62" s="45" t="n">
        <v>56</v>
      </c>
      <c r="C62" s="91"/>
      <c r="D62" s="91"/>
      <c r="E62" s="92"/>
      <c r="F62" s="92"/>
      <c r="G62" s="91"/>
      <c r="H62" s="91"/>
      <c r="I62" s="91"/>
      <c r="J62" s="93" t="s">
        <v>2490</v>
      </c>
      <c r="K62" s="91"/>
      <c r="L62" s="94"/>
      <c r="M62" s="94"/>
      <c r="N62" s="91"/>
      <c r="O62" s="35" t="str">
        <f aca="false">HYPERLINK(IF(AND(ISNUMBER(L62),ISNUMBER(M62)),"https://www.google.com/maps/search/?api=1&amp;query="&amp;L62&amp;","&amp;M62,"https://www.google.com/maps/search/?api=1&amp;query="&amp;SUBSTITUTE(SUBSTITUTE(SUBSTITUTE(K62&amp;", "&amp;I62&amp;", Puno, Peru"," ","+"),"&amp;","y"),"#","")),"Ver en mapa")</f>
        <v>Ver en mapa</v>
      </c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5" t="str">
        <f aca="false">IF(AND(ISNUMBER(L62),ISNUMBER(M62),ISNUMBER(14_Cercania!$C$6),ISNUMBER(14_Cercania!$C$7),AC62&lt;&gt;"Rechazado",AC62&lt;&gt;"Inactivo"),6371*2*ASIN(SQRT(SIN(RADIANS(14_Cercania!$C$6-L62)/2)^2+COS(RADIANS(L62))*COS(RADIANS(14_Cercania!$C$6))*SIN(RADIANS(14_Cercania!$C$7-M62)/2)^2))+ROW()*0.000000001,"")</f>
        <v/>
      </c>
    </row>
    <row r="63" customFormat="false" ht="15" hidden="false" customHeight="false" outlineLevel="0" collapsed="false">
      <c r="B63" s="45" t="n">
        <v>57</v>
      </c>
      <c r="C63" s="91"/>
      <c r="D63" s="91"/>
      <c r="E63" s="92"/>
      <c r="F63" s="92"/>
      <c r="G63" s="91"/>
      <c r="H63" s="91"/>
      <c r="I63" s="91"/>
      <c r="J63" s="93" t="s">
        <v>2490</v>
      </c>
      <c r="K63" s="91"/>
      <c r="L63" s="94"/>
      <c r="M63" s="94"/>
      <c r="N63" s="91"/>
      <c r="O63" s="35" t="str">
        <f aca="false">HYPERLINK(IF(AND(ISNUMBER(L63),ISNUMBER(M63)),"https://www.google.com/maps/search/?api=1&amp;query="&amp;L63&amp;","&amp;M63,"https://www.google.com/maps/search/?api=1&amp;query="&amp;SUBSTITUTE(SUBSTITUTE(SUBSTITUTE(K63&amp;", "&amp;I63&amp;", Puno, Peru"," ","+"),"&amp;","y"),"#","")),"Ver en mapa")</f>
        <v>Ver en mapa</v>
      </c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5" t="str">
        <f aca="false">IF(AND(ISNUMBER(L63),ISNUMBER(M63),ISNUMBER(14_Cercania!$C$6),ISNUMBER(14_Cercania!$C$7),AC63&lt;&gt;"Rechazado",AC63&lt;&gt;"Inactivo"),6371*2*ASIN(SQRT(SIN(RADIANS(14_Cercania!$C$6-L63)/2)^2+COS(RADIANS(L63))*COS(RADIANS(14_Cercania!$C$6))*SIN(RADIANS(14_Cercania!$C$7-M63)/2)^2))+ROW()*0.000000001,"")</f>
        <v/>
      </c>
    </row>
    <row r="64" customFormat="false" ht="15" hidden="false" customHeight="false" outlineLevel="0" collapsed="false">
      <c r="B64" s="45" t="n">
        <v>58</v>
      </c>
      <c r="C64" s="91"/>
      <c r="D64" s="91"/>
      <c r="E64" s="92"/>
      <c r="F64" s="92"/>
      <c r="G64" s="91"/>
      <c r="H64" s="91"/>
      <c r="I64" s="91"/>
      <c r="J64" s="93" t="s">
        <v>2490</v>
      </c>
      <c r="K64" s="91"/>
      <c r="L64" s="94"/>
      <c r="M64" s="94"/>
      <c r="N64" s="91"/>
      <c r="O64" s="35" t="str">
        <f aca="false">HYPERLINK(IF(AND(ISNUMBER(L64),ISNUMBER(M64)),"https://www.google.com/maps/search/?api=1&amp;query="&amp;L64&amp;","&amp;M64,"https://www.google.com/maps/search/?api=1&amp;query="&amp;SUBSTITUTE(SUBSTITUTE(SUBSTITUTE(K64&amp;", "&amp;I64&amp;", Puno, Peru"," ","+"),"&amp;","y"),"#","")),"Ver en mapa")</f>
        <v>Ver en mapa</v>
      </c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5" t="str">
        <f aca="false">IF(AND(ISNUMBER(L64),ISNUMBER(M64),ISNUMBER(14_Cercania!$C$6),ISNUMBER(14_Cercania!$C$7),AC64&lt;&gt;"Rechazado",AC64&lt;&gt;"Inactivo"),6371*2*ASIN(SQRT(SIN(RADIANS(14_Cercania!$C$6-L64)/2)^2+COS(RADIANS(L64))*COS(RADIANS(14_Cercania!$C$6))*SIN(RADIANS(14_Cercania!$C$7-M64)/2)^2))+ROW()*0.000000001,"")</f>
        <v/>
      </c>
    </row>
    <row r="65" customFormat="false" ht="15" hidden="false" customHeight="false" outlineLevel="0" collapsed="false">
      <c r="B65" s="45" t="n">
        <v>59</v>
      </c>
      <c r="C65" s="91"/>
      <c r="D65" s="91"/>
      <c r="E65" s="92"/>
      <c r="F65" s="92"/>
      <c r="G65" s="91"/>
      <c r="H65" s="91"/>
      <c r="I65" s="91"/>
      <c r="J65" s="93" t="s">
        <v>2490</v>
      </c>
      <c r="K65" s="91"/>
      <c r="L65" s="94"/>
      <c r="M65" s="94"/>
      <c r="N65" s="91"/>
      <c r="O65" s="35" t="str">
        <f aca="false">HYPERLINK(IF(AND(ISNUMBER(L65),ISNUMBER(M65)),"https://www.google.com/maps/search/?api=1&amp;query="&amp;L65&amp;","&amp;M65,"https://www.google.com/maps/search/?api=1&amp;query="&amp;SUBSTITUTE(SUBSTITUTE(SUBSTITUTE(K65&amp;", "&amp;I65&amp;", Puno, Peru"," ","+"),"&amp;","y"),"#","")),"Ver en mapa")</f>
        <v>Ver en mapa</v>
      </c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5" t="str">
        <f aca="false">IF(AND(ISNUMBER(L65),ISNUMBER(M65),ISNUMBER(14_Cercania!$C$6),ISNUMBER(14_Cercania!$C$7),AC65&lt;&gt;"Rechazado",AC65&lt;&gt;"Inactivo"),6371*2*ASIN(SQRT(SIN(RADIANS(14_Cercania!$C$6-L65)/2)^2+COS(RADIANS(L65))*COS(RADIANS(14_Cercania!$C$6))*SIN(RADIANS(14_Cercania!$C$7-M65)/2)^2))+ROW()*0.000000001,"")</f>
        <v/>
      </c>
    </row>
    <row r="66" customFormat="false" ht="15" hidden="false" customHeight="false" outlineLevel="0" collapsed="false">
      <c r="B66" s="45" t="n">
        <v>60</v>
      </c>
      <c r="C66" s="91"/>
      <c r="D66" s="91"/>
      <c r="E66" s="92"/>
      <c r="F66" s="92"/>
      <c r="G66" s="91"/>
      <c r="H66" s="91"/>
      <c r="I66" s="91"/>
      <c r="J66" s="93" t="s">
        <v>2490</v>
      </c>
      <c r="K66" s="91"/>
      <c r="L66" s="94"/>
      <c r="M66" s="94"/>
      <c r="N66" s="91"/>
      <c r="O66" s="35" t="str">
        <f aca="false">HYPERLINK(IF(AND(ISNUMBER(L66),ISNUMBER(M66)),"https://www.google.com/maps/search/?api=1&amp;query="&amp;L66&amp;","&amp;M66,"https://www.google.com/maps/search/?api=1&amp;query="&amp;SUBSTITUTE(SUBSTITUTE(SUBSTITUTE(K66&amp;", "&amp;I66&amp;", Puno, Peru"," ","+"),"&amp;","y"),"#","")),"Ver en mapa")</f>
        <v>Ver en mapa</v>
      </c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5" t="str">
        <f aca="false">IF(AND(ISNUMBER(L66),ISNUMBER(M66),ISNUMBER(14_Cercania!$C$6),ISNUMBER(14_Cercania!$C$7),AC66&lt;&gt;"Rechazado",AC66&lt;&gt;"Inactivo"),6371*2*ASIN(SQRT(SIN(RADIANS(14_Cercania!$C$6-L66)/2)^2+COS(RADIANS(L66))*COS(RADIANS(14_Cercania!$C$6))*SIN(RADIANS(14_Cercania!$C$7-M66)/2)^2))+ROW()*0.000000001,"")</f>
        <v/>
      </c>
    </row>
    <row r="67" customFormat="false" ht="15" hidden="false" customHeight="false" outlineLevel="0" collapsed="false">
      <c r="B67" s="45" t="n">
        <v>61</v>
      </c>
      <c r="C67" s="91"/>
      <c r="D67" s="91"/>
      <c r="E67" s="92"/>
      <c r="F67" s="92"/>
      <c r="G67" s="91"/>
      <c r="H67" s="91"/>
      <c r="I67" s="91"/>
      <c r="J67" s="93" t="s">
        <v>2490</v>
      </c>
      <c r="K67" s="91"/>
      <c r="L67" s="94"/>
      <c r="M67" s="94"/>
      <c r="N67" s="91"/>
      <c r="O67" s="35" t="str">
        <f aca="false">HYPERLINK(IF(AND(ISNUMBER(L67),ISNUMBER(M67)),"https://www.google.com/maps/search/?api=1&amp;query="&amp;L67&amp;","&amp;M67,"https://www.google.com/maps/search/?api=1&amp;query="&amp;SUBSTITUTE(SUBSTITUTE(SUBSTITUTE(K67&amp;", "&amp;I67&amp;", Puno, Peru"," ","+"),"&amp;","y"),"#","")),"Ver en mapa")</f>
        <v>Ver en mapa</v>
      </c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5" t="str">
        <f aca="false">IF(AND(ISNUMBER(L67),ISNUMBER(M67),ISNUMBER(14_Cercania!$C$6),ISNUMBER(14_Cercania!$C$7),AC67&lt;&gt;"Rechazado",AC67&lt;&gt;"Inactivo"),6371*2*ASIN(SQRT(SIN(RADIANS(14_Cercania!$C$6-L67)/2)^2+COS(RADIANS(L67))*COS(RADIANS(14_Cercania!$C$6))*SIN(RADIANS(14_Cercania!$C$7-M67)/2)^2))+ROW()*0.000000001,"")</f>
        <v/>
      </c>
    </row>
    <row r="68" customFormat="false" ht="15" hidden="false" customHeight="false" outlineLevel="0" collapsed="false">
      <c r="B68" s="45" t="n">
        <v>62</v>
      </c>
      <c r="C68" s="91"/>
      <c r="D68" s="91"/>
      <c r="E68" s="92"/>
      <c r="F68" s="92"/>
      <c r="G68" s="91"/>
      <c r="H68" s="91"/>
      <c r="I68" s="91"/>
      <c r="J68" s="93" t="s">
        <v>2490</v>
      </c>
      <c r="K68" s="91"/>
      <c r="L68" s="94"/>
      <c r="M68" s="94"/>
      <c r="N68" s="91"/>
      <c r="O68" s="35" t="str">
        <f aca="false">HYPERLINK(IF(AND(ISNUMBER(L68),ISNUMBER(M68)),"https://www.google.com/maps/search/?api=1&amp;query="&amp;L68&amp;","&amp;M68,"https://www.google.com/maps/search/?api=1&amp;query="&amp;SUBSTITUTE(SUBSTITUTE(SUBSTITUTE(K68&amp;", "&amp;I68&amp;", Puno, Peru"," ","+"),"&amp;","y"),"#","")),"Ver en mapa")</f>
        <v>Ver en mapa</v>
      </c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5" t="str">
        <f aca="false">IF(AND(ISNUMBER(L68),ISNUMBER(M68),ISNUMBER(14_Cercania!$C$6),ISNUMBER(14_Cercania!$C$7),AC68&lt;&gt;"Rechazado",AC68&lt;&gt;"Inactivo"),6371*2*ASIN(SQRT(SIN(RADIANS(14_Cercania!$C$6-L68)/2)^2+COS(RADIANS(L68))*COS(RADIANS(14_Cercania!$C$6))*SIN(RADIANS(14_Cercania!$C$7-M68)/2)^2))+ROW()*0.000000001,"")</f>
        <v/>
      </c>
    </row>
    <row r="69" customFormat="false" ht="15" hidden="false" customHeight="false" outlineLevel="0" collapsed="false">
      <c r="B69" s="45" t="n">
        <v>63</v>
      </c>
      <c r="C69" s="91"/>
      <c r="D69" s="91"/>
      <c r="E69" s="92"/>
      <c r="F69" s="92"/>
      <c r="G69" s="91"/>
      <c r="H69" s="91"/>
      <c r="I69" s="91"/>
      <c r="J69" s="93" t="s">
        <v>2490</v>
      </c>
      <c r="K69" s="91"/>
      <c r="L69" s="94"/>
      <c r="M69" s="94"/>
      <c r="N69" s="91"/>
      <c r="O69" s="35" t="str">
        <f aca="false">HYPERLINK(IF(AND(ISNUMBER(L69),ISNUMBER(M69)),"https://www.google.com/maps/search/?api=1&amp;query="&amp;L69&amp;","&amp;M69,"https://www.google.com/maps/search/?api=1&amp;query="&amp;SUBSTITUTE(SUBSTITUTE(SUBSTITUTE(K69&amp;", "&amp;I69&amp;", Puno, Peru"," ","+"),"&amp;","y"),"#","")),"Ver en mapa")</f>
        <v>Ver en mapa</v>
      </c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5" t="str">
        <f aca="false">IF(AND(ISNUMBER(L69),ISNUMBER(M69),ISNUMBER(14_Cercania!$C$6),ISNUMBER(14_Cercania!$C$7),AC69&lt;&gt;"Rechazado",AC69&lt;&gt;"Inactivo"),6371*2*ASIN(SQRT(SIN(RADIANS(14_Cercania!$C$6-L69)/2)^2+COS(RADIANS(L69))*COS(RADIANS(14_Cercania!$C$6))*SIN(RADIANS(14_Cercania!$C$7-M69)/2)^2))+ROW()*0.000000001,"")</f>
        <v/>
      </c>
    </row>
    <row r="70" customFormat="false" ht="15" hidden="false" customHeight="false" outlineLevel="0" collapsed="false">
      <c r="B70" s="45" t="n">
        <v>64</v>
      </c>
      <c r="C70" s="91"/>
      <c r="D70" s="91"/>
      <c r="E70" s="92"/>
      <c r="F70" s="92"/>
      <c r="G70" s="91"/>
      <c r="H70" s="91"/>
      <c r="I70" s="91"/>
      <c r="J70" s="93" t="s">
        <v>2490</v>
      </c>
      <c r="K70" s="91"/>
      <c r="L70" s="94"/>
      <c r="M70" s="94"/>
      <c r="N70" s="91"/>
      <c r="O70" s="35" t="str">
        <f aca="false">HYPERLINK(IF(AND(ISNUMBER(L70),ISNUMBER(M70)),"https://www.google.com/maps/search/?api=1&amp;query="&amp;L70&amp;","&amp;M70,"https://www.google.com/maps/search/?api=1&amp;query="&amp;SUBSTITUTE(SUBSTITUTE(SUBSTITUTE(K70&amp;", "&amp;I70&amp;", Puno, Peru"," ","+"),"&amp;","y"),"#","")),"Ver en mapa")</f>
        <v>Ver en mapa</v>
      </c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5" t="str">
        <f aca="false">IF(AND(ISNUMBER(L70),ISNUMBER(M70),ISNUMBER(14_Cercania!$C$6),ISNUMBER(14_Cercania!$C$7),AC70&lt;&gt;"Rechazado",AC70&lt;&gt;"Inactivo"),6371*2*ASIN(SQRT(SIN(RADIANS(14_Cercania!$C$6-L70)/2)^2+COS(RADIANS(L70))*COS(RADIANS(14_Cercania!$C$6))*SIN(RADIANS(14_Cercania!$C$7-M70)/2)^2))+ROW()*0.000000001,"")</f>
        <v/>
      </c>
    </row>
    <row r="71" customFormat="false" ht="15" hidden="false" customHeight="false" outlineLevel="0" collapsed="false">
      <c r="B71" s="45" t="n">
        <v>65</v>
      </c>
      <c r="C71" s="91"/>
      <c r="D71" s="91"/>
      <c r="E71" s="92"/>
      <c r="F71" s="92"/>
      <c r="G71" s="91"/>
      <c r="H71" s="91"/>
      <c r="I71" s="91"/>
      <c r="J71" s="93" t="s">
        <v>2490</v>
      </c>
      <c r="K71" s="91"/>
      <c r="L71" s="94"/>
      <c r="M71" s="94"/>
      <c r="N71" s="91"/>
      <c r="O71" s="35" t="str">
        <f aca="false">HYPERLINK(IF(AND(ISNUMBER(L71),ISNUMBER(M71)),"https://www.google.com/maps/search/?api=1&amp;query="&amp;L71&amp;","&amp;M71,"https://www.google.com/maps/search/?api=1&amp;query="&amp;SUBSTITUTE(SUBSTITUTE(SUBSTITUTE(K71&amp;", "&amp;I71&amp;", Puno, Peru"," ","+"),"&amp;","y"),"#","")),"Ver en mapa")</f>
        <v>Ver en mapa</v>
      </c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5" t="str">
        <f aca="false">IF(AND(ISNUMBER(L71),ISNUMBER(M71),ISNUMBER(14_Cercania!$C$6),ISNUMBER(14_Cercania!$C$7),AC71&lt;&gt;"Rechazado",AC71&lt;&gt;"Inactivo"),6371*2*ASIN(SQRT(SIN(RADIANS(14_Cercania!$C$6-L71)/2)^2+COS(RADIANS(L71))*COS(RADIANS(14_Cercania!$C$6))*SIN(RADIANS(14_Cercania!$C$7-M71)/2)^2))+ROW()*0.000000001,"")</f>
        <v/>
      </c>
    </row>
    <row r="72" customFormat="false" ht="15" hidden="false" customHeight="false" outlineLevel="0" collapsed="false">
      <c r="B72" s="45" t="n">
        <v>66</v>
      </c>
      <c r="C72" s="91"/>
      <c r="D72" s="91"/>
      <c r="E72" s="92"/>
      <c r="F72" s="92"/>
      <c r="G72" s="91"/>
      <c r="H72" s="91"/>
      <c r="I72" s="91"/>
      <c r="J72" s="93" t="s">
        <v>2490</v>
      </c>
      <c r="K72" s="91"/>
      <c r="L72" s="94"/>
      <c r="M72" s="94"/>
      <c r="N72" s="91"/>
      <c r="O72" s="35" t="str">
        <f aca="false">HYPERLINK(IF(AND(ISNUMBER(L72),ISNUMBER(M72)),"https://www.google.com/maps/search/?api=1&amp;query="&amp;L72&amp;","&amp;M72,"https://www.google.com/maps/search/?api=1&amp;query="&amp;SUBSTITUTE(SUBSTITUTE(SUBSTITUTE(K72&amp;", "&amp;I72&amp;", Puno, Peru"," ","+"),"&amp;","y"),"#","")),"Ver en mapa")</f>
        <v>Ver en mapa</v>
      </c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5" t="str">
        <f aca="false">IF(AND(ISNUMBER(L72),ISNUMBER(M72),ISNUMBER(14_Cercania!$C$6),ISNUMBER(14_Cercania!$C$7),AC72&lt;&gt;"Rechazado",AC72&lt;&gt;"Inactivo"),6371*2*ASIN(SQRT(SIN(RADIANS(14_Cercania!$C$6-L72)/2)^2+COS(RADIANS(L72))*COS(RADIANS(14_Cercania!$C$6))*SIN(RADIANS(14_Cercania!$C$7-M72)/2)^2))+ROW()*0.000000001,"")</f>
        <v/>
      </c>
    </row>
    <row r="73" customFormat="false" ht="15" hidden="false" customHeight="false" outlineLevel="0" collapsed="false">
      <c r="B73" s="45" t="n">
        <v>67</v>
      </c>
      <c r="C73" s="91"/>
      <c r="D73" s="91"/>
      <c r="E73" s="92"/>
      <c r="F73" s="92"/>
      <c r="G73" s="91"/>
      <c r="H73" s="91"/>
      <c r="I73" s="91"/>
      <c r="J73" s="93" t="s">
        <v>2490</v>
      </c>
      <c r="K73" s="91"/>
      <c r="L73" s="94"/>
      <c r="M73" s="94"/>
      <c r="N73" s="91"/>
      <c r="O73" s="35" t="str">
        <f aca="false">HYPERLINK(IF(AND(ISNUMBER(L73),ISNUMBER(M73)),"https://www.google.com/maps/search/?api=1&amp;query="&amp;L73&amp;","&amp;M73,"https://www.google.com/maps/search/?api=1&amp;query="&amp;SUBSTITUTE(SUBSTITUTE(SUBSTITUTE(K73&amp;", "&amp;I73&amp;", Puno, Peru"," ","+"),"&amp;","y"),"#","")),"Ver en mapa")</f>
        <v>Ver en mapa</v>
      </c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5" t="str">
        <f aca="false">IF(AND(ISNUMBER(L73),ISNUMBER(M73),ISNUMBER(14_Cercania!$C$6),ISNUMBER(14_Cercania!$C$7),AC73&lt;&gt;"Rechazado",AC73&lt;&gt;"Inactivo"),6371*2*ASIN(SQRT(SIN(RADIANS(14_Cercania!$C$6-L73)/2)^2+COS(RADIANS(L73))*COS(RADIANS(14_Cercania!$C$6))*SIN(RADIANS(14_Cercania!$C$7-M73)/2)^2))+ROW()*0.000000001,"")</f>
        <v/>
      </c>
    </row>
    <row r="74" customFormat="false" ht="15" hidden="false" customHeight="false" outlineLevel="0" collapsed="false">
      <c r="B74" s="45" t="n">
        <v>68</v>
      </c>
      <c r="C74" s="91"/>
      <c r="D74" s="91"/>
      <c r="E74" s="92"/>
      <c r="F74" s="92"/>
      <c r="G74" s="91"/>
      <c r="H74" s="91"/>
      <c r="I74" s="91"/>
      <c r="J74" s="93" t="s">
        <v>2490</v>
      </c>
      <c r="K74" s="91"/>
      <c r="L74" s="94"/>
      <c r="M74" s="94"/>
      <c r="N74" s="91"/>
      <c r="O74" s="35" t="str">
        <f aca="false">HYPERLINK(IF(AND(ISNUMBER(L74),ISNUMBER(M74)),"https://www.google.com/maps/search/?api=1&amp;query="&amp;L74&amp;","&amp;M74,"https://www.google.com/maps/search/?api=1&amp;query="&amp;SUBSTITUTE(SUBSTITUTE(SUBSTITUTE(K74&amp;", "&amp;I74&amp;", Puno, Peru"," ","+"),"&amp;","y"),"#","")),"Ver en mapa")</f>
        <v>Ver en mapa</v>
      </c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5" t="str">
        <f aca="false">IF(AND(ISNUMBER(L74),ISNUMBER(M74),ISNUMBER(14_Cercania!$C$6),ISNUMBER(14_Cercania!$C$7),AC74&lt;&gt;"Rechazado",AC74&lt;&gt;"Inactivo"),6371*2*ASIN(SQRT(SIN(RADIANS(14_Cercania!$C$6-L74)/2)^2+COS(RADIANS(L74))*COS(RADIANS(14_Cercania!$C$6))*SIN(RADIANS(14_Cercania!$C$7-M74)/2)^2))+ROW()*0.000000001,"")</f>
        <v/>
      </c>
    </row>
    <row r="75" customFormat="false" ht="15" hidden="false" customHeight="false" outlineLevel="0" collapsed="false">
      <c r="B75" s="45" t="n">
        <v>69</v>
      </c>
      <c r="C75" s="91"/>
      <c r="D75" s="91"/>
      <c r="E75" s="92"/>
      <c r="F75" s="92"/>
      <c r="G75" s="91"/>
      <c r="H75" s="91"/>
      <c r="I75" s="91"/>
      <c r="J75" s="93" t="s">
        <v>2490</v>
      </c>
      <c r="K75" s="91"/>
      <c r="L75" s="94"/>
      <c r="M75" s="94"/>
      <c r="N75" s="91"/>
      <c r="O75" s="35" t="str">
        <f aca="false">HYPERLINK(IF(AND(ISNUMBER(L75),ISNUMBER(M75)),"https://www.google.com/maps/search/?api=1&amp;query="&amp;L75&amp;","&amp;M75,"https://www.google.com/maps/search/?api=1&amp;query="&amp;SUBSTITUTE(SUBSTITUTE(SUBSTITUTE(K75&amp;", "&amp;I75&amp;", Puno, Peru"," ","+"),"&amp;","y"),"#","")),"Ver en mapa")</f>
        <v>Ver en mapa</v>
      </c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5" t="str">
        <f aca="false">IF(AND(ISNUMBER(L75),ISNUMBER(M75),ISNUMBER(14_Cercania!$C$6),ISNUMBER(14_Cercania!$C$7),AC75&lt;&gt;"Rechazado",AC75&lt;&gt;"Inactivo"),6371*2*ASIN(SQRT(SIN(RADIANS(14_Cercania!$C$6-L75)/2)^2+COS(RADIANS(L75))*COS(RADIANS(14_Cercania!$C$6))*SIN(RADIANS(14_Cercania!$C$7-M75)/2)^2))+ROW()*0.000000001,"")</f>
        <v/>
      </c>
    </row>
    <row r="76" customFormat="false" ht="15" hidden="false" customHeight="false" outlineLevel="0" collapsed="false">
      <c r="B76" s="45" t="n">
        <v>70</v>
      </c>
      <c r="C76" s="91"/>
      <c r="D76" s="91"/>
      <c r="E76" s="92"/>
      <c r="F76" s="92"/>
      <c r="G76" s="91"/>
      <c r="H76" s="91"/>
      <c r="I76" s="91"/>
      <c r="J76" s="93" t="s">
        <v>2490</v>
      </c>
      <c r="K76" s="91"/>
      <c r="L76" s="94"/>
      <c r="M76" s="94"/>
      <c r="N76" s="91"/>
      <c r="O76" s="35" t="str">
        <f aca="false">HYPERLINK(IF(AND(ISNUMBER(L76),ISNUMBER(M76)),"https://www.google.com/maps/search/?api=1&amp;query="&amp;L76&amp;","&amp;M76,"https://www.google.com/maps/search/?api=1&amp;query="&amp;SUBSTITUTE(SUBSTITUTE(SUBSTITUTE(K76&amp;", "&amp;I76&amp;", Puno, Peru"," ","+"),"&amp;","y"),"#","")),"Ver en mapa")</f>
        <v>Ver en mapa</v>
      </c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5" t="str">
        <f aca="false">IF(AND(ISNUMBER(L76),ISNUMBER(M76),ISNUMBER(14_Cercania!$C$6),ISNUMBER(14_Cercania!$C$7),AC76&lt;&gt;"Rechazado",AC76&lt;&gt;"Inactivo"),6371*2*ASIN(SQRT(SIN(RADIANS(14_Cercania!$C$6-L76)/2)^2+COS(RADIANS(L76))*COS(RADIANS(14_Cercania!$C$6))*SIN(RADIANS(14_Cercania!$C$7-M76)/2)^2))+ROW()*0.000000001,"")</f>
        <v/>
      </c>
    </row>
    <row r="77" customFormat="false" ht="15" hidden="false" customHeight="false" outlineLevel="0" collapsed="false">
      <c r="B77" s="45" t="n">
        <v>71</v>
      </c>
      <c r="C77" s="91"/>
      <c r="D77" s="91"/>
      <c r="E77" s="92"/>
      <c r="F77" s="92"/>
      <c r="G77" s="91"/>
      <c r="H77" s="91"/>
      <c r="I77" s="91"/>
      <c r="J77" s="93" t="s">
        <v>2490</v>
      </c>
      <c r="K77" s="91"/>
      <c r="L77" s="94"/>
      <c r="M77" s="94"/>
      <c r="N77" s="91"/>
      <c r="O77" s="35" t="str">
        <f aca="false">HYPERLINK(IF(AND(ISNUMBER(L77),ISNUMBER(M77)),"https://www.google.com/maps/search/?api=1&amp;query="&amp;L77&amp;","&amp;M77,"https://www.google.com/maps/search/?api=1&amp;query="&amp;SUBSTITUTE(SUBSTITUTE(SUBSTITUTE(K77&amp;", "&amp;I77&amp;", Puno, Peru"," ","+"),"&amp;","y"),"#","")),"Ver en mapa")</f>
        <v>Ver en mapa</v>
      </c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5" t="str">
        <f aca="false">IF(AND(ISNUMBER(L77),ISNUMBER(M77),ISNUMBER(14_Cercania!$C$6),ISNUMBER(14_Cercania!$C$7),AC77&lt;&gt;"Rechazado",AC77&lt;&gt;"Inactivo"),6371*2*ASIN(SQRT(SIN(RADIANS(14_Cercania!$C$6-L77)/2)^2+COS(RADIANS(L77))*COS(RADIANS(14_Cercania!$C$6))*SIN(RADIANS(14_Cercania!$C$7-M77)/2)^2))+ROW()*0.000000001,"")</f>
        <v/>
      </c>
    </row>
    <row r="78" customFormat="false" ht="15" hidden="false" customHeight="false" outlineLevel="0" collapsed="false">
      <c r="B78" s="45" t="n">
        <v>72</v>
      </c>
      <c r="C78" s="91"/>
      <c r="D78" s="91"/>
      <c r="E78" s="92"/>
      <c r="F78" s="92"/>
      <c r="G78" s="91"/>
      <c r="H78" s="91"/>
      <c r="I78" s="91"/>
      <c r="J78" s="93" t="s">
        <v>2490</v>
      </c>
      <c r="K78" s="91"/>
      <c r="L78" s="94"/>
      <c r="M78" s="94"/>
      <c r="N78" s="91"/>
      <c r="O78" s="35" t="str">
        <f aca="false">HYPERLINK(IF(AND(ISNUMBER(L78),ISNUMBER(M78)),"https://www.google.com/maps/search/?api=1&amp;query="&amp;L78&amp;","&amp;M78,"https://www.google.com/maps/search/?api=1&amp;query="&amp;SUBSTITUTE(SUBSTITUTE(SUBSTITUTE(K78&amp;", "&amp;I78&amp;", Puno, Peru"," ","+"),"&amp;","y"),"#","")),"Ver en mapa")</f>
        <v>Ver en mapa</v>
      </c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5" t="str">
        <f aca="false">IF(AND(ISNUMBER(L78),ISNUMBER(M78),ISNUMBER(14_Cercania!$C$6),ISNUMBER(14_Cercania!$C$7),AC78&lt;&gt;"Rechazado",AC78&lt;&gt;"Inactivo"),6371*2*ASIN(SQRT(SIN(RADIANS(14_Cercania!$C$6-L78)/2)^2+COS(RADIANS(L78))*COS(RADIANS(14_Cercania!$C$6))*SIN(RADIANS(14_Cercania!$C$7-M78)/2)^2))+ROW()*0.000000001,"")</f>
        <v/>
      </c>
    </row>
    <row r="79" customFormat="false" ht="15" hidden="false" customHeight="false" outlineLevel="0" collapsed="false">
      <c r="B79" s="45" t="n">
        <v>73</v>
      </c>
      <c r="C79" s="91"/>
      <c r="D79" s="91"/>
      <c r="E79" s="92"/>
      <c r="F79" s="92"/>
      <c r="G79" s="91"/>
      <c r="H79" s="91"/>
      <c r="I79" s="91"/>
      <c r="J79" s="93" t="s">
        <v>2490</v>
      </c>
      <c r="K79" s="91"/>
      <c r="L79" s="94"/>
      <c r="M79" s="94"/>
      <c r="N79" s="91"/>
      <c r="O79" s="35" t="str">
        <f aca="false">HYPERLINK(IF(AND(ISNUMBER(L79),ISNUMBER(M79)),"https://www.google.com/maps/search/?api=1&amp;query="&amp;L79&amp;","&amp;M79,"https://www.google.com/maps/search/?api=1&amp;query="&amp;SUBSTITUTE(SUBSTITUTE(SUBSTITUTE(K79&amp;", "&amp;I79&amp;", Puno, Peru"," ","+"),"&amp;","y"),"#","")),"Ver en mapa")</f>
        <v>Ver en mapa</v>
      </c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5" t="str">
        <f aca="false">IF(AND(ISNUMBER(L79),ISNUMBER(M79),ISNUMBER(14_Cercania!$C$6),ISNUMBER(14_Cercania!$C$7),AC79&lt;&gt;"Rechazado",AC79&lt;&gt;"Inactivo"),6371*2*ASIN(SQRT(SIN(RADIANS(14_Cercania!$C$6-L79)/2)^2+COS(RADIANS(L79))*COS(RADIANS(14_Cercania!$C$6))*SIN(RADIANS(14_Cercania!$C$7-M79)/2)^2))+ROW()*0.000000001,"")</f>
        <v/>
      </c>
    </row>
    <row r="80" customFormat="false" ht="15" hidden="false" customHeight="false" outlineLevel="0" collapsed="false">
      <c r="B80" s="45" t="n">
        <v>74</v>
      </c>
      <c r="C80" s="91"/>
      <c r="D80" s="91"/>
      <c r="E80" s="92"/>
      <c r="F80" s="92"/>
      <c r="G80" s="91"/>
      <c r="H80" s="91"/>
      <c r="I80" s="91"/>
      <c r="J80" s="93" t="s">
        <v>2490</v>
      </c>
      <c r="K80" s="91"/>
      <c r="L80" s="94"/>
      <c r="M80" s="94"/>
      <c r="N80" s="91"/>
      <c r="O80" s="35" t="str">
        <f aca="false">HYPERLINK(IF(AND(ISNUMBER(L80),ISNUMBER(M80)),"https://www.google.com/maps/search/?api=1&amp;query="&amp;L80&amp;","&amp;M80,"https://www.google.com/maps/search/?api=1&amp;query="&amp;SUBSTITUTE(SUBSTITUTE(SUBSTITUTE(K80&amp;", "&amp;I80&amp;", Puno, Peru"," ","+"),"&amp;","y"),"#","")),"Ver en mapa")</f>
        <v>Ver en mapa</v>
      </c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5" t="str">
        <f aca="false">IF(AND(ISNUMBER(L80),ISNUMBER(M80),ISNUMBER(14_Cercania!$C$6),ISNUMBER(14_Cercania!$C$7),AC80&lt;&gt;"Rechazado",AC80&lt;&gt;"Inactivo"),6371*2*ASIN(SQRT(SIN(RADIANS(14_Cercania!$C$6-L80)/2)^2+COS(RADIANS(L80))*COS(RADIANS(14_Cercania!$C$6))*SIN(RADIANS(14_Cercania!$C$7-M80)/2)^2))+ROW()*0.000000001,"")</f>
        <v/>
      </c>
    </row>
    <row r="81" customFormat="false" ht="15" hidden="false" customHeight="false" outlineLevel="0" collapsed="false">
      <c r="B81" s="45" t="n">
        <v>75</v>
      </c>
      <c r="C81" s="91"/>
      <c r="D81" s="91"/>
      <c r="E81" s="92"/>
      <c r="F81" s="92"/>
      <c r="G81" s="91"/>
      <c r="H81" s="91"/>
      <c r="I81" s="91"/>
      <c r="J81" s="93" t="s">
        <v>2490</v>
      </c>
      <c r="K81" s="91"/>
      <c r="L81" s="94"/>
      <c r="M81" s="94"/>
      <c r="N81" s="91"/>
      <c r="O81" s="35" t="str">
        <f aca="false">HYPERLINK(IF(AND(ISNUMBER(L81),ISNUMBER(M81)),"https://www.google.com/maps/search/?api=1&amp;query="&amp;L81&amp;","&amp;M81,"https://www.google.com/maps/search/?api=1&amp;query="&amp;SUBSTITUTE(SUBSTITUTE(SUBSTITUTE(K81&amp;", "&amp;I81&amp;", Puno, Peru"," ","+"),"&amp;","y"),"#","")),"Ver en mapa")</f>
        <v>Ver en mapa</v>
      </c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5" t="str">
        <f aca="false">IF(AND(ISNUMBER(L81),ISNUMBER(M81),ISNUMBER(14_Cercania!$C$6),ISNUMBER(14_Cercania!$C$7),AC81&lt;&gt;"Rechazado",AC81&lt;&gt;"Inactivo"),6371*2*ASIN(SQRT(SIN(RADIANS(14_Cercania!$C$6-L81)/2)^2+COS(RADIANS(L81))*COS(RADIANS(14_Cercania!$C$6))*SIN(RADIANS(14_Cercania!$C$7-M81)/2)^2))+ROW()*0.000000001,"")</f>
        <v/>
      </c>
    </row>
    <row r="82" customFormat="false" ht="15" hidden="false" customHeight="false" outlineLevel="0" collapsed="false">
      <c r="B82" s="45" t="n">
        <v>76</v>
      </c>
      <c r="C82" s="91"/>
      <c r="D82" s="91"/>
      <c r="E82" s="92"/>
      <c r="F82" s="92"/>
      <c r="G82" s="91"/>
      <c r="H82" s="91"/>
      <c r="I82" s="91"/>
      <c r="J82" s="93" t="s">
        <v>2490</v>
      </c>
      <c r="K82" s="91"/>
      <c r="L82" s="94"/>
      <c r="M82" s="94"/>
      <c r="N82" s="91"/>
      <c r="O82" s="35" t="str">
        <f aca="false">HYPERLINK(IF(AND(ISNUMBER(L82),ISNUMBER(M82)),"https://www.google.com/maps/search/?api=1&amp;query="&amp;L82&amp;","&amp;M82,"https://www.google.com/maps/search/?api=1&amp;query="&amp;SUBSTITUTE(SUBSTITUTE(SUBSTITUTE(K82&amp;", "&amp;I82&amp;", Puno, Peru"," ","+"),"&amp;","y"),"#","")),"Ver en mapa")</f>
        <v>Ver en mapa</v>
      </c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5" t="str">
        <f aca="false">IF(AND(ISNUMBER(L82),ISNUMBER(M82),ISNUMBER(14_Cercania!$C$6),ISNUMBER(14_Cercania!$C$7),AC82&lt;&gt;"Rechazado",AC82&lt;&gt;"Inactivo"),6371*2*ASIN(SQRT(SIN(RADIANS(14_Cercania!$C$6-L82)/2)^2+COS(RADIANS(L82))*COS(RADIANS(14_Cercania!$C$6))*SIN(RADIANS(14_Cercania!$C$7-M82)/2)^2))+ROW()*0.000000001,"")</f>
        <v/>
      </c>
    </row>
    <row r="83" customFormat="false" ht="15" hidden="false" customHeight="false" outlineLevel="0" collapsed="false">
      <c r="B83" s="45" t="n">
        <v>77</v>
      </c>
      <c r="C83" s="91"/>
      <c r="D83" s="91"/>
      <c r="E83" s="92"/>
      <c r="F83" s="92"/>
      <c r="G83" s="91"/>
      <c r="H83" s="91"/>
      <c r="I83" s="91"/>
      <c r="J83" s="93" t="s">
        <v>2490</v>
      </c>
      <c r="K83" s="91"/>
      <c r="L83" s="94"/>
      <c r="M83" s="94"/>
      <c r="N83" s="91"/>
      <c r="O83" s="35" t="str">
        <f aca="false">HYPERLINK(IF(AND(ISNUMBER(L83),ISNUMBER(M83)),"https://www.google.com/maps/search/?api=1&amp;query="&amp;L83&amp;","&amp;M83,"https://www.google.com/maps/search/?api=1&amp;query="&amp;SUBSTITUTE(SUBSTITUTE(SUBSTITUTE(K83&amp;", "&amp;I83&amp;", Puno, Peru"," ","+"),"&amp;","y"),"#","")),"Ver en mapa")</f>
        <v>Ver en mapa</v>
      </c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5" t="str">
        <f aca="false">IF(AND(ISNUMBER(L83),ISNUMBER(M83),ISNUMBER(14_Cercania!$C$6),ISNUMBER(14_Cercania!$C$7),AC83&lt;&gt;"Rechazado",AC83&lt;&gt;"Inactivo"),6371*2*ASIN(SQRT(SIN(RADIANS(14_Cercania!$C$6-L83)/2)^2+COS(RADIANS(L83))*COS(RADIANS(14_Cercania!$C$6))*SIN(RADIANS(14_Cercania!$C$7-M83)/2)^2))+ROW()*0.000000001,"")</f>
        <v/>
      </c>
    </row>
    <row r="84" customFormat="false" ht="15" hidden="false" customHeight="false" outlineLevel="0" collapsed="false">
      <c r="B84" s="45" t="n">
        <v>78</v>
      </c>
      <c r="C84" s="91"/>
      <c r="D84" s="91"/>
      <c r="E84" s="92"/>
      <c r="F84" s="92"/>
      <c r="G84" s="91"/>
      <c r="H84" s="91"/>
      <c r="I84" s="91"/>
      <c r="J84" s="93" t="s">
        <v>2490</v>
      </c>
      <c r="K84" s="91"/>
      <c r="L84" s="94"/>
      <c r="M84" s="94"/>
      <c r="N84" s="91"/>
      <c r="O84" s="35" t="str">
        <f aca="false">HYPERLINK(IF(AND(ISNUMBER(L84),ISNUMBER(M84)),"https://www.google.com/maps/search/?api=1&amp;query="&amp;L84&amp;","&amp;M84,"https://www.google.com/maps/search/?api=1&amp;query="&amp;SUBSTITUTE(SUBSTITUTE(SUBSTITUTE(K84&amp;", "&amp;I84&amp;", Puno, Peru"," ","+"),"&amp;","y"),"#","")),"Ver en mapa")</f>
        <v>Ver en mapa</v>
      </c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5" t="str">
        <f aca="false">IF(AND(ISNUMBER(L84),ISNUMBER(M84),ISNUMBER(14_Cercania!$C$6),ISNUMBER(14_Cercania!$C$7),AC84&lt;&gt;"Rechazado",AC84&lt;&gt;"Inactivo"),6371*2*ASIN(SQRT(SIN(RADIANS(14_Cercania!$C$6-L84)/2)^2+COS(RADIANS(L84))*COS(RADIANS(14_Cercania!$C$6))*SIN(RADIANS(14_Cercania!$C$7-M84)/2)^2))+ROW()*0.000000001,"")</f>
        <v/>
      </c>
    </row>
    <row r="85" customFormat="false" ht="15" hidden="false" customHeight="false" outlineLevel="0" collapsed="false">
      <c r="B85" s="45" t="n">
        <v>79</v>
      </c>
      <c r="C85" s="91"/>
      <c r="D85" s="91"/>
      <c r="E85" s="92"/>
      <c r="F85" s="92"/>
      <c r="G85" s="91"/>
      <c r="H85" s="91"/>
      <c r="I85" s="91"/>
      <c r="J85" s="93" t="s">
        <v>2490</v>
      </c>
      <c r="K85" s="91"/>
      <c r="L85" s="94"/>
      <c r="M85" s="94"/>
      <c r="N85" s="91"/>
      <c r="O85" s="35" t="str">
        <f aca="false">HYPERLINK(IF(AND(ISNUMBER(L85),ISNUMBER(M85)),"https://www.google.com/maps/search/?api=1&amp;query="&amp;L85&amp;","&amp;M85,"https://www.google.com/maps/search/?api=1&amp;query="&amp;SUBSTITUTE(SUBSTITUTE(SUBSTITUTE(K85&amp;", "&amp;I85&amp;", Puno, Peru"," ","+"),"&amp;","y"),"#","")),"Ver en mapa")</f>
        <v>Ver en mapa</v>
      </c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5" t="str">
        <f aca="false">IF(AND(ISNUMBER(L85),ISNUMBER(M85),ISNUMBER(14_Cercania!$C$6),ISNUMBER(14_Cercania!$C$7),AC85&lt;&gt;"Rechazado",AC85&lt;&gt;"Inactivo"),6371*2*ASIN(SQRT(SIN(RADIANS(14_Cercania!$C$6-L85)/2)^2+COS(RADIANS(L85))*COS(RADIANS(14_Cercania!$C$6))*SIN(RADIANS(14_Cercania!$C$7-M85)/2)^2))+ROW()*0.000000001,"")</f>
        <v/>
      </c>
    </row>
    <row r="86" customFormat="false" ht="15" hidden="false" customHeight="false" outlineLevel="0" collapsed="false">
      <c r="B86" s="45" t="n">
        <v>80</v>
      </c>
      <c r="C86" s="91"/>
      <c r="D86" s="91"/>
      <c r="E86" s="92"/>
      <c r="F86" s="92"/>
      <c r="G86" s="91"/>
      <c r="H86" s="91"/>
      <c r="I86" s="91"/>
      <c r="J86" s="93" t="s">
        <v>2490</v>
      </c>
      <c r="K86" s="91"/>
      <c r="L86" s="94"/>
      <c r="M86" s="94"/>
      <c r="N86" s="91"/>
      <c r="O86" s="35" t="str">
        <f aca="false">HYPERLINK(IF(AND(ISNUMBER(L86),ISNUMBER(M86)),"https://www.google.com/maps/search/?api=1&amp;query="&amp;L86&amp;","&amp;M86,"https://www.google.com/maps/search/?api=1&amp;query="&amp;SUBSTITUTE(SUBSTITUTE(SUBSTITUTE(K86&amp;", "&amp;I86&amp;", Puno, Peru"," ","+"),"&amp;","y"),"#","")),"Ver en mapa")</f>
        <v>Ver en mapa</v>
      </c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5" t="str">
        <f aca="false">IF(AND(ISNUMBER(L86),ISNUMBER(M86),ISNUMBER(14_Cercania!$C$6),ISNUMBER(14_Cercania!$C$7),AC86&lt;&gt;"Rechazado",AC86&lt;&gt;"Inactivo"),6371*2*ASIN(SQRT(SIN(RADIANS(14_Cercania!$C$6-L86)/2)^2+COS(RADIANS(L86))*COS(RADIANS(14_Cercania!$C$6))*SIN(RADIANS(14_Cercania!$C$7-M86)/2)^2))+ROW()*0.000000001,"")</f>
        <v/>
      </c>
    </row>
    <row r="87" customFormat="false" ht="15" hidden="false" customHeight="false" outlineLevel="0" collapsed="false">
      <c r="B87" s="45" t="n">
        <v>81</v>
      </c>
      <c r="C87" s="91"/>
      <c r="D87" s="91"/>
      <c r="E87" s="92"/>
      <c r="F87" s="92"/>
      <c r="G87" s="91"/>
      <c r="H87" s="91"/>
      <c r="I87" s="91"/>
      <c r="J87" s="93" t="s">
        <v>2490</v>
      </c>
      <c r="K87" s="91"/>
      <c r="L87" s="94"/>
      <c r="M87" s="94"/>
      <c r="N87" s="91"/>
      <c r="O87" s="35" t="str">
        <f aca="false">HYPERLINK(IF(AND(ISNUMBER(L87),ISNUMBER(M87)),"https://www.google.com/maps/search/?api=1&amp;query="&amp;L87&amp;","&amp;M87,"https://www.google.com/maps/search/?api=1&amp;query="&amp;SUBSTITUTE(SUBSTITUTE(SUBSTITUTE(K87&amp;", "&amp;I87&amp;", Puno, Peru"," ","+"),"&amp;","y"),"#","")),"Ver en mapa")</f>
        <v>Ver en mapa</v>
      </c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5" t="str">
        <f aca="false">IF(AND(ISNUMBER(L87),ISNUMBER(M87),ISNUMBER(14_Cercania!$C$6),ISNUMBER(14_Cercania!$C$7),AC87&lt;&gt;"Rechazado",AC87&lt;&gt;"Inactivo"),6371*2*ASIN(SQRT(SIN(RADIANS(14_Cercania!$C$6-L87)/2)^2+COS(RADIANS(L87))*COS(RADIANS(14_Cercania!$C$6))*SIN(RADIANS(14_Cercania!$C$7-M87)/2)^2))+ROW()*0.000000001,"")</f>
        <v/>
      </c>
    </row>
    <row r="88" customFormat="false" ht="15" hidden="false" customHeight="false" outlineLevel="0" collapsed="false">
      <c r="B88" s="45" t="n">
        <v>82</v>
      </c>
      <c r="C88" s="91"/>
      <c r="D88" s="91"/>
      <c r="E88" s="92"/>
      <c r="F88" s="92"/>
      <c r="G88" s="91"/>
      <c r="H88" s="91"/>
      <c r="I88" s="91"/>
      <c r="J88" s="93" t="s">
        <v>2490</v>
      </c>
      <c r="K88" s="91"/>
      <c r="L88" s="94"/>
      <c r="M88" s="94"/>
      <c r="N88" s="91"/>
      <c r="O88" s="35" t="str">
        <f aca="false">HYPERLINK(IF(AND(ISNUMBER(L88),ISNUMBER(M88)),"https://www.google.com/maps/search/?api=1&amp;query="&amp;L88&amp;","&amp;M88,"https://www.google.com/maps/search/?api=1&amp;query="&amp;SUBSTITUTE(SUBSTITUTE(SUBSTITUTE(K88&amp;", "&amp;I88&amp;", Puno, Peru"," ","+"),"&amp;","y"),"#","")),"Ver en mapa")</f>
        <v>Ver en mapa</v>
      </c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5" t="str">
        <f aca="false">IF(AND(ISNUMBER(L88),ISNUMBER(M88),ISNUMBER(14_Cercania!$C$6),ISNUMBER(14_Cercania!$C$7),AC88&lt;&gt;"Rechazado",AC88&lt;&gt;"Inactivo"),6371*2*ASIN(SQRT(SIN(RADIANS(14_Cercania!$C$6-L88)/2)^2+COS(RADIANS(L88))*COS(RADIANS(14_Cercania!$C$6))*SIN(RADIANS(14_Cercania!$C$7-M88)/2)^2))+ROW()*0.000000001,"")</f>
        <v/>
      </c>
    </row>
    <row r="89" customFormat="false" ht="15" hidden="false" customHeight="false" outlineLevel="0" collapsed="false">
      <c r="B89" s="45" t="n">
        <v>83</v>
      </c>
      <c r="C89" s="91"/>
      <c r="D89" s="91"/>
      <c r="E89" s="92"/>
      <c r="F89" s="92"/>
      <c r="G89" s="91"/>
      <c r="H89" s="91"/>
      <c r="I89" s="91"/>
      <c r="J89" s="93" t="s">
        <v>2490</v>
      </c>
      <c r="K89" s="91"/>
      <c r="L89" s="94"/>
      <c r="M89" s="94"/>
      <c r="N89" s="91"/>
      <c r="O89" s="35" t="str">
        <f aca="false">HYPERLINK(IF(AND(ISNUMBER(L89),ISNUMBER(M89)),"https://www.google.com/maps/search/?api=1&amp;query="&amp;L89&amp;","&amp;M89,"https://www.google.com/maps/search/?api=1&amp;query="&amp;SUBSTITUTE(SUBSTITUTE(SUBSTITUTE(K89&amp;", "&amp;I89&amp;", Puno, Peru"," ","+"),"&amp;","y"),"#","")),"Ver en mapa")</f>
        <v>Ver en mapa</v>
      </c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5" t="str">
        <f aca="false">IF(AND(ISNUMBER(L89),ISNUMBER(M89),ISNUMBER(14_Cercania!$C$6),ISNUMBER(14_Cercania!$C$7),AC89&lt;&gt;"Rechazado",AC89&lt;&gt;"Inactivo"),6371*2*ASIN(SQRT(SIN(RADIANS(14_Cercania!$C$6-L89)/2)^2+COS(RADIANS(L89))*COS(RADIANS(14_Cercania!$C$6))*SIN(RADIANS(14_Cercania!$C$7-M89)/2)^2))+ROW()*0.000000001,"")</f>
        <v/>
      </c>
    </row>
    <row r="90" customFormat="false" ht="15" hidden="false" customHeight="false" outlineLevel="0" collapsed="false">
      <c r="B90" s="45" t="n">
        <v>84</v>
      </c>
      <c r="C90" s="91"/>
      <c r="D90" s="91"/>
      <c r="E90" s="92"/>
      <c r="F90" s="92"/>
      <c r="G90" s="91"/>
      <c r="H90" s="91"/>
      <c r="I90" s="91"/>
      <c r="J90" s="93" t="s">
        <v>2490</v>
      </c>
      <c r="K90" s="91"/>
      <c r="L90" s="94"/>
      <c r="M90" s="94"/>
      <c r="N90" s="91"/>
      <c r="O90" s="35" t="str">
        <f aca="false">HYPERLINK(IF(AND(ISNUMBER(L90),ISNUMBER(M90)),"https://www.google.com/maps/search/?api=1&amp;query="&amp;L90&amp;","&amp;M90,"https://www.google.com/maps/search/?api=1&amp;query="&amp;SUBSTITUTE(SUBSTITUTE(SUBSTITUTE(K90&amp;", "&amp;I90&amp;", Puno, Peru"," ","+"),"&amp;","y"),"#","")),"Ver en mapa")</f>
        <v>Ver en mapa</v>
      </c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5" t="str">
        <f aca="false">IF(AND(ISNUMBER(L90),ISNUMBER(M90),ISNUMBER(14_Cercania!$C$6),ISNUMBER(14_Cercania!$C$7),AC90&lt;&gt;"Rechazado",AC90&lt;&gt;"Inactivo"),6371*2*ASIN(SQRT(SIN(RADIANS(14_Cercania!$C$6-L90)/2)^2+COS(RADIANS(L90))*COS(RADIANS(14_Cercania!$C$6))*SIN(RADIANS(14_Cercania!$C$7-M90)/2)^2))+ROW()*0.000000001,"")</f>
        <v/>
      </c>
    </row>
    <row r="91" customFormat="false" ht="15" hidden="false" customHeight="false" outlineLevel="0" collapsed="false">
      <c r="B91" s="45" t="n">
        <v>85</v>
      </c>
      <c r="C91" s="91"/>
      <c r="D91" s="91"/>
      <c r="E91" s="92"/>
      <c r="F91" s="92"/>
      <c r="G91" s="91"/>
      <c r="H91" s="91"/>
      <c r="I91" s="91"/>
      <c r="J91" s="93" t="s">
        <v>2490</v>
      </c>
      <c r="K91" s="91"/>
      <c r="L91" s="94"/>
      <c r="M91" s="94"/>
      <c r="N91" s="91"/>
      <c r="O91" s="35" t="str">
        <f aca="false">HYPERLINK(IF(AND(ISNUMBER(L91),ISNUMBER(M91)),"https://www.google.com/maps/search/?api=1&amp;query="&amp;L91&amp;","&amp;M91,"https://www.google.com/maps/search/?api=1&amp;query="&amp;SUBSTITUTE(SUBSTITUTE(SUBSTITUTE(K91&amp;", "&amp;I91&amp;", Puno, Peru"," ","+"),"&amp;","y"),"#","")),"Ver en mapa")</f>
        <v>Ver en mapa</v>
      </c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5" t="str">
        <f aca="false">IF(AND(ISNUMBER(L91),ISNUMBER(M91),ISNUMBER(14_Cercania!$C$6),ISNUMBER(14_Cercania!$C$7),AC91&lt;&gt;"Rechazado",AC91&lt;&gt;"Inactivo"),6371*2*ASIN(SQRT(SIN(RADIANS(14_Cercania!$C$6-L91)/2)^2+COS(RADIANS(L91))*COS(RADIANS(14_Cercania!$C$6))*SIN(RADIANS(14_Cercania!$C$7-M91)/2)^2))+ROW()*0.000000001,"")</f>
        <v/>
      </c>
    </row>
    <row r="92" customFormat="false" ht="15" hidden="false" customHeight="false" outlineLevel="0" collapsed="false">
      <c r="B92" s="45" t="n">
        <v>86</v>
      </c>
      <c r="C92" s="91"/>
      <c r="D92" s="91"/>
      <c r="E92" s="92"/>
      <c r="F92" s="92"/>
      <c r="G92" s="91"/>
      <c r="H92" s="91"/>
      <c r="I92" s="91"/>
      <c r="J92" s="93" t="s">
        <v>2490</v>
      </c>
      <c r="K92" s="91"/>
      <c r="L92" s="94"/>
      <c r="M92" s="94"/>
      <c r="N92" s="91"/>
      <c r="O92" s="35" t="str">
        <f aca="false">HYPERLINK(IF(AND(ISNUMBER(L92),ISNUMBER(M92)),"https://www.google.com/maps/search/?api=1&amp;query="&amp;L92&amp;","&amp;M92,"https://www.google.com/maps/search/?api=1&amp;query="&amp;SUBSTITUTE(SUBSTITUTE(SUBSTITUTE(K92&amp;", "&amp;I92&amp;", Puno, Peru"," ","+"),"&amp;","y"),"#","")),"Ver en mapa")</f>
        <v>Ver en mapa</v>
      </c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5" t="str">
        <f aca="false">IF(AND(ISNUMBER(L92),ISNUMBER(M92),ISNUMBER(14_Cercania!$C$6),ISNUMBER(14_Cercania!$C$7),AC92&lt;&gt;"Rechazado",AC92&lt;&gt;"Inactivo"),6371*2*ASIN(SQRT(SIN(RADIANS(14_Cercania!$C$6-L92)/2)^2+COS(RADIANS(L92))*COS(RADIANS(14_Cercania!$C$6))*SIN(RADIANS(14_Cercania!$C$7-M92)/2)^2))+ROW()*0.000000001,"")</f>
        <v/>
      </c>
    </row>
    <row r="93" customFormat="false" ht="15" hidden="false" customHeight="false" outlineLevel="0" collapsed="false">
      <c r="B93" s="45" t="n">
        <v>87</v>
      </c>
      <c r="C93" s="91"/>
      <c r="D93" s="91"/>
      <c r="E93" s="92"/>
      <c r="F93" s="92"/>
      <c r="G93" s="91"/>
      <c r="H93" s="91"/>
      <c r="I93" s="91"/>
      <c r="J93" s="93" t="s">
        <v>2490</v>
      </c>
      <c r="K93" s="91"/>
      <c r="L93" s="94"/>
      <c r="M93" s="94"/>
      <c r="N93" s="91"/>
      <c r="O93" s="35" t="str">
        <f aca="false">HYPERLINK(IF(AND(ISNUMBER(L93),ISNUMBER(M93)),"https://www.google.com/maps/search/?api=1&amp;query="&amp;L93&amp;","&amp;M93,"https://www.google.com/maps/search/?api=1&amp;query="&amp;SUBSTITUTE(SUBSTITUTE(SUBSTITUTE(K93&amp;", "&amp;I93&amp;", Puno, Peru"," ","+"),"&amp;","y"),"#","")),"Ver en mapa")</f>
        <v>Ver en mapa</v>
      </c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5" t="str">
        <f aca="false">IF(AND(ISNUMBER(L93),ISNUMBER(M93),ISNUMBER(14_Cercania!$C$6),ISNUMBER(14_Cercania!$C$7),AC93&lt;&gt;"Rechazado",AC93&lt;&gt;"Inactivo"),6371*2*ASIN(SQRT(SIN(RADIANS(14_Cercania!$C$6-L93)/2)^2+COS(RADIANS(L93))*COS(RADIANS(14_Cercania!$C$6))*SIN(RADIANS(14_Cercania!$C$7-M93)/2)^2))+ROW()*0.000000001,"")</f>
        <v/>
      </c>
    </row>
    <row r="94" customFormat="false" ht="15" hidden="false" customHeight="false" outlineLevel="0" collapsed="false">
      <c r="B94" s="45" t="n">
        <v>88</v>
      </c>
      <c r="C94" s="91"/>
      <c r="D94" s="91"/>
      <c r="E94" s="92"/>
      <c r="F94" s="92"/>
      <c r="G94" s="91"/>
      <c r="H94" s="91"/>
      <c r="I94" s="91"/>
      <c r="J94" s="93" t="s">
        <v>2490</v>
      </c>
      <c r="K94" s="91"/>
      <c r="L94" s="94"/>
      <c r="M94" s="94"/>
      <c r="N94" s="91"/>
      <c r="O94" s="35" t="str">
        <f aca="false">HYPERLINK(IF(AND(ISNUMBER(L94),ISNUMBER(M94)),"https://www.google.com/maps/search/?api=1&amp;query="&amp;L94&amp;","&amp;M94,"https://www.google.com/maps/search/?api=1&amp;query="&amp;SUBSTITUTE(SUBSTITUTE(SUBSTITUTE(K94&amp;", "&amp;I94&amp;", Puno, Peru"," ","+"),"&amp;","y"),"#","")),"Ver en mapa")</f>
        <v>Ver en mapa</v>
      </c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5" t="str">
        <f aca="false">IF(AND(ISNUMBER(L94),ISNUMBER(M94),ISNUMBER(14_Cercania!$C$6),ISNUMBER(14_Cercania!$C$7),AC94&lt;&gt;"Rechazado",AC94&lt;&gt;"Inactivo"),6371*2*ASIN(SQRT(SIN(RADIANS(14_Cercania!$C$6-L94)/2)^2+COS(RADIANS(L94))*COS(RADIANS(14_Cercania!$C$6))*SIN(RADIANS(14_Cercania!$C$7-M94)/2)^2))+ROW()*0.000000001,"")</f>
        <v/>
      </c>
    </row>
    <row r="95" customFormat="false" ht="15" hidden="false" customHeight="false" outlineLevel="0" collapsed="false">
      <c r="B95" s="45" t="n">
        <v>89</v>
      </c>
      <c r="C95" s="91"/>
      <c r="D95" s="91"/>
      <c r="E95" s="92"/>
      <c r="F95" s="92"/>
      <c r="G95" s="91"/>
      <c r="H95" s="91"/>
      <c r="I95" s="91"/>
      <c r="J95" s="93" t="s">
        <v>2490</v>
      </c>
      <c r="K95" s="91"/>
      <c r="L95" s="94"/>
      <c r="M95" s="94"/>
      <c r="N95" s="91"/>
      <c r="O95" s="35" t="str">
        <f aca="false">HYPERLINK(IF(AND(ISNUMBER(L95),ISNUMBER(M95)),"https://www.google.com/maps/search/?api=1&amp;query="&amp;L95&amp;","&amp;M95,"https://www.google.com/maps/search/?api=1&amp;query="&amp;SUBSTITUTE(SUBSTITUTE(SUBSTITUTE(K95&amp;", "&amp;I95&amp;", Puno, Peru"," ","+"),"&amp;","y"),"#","")),"Ver en mapa")</f>
        <v>Ver en mapa</v>
      </c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5" t="str">
        <f aca="false">IF(AND(ISNUMBER(L95),ISNUMBER(M95),ISNUMBER(14_Cercania!$C$6),ISNUMBER(14_Cercania!$C$7),AC95&lt;&gt;"Rechazado",AC95&lt;&gt;"Inactivo"),6371*2*ASIN(SQRT(SIN(RADIANS(14_Cercania!$C$6-L95)/2)^2+COS(RADIANS(L95))*COS(RADIANS(14_Cercania!$C$6))*SIN(RADIANS(14_Cercania!$C$7-M95)/2)^2))+ROW()*0.000000001,"")</f>
        <v/>
      </c>
    </row>
    <row r="96" customFormat="false" ht="15" hidden="false" customHeight="false" outlineLevel="0" collapsed="false">
      <c r="B96" s="45" t="n">
        <v>90</v>
      </c>
      <c r="C96" s="91"/>
      <c r="D96" s="91"/>
      <c r="E96" s="92"/>
      <c r="F96" s="92"/>
      <c r="G96" s="91"/>
      <c r="H96" s="91"/>
      <c r="I96" s="91"/>
      <c r="J96" s="93" t="s">
        <v>2490</v>
      </c>
      <c r="K96" s="91"/>
      <c r="L96" s="94"/>
      <c r="M96" s="94"/>
      <c r="N96" s="91"/>
      <c r="O96" s="35" t="str">
        <f aca="false">HYPERLINK(IF(AND(ISNUMBER(L96),ISNUMBER(M96)),"https://www.google.com/maps/search/?api=1&amp;query="&amp;L96&amp;","&amp;M96,"https://www.google.com/maps/search/?api=1&amp;query="&amp;SUBSTITUTE(SUBSTITUTE(SUBSTITUTE(K96&amp;", "&amp;I96&amp;", Puno, Peru"," ","+"),"&amp;","y"),"#","")),"Ver en mapa")</f>
        <v>Ver en mapa</v>
      </c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5" t="str">
        <f aca="false">IF(AND(ISNUMBER(L96),ISNUMBER(M96),ISNUMBER(14_Cercania!$C$6),ISNUMBER(14_Cercania!$C$7),AC96&lt;&gt;"Rechazado",AC96&lt;&gt;"Inactivo"),6371*2*ASIN(SQRT(SIN(RADIANS(14_Cercania!$C$6-L96)/2)^2+COS(RADIANS(L96))*COS(RADIANS(14_Cercania!$C$6))*SIN(RADIANS(14_Cercania!$C$7-M96)/2)^2))+ROW()*0.000000001,"")</f>
        <v/>
      </c>
    </row>
    <row r="97" customFormat="false" ht="15" hidden="false" customHeight="false" outlineLevel="0" collapsed="false">
      <c r="B97" s="45" t="n">
        <v>91</v>
      </c>
      <c r="C97" s="91"/>
      <c r="D97" s="91"/>
      <c r="E97" s="92"/>
      <c r="F97" s="92"/>
      <c r="G97" s="91"/>
      <c r="H97" s="91"/>
      <c r="I97" s="91"/>
      <c r="J97" s="93" t="s">
        <v>2490</v>
      </c>
      <c r="K97" s="91"/>
      <c r="L97" s="94"/>
      <c r="M97" s="94"/>
      <c r="N97" s="91"/>
      <c r="O97" s="35" t="str">
        <f aca="false">HYPERLINK(IF(AND(ISNUMBER(L97),ISNUMBER(M97)),"https://www.google.com/maps/search/?api=1&amp;query="&amp;L97&amp;","&amp;M97,"https://www.google.com/maps/search/?api=1&amp;query="&amp;SUBSTITUTE(SUBSTITUTE(SUBSTITUTE(K97&amp;", "&amp;I97&amp;", Puno, Peru"," ","+"),"&amp;","y"),"#","")),"Ver en mapa")</f>
        <v>Ver en mapa</v>
      </c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5" t="str">
        <f aca="false">IF(AND(ISNUMBER(L97),ISNUMBER(M97),ISNUMBER(14_Cercania!$C$6),ISNUMBER(14_Cercania!$C$7),AC97&lt;&gt;"Rechazado",AC97&lt;&gt;"Inactivo"),6371*2*ASIN(SQRT(SIN(RADIANS(14_Cercania!$C$6-L97)/2)^2+COS(RADIANS(L97))*COS(RADIANS(14_Cercania!$C$6))*SIN(RADIANS(14_Cercania!$C$7-M97)/2)^2))+ROW()*0.000000001,"")</f>
        <v/>
      </c>
    </row>
    <row r="98" customFormat="false" ht="15" hidden="false" customHeight="false" outlineLevel="0" collapsed="false">
      <c r="B98" s="45" t="n">
        <v>92</v>
      </c>
      <c r="C98" s="91"/>
      <c r="D98" s="91"/>
      <c r="E98" s="92"/>
      <c r="F98" s="92"/>
      <c r="G98" s="91"/>
      <c r="H98" s="91"/>
      <c r="I98" s="91"/>
      <c r="J98" s="93" t="s">
        <v>2490</v>
      </c>
      <c r="K98" s="91"/>
      <c r="L98" s="94"/>
      <c r="M98" s="94"/>
      <c r="N98" s="91"/>
      <c r="O98" s="35" t="str">
        <f aca="false">HYPERLINK(IF(AND(ISNUMBER(L98),ISNUMBER(M98)),"https://www.google.com/maps/search/?api=1&amp;query="&amp;L98&amp;","&amp;M98,"https://www.google.com/maps/search/?api=1&amp;query="&amp;SUBSTITUTE(SUBSTITUTE(SUBSTITUTE(K98&amp;", "&amp;I98&amp;", Puno, Peru"," ","+"),"&amp;","y"),"#","")),"Ver en mapa")</f>
        <v>Ver en mapa</v>
      </c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5" t="str">
        <f aca="false">IF(AND(ISNUMBER(L98),ISNUMBER(M98),ISNUMBER(14_Cercania!$C$6),ISNUMBER(14_Cercania!$C$7),AC98&lt;&gt;"Rechazado",AC98&lt;&gt;"Inactivo"),6371*2*ASIN(SQRT(SIN(RADIANS(14_Cercania!$C$6-L98)/2)^2+COS(RADIANS(L98))*COS(RADIANS(14_Cercania!$C$6))*SIN(RADIANS(14_Cercania!$C$7-M98)/2)^2))+ROW()*0.000000001,"")</f>
        <v/>
      </c>
    </row>
    <row r="99" customFormat="false" ht="15" hidden="false" customHeight="false" outlineLevel="0" collapsed="false">
      <c r="B99" s="45" t="n">
        <v>93</v>
      </c>
      <c r="C99" s="91"/>
      <c r="D99" s="91"/>
      <c r="E99" s="92"/>
      <c r="F99" s="92"/>
      <c r="G99" s="91"/>
      <c r="H99" s="91"/>
      <c r="I99" s="91"/>
      <c r="J99" s="93" t="s">
        <v>2490</v>
      </c>
      <c r="K99" s="91"/>
      <c r="L99" s="94"/>
      <c r="M99" s="94"/>
      <c r="N99" s="91"/>
      <c r="O99" s="35" t="str">
        <f aca="false">HYPERLINK(IF(AND(ISNUMBER(L99),ISNUMBER(M99)),"https://www.google.com/maps/search/?api=1&amp;query="&amp;L99&amp;","&amp;M99,"https://www.google.com/maps/search/?api=1&amp;query="&amp;SUBSTITUTE(SUBSTITUTE(SUBSTITUTE(K99&amp;", "&amp;I99&amp;", Puno, Peru"," ","+"),"&amp;","y"),"#","")),"Ver en mapa")</f>
        <v>Ver en mapa</v>
      </c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5" t="str">
        <f aca="false">IF(AND(ISNUMBER(L99),ISNUMBER(M99),ISNUMBER(14_Cercania!$C$6),ISNUMBER(14_Cercania!$C$7),AC99&lt;&gt;"Rechazado",AC99&lt;&gt;"Inactivo"),6371*2*ASIN(SQRT(SIN(RADIANS(14_Cercania!$C$6-L99)/2)^2+COS(RADIANS(L99))*COS(RADIANS(14_Cercania!$C$6))*SIN(RADIANS(14_Cercania!$C$7-M99)/2)^2))+ROW()*0.000000001,"")</f>
        <v/>
      </c>
    </row>
    <row r="100" customFormat="false" ht="15" hidden="false" customHeight="false" outlineLevel="0" collapsed="false">
      <c r="B100" s="45" t="n">
        <v>94</v>
      </c>
      <c r="C100" s="91"/>
      <c r="D100" s="91"/>
      <c r="E100" s="92"/>
      <c r="F100" s="92"/>
      <c r="G100" s="91"/>
      <c r="H100" s="91"/>
      <c r="I100" s="91"/>
      <c r="J100" s="93" t="s">
        <v>2490</v>
      </c>
      <c r="K100" s="91"/>
      <c r="L100" s="94"/>
      <c r="M100" s="94"/>
      <c r="N100" s="91"/>
      <c r="O100" s="35" t="str">
        <f aca="false">HYPERLINK(IF(AND(ISNUMBER(L100),ISNUMBER(M100)),"https://www.google.com/maps/search/?api=1&amp;query="&amp;L100&amp;","&amp;M100,"https://www.google.com/maps/search/?api=1&amp;query="&amp;SUBSTITUTE(SUBSTITUTE(SUBSTITUTE(K100&amp;", "&amp;I100&amp;", Puno, Peru"," ","+"),"&amp;","y"),"#","")),"Ver en mapa")</f>
        <v>Ver en mapa</v>
      </c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5" t="str">
        <f aca="false">IF(AND(ISNUMBER(L100),ISNUMBER(M100),ISNUMBER(14_Cercania!$C$6),ISNUMBER(14_Cercania!$C$7),AC100&lt;&gt;"Rechazado",AC100&lt;&gt;"Inactivo"),6371*2*ASIN(SQRT(SIN(RADIANS(14_Cercania!$C$6-L100)/2)^2+COS(RADIANS(L100))*COS(RADIANS(14_Cercania!$C$6))*SIN(RADIANS(14_Cercania!$C$7-M100)/2)^2))+ROW()*0.000000001,"")</f>
        <v/>
      </c>
    </row>
    <row r="101" customFormat="false" ht="15" hidden="false" customHeight="false" outlineLevel="0" collapsed="false">
      <c r="B101" s="45" t="n">
        <v>95</v>
      </c>
      <c r="C101" s="91"/>
      <c r="D101" s="91"/>
      <c r="E101" s="92"/>
      <c r="F101" s="92"/>
      <c r="G101" s="91"/>
      <c r="H101" s="91"/>
      <c r="I101" s="91"/>
      <c r="J101" s="93" t="s">
        <v>2490</v>
      </c>
      <c r="K101" s="91"/>
      <c r="L101" s="94"/>
      <c r="M101" s="94"/>
      <c r="N101" s="91"/>
      <c r="O101" s="35" t="str">
        <f aca="false">HYPERLINK(IF(AND(ISNUMBER(L101),ISNUMBER(M101)),"https://www.google.com/maps/search/?api=1&amp;query="&amp;L101&amp;","&amp;M101,"https://www.google.com/maps/search/?api=1&amp;query="&amp;SUBSTITUTE(SUBSTITUTE(SUBSTITUTE(K101&amp;", "&amp;I101&amp;", Puno, Peru"," ","+"),"&amp;","y"),"#","")),"Ver en mapa")</f>
        <v>Ver en mapa</v>
      </c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5" t="str">
        <f aca="false">IF(AND(ISNUMBER(L101),ISNUMBER(M101),ISNUMBER(14_Cercania!$C$6),ISNUMBER(14_Cercania!$C$7),AC101&lt;&gt;"Rechazado",AC101&lt;&gt;"Inactivo"),6371*2*ASIN(SQRT(SIN(RADIANS(14_Cercania!$C$6-L101)/2)^2+COS(RADIANS(L101))*COS(RADIANS(14_Cercania!$C$6))*SIN(RADIANS(14_Cercania!$C$7-M101)/2)^2))+ROW()*0.000000001,"")</f>
        <v/>
      </c>
    </row>
    <row r="102" customFormat="false" ht="15" hidden="false" customHeight="false" outlineLevel="0" collapsed="false">
      <c r="B102" s="45" t="n">
        <v>96</v>
      </c>
      <c r="C102" s="91"/>
      <c r="D102" s="91"/>
      <c r="E102" s="92"/>
      <c r="F102" s="92"/>
      <c r="G102" s="91"/>
      <c r="H102" s="91"/>
      <c r="I102" s="91"/>
      <c r="J102" s="93" t="s">
        <v>2490</v>
      </c>
      <c r="K102" s="91"/>
      <c r="L102" s="94"/>
      <c r="M102" s="94"/>
      <c r="N102" s="91"/>
      <c r="O102" s="35" t="str">
        <f aca="false">HYPERLINK(IF(AND(ISNUMBER(L102),ISNUMBER(M102)),"https://www.google.com/maps/search/?api=1&amp;query="&amp;L102&amp;","&amp;M102,"https://www.google.com/maps/search/?api=1&amp;query="&amp;SUBSTITUTE(SUBSTITUTE(SUBSTITUTE(K102&amp;", "&amp;I102&amp;", Puno, Peru"," ","+"),"&amp;","y"),"#","")),"Ver en mapa")</f>
        <v>Ver en mapa</v>
      </c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5" t="str">
        <f aca="false">IF(AND(ISNUMBER(L102),ISNUMBER(M102),ISNUMBER(14_Cercania!$C$6),ISNUMBER(14_Cercania!$C$7),AC102&lt;&gt;"Rechazado",AC102&lt;&gt;"Inactivo"),6371*2*ASIN(SQRT(SIN(RADIANS(14_Cercania!$C$6-L102)/2)^2+COS(RADIANS(L102))*COS(RADIANS(14_Cercania!$C$6))*SIN(RADIANS(14_Cercania!$C$7-M102)/2)^2))+ROW()*0.000000001,"")</f>
        <v/>
      </c>
    </row>
    <row r="103" customFormat="false" ht="15" hidden="false" customHeight="false" outlineLevel="0" collapsed="false">
      <c r="B103" s="45" t="n">
        <v>97</v>
      </c>
      <c r="C103" s="91"/>
      <c r="D103" s="91"/>
      <c r="E103" s="92"/>
      <c r="F103" s="92"/>
      <c r="G103" s="91"/>
      <c r="H103" s="91"/>
      <c r="I103" s="91"/>
      <c r="J103" s="93" t="s">
        <v>2490</v>
      </c>
      <c r="K103" s="91"/>
      <c r="L103" s="94"/>
      <c r="M103" s="94"/>
      <c r="N103" s="91"/>
      <c r="O103" s="35" t="str">
        <f aca="false">HYPERLINK(IF(AND(ISNUMBER(L103),ISNUMBER(M103)),"https://www.google.com/maps/search/?api=1&amp;query="&amp;L103&amp;","&amp;M103,"https://www.google.com/maps/search/?api=1&amp;query="&amp;SUBSTITUTE(SUBSTITUTE(SUBSTITUTE(K103&amp;", "&amp;I103&amp;", Puno, Peru"," ","+"),"&amp;","y"),"#","")),"Ver en mapa")</f>
        <v>Ver en mapa</v>
      </c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5" t="str">
        <f aca="false">IF(AND(ISNUMBER(L103),ISNUMBER(M103),ISNUMBER(14_Cercania!$C$6),ISNUMBER(14_Cercania!$C$7),AC103&lt;&gt;"Rechazado",AC103&lt;&gt;"Inactivo"),6371*2*ASIN(SQRT(SIN(RADIANS(14_Cercania!$C$6-L103)/2)^2+COS(RADIANS(L103))*COS(RADIANS(14_Cercania!$C$6))*SIN(RADIANS(14_Cercania!$C$7-M103)/2)^2))+ROW()*0.000000001,"")</f>
        <v/>
      </c>
    </row>
    <row r="104" customFormat="false" ht="15" hidden="false" customHeight="false" outlineLevel="0" collapsed="false">
      <c r="B104" s="45" t="n">
        <v>98</v>
      </c>
      <c r="C104" s="91"/>
      <c r="D104" s="91"/>
      <c r="E104" s="92"/>
      <c r="F104" s="92"/>
      <c r="G104" s="91"/>
      <c r="H104" s="91"/>
      <c r="I104" s="91"/>
      <c r="J104" s="93" t="s">
        <v>2490</v>
      </c>
      <c r="K104" s="91"/>
      <c r="L104" s="94"/>
      <c r="M104" s="94"/>
      <c r="N104" s="91"/>
      <c r="O104" s="35" t="str">
        <f aca="false">HYPERLINK(IF(AND(ISNUMBER(L104),ISNUMBER(M104)),"https://www.google.com/maps/search/?api=1&amp;query="&amp;L104&amp;","&amp;M104,"https://www.google.com/maps/search/?api=1&amp;query="&amp;SUBSTITUTE(SUBSTITUTE(SUBSTITUTE(K104&amp;", "&amp;I104&amp;", Puno, Peru"," ","+"),"&amp;","y"),"#","")),"Ver en mapa")</f>
        <v>Ver en mapa</v>
      </c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5" t="str">
        <f aca="false">IF(AND(ISNUMBER(L104),ISNUMBER(M104),ISNUMBER(14_Cercania!$C$6),ISNUMBER(14_Cercania!$C$7),AC104&lt;&gt;"Rechazado",AC104&lt;&gt;"Inactivo"),6371*2*ASIN(SQRT(SIN(RADIANS(14_Cercania!$C$6-L104)/2)^2+COS(RADIANS(L104))*COS(RADIANS(14_Cercania!$C$6))*SIN(RADIANS(14_Cercania!$C$7-M104)/2)^2))+ROW()*0.000000001,"")</f>
        <v/>
      </c>
    </row>
    <row r="105" customFormat="false" ht="15" hidden="false" customHeight="false" outlineLevel="0" collapsed="false">
      <c r="B105" s="45" t="n">
        <v>99</v>
      </c>
      <c r="C105" s="91"/>
      <c r="D105" s="91"/>
      <c r="E105" s="92"/>
      <c r="F105" s="92"/>
      <c r="G105" s="91"/>
      <c r="H105" s="91"/>
      <c r="I105" s="91"/>
      <c r="J105" s="93" t="s">
        <v>2490</v>
      </c>
      <c r="K105" s="91"/>
      <c r="L105" s="94"/>
      <c r="M105" s="94"/>
      <c r="N105" s="91"/>
      <c r="O105" s="35" t="str">
        <f aca="false">HYPERLINK(IF(AND(ISNUMBER(L105),ISNUMBER(M105)),"https://www.google.com/maps/search/?api=1&amp;query="&amp;L105&amp;","&amp;M105,"https://www.google.com/maps/search/?api=1&amp;query="&amp;SUBSTITUTE(SUBSTITUTE(SUBSTITUTE(K105&amp;", "&amp;I105&amp;", Puno, Peru"," ","+"),"&amp;","y"),"#","")),"Ver en mapa")</f>
        <v>Ver en mapa</v>
      </c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5" t="str">
        <f aca="false">IF(AND(ISNUMBER(L105),ISNUMBER(M105),ISNUMBER(14_Cercania!$C$6),ISNUMBER(14_Cercania!$C$7),AC105&lt;&gt;"Rechazado",AC105&lt;&gt;"Inactivo"),6371*2*ASIN(SQRT(SIN(RADIANS(14_Cercania!$C$6-L105)/2)^2+COS(RADIANS(L105))*COS(RADIANS(14_Cercania!$C$6))*SIN(RADIANS(14_Cercania!$C$7-M105)/2)^2))+ROW()*0.000000001,"")</f>
        <v/>
      </c>
    </row>
    <row r="106" customFormat="false" ht="15" hidden="false" customHeight="false" outlineLevel="0" collapsed="false">
      <c r="B106" s="45" t="n">
        <v>100</v>
      </c>
      <c r="C106" s="91"/>
      <c r="D106" s="91"/>
      <c r="E106" s="92"/>
      <c r="F106" s="92"/>
      <c r="G106" s="91"/>
      <c r="H106" s="91"/>
      <c r="I106" s="91"/>
      <c r="J106" s="93" t="s">
        <v>2490</v>
      </c>
      <c r="K106" s="91"/>
      <c r="L106" s="94"/>
      <c r="M106" s="94"/>
      <c r="N106" s="91"/>
      <c r="O106" s="35" t="str">
        <f aca="false">HYPERLINK(IF(AND(ISNUMBER(L106),ISNUMBER(M106)),"https://www.google.com/maps/search/?api=1&amp;query="&amp;L106&amp;","&amp;M106,"https://www.google.com/maps/search/?api=1&amp;query="&amp;SUBSTITUTE(SUBSTITUTE(SUBSTITUTE(K106&amp;", "&amp;I106&amp;", Puno, Peru"," ","+"),"&amp;","y"),"#","")),"Ver en mapa")</f>
        <v>Ver en mapa</v>
      </c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5" t="str">
        <f aca="false">IF(AND(ISNUMBER(L106),ISNUMBER(M106),ISNUMBER(14_Cercania!$C$6),ISNUMBER(14_Cercania!$C$7),AC106&lt;&gt;"Rechazado",AC106&lt;&gt;"Inactivo"),6371*2*ASIN(SQRT(SIN(RADIANS(14_Cercania!$C$6-L106)/2)^2+COS(RADIANS(L106))*COS(RADIANS(14_Cercania!$C$6))*SIN(RADIANS(14_Cercania!$C$7-M106)/2)^2))+ROW()*0.000000001,"")</f>
        <v/>
      </c>
    </row>
    <row r="107" customFormat="false" ht="15" hidden="false" customHeight="false" outlineLevel="0" collapsed="false">
      <c r="B107" s="45" t="n">
        <v>101</v>
      </c>
      <c r="C107" s="91"/>
      <c r="D107" s="91"/>
      <c r="E107" s="92"/>
      <c r="F107" s="92"/>
      <c r="G107" s="91"/>
      <c r="H107" s="91"/>
      <c r="I107" s="91"/>
      <c r="J107" s="93" t="s">
        <v>2490</v>
      </c>
      <c r="K107" s="91"/>
      <c r="L107" s="94"/>
      <c r="M107" s="94"/>
      <c r="N107" s="91"/>
      <c r="O107" s="35" t="str">
        <f aca="false">HYPERLINK(IF(AND(ISNUMBER(L107),ISNUMBER(M107)),"https://www.google.com/maps/search/?api=1&amp;query="&amp;L107&amp;","&amp;M107,"https://www.google.com/maps/search/?api=1&amp;query="&amp;SUBSTITUTE(SUBSTITUTE(SUBSTITUTE(K107&amp;", "&amp;I107&amp;", Puno, Peru"," ","+"),"&amp;","y"),"#","")),"Ver en mapa")</f>
        <v>Ver en mapa</v>
      </c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5" t="str">
        <f aca="false">IF(AND(ISNUMBER(L107),ISNUMBER(M107),ISNUMBER(14_Cercania!$C$6),ISNUMBER(14_Cercania!$C$7),AC107&lt;&gt;"Rechazado",AC107&lt;&gt;"Inactivo"),6371*2*ASIN(SQRT(SIN(RADIANS(14_Cercania!$C$6-L107)/2)^2+COS(RADIANS(L107))*COS(RADIANS(14_Cercania!$C$6))*SIN(RADIANS(14_Cercania!$C$7-M107)/2)^2))+ROW()*0.000000001,"")</f>
        <v/>
      </c>
    </row>
    <row r="108" customFormat="false" ht="15" hidden="false" customHeight="false" outlineLevel="0" collapsed="false">
      <c r="B108" s="45" t="n">
        <v>102</v>
      </c>
      <c r="C108" s="91"/>
      <c r="D108" s="91"/>
      <c r="E108" s="92"/>
      <c r="F108" s="92"/>
      <c r="G108" s="91"/>
      <c r="H108" s="91"/>
      <c r="I108" s="91"/>
      <c r="J108" s="93" t="s">
        <v>2490</v>
      </c>
      <c r="K108" s="91"/>
      <c r="L108" s="94"/>
      <c r="M108" s="94"/>
      <c r="N108" s="91"/>
      <c r="O108" s="35" t="str">
        <f aca="false">HYPERLINK(IF(AND(ISNUMBER(L108),ISNUMBER(M108)),"https://www.google.com/maps/search/?api=1&amp;query="&amp;L108&amp;","&amp;M108,"https://www.google.com/maps/search/?api=1&amp;query="&amp;SUBSTITUTE(SUBSTITUTE(SUBSTITUTE(K108&amp;", "&amp;I108&amp;", Puno, Peru"," ","+"),"&amp;","y"),"#","")),"Ver en mapa")</f>
        <v>Ver en mapa</v>
      </c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5" t="str">
        <f aca="false">IF(AND(ISNUMBER(L108),ISNUMBER(M108),ISNUMBER(14_Cercania!$C$6),ISNUMBER(14_Cercania!$C$7),AC108&lt;&gt;"Rechazado",AC108&lt;&gt;"Inactivo"),6371*2*ASIN(SQRT(SIN(RADIANS(14_Cercania!$C$6-L108)/2)^2+COS(RADIANS(L108))*COS(RADIANS(14_Cercania!$C$6))*SIN(RADIANS(14_Cercania!$C$7-M108)/2)^2))+ROW()*0.000000001,"")</f>
        <v/>
      </c>
    </row>
    <row r="109" customFormat="false" ht="15" hidden="false" customHeight="false" outlineLevel="0" collapsed="false">
      <c r="B109" s="45" t="n">
        <v>103</v>
      </c>
      <c r="C109" s="91"/>
      <c r="D109" s="91"/>
      <c r="E109" s="92"/>
      <c r="F109" s="92"/>
      <c r="G109" s="91"/>
      <c r="H109" s="91"/>
      <c r="I109" s="91"/>
      <c r="J109" s="93" t="s">
        <v>2490</v>
      </c>
      <c r="K109" s="91"/>
      <c r="L109" s="94"/>
      <c r="M109" s="94"/>
      <c r="N109" s="91"/>
      <c r="O109" s="35" t="str">
        <f aca="false">HYPERLINK(IF(AND(ISNUMBER(L109),ISNUMBER(M109)),"https://www.google.com/maps/search/?api=1&amp;query="&amp;L109&amp;","&amp;M109,"https://www.google.com/maps/search/?api=1&amp;query="&amp;SUBSTITUTE(SUBSTITUTE(SUBSTITUTE(K109&amp;", "&amp;I109&amp;", Puno, Peru"," ","+"),"&amp;","y"),"#","")),"Ver en mapa")</f>
        <v>Ver en mapa</v>
      </c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5" t="str">
        <f aca="false">IF(AND(ISNUMBER(L109),ISNUMBER(M109),ISNUMBER(14_Cercania!$C$6),ISNUMBER(14_Cercania!$C$7),AC109&lt;&gt;"Rechazado",AC109&lt;&gt;"Inactivo"),6371*2*ASIN(SQRT(SIN(RADIANS(14_Cercania!$C$6-L109)/2)^2+COS(RADIANS(L109))*COS(RADIANS(14_Cercania!$C$6))*SIN(RADIANS(14_Cercania!$C$7-M109)/2)^2))+ROW()*0.000000001,"")</f>
        <v/>
      </c>
    </row>
    <row r="110" customFormat="false" ht="15" hidden="false" customHeight="false" outlineLevel="0" collapsed="false">
      <c r="B110" s="45" t="n">
        <v>104</v>
      </c>
      <c r="C110" s="91"/>
      <c r="D110" s="91"/>
      <c r="E110" s="92"/>
      <c r="F110" s="92"/>
      <c r="G110" s="91"/>
      <c r="H110" s="91"/>
      <c r="I110" s="91"/>
      <c r="J110" s="93" t="s">
        <v>2490</v>
      </c>
      <c r="K110" s="91"/>
      <c r="L110" s="94"/>
      <c r="M110" s="94"/>
      <c r="N110" s="91"/>
      <c r="O110" s="35" t="str">
        <f aca="false">HYPERLINK(IF(AND(ISNUMBER(L110),ISNUMBER(M110)),"https://www.google.com/maps/search/?api=1&amp;query="&amp;L110&amp;","&amp;M110,"https://www.google.com/maps/search/?api=1&amp;query="&amp;SUBSTITUTE(SUBSTITUTE(SUBSTITUTE(K110&amp;", "&amp;I110&amp;", Puno, Peru"," ","+"),"&amp;","y"),"#","")),"Ver en mapa")</f>
        <v>Ver en mapa</v>
      </c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5" t="str">
        <f aca="false">IF(AND(ISNUMBER(L110),ISNUMBER(M110),ISNUMBER(14_Cercania!$C$6),ISNUMBER(14_Cercania!$C$7),AC110&lt;&gt;"Rechazado",AC110&lt;&gt;"Inactivo"),6371*2*ASIN(SQRT(SIN(RADIANS(14_Cercania!$C$6-L110)/2)^2+COS(RADIANS(L110))*COS(RADIANS(14_Cercania!$C$6))*SIN(RADIANS(14_Cercania!$C$7-M110)/2)^2))+ROW()*0.000000001,"")</f>
        <v/>
      </c>
    </row>
    <row r="111" customFormat="false" ht="15" hidden="false" customHeight="false" outlineLevel="0" collapsed="false">
      <c r="B111" s="45" t="n">
        <v>105</v>
      </c>
      <c r="C111" s="91"/>
      <c r="D111" s="91"/>
      <c r="E111" s="92"/>
      <c r="F111" s="92"/>
      <c r="G111" s="91"/>
      <c r="H111" s="91"/>
      <c r="I111" s="91"/>
      <c r="J111" s="93" t="s">
        <v>2490</v>
      </c>
      <c r="K111" s="91"/>
      <c r="L111" s="94"/>
      <c r="M111" s="94"/>
      <c r="N111" s="91"/>
      <c r="O111" s="35" t="str">
        <f aca="false">HYPERLINK(IF(AND(ISNUMBER(L111),ISNUMBER(M111)),"https://www.google.com/maps/search/?api=1&amp;query="&amp;L111&amp;","&amp;M111,"https://www.google.com/maps/search/?api=1&amp;query="&amp;SUBSTITUTE(SUBSTITUTE(SUBSTITUTE(K111&amp;", "&amp;I111&amp;", Puno, Peru"," ","+"),"&amp;","y"),"#","")),"Ver en mapa")</f>
        <v>Ver en mapa</v>
      </c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5" t="str">
        <f aca="false">IF(AND(ISNUMBER(L111),ISNUMBER(M111),ISNUMBER(14_Cercania!$C$6),ISNUMBER(14_Cercania!$C$7),AC111&lt;&gt;"Rechazado",AC111&lt;&gt;"Inactivo"),6371*2*ASIN(SQRT(SIN(RADIANS(14_Cercania!$C$6-L111)/2)^2+COS(RADIANS(L111))*COS(RADIANS(14_Cercania!$C$6))*SIN(RADIANS(14_Cercania!$C$7-M111)/2)^2))+ROW()*0.000000001,"")</f>
        <v/>
      </c>
    </row>
    <row r="112" customFormat="false" ht="15" hidden="false" customHeight="false" outlineLevel="0" collapsed="false">
      <c r="B112" s="45" t="n">
        <v>106</v>
      </c>
      <c r="C112" s="91"/>
      <c r="D112" s="91"/>
      <c r="E112" s="92"/>
      <c r="F112" s="92"/>
      <c r="G112" s="91"/>
      <c r="H112" s="91"/>
      <c r="I112" s="91"/>
      <c r="J112" s="93" t="s">
        <v>2490</v>
      </c>
      <c r="K112" s="91"/>
      <c r="L112" s="94"/>
      <c r="M112" s="94"/>
      <c r="N112" s="91"/>
      <c r="O112" s="35" t="str">
        <f aca="false">HYPERLINK(IF(AND(ISNUMBER(L112),ISNUMBER(M112)),"https://www.google.com/maps/search/?api=1&amp;query="&amp;L112&amp;","&amp;M112,"https://www.google.com/maps/search/?api=1&amp;query="&amp;SUBSTITUTE(SUBSTITUTE(SUBSTITUTE(K112&amp;", "&amp;I112&amp;", Puno, Peru"," ","+"),"&amp;","y"),"#","")),"Ver en mapa")</f>
        <v>Ver en mapa</v>
      </c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5" t="str">
        <f aca="false">IF(AND(ISNUMBER(L112),ISNUMBER(M112),ISNUMBER(14_Cercania!$C$6),ISNUMBER(14_Cercania!$C$7),AC112&lt;&gt;"Rechazado",AC112&lt;&gt;"Inactivo"),6371*2*ASIN(SQRT(SIN(RADIANS(14_Cercania!$C$6-L112)/2)^2+COS(RADIANS(L112))*COS(RADIANS(14_Cercania!$C$6))*SIN(RADIANS(14_Cercania!$C$7-M112)/2)^2))+ROW()*0.000000001,"")</f>
        <v/>
      </c>
    </row>
    <row r="113" customFormat="false" ht="15" hidden="false" customHeight="false" outlineLevel="0" collapsed="false">
      <c r="B113" s="45" t="n">
        <v>107</v>
      </c>
      <c r="C113" s="91"/>
      <c r="D113" s="91"/>
      <c r="E113" s="92"/>
      <c r="F113" s="92"/>
      <c r="G113" s="91"/>
      <c r="H113" s="91"/>
      <c r="I113" s="91"/>
      <c r="J113" s="93" t="s">
        <v>2490</v>
      </c>
      <c r="K113" s="91"/>
      <c r="L113" s="94"/>
      <c r="M113" s="94"/>
      <c r="N113" s="91"/>
      <c r="O113" s="35" t="str">
        <f aca="false">HYPERLINK(IF(AND(ISNUMBER(L113),ISNUMBER(M113)),"https://www.google.com/maps/search/?api=1&amp;query="&amp;L113&amp;","&amp;M113,"https://www.google.com/maps/search/?api=1&amp;query="&amp;SUBSTITUTE(SUBSTITUTE(SUBSTITUTE(K113&amp;", "&amp;I113&amp;", Puno, Peru"," ","+"),"&amp;","y"),"#","")),"Ver en mapa")</f>
        <v>Ver en mapa</v>
      </c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5" t="str">
        <f aca="false">IF(AND(ISNUMBER(L113),ISNUMBER(M113),ISNUMBER(14_Cercania!$C$6),ISNUMBER(14_Cercania!$C$7),AC113&lt;&gt;"Rechazado",AC113&lt;&gt;"Inactivo"),6371*2*ASIN(SQRT(SIN(RADIANS(14_Cercania!$C$6-L113)/2)^2+COS(RADIANS(L113))*COS(RADIANS(14_Cercania!$C$6))*SIN(RADIANS(14_Cercania!$C$7-M113)/2)^2))+ROW()*0.000000001,"")</f>
        <v/>
      </c>
    </row>
    <row r="114" customFormat="false" ht="15" hidden="false" customHeight="false" outlineLevel="0" collapsed="false">
      <c r="B114" s="45" t="n">
        <v>108</v>
      </c>
      <c r="C114" s="91"/>
      <c r="D114" s="91"/>
      <c r="E114" s="92"/>
      <c r="F114" s="92"/>
      <c r="G114" s="91"/>
      <c r="H114" s="91"/>
      <c r="I114" s="91"/>
      <c r="J114" s="93" t="s">
        <v>2490</v>
      </c>
      <c r="K114" s="91"/>
      <c r="L114" s="94"/>
      <c r="M114" s="94"/>
      <c r="N114" s="91"/>
      <c r="O114" s="35" t="str">
        <f aca="false">HYPERLINK(IF(AND(ISNUMBER(L114),ISNUMBER(M114)),"https://www.google.com/maps/search/?api=1&amp;query="&amp;L114&amp;","&amp;M114,"https://www.google.com/maps/search/?api=1&amp;query="&amp;SUBSTITUTE(SUBSTITUTE(SUBSTITUTE(K114&amp;", "&amp;I114&amp;", Puno, Peru"," ","+"),"&amp;","y"),"#","")),"Ver en mapa")</f>
        <v>Ver en mapa</v>
      </c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5" t="str">
        <f aca="false">IF(AND(ISNUMBER(L114),ISNUMBER(M114),ISNUMBER(14_Cercania!$C$6),ISNUMBER(14_Cercania!$C$7),AC114&lt;&gt;"Rechazado",AC114&lt;&gt;"Inactivo"),6371*2*ASIN(SQRT(SIN(RADIANS(14_Cercania!$C$6-L114)/2)^2+COS(RADIANS(L114))*COS(RADIANS(14_Cercania!$C$6))*SIN(RADIANS(14_Cercania!$C$7-M114)/2)^2))+ROW()*0.000000001,"")</f>
        <v/>
      </c>
    </row>
    <row r="115" customFormat="false" ht="15" hidden="false" customHeight="false" outlineLevel="0" collapsed="false">
      <c r="B115" s="45" t="n">
        <v>109</v>
      </c>
      <c r="C115" s="91"/>
      <c r="D115" s="91"/>
      <c r="E115" s="92"/>
      <c r="F115" s="92"/>
      <c r="G115" s="91"/>
      <c r="H115" s="91"/>
      <c r="I115" s="91"/>
      <c r="J115" s="93" t="s">
        <v>2490</v>
      </c>
      <c r="K115" s="91"/>
      <c r="L115" s="94"/>
      <c r="M115" s="94"/>
      <c r="N115" s="91"/>
      <c r="O115" s="35" t="str">
        <f aca="false">HYPERLINK(IF(AND(ISNUMBER(L115),ISNUMBER(M115)),"https://www.google.com/maps/search/?api=1&amp;query="&amp;L115&amp;","&amp;M115,"https://www.google.com/maps/search/?api=1&amp;query="&amp;SUBSTITUTE(SUBSTITUTE(SUBSTITUTE(K115&amp;", "&amp;I115&amp;", Puno, Peru"," ","+"),"&amp;","y"),"#","")),"Ver en mapa")</f>
        <v>Ver en mapa</v>
      </c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5" t="str">
        <f aca="false">IF(AND(ISNUMBER(L115),ISNUMBER(M115),ISNUMBER(14_Cercania!$C$6),ISNUMBER(14_Cercania!$C$7),AC115&lt;&gt;"Rechazado",AC115&lt;&gt;"Inactivo"),6371*2*ASIN(SQRT(SIN(RADIANS(14_Cercania!$C$6-L115)/2)^2+COS(RADIANS(L115))*COS(RADIANS(14_Cercania!$C$6))*SIN(RADIANS(14_Cercania!$C$7-M115)/2)^2))+ROW()*0.000000001,"")</f>
        <v/>
      </c>
    </row>
    <row r="116" customFormat="false" ht="15" hidden="false" customHeight="false" outlineLevel="0" collapsed="false">
      <c r="B116" s="45" t="n">
        <v>110</v>
      </c>
      <c r="C116" s="91"/>
      <c r="D116" s="91"/>
      <c r="E116" s="92"/>
      <c r="F116" s="92"/>
      <c r="G116" s="91"/>
      <c r="H116" s="91"/>
      <c r="I116" s="91"/>
      <c r="J116" s="93" t="s">
        <v>2490</v>
      </c>
      <c r="K116" s="91"/>
      <c r="L116" s="94"/>
      <c r="M116" s="94"/>
      <c r="N116" s="91"/>
      <c r="O116" s="35" t="str">
        <f aca="false">HYPERLINK(IF(AND(ISNUMBER(L116),ISNUMBER(M116)),"https://www.google.com/maps/search/?api=1&amp;query="&amp;L116&amp;","&amp;M116,"https://www.google.com/maps/search/?api=1&amp;query="&amp;SUBSTITUTE(SUBSTITUTE(SUBSTITUTE(K116&amp;", "&amp;I116&amp;", Puno, Peru"," ","+"),"&amp;","y"),"#","")),"Ver en mapa")</f>
        <v>Ver en mapa</v>
      </c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5" t="str">
        <f aca="false">IF(AND(ISNUMBER(L116),ISNUMBER(M116),ISNUMBER(14_Cercania!$C$6),ISNUMBER(14_Cercania!$C$7),AC116&lt;&gt;"Rechazado",AC116&lt;&gt;"Inactivo"),6371*2*ASIN(SQRT(SIN(RADIANS(14_Cercania!$C$6-L116)/2)^2+COS(RADIANS(L116))*COS(RADIANS(14_Cercania!$C$6))*SIN(RADIANS(14_Cercania!$C$7-M116)/2)^2))+ROW()*0.000000001,"")</f>
        <v/>
      </c>
    </row>
    <row r="117" customFormat="false" ht="15" hidden="false" customHeight="false" outlineLevel="0" collapsed="false">
      <c r="B117" s="45" t="n">
        <v>111</v>
      </c>
      <c r="C117" s="91"/>
      <c r="D117" s="91"/>
      <c r="E117" s="92"/>
      <c r="F117" s="92"/>
      <c r="G117" s="91"/>
      <c r="H117" s="91"/>
      <c r="I117" s="91"/>
      <c r="J117" s="93" t="s">
        <v>2490</v>
      </c>
      <c r="K117" s="91"/>
      <c r="L117" s="94"/>
      <c r="M117" s="94"/>
      <c r="N117" s="91"/>
      <c r="O117" s="35" t="str">
        <f aca="false">HYPERLINK(IF(AND(ISNUMBER(L117),ISNUMBER(M117)),"https://www.google.com/maps/search/?api=1&amp;query="&amp;L117&amp;","&amp;M117,"https://www.google.com/maps/search/?api=1&amp;query="&amp;SUBSTITUTE(SUBSTITUTE(SUBSTITUTE(K117&amp;", "&amp;I117&amp;", Puno, Peru"," ","+"),"&amp;","y"),"#","")),"Ver en mapa")</f>
        <v>Ver en mapa</v>
      </c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5" t="str">
        <f aca="false">IF(AND(ISNUMBER(L117),ISNUMBER(M117),ISNUMBER(14_Cercania!$C$6),ISNUMBER(14_Cercania!$C$7),AC117&lt;&gt;"Rechazado",AC117&lt;&gt;"Inactivo"),6371*2*ASIN(SQRT(SIN(RADIANS(14_Cercania!$C$6-L117)/2)^2+COS(RADIANS(L117))*COS(RADIANS(14_Cercania!$C$6))*SIN(RADIANS(14_Cercania!$C$7-M117)/2)^2))+ROW()*0.000000001,"")</f>
        <v/>
      </c>
    </row>
    <row r="118" customFormat="false" ht="15" hidden="false" customHeight="false" outlineLevel="0" collapsed="false">
      <c r="B118" s="45" t="n">
        <v>112</v>
      </c>
      <c r="C118" s="91"/>
      <c r="D118" s="91"/>
      <c r="E118" s="92"/>
      <c r="F118" s="92"/>
      <c r="G118" s="91"/>
      <c r="H118" s="91"/>
      <c r="I118" s="91"/>
      <c r="J118" s="93" t="s">
        <v>2490</v>
      </c>
      <c r="K118" s="91"/>
      <c r="L118" s="94"/>
      <c r="M118" s="94"/>
      <c r="N118" s="91"/>
      <c r="O118" s="35" t="str">
        <f aca="false">HYPERLINK(IF(AND(ISNUMBER(L118),ISNUMBER(M118)),"https://www.google.com/maps/search/?api=1&amp;query="&amp;L118&amp;","&amp;M118,"https://www.google.com/maps/search/?api=1&amp;query="&amp;SUBSTITUTE(SUBSTITUTE(SUBSTITUTE(K118&amp;", "&amp;I118&amp;", Puno, Peru"," ","+"),"&amp;","y"),"#","")),"Ver en mapa")</f>
        <v>Ver en mapa</v>
      </c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5" t="str">
        <f aca="false">IF(AND(ISNUMBER(L118),ISNUMBER(M118),ISNUMBER(14_Cercania!$C$6),ISNUMBER(14_Cercania!$C$7),AC118&lt;&gt;"Rechazado",AC118&lt;&gt;"Inactivo"),6371*2*ASIN(SQRT(SIN(RADIANS(14_Cercania!$C$6-L118)/2)^2+COS(RADIANS(L118))*COS(RADIANS(14_Cercania!$C$6))*SIN(RADIANS(14_Cercania!$C$7-M118)/2)^2))+ROW()*0.000000001,"")</f>
        <v/>
      </c>
    </row>
    <row r="119" customFormat="false" ht="15" hidden="false" customHeight="false" outlineLevel="0" collapsed="false">
      <c r="B119" s="45" t="n">
        <v>113</v>
      </c>
      <c r="C119" s="91"/>
      <c r="D119" s="91"/>
      <c r="E119" s="92"/>
      <c r="F119" s="92"/>
      <c r="G119" s="91"/>
      <c r="H119" s="91"/>
      <c r="I119" s="91"/>
      <c r="J119" s="93" t="s">
        <v>2490</v>
      </c>
      <c r="K119" s="91"/>
      <c r="L119" s="94"/>
      <c r="M119" s="94"/>
      <c r="N119" s="91"/>
      <c r="O119" s="35" t="str">
        <f aca="false">HYPERLINK(IF(AND(ISNUMBER(L119),ISNUMBER(M119)),"https://www.google.com/maps/search/?api=1&amp;query="&amp;L119&amp;","&amp;M119,"https://www.google.com/maps/search/?api=1&amp;query="&amp;SUBSTITUTE(SUBSTITUTE(SUBSTITUTE(K119&amp;", "&amp;I119&amp;", Puno, Peru"," ","+"),"&amp;","y"),"#","")),"Ver en mapa")</f>
        <v>Ver en mapa</v>
      </c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5" t="str">
        <f aca="false">IF(AND(ISNUMBER(L119),ISNUMBER(M119),ISNUMBER(14_Cercania!$C$6),ISNUMBER(14_Cercania!$C$7),AC119&lt;&gt;"Rechazado",AC119&lt;&gt;"Inactivo"),6371*2*ASIN(SQRT(SIN(RADIANS(14_Cercania!$C$6-L119)/2)^2+COS(RADIANS(L119))*COS(RADIANS(14_Cercania!$C$6))*SIN(RADIANS(14_Cercania!$C$7-M119)/2)^2))+ROW()*0.000000001,"")</f>
        <v/>
      </c>
    </row>
    <row r="120" customFormat="false" ht="15" hidden="false" customHeight="false" outlineLevel="0" collapsed="false">
      <c r="B120" s="45" t="n">
        <v>114</v>
      </c>
      <c r="C120" s="91"/>
      <c r="D120" s="91"/>
      <c r="E120" s="92"/>
      <c r="F120" s="92"/>
      <c r="G120" s="91"/>
      <c r="H120" s="91"/>
      <c r="I120" s="91"/>
      <c r="J120" s="93" t="s">
        <v>2490</v>
      </c>
      <c r="K120" s="91"/>
      <c r="L120" s="94"/>
      <c r="M120" s="94"/>
      <c r="N120" s="91"/>
      <c r="O120" s="35" t="str">
        <f aca="false">HYPERLINK(IF(AND(ISNUMBER(L120),ISNUMBER(M120)),"https://www.google.com/maps/search/?api=1&amp;query="&amp;L120&amp;","&amp;M120,"https://www.google.com/maps/search/?api=1&amp;query="&amp;SUBSTITUTE(SUBSTITUTE(SUBSTITUTE(K120&amp;", "&amp;I120&amp;", Puno, Peru"," ","+"),"&amp;","y"),"#","")),"Ver en mapa")</f>
        <v>Ver en mapa</v>
      </c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5" t="str">
        <f aca="false">IF(AND(ISNUMBER(L120),ISNUMBER(M120),ISNUMBER(14_Cercania!$C$6),ISNUMBER(14_Cercania!$C$7),AC120&lt;&gt;"Rechazado",AC120&lt;&gt;"Inactivo"),6371*2*ASIN(SQRT(SIN(RADIANS(14_Cercania!$C$6-L120)/2)^2+COS(RADIANS(L120))*COS(RADIANS(14_Cercania!$C$6))*SIN(RADIANS(14_Cercania!$C$7-M120)/2)^2))+ROW()*0.000000001,"")</f>
        <v/>
      </c>
    </row>
    <row r="121" customFormat="false" ht="15" hidden="false" customHeight="false" outlineLevel="0" collapsed="false">
      <c r="B121" s="45" t="n">
        <v>115</v>
      </c>
      <c r="C121" s="91"/>
      <c r="D121" s="91"/>
      <c r="E121" s="92"/>
      <c r="F121" s="92"/>
      <c r="G121" s="91"/>
      <c r="H121" s="91"/>
      <c r="I121" s="91"/>
      <c r="J121" s="93" t="s">
        <v>2490</v>
      </c>
      <c r="K121" s="91"/>
      <c r="L121" s="94"/>
      <c r="M121" s="94"/>
      <c r="N121" s="91"/>
      <c r="O121" s="35" t="str">
        <f aca="false">HYPERLINK(IF(AND(ISNUMBER(L121),ISNUMBER(M121)),"https://www.google.com/maps/search/?api=1&amp;query="&amp;L121&amp;","&amp;M121,"https://www.google.com/maps/search/?api=1&amp;query="&amp;SUBSTITUTE(SUBSTITUTE(SUBSTITUTE(K121&amp;", "&amp;I121&amp;", Puno, Peru"," ","+"),"&amp;","y"),"#","")),"Ver en mapa")</f>
        <v>Ver en mapa</v>
      </c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 t="str">
        <f aca="false">IF(AND(ISNUMBER(L121),ISNUMBER(M121),ISNUMBER(14_Cercania!$C$6),ISNUMBER(14_Cercania!$C$7),AC121&lt;&gt;"Rechazado",AC121&lt;&gt;"Inactivo"),6371*2*ASIN(SQRT(SIN(RADIANS(14_Cercania!$C$6-L121)/2)^2+COS(RADIANS(L121))*COS(RADIANS(14_Cercania!$C$6))*SIN(RADIANS(14_Cercania!$C$7-M121)/2)^2))+ROW()*0.000000001,"")</f>
        <v/>
      </c>
    </row>
    <row r="122" customFormat="false" ht="15" hidden="false" customHeight="false" outlineLevel="0" collapsed="false">
      <c r="B122" s="45" t="n">
        <v>116</v>
      </c>
      <c r="C122" s="91"/>
      <c r="D122" s="91"/>
      <c r="E122" s="92"/>
      <c r="F122" s="92"/>
      <c r="G122" s="91"/>
      <c r="H122" s="91"/>
      <c r="I122" s="91"/>
      <c r="J122" s="93" t="s">
        <v>2490</v>
      </c>
      <c r="K122" s="91"/>
      <c r="L122" s="94"/>
      <c r="M122" s="94"/>
      <c r="N122" s="91"/>
      <c r="O122" s="35" t="str">
        <f aca="false">HYPERLINK(IF(AND(ISNUMBER(L122),ISNUMBER(M122)),"https://www.google.com/maps/search/?api=1&amp;query="&amp;L122&amp;","&amp;M122,"https://www.google.com/maps/search/?api=1&amp;query="&amp;SUBSTITUTE(SUBSTITUTE(SUBSTITUTE(K122&amp;", "&amp;I122&amp;", Puno, Peru"," ","+"),"&amp;","y"),"#","")),"Ver en mapa")</f>
        <v>Ver en mapa</v>
      </c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5" t="str">
        <f aca="false">IF(AND(ISNUMBER(L122),ISNUMBER(M122),ISNUMBER(14_Cercania!$C$6),ISNUMBER(14_Cercania!$C$7),AC122&lt;&gt;"Rechazado",AC122&lt;&gt;"Inactivo"),6371*2*ASIN(SQRT(SIN(RADIANS(14_Cercania!$C$6-L122)/2)^2+COS(RADIANS(L122))*COS(RADIANS(14_Cercania!$C$6))*SIN(RADIANS(14_Cercania!$C$7-M122)/2)^2))+ROW()*0.000000001,"")</f>
        <v/>
      </c>
    </row>
    <row r="123" customFormat="false" ht="15" hidden="false" customHeight="false" outlineLevel="0" collapsed="false">
      <c r="B123" s="45" t="n">
        <v>117</v>
      </c>
      <c r="C123" s="91"/>
      <c r="D123" s="91"/>
      <c r="E123" s="92"/>
      <c r="F123" s="92"/>
      <c r="G123" s="91"/>
      <c r="H123" s="91"/>
      <c r="I123" s="91"/>
      <c r="J123" s="93" t="s">
        <v>2490</v>
      </c>
      <c r="K123" s="91"/>
      <c r="L123" s="94"/>
      <c r="M123" s="94"/>
      <c r="N123" s="91"/>
      <c r="O123" s="35" t="str">
        <f aca="false">HYPERLINK(IF(AND(ISNUMBER(L123),ISNUMBER(M123)),"https://www.google.com/maps/search/?api=1&amp;query="&amp;L123&amp;","&amp;M123,"https://www.google.com/maps/search/?api=1&amp;query="&amp;SUBSTITUTE(SUBSTITUTE(SUBSTITUTE(K123&amp;", "&amp;I123&amp;", Puno, Peru"," ","+"),"&amp;","y"),"#","")),"Ver en mapa")</f>
        <v>Ver en mapa</v>
      </c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5" t="str">
        <f aca="false">IF(AND(ISNUMBER(L123),ISNUMBER(M123),ISNUMBER(14_Cercania!$C$6),ISNUMBER(14_Cercania!$C$7),AC123&lt;&gt;"Rechazado",AC123&lt;&gt;"Inactivo"),6371*2*ASIN(SQRT(SIN(RADIANS(14_Cercania!$C$6-L123)/2)^2+COS(RADIANS(L123))*COS(RADIANS(14_Cercania!$C$6))*SIN(RADIANS(14_Cercania!$C$7-M123)/2)^2))+ROW()*0.000000001,"")</f>
        <v/>
      </c>
    </row>
    <row r="124" customFormat="false" ht="15" hidden="false" customHeight="false" outlineLevel="0" collapsed="false">
      <c r="B124" s="45" t="n">
        <v>118</v>
      </c>
      <c r="C124" s="91"/>
      <c r="D124" s="91"/>
      <c r="E124" s="92"/>
      <c r="F124" s="92"/>
      <c r="G124" s="91"/>
      <c r="H124" s="91"/>
      <c r="I124" s="91"/>
      <c r="J124" s="93" t="s">
        <v>2490</v>
      </c>
      <c r="K124" s="91"/>
      <c r="L124" s="94"/>
      <c r="M124" s="94"/>
      <c r="N124" s="91"/>
      <c r="O124" s="35" t="str">
        <f aca="false">HYPERLINK(IF(AND(ISNUMBER(L124),ISNUMBER(M124)),"https://www.google.com/maps/search/?api=1&amp;query="&amp;L124&amp;","&amp;M124,"https://www.google.com/maps/search/?api=1&amp;query="&amp;SUBSTITUTE(SUBSTITUTE(SUBSTITUTE(K124&amp;", "&amp;I124&amp;", Puno, Peru"," ","+"),"&amp;","y"),"#","")),"Ver en mapa")</f>
        <v>Ver en mapa</v>
      </c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5" t="str">
        <f aca="false">IF(AND(ISNUMBER(L124),ISNUMBER(M124),ISNUMBER(14_Cercania!$C$6),ISNUMBER(14_Cercania!$C$7),AC124&lt;&gt;"Rechazado",AC124&lt;&gt;"Inactivo"),6371*2*ASIN(SQRT(SIN(RADIANS(14_Cercania!$C$6-L124)/2)^2+COS(RADIANS(L124))*COS(RADIANS(14_Cercania!$C$6))*SIN(RADIANS(14_Cercania!$C$7-M124)/2)^2))+ROW()*0.000000001,"")</f>
        <v/>
      </c>
    </row>
    <row r="125" customFormat="false" ht="15" hidden="false" customHeight="false" outlineLevel="0" collapsed="false">
      <c r="B125" s="45" t="n">
        <v>119</v>
      </c>
      <c r="C125" s="91"/>
      <c r="D125" s="91"/>
      <c r="E125" s="92"/>
      <c r="F125" s="92"/>
      <c r="G125" s="91"/>
      <c r="H125" s="91"/>
      <c r="I125" s="91"/>
      <c r="J125" s="93" t="s">
        <v>2490</v>
      </c>
      <c r="K125" s="91"/>
      <c r="L125" s="94"/>
      <c r="M125" s="94"/>
      <c r="N125" s="91"/>
      <c r="O125" s="35" t="str">
        <f aca="false">HYPERLINK(IF(AND(ISNUMBER(L125),ISNUMBER(M125)),"https://www.google.com/maps/search/?api=1&amp;query="&amp;L125&amp;","&amp;M125,"https://www.google.com/maps/search/?api=1&amp;query="&amp;SUBSTITUTE(SUBSTITUTE(SUBSTITUTE(K125&amp;", "&amp;I125&amp;", Puno, Peru"," ","+"),"&amp;","y"),"#","")),"Ver en mapa")</f>
        <v>Ver en mapa</v>
      </c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5" t="str">
        <f aca="false">IF(AND(ISNUMBER(L125),ISNUMBER(M125),ISNUMBER(14_Cercania!$C$6),ISNUMBER(14_Cercania!$C$7),AC125&lt;&gt;"Rechazado",AC125&lt;&gt;"Inactivo"),6371*2*ASIN(SQRT(SIN(RADIANS(14_Cercania!$C$6-L125)/2)^2+COS(RADIANS(L125))*COS(RADIANS(14_Cercania!$C$6))*SIN(RADIANS(14_Cercania!$C$7-M125)/2)^2))+ROW()*0.000000001,"")</f>
        <v/>
      </c>
    </row>
    <row r="126" customFormat="false" ht="15" hidden="false" customHeight="false" outlineLevel="0" collapsed="false">
      <c r="B126" s="45" t="n">
        <v>120</v>
      </c>
      <c r="C126" s="91"/>
      <c r="D126" s="91"/>
      <c r="E126" s="92"/>
      <c r="F126" s="92"/>
      <c r="G126" s="91"/>
      <c r="H126" s="91"/>
      <c r="I126" s="91"/>
      <c r="J126" s="93" t="s">
        <v>2490</v>
      </c>
      <c r="K126" s="91"/>
      <c r="L126" s="94"/>
      <c r="M126" s="94"/>
      <c r="N126" s="91"/>
      <c r="O126" s="35" t="str">
        <f aca="false">HYPERLINK(IF(AND(ISNUMBER(L126),ISNUMBER(M126)),"https://www.google.com/maps/search/?api=1&amp;query="&amp;L126&amp;","&amp;M126,"https://www.google.com/maps/search/?api=1&amp;query="&amp;SUBSTITUTE(SUBSTITUTE(SUBSTITUTE(K126&amp;", "&amp;I126&amp;", Puno, Peru"," ","+"),"&amp;","y"),"#","")),"Ver en mapa")</f>
        <v>Ver en mapa</v>
      </c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5" t="str">
        <f aca="false">IF(AND(ISNUMBER(L126),ISNUMBER(M126),ISNUMBER(14_Cercania!$C$6),ISNUMBER(14_Cercania!$C$7),AC126&lt;&gt;"Rechazado",AC126&lt;&gt;"Inactivo"),6371*2*ASIN(SQRT(SIN(RADIANS(14_Cercania!$C$6-L126)/2)^2+COS(RADIANS(L126))*COS(RADIANS(14_Cercania!$C$6))*SIN(RADIANS(14_Cercania!$C$7-M126)/2)^2))+ROW()*0.000000001,"")</f>
        <v/>
      </c>
    </row>
    <row r="127" customFormat="false" ht="15" hidden="false" customHeight="false" outlineLevel="0" collapsed="false">
      <c r="B127" s="45" t="n">
        <v>121</v>
      </c>
      <c r="C127" s="91"/>
      <c r="D127" s="91"/>
      <c r="E127" s="92"/>
      <c r="F127" s="92"/>
      <c r="G127" s="91"/>
      <c r="H127" s="91"/>
      <c r="I127" s="91"/>
      <c r="J127" s="93" t="s">
        <v>2490</v>
      </c>
      <c r="K127" s="91"/>
      <c r="L127" s="94"/>
      <c r="M127" s="94"/>
      <c r="N127" s="91"/>
      <c r="O127" s="35" t="str">
        <f aca="false">HYPERLINK(IF(AND(ISNUMBER(L127),ISNUMBER(M127)),"https://www.google.com/maps/search/?api=1&amp;query="&amp;L127&amp;","&amp;M127,"https://www.google.com/maps/search/?api=1&amp;query="&amp;SUBSTITUTE(SUBSTITUTE(SUBSTITUTE(K127&amp;", "&amp;I127&amp;", Puno, Peru"," ","+"),"&amp;","y"),"#","")),"Ver en mapa")</f>
        <v>Ver en mapa</v>
      </c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5" t="str">
        <f aca="false">IF(AND(ISNUMBER(L127),ISNUMBER(M127),ISNUMBER(14_Cercania!$C$6),ISNUMBER(14_Cercania!$C$7),AC127&lt;&gt;"Rechazado",AC127&lt;&gt;"Inactivo"),6371*2*ASIN(SQRT(SIN(RADIANS(14_Cercania!$C$6-L127)/2)^2+COS(RADIANS(L127))*COS(RADIANS(14_Cercania!$C$6))*SIN(RADIANS(14_Cercania!$C$7-M127)/2)^2))+ROW()*0.000000001,"")</f>
        <v/>
      </c>
    </row>
    <row r="128" customFormat="false" ht="15" hidden="false" customHeight="false" outlineLevel="0" collapsed="false">
      <c r="B128" s="45" t="n">
        <v>122</v>
      </c>
      <c r="C128" s="91"/>
      <c r="D128" s="91"/>
      <c r="E128" s="92"/>
      <c r="F128" s="92"/>
      <c r="G128" s="91"/>
      <c r="H128" s="91"/>
      <c r="I128" s="91"/>
      <c r="J128" s="93" t="s">
        <v>2490</v>
      </c>
      <c r="K128" s="91"/>
      <c r="L128" s="94"/>
      <c r="M128" s="94"/>
      <c r="N128" s="91"/>
      <c r="O128" s="35" t="str">
        <f aca="false">HYPERLINK(IF(AND(ISNUMBER(L128),ISNUMBER(M128)),"https://www.google.com/maps/search/?api=1&amp;query="&amp;L128&amp;","&amp;M128,"https://www.google.com/maps/search/?api=1&amp;query="&amp;SUBSTITUTE(SUBSTITUTE(SUBSTITUTE(K128&amp;", "&amp;I128&amp;", Puno, Peru"," ","+"),"&amp;","y"),"#","")),"Ver en mapa")</f>
        <v>Ver en mapa</v>
      </c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 t="str">
        <f aca="false">IF(AND(ISNUMBER(L128),ISNUMBER(M128),ISNUMBER(14_Cercania!$C$6),ISNUMBER(14_Cercania!$C$7),AC128&lt;&gt;"Rechazado",AC128&lt;&gt;"Inactivo"),6371*2*ASIN(SQRT(SIN(RADIANS(14_Cercania!$C$6-L128)/2)^2+COS(RADIANS(L128))*COS(RADIANS(14_Cercania!$C$6))*SIN(RADIANS(14_Cercania!$C$7-M128)/2)^2))+ROW()*0.000000001,"")</f>
        <v/>
      </c>
    </row>
    <row r="129" customFormat="false" ht="15" hidden="false" customHeight="false" outlineLevel="0" collapsed="false">
      <c r="B129" s="45" t="n">
        <v>123</v>
      </c>
      <c r="C129" s="91"/>
      <c r="D129" s="91"/>
      <c r="E129" s="92"/>
      <c r="F129" s="92"/>
      <c r="G129" s="91"/>
      <c r="H129" s="91"/>
      <c r="I129" s="91"/>
      <c r="J129" s="93" t="s">
        <v>2490</v>
      </c>
      <c r="K129" s="91"/>
      <c r="L129" s="94"/>
      <c r="M129" s="94"/>
      <c r="N129" s="91"/>
      <c r="O129" s="35" t="str">
        <f aca="false">HYPERLINK(IF(AND(ISNUMBER(L129),ISNUMBER(M129)),"https://www.google.com/maps/search/?api=1&amp;query="&amp;L129&amp;","&amp;M129,"https://www.google.com/maps/search/?api=1&amp;query="&amp;SUBSTITUTE(SUBSTITUTE(SUBSTITUTE(K129&amp;", "&amp;I129&amp;", Puno, Peru"," ","+"),"&amp;","y"),"#","")),"Ver en mapa")</f>
        <v>Ver en mapa</v>
      </c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 t="str">
        <f aca="false">IF(AND(ISNUMBER(L129),ISNUMBER(M129),ISNUMBER(14_Cercania!$C$6),ISNUMBER(14_Cercania!$C$7),AC129&lt;&gt;"Rechazado",AC129&lt;&gt;"Inactivo"),6371*2*ASIN(SQRT(SIN(RADIANS(14_Cercania!$C$6-L129)/2)^2+COS(RADIANS(L129))*COS(RADIANS(14_Cercania!$C$6))*SIN(RADIANS(14_Cercania!$C$7-M129)/2)^2))+ROW()*0.000000001,"")</f>
        <v/>
      </c>
    </row>
    <row r="130" customFormat="false" ht="15" hidden="false" customHeight="false" outlineLevel="0" collapsed="false">
      <c r="B130" s="45" t="n">
        <v>124</v>
      </c>
      <c r="C130" s="91"/>
      <c r="D130" s="91"/>
      <c r="E130" s="92"/>
      <c r="F130" s="92"/>
      <c r="G130" s="91"/>
      <c r="H130" s="91"/>
      <c r="I130" s="91"/>
      <c r="J130" s="93" t="s">
        <v>2490</v>
      </c>
      <c r="K130" s="91"/>
      <c r="L130" s="94"/>
      <c r="M130" s="94"/>
      <c r="N130" s="91"/>
      <c r="O130" s="35" t="str">
        <f aca="false">HYPERLINK(IF(AND(ISNUMBER(L130),ISNUMBER(M130)),"https://www.google.com/maps/search/?api=1&amp;query="&amp;L130&amp;","&amp;M130,"https://www.google.com/maps/search/?api=1&amp;query="&amp;SUBSTITUTE(SUBSTITUTE(SUBSTITUTE(K130&amp;", "&amp;I130&amp;", Puno, Peru"," ","+"),"&amp;","y"),"#","")),"Ver en mapa")</f>
        <v>Ver en mapa</v>
      </c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5" t="str">
        <f aca="false">IF(AND(ISNUMBER(L130),ISNUMBER(M130),ISNUMBER(14_Cercania!$C$6),ISNUMBER(14_Cercania!$C$7),AC130&lt;&gt;"Rechazado",AC130&lt;&gt;"Inactivo"),6371*2*ASIN(SQRT(SIN(RADIANS(14_Cercania!$C$6-L130)/2)^2+COS(RADIANS(L130))*COS(RADIANS(14_Cercania!$C$6))*SIN(RADIANS(14_Cercania!$C$7-M130)/2)^2))+ROW()*0.000000001,"")</f>
        <v/>
      </c>
    </row>
    <row r="131" customFormat="false" ht="15" hidden="false" customHeight="false" outlineLevel="0" collapsed="false">
      <c r="B131" s="45" t="n">
        <v>125</v>
      </c>
      <c r="C131" s="91"/>
      <c r="D131" s="91"/>
      <c r="E131" s="92"/>
      <c r="F131" s="92"/>
      <c r="G131" s="91"/>
      <c r="H131" s="91"/>
      <c r="I131" s="91"/>
      <c r="J131" s="93" t="s">
        <v>2490</v>
      </c>
      <c r="K131" s="91"/>
      <c r="L131" s="94"/>
      <c r="M131" s="94"/>
      <c r="N131" s="91"/>
      <c r="O131" s="35" t="str">
        <f aca="false">HYPERLINK(IF(AND(ISNUMBER(L131),ISNUMBER(M131)),"https://www.google.com/maps/search/?api=1&amp;query="&amp;L131&amp;","&amp;M131,"https://www.google.com/maps/search/?api=1&amp;query="&amp;SUBSTITUTE(SUBSTITUTE(SUBSTITUTE(K131&amp;", "&amp;I131&amp;", Puno, Peru"," ","+"),"&amp;","y"),"#","")),"Ver en mapa")</f>
        <v>Ver en mapa</v>
      </c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5" t="str">
        <f aca="false">IF(AND(ISNUMBER(L131),ISNUMBER(M131),ISNUMBER(14_Cercania!$C$6),ISNUMBER(14_Cercania!$C$7),AC131&lt;&gt;"Rechazado",AC131&lt;&gt;"Inactivo"),6371*2*ASIN(SQRT(SIN(RADIANS(14_Cercania!$C$6-L131)/2)^2+COS(RADIANS(L131))*COS(RADIANS(14_Cercania!$C$6))*SIN(RADIANS(14_Cercania!$C$7-M131)/2)^2))+ROW()*0.000000001,"")</f>
        <v/>
      </c>
    </row>
    <row r="132" customFormat="false" ht="15" hidden="false" customHeight="false" outlineLevel="0" collapsed="false">
      <c r="B132" s="45" t="n">
        <v>126</v>
      </c>
      <c r="C132" s="91"/>
      <c r="D132" s="91"/>
      <c r="E132" s="92"/>
      <c r="F132" s="92"/>
      <c r="G132" s="91"/>
      <c r="H132" s="91"/>
      <c r="I132" s="91"/>
      <c r="J132" s="93" t="s">
        <v>2490</v>
      </c>
      <c r="K132" s="91"/>
      <c r="L132" s="94"/>
      <c r="M132" s="94"/>
      <c r="N132" s="91"/>
      <c r="O132" s="35" t="str">
        <f aca="false">HYPERLINK(IF(AND(ISNUMBER(L132),ISNUMBER(M132)),"https://www.google.com/maps/search/?api=1&amp;query="&amp;L132&amp;","&amp;M132,"https://www.google.com/maps/search/?api=1&amp;query="&amp;SUBSTITUTE(SUBSTITUTE(SUBSTITUTE(K132&amp;", "&amp;I132&amp;", Puno, Peru"," ","+"),"&amp;","y"),"#","")),"Ver en mapa")</f>
        <v>Ver en mapa</v>
      </c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5" t="str">
        <f aca="false">IF(AND(ISNUMBER(L132),ISNUMBER(M132),ISNUMBER(14_Cercania!$C$6),ISNUMBER(14_Cercania!$C$7),AC132&lt;&gt;"Rechazado",AC132&lt;&gt;"Inactivo"),6371*2*ASIN(SQRT(SIN(RADIANS(14_Cercania!$C$6-L132)/2)^2+COS(RADIANS(L132))*COS(RADIANS(14_Cercania!$C$6))*SIN(RADIANS(14_Cercania!$C$7-M132)/2)^2))+ROW()*0.000000001,"")</f>
        <v/>
      </c>
    </row>
    <row r="133" customFormat="false" ht="15" hidden="false" customHeight="false" outlineLevel="0" collapsed="false">
      <c r="B133" s="45" t="n">
        <v>127</v>
      </c>
      <c r="C133" s="91"/>
      <c r="D133" s="91"/>
      <c r="E133" s="92"/>
      <c r="F133" s="92"/>
      <c r="G133" s="91"/>
      <c r="H133" s="91"/>
      <c r="I133" s="91"/>
      <c r="J133" s="93" t="s">
        <v>2490</v>
      </c>
      <c r="K133" s="91"/>
      <c r="L133" s="94"/>
      <c r="M133" s="94"/>
      <c r="N133" s="91"/>
      <c r="O133" s="35" t="str">
        <f aca="false">HYPERLINK(IF(AND(ISNUMBER(L133),ISNUMBER(M133)),"https://www.google.com/maps/search/?api=1&amp;query="&amp;L133&amp;","&amp;M133,"https://www.google.com/maps/search/?api=1&amp;query="&amp;SUBSTITUTE(SUBSTITUTE(SUBSTITUTE(K133&amp;", "&amp;I133&amp;", Puno, Peru"," ","+"),"&amp;","y"),"#","")),"Ver en mapa")</f>
        <v>Ver en mapa</v>
      </c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5" t="str">
        <f aca="false">IF(AND(ISNUMBER(L133),ISNUMBER(M133),ISNUMBER(14_Cercania!$C$6),ISNUMBER(14_Cercania!$C$7),AC133&lt;&gt;"Rechazado",AC133&lt;&gt;"Inactivo"),6371*2*ASIN(SQRT(SIN(RADIANS(14_Cercania!$C$6-L133)/2)^2+COS(RADIANS(L133))*COS(RADIANS(14_Cercania!$C$6))*SIN(RADIANS(14_Cercania!$C$7-M133)/2)^2))+ROW()*0.000000001,"")</f>
        <v/>
      </c>
    </row>
    <row r="134" customFormat="false" ht="15" hidden="false" customHeight="false" outlineLevel="0" collapsed="false">
      <c r="B134" s="45" t="n">
        <v>128</v>
      </c>
      <c r="C134" s="91"/>
      <c r="D134" s="91"/>
      <c r="E134" s="92"/>
      <c r="F134" s="92"/>
      <c r="G134" s="91"/>
      <c r="H134" s="91"/>
      <c r="I134" s="91"/>
      <c r="J134" s="93" t="s">
        <v>2490</v>
      </c>
      <c r="K134" s="91"/>
      <c r="L134" s="94"/>
      <c r="M134" s="94"/>
      <c r="N134" s="91"/>
      <c r="O134" s="35" t="str">
        <f aca="false">HYPERLINK(IF(AND(ISNUMBER(L134),ISNUMBER(M134)),"https://www.google.com/maps/search/?api=1&amp;query="&amp;L134&amp;","&amp;M134,"https://www.google.com/maps/search/?api=1&amp;query="&amp;SUBSTITUTE(SUBSTITUTE(SUBSTITUTE(K134&amp;", "&amp;I134&amp;", Puno, Peru"," ","+"),"&amp;","y"),"#","")),"Ver en mapa")</f>
        <v>Ver en mapa</v>
      </c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5" t="str">
        <f aca="false">IF(AND(ISNUMBER(L134),ISNUMBER(M134),ISNUMBER(14_Cercania!$C$6),ISNUMBER(14_Cercania!$C$7),AC134&lt;&gt;"Rechazado",AC134&lt;&gt;"Inactivo"),6371*2*ASIN(SQRT(SIN(RADIANS(14_Cercania!$C$6-L134)/2)^2+COS(RADIANS(L134))*COS(RADIANS(14_Cercania!$C$6))*SIN(RADIANS(14_Cercania!$C$7-M134)/2)^2))+ROW()*0.000000001,"")</f>
        <v/>
      </c>
    </row>
    <row r="135" customFormat="false" ht="15" hidden="false" customHeight="false" outlineLevel="0" collapsed="false">
      <c r="B135" s="45" t="n">
        <v>129</v>
      </c>
      <c r="C135" s="91"/>
      <c r="D135" s="91"/>
      <c r="E135" s="92"/>
      <c r="F135" s="92"/>
      <c r="G135" s="91"/>
      <c r="H135" s="91"/>
      <c r="I135" s="91"/>
      <c r="J135" s="93" t="s">
        <v>2490</v>
      </c>
      <c r="K135" s="91"/>
      <c r="L135" s="94"/>
      <c r="M135" s="94"/>
      <c r="N135" s="91"/>
      <c r="O135" s="35" t="str">
        <f aca="false">HYPERLINK(IF(AND(ISNUMBER(L135),ISNUMBER(M135)),"https://www.google.com/maps/search/?api=1&amp;query="&amp;L135&amp;","&amp;M135,"https://www.google.com/maps/search/?api=1&amp;query="&amp;SUBSTITUTE(SUBSTITUTE(SUBSTITUTE(K135&amp;", "&amp;I135&amp;", Puno, Peru"," ","+"),"&amp;","y"),"#","")),"Ver en mapa")</f>
        <v>Ver en mapa</v>
      </c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5" t="str">
        <f aca="false">IF(AND(ISNUMBER(L135),ISNUMBER(M135),ISNUMBER(14_Cercania!$C$6),ISNUMBER(14_Cercania!$C$7),AC135&lt;&gt;"Rechazado",AC135&lt;&gt;"Inactivo"),6371*2*ASIN(SQRT(SIN(RADIANS(14_Cercania!$C$6-L135)/2)^2+COS(RADIANS(L135))*COS(RADIANS(14_Cercania!$C$6))*SIN(RADIANS(14_Cercania!$C$7-M135)/2)^2))+ROW()*0.000000001,"")</f>
        <v/>
      </c>
    </row>
    <row r="136" customFormat="false" ht="15" hidden="false" customHeight="false" outlineLevel="0" collapsed="false">
      <c r="B136" s="45" t="n">
        <v>130</v>
      </c>
      <c r="C136" s="91"/>
      <c r="D136" s="91"/>
      <c r="E136" s="92"/>
      <c r="F136" s="92"/>
      <c r="G136" s="91"/>
      <c r="H136" s="91"/>
      <c r="I136" s="91"/>
      <c r="J136" s="93" t="s">
        <v>2490</v>
      </c>
      <c r="K136" s="91"/>
      <c r="L136" s="94"/>
      <c r="M136" s="94"/>
      <c r="N136" s="91"/>
      <c r="O136" s="35" t="str">
        <f aca="false">HYPERLINK(IF(AND(ISNUMBER(L136),ISNUMBER(M136)),"https://www.google.com/maps/search/?api=1&amp;query="&amp;L136&amp;","&amp;M136,"https://www.google.com/maps/search/?api=1&amp;query="&amp;SUBSTITUTE(SUBSTITUTE(SUBSTITUTE(K136&amp;", "&amp;I136&amp;", Puno, Peru"," ","+"),"&amp;","y"),"#","")),"Ver en mapa")</f>
        <v>Ver en mapa</v>
      </c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5" t="str">
        <f aca="false">IF(AND(ISNUMBER(L136),ISNUMBER(M136),ISNUMBER(14_Cercania!$C$6),ISNUMBER(14_Cercania!$C$7),AC136&lt;&gt;"Rechazado",AC136&lt;&gt;"Inactivo"),6371*2*ASIN(SQRT(SIN(RADIANS(14_Cercania!$C$6-L136)/2)^2+COS(RADIANS(L136))*COS(RADIANS(14_Cercania!$C$6))*SIN(RADIANS(14_Cercania!$C$7-M136)/2)^2))+ROW()*0.000000001,"")</f>
        <v/>
      </c>
    </row>
    <row r="137" customFormat="false" ht="15" hidden="false" customHeight="false" outlineLevel="0" collapsed="false">
      <c r="B137" s="45" t="n">
        <v>131</v>
      </c>
      <c r="C137" s="91"/>
      <c r="D137" s="91"/>
      <c r="E137" s="92"/>
      <c r="F137" s="92"/>
      <c r="G137" s="91"/>
      <c r="H137" s="91"/>
      <c r="I137" s="91"/>
      <c r="J137" s="93" t="s">
        <v>2490</v>
      </c>
      <c r="K137" s="91"/>
      <c r="L137" s="94"/>
      <c r="M137" s="94"/>
      <c r="N137" s="91"/>
      <c r="O137" s="35" t="str">
        <f aca="false">HYPERLINK(IF(AND(ISNUMBER(L137),ISNUMBER(M137)),"https://www.google.com/maps/search/?api=1&amp;query="&amp;L137&amp;","&amp;M137,"https://www.google.com/maps/search/?api=1&amp;query="&amp;SUBSTITUTE(SUBSTITUTE(SUBSTITUTE(K137&amp;", "&amp;I137&amp;", Puno, Peru"," ","+"),"&amp;","y"),"#","")),"Ver en mapa")</f>
        <v>Ver en mapa</v>
      </c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5" t="str">
        <f aca="false">IF(AND(ISNUMBER(L137),ISNUMBER(M137),ISNUMBER(14_Cercania!$C$6),ISNUMBER(14_Cercania!$C$7),AC137&lt;&gt;"Rechazado",AC137&lt;&gt;"Inactivo"),6371*2*ASIN(SQRT(SIN(RADIANS(14_Cercania!$C$6-L137)/2)^2+COS(RADIANS(L137))*COS(RADIANS(14_Cercania!$C$6))*SIN(RADIANS(14_Cercania!$C$7-M137)/2)^2))+ROW()*0.000000001,"")</f>
        <v/>
      </c>
    </row>
    <row r="138" customFormat="false" ht="15" hidden="false" customHeight="false" outlineLevel="0" collapsed="false">
      <c r="B138" s="45" t="n">
        <v>132</v>
      </c>
      <c r="C138" s="91"/>
      <c r="D138" s="91"/>
      <c r="E138" s="92"/>
      <c r="F138" s="92"/>
      <c r="G138" s="91"/>
      <c r="H138" s="91"/>
      <c r="I138" s="91"/>
      <c r="J138" s="93" t="s">
        <v>2490</v>
      </c>
      <c r="K138" s="91"/>
      <c r="L138" s="94"/>
      <c r="M138" s="94"/>
      <c r="N138" s="91"/>
      <c r="O138" s="35" t="str">
        <f aca="false">HYPERLINK(IF(AND(ISNUMBER(L138),ISNUMBER(M138)),"https://www.google.com/maps/search/?api=1&amp;query="&amp;L138&amp;","&amp;M138,"https://www.google.com/maps/search/?api=1&amp;query="&amp;SUBSTITUTE(SUBSTITUTE(SUBSTITUTE(K138&amp;", "&amp;I138&amp;", Puno, Peru"," ","+"),"&amp;","y"),"#","")),"Ver en mapa")</f>
        <v>Ver en mapa</v>
      </c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5" t="str">
        <f aca="false">IF(AND(ISNUMBER(L138),ISNUMBER(M138),ISNUMBER(14_Cercania!$C$6),ISNUMBER(14_Cercania!$C$7),AC138&lt;&gt;"Rechazado",AC138&lt;&gt;"Inactivo"),6371*2*ASIN(SQRT(SIN(RADIANS(14_Cercania!$C$6-L138)/2)^2+COS(RADIANS(L138))*COS(RADIANS(14_Cercania!$C$6))*SIN(RADIANS(14_Cercania!$C$7-M138)/2)^2))+ROW()*0.000000001,"")</f>
        <v/>
      </c>
    </row>
    <row r="139" customFormat="false" ht="15" hidden="false" customHeight="false" outlineLevel="0" collapsed="false">
      <c r="B139" s="45" t="n">
        <v>133</v>
      </c>
      <c r="C139" s="91"/>
      <c r="D139" s="91"/>
      <c r="E139" s="92"/>
      <c r="F139" s="92"/>
      <c r="G139" s="91"/>
      <c r="H139" s="91"/>
      <c r="I139" s="91"/>
      <c r="J139" s="93" t="s">
        <v>2490</v>
      </c>
      <c r="K139" s="91"/>
      <c r="L139" s="94"/>
      <c r="M139" s="94"/>
      <c r="N139" s="91"/>
      <c r="O139" s="35" t="str">
        <f aca="false">HYPERLINK(IF(AND(ISNUMBER(L139),ISNUMBER(M139)),"https://www.google.com/maps/search/?api=1&amp;query="&amp;L139&amp;","&amp;M139,"https://www.google.com/maps/search/?api=1&amp;query="&amp;SUBSTITUTE(SUBSTITUTE(SUBSTITUTE(K139&amp;", "&amp;I139&amp;", Puno, Peru"," ","+"),"&amp;","y"),"#","")),"Ver en mapa")</f>
        <v>Ver en mapa</v>
      </c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5" t="str">
        <f aca="false">IF(AND(ISNUMBER(L139),ISNUMBER(M139),ISNUMBER(14_Cercania!$C$6),ISNUMBER(14_Cercania!$C$7),AC139&lt;&gt;"Rechazado",AC139&lt;&gt;"Inactivo"),6371*2*ASIN(SQRT(SIN(RADIANS(14_Cercania!$C$6-L139)/2)^2+COS(RADIANS(L139))*COS(RADIANS(14_Cercania!$C$6))*SIN(RADIANS(14_Cercania!$C$7-M139)/2)^2))+ROW()*0.000000001,"")</f>
        <v/>
      </c>
    </row>
    <row r="140" customFormat="false" ht="15" hidden="false" customHeight="false" outlineLevel="0" collapsed="false">
      <c r="B140" s="45" t="n">
        <v>134</v>
      </c>
      <c r="C140" s="91"/>
      <c r="D140" s="91"/>
      <c r="E140" s="92"/>
      <c r="F140" s="92"/>
      <c r="G140" s="91"/>
      <c r="H140" s="91"/>
      <c r="I140" s="91"/>
      <c r="J140" s="93" t="s">
        <v>2490</v>
      </c>
      <c r="K140" s="91"/>
      <c r="L140" s="94"/>
      <c r="M140" s="94"/>
      <c r="N140" s="91"/>
      <c r="O140" s="35" t="str">
        <f aca="false">HYPERLINK(IF(AND(ISNUMBER(L140),ISNUMBER(M140)),"https://www.google.com/maps/search/?api=1&amp;query="&amp;L140&amp;","&amp;M140,"https://www.google.com/maps/search/?api=1&amp;query="&amp;SUBSTITUTE(SUBSTITUTE(SUBSTITUTE(K140&amp;", "&amp;I140&amp;", Puno, Peru"," ","+"),"&amp;","y"),"#","")),"Ver en mapa")</f>
        <v>Ver en mapa</v>
      </c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5" t="str">
        <f aca="false">IF(AND(ISNUMBER(L140),ISNUMBER(M140),ISNUMBER(14_Cercania!$C$6),ISNUMBER(14_Cercania!$C$7),AC140&lt;&gt;"Rechazado",AC140&lt;&gt;"Inactivo"),6371*2*ASIN(SQRT(SIN(RADIANS(14_Cercania!$C$6-L140)/2)^2+COS(RADIANS(L140))*COS(RADIANS(14_Cercania!$C$6))*SIN(RADIANS(14_Cercania!$C$7-M140)/2)^2))+ROW()*0.000000001,"")</f>
        <v/>
      </c>
    </row>
    <row r="141" customFormat="false" ht="15" hidden="false" customHeight="false" outlineLevel="0" collapsed="false">
      <c r="B141" s="45" t="n">
        <v>135</v>
      </c>
      <c r="C141" s="91"/>
      <c r="D141" s="91"/>
      <c r="E141" s="92"/>
      <c r="F141" s="92"/>
      <c r="G141" s="91"/>
      <c r="H141" s="91"/>
      <c r="I141" s="91"/>
      <c r="J141" s="93" t="s">
        <v>2490</v>
      </c>
      <c r="K141" s="91"/>
      <c r="L141" s="94"/>
      <c r="M141" s="94"/>
      <c r="N141" s="91"/>
      <c r="O141" s="35" t="str">
        <f aca="false">HYPERLINK(IF(AND(ISNUMBER(L141),ISNUMBER(M141)),"https://www.google.com/maps/search/?api=1&amp;query="&amp;L141&amp;","&amp;M141,"https://www.google.com/maps/search/?api=1&amp;query="&amp;SUBSTITUTE(SUBSTITUTE(SUBSTITUTE(K141&amp;", "&amp;I141&amp;", Puno, Peru"," ","+"),"&amp;","y"),"#","")),"Ver en mapa")</f>
        <v>Ver en mapa</v>
      </c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5" t="str">
        <f aca="false">IF(AND(ISNUMBER(L141),ISNUMBER(M141),ISNUMBER(14_Cercania!$C$6),ISNUMBER(14_Cercania!$C$7),AC141&lt;&gt;"Rechazado",AC141&lt;&gt;"Inactivo"),6371*2*ASIN(SQRT(SIN(RADIANS(14_Cercania!$C$6-L141)/2)^2+COS(RADIANS(L141))*COS(RADIANS(14_Cercania!$C$6))*SIN(RADIANS(14_Cercania!$C$7-M141)/2)^2))+ROW()*0.000000001,"")</f>
        <v/>
      </c>
    </row>
    <row r="142" customFormat="false" ht="15" hidden="false" customHeight="false" outlineLevel="0" collapsed="false">
      <c r="B142" s="45" t="n">
        <v>136</v>
      </c>
      <c r="C142" s="91"/>
      <c r="D142" s="91"/>
      <c r="E142" s="92"/>
      <c r="F142" s="92"/>
      <c r="G142" s="91"/>
      <c r="H142" s="91"/>
      <c r="I142" s="91"/>
      <c r="J142" s="93" t="s">
        <v>2490</v>
      </c>
      <c r="K142" s="91"/>
      <c r="L142" s="94"/>
      <c r="M142" s="94"/>
      <c r="N142" s="91"/>
      <c r="O142" s="35" t="str">
        <f aca="false">HYPERLINK(IF(AND(ISNUMBER(L142),ISNUMBER(M142)),"https://www.google.com/maps/search/?api=1&amp;query="&amp;L142&amp;","&amp;M142,"https://www.google.com/maps/search/?api=1&amp;query="&amp;SUBSTITUTE(SUBSTITUTE(SUBSTITUTE(K142&amp;", "&amp;I142&amp;", Puno, Peru"," ","+"),"&amp;","y"),"#","")),"Ver en mapa")</f>
        <v>Ver en mapa</v>
      </c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5" t="str">
        <f aca="false">IF(AND(ISNUMBER(L142),ISNUMBER(M142),ISNUMBER(14_Cercania!$C$6),ISNUMBER(14_Cercania!$C$7),AC142&lt;&gt;"Rechazado",AC142&lt;&gt;"Inactivo"),6371*2*ASIN(SQRT(SIN(RADIANS(14_Cercania!$C$6-L142)/2)^2+COS(RADIANS(L142))*COS(RADIANS(14_Cercania!$C$6))*SIN(RADIANS(14_Cercania!$C$7-M142)/2)^2))+ROW()*0.000000001,"")</f>
        <v/>
      </c>
    </row>
    <row r="143" customFormat="false" ht="15" hidden="false" customHeight="false" outlineLevel="0" collapsed="false">
      <c r="B143" s="45" t="n">
        <v>137</v>
      </c>
      <c r="C143" s="91"/>
      <c r="D143" s="91"/>
      <c r="E143" s="92"/>
      <c r="F143" s="92"/>
      <c r="G143" s="91"/>
      <c r="H143" s="91"/>
      <c r="I143" s="91"/>
      <c r="J143" s="93" t="s">
        <v>2490</v>
      </c>
      <c r="K143" s="91"/>
      <c r="L143" s="94"/>
      <c r="M143" s="94"/>
      <c r="N143" s="91"/>
      <c r="O143" s="35" t="str">
        <f aca="false">HYPERLINK(IF(AND(ISNUMBER(L143),ISNUMBER(M143)),"https://www.google.com/maps/search/?api=1&amp;query="&amp;L143&amp;","&amp;M143,"https://www.google.com/maps/search/?api=1&amp;query="&amp;SUBSTITUTE(SUBSTITUTE(SUBSTITUTE(K143&amp;", "&amp;I143&amp;", Puno, Peru"," ","+"),"&amp;","y"),"#","")),"Ver en mapa")</f>
        <v>Ver en mapa</v>
      </c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5" t="str">
        <f aca="false">IF(AND(ISNUMBER(L143),ISNUMBER(M143),ISNUMBER(14_Cercania!$C$6),ISNUMBER(14_Cercania!$C$7),AC143&lt;&gt;"Rechazado",AC143&lt;&gt;"Inactivo"),6371*2*ASIN(SQRT(SIN(RADIANS(14_Cercania!$C$6-L143)/2)^2+COS(RADIANS(L143))*COS(RADIANS(14_Cercania!$C$6))*SIN(RADIANS(14_Cercania!$C$7-M143)/2)^2))+ROW()*0.000000001,"")</f>
        <v/>
      </c>
    </row>
    <row r="144" customFormat="false" ht="15" hidden="false" customHeight="false" outlineLevel="0" collapsed="false">
      <c r="B144" s="45" t="n">
        <v>138</v>
      </c>
      <c r="C144" s="91"/>
      <c r="D144" s="91"/>
      <c r="E144" s="92"/>
      <c r="F144" s="92"/>
      <c r="G144" s="91"/>
      <c r="H144" s="91"/>
      <c r="I144" s="91"/>
      <c r="J144" s="93" t="s">
        <v>2490</v>
      </c>
      <c r="K144" s="91"/>
      <c r="L144" s="94"/>
      <c r="M144" s="94"/>
      <c r="N144" s="91"/>
      <c r="O144" s="35" t="str">
        <f aca="false">HYPERLINK(IF(AND(ISNUMBER(L144),ISNUMBER(M144)),"https://www.google.com/maps/search/?api=1&amp;query="&amp;L144&amp;","&amp;M144,"https://www.google.com/maps/search/?api=1&amp;query="&amp;SUBSTITUTE(SUBSTITUTE(SUBSTITUTE(K144&amp;", "&amp;I144&amp;", Puno, Peru"," ","+"),"&amp;","y"),"#","")),"Ver en mapa")</f>
        <v>Ver en mapa</v>
      </c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5" t="str">
        <f aca="false">IF(AND(ISNUMBER(L144),ISNUMBER(M144),ISNUMBER(14_Cercania!$C$6),ISNUMBER(14_Cercania!$C$7),AC144&lt;&gt;"Rechazado",AC144&lt;&gt;"Inactivo"),6371*2*ASIN(SQRT(SIN(RADIANS(14_Cercania!$C$6-L144)/2)^2+COS(RADIANS(L144))*COS(RADIANS(14_Cercania!$C$6))*SIN(RADIANS(14_Cercania!$C$7-M144)/2)^2))+ROW()*0.000000001,"")</f>
        <v/>
      </c>
    </row>
    <row r="145" customFormat="false" ht="15" hidden="false" customHeight="false" outlineLevel="0" collapsed="false">
      <c r="B145" s="45" t="n">
        <v>139</v>
      </c>
      <c r="C145" s="91"/>
      <c r="D145" s="91"/>
      <c r="E145" s="92"/>
      <c r="F145" s="92"/>
      <c r="G145" s="91"/>
      <c r="H145" s="91"/>
      <c r="I145" s="91"/>
      <c r="J145" s="93" t="s">
        <v>2490</v>
      </c>
      <c r="K145" s="91"/>
      <c r="L145" s="94"/>
      <c r="M145" s="94"/>
      <c r="N145" s="91"/>
      <c r="O145" s="35" t="str">
        <f aca="false">HYPERLINK(IF(AND(ISNUMBER(L145),ISNUMBER(M145)),"https://www.google.com/maps/search/?api=1&amp;query="&amp;L145&amp;","&amp;M145,"https://www.google.com/maps/search/?api=1&amp;query="&amp;SUBSTITUTE(SUBSTITUTE(SUBSTITUTE(K145&amp;", "&amp;I145&amp;", Puno, Peru"," ","+"),"&amp;","y"),"#","")),"Ver en mapa")</f>
        <v>Ver en mapa</v>
      </c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5" t="str">
        <f aca="false">IF(AND(ISNUMBER(L145),ISNUMBER(M145),ISNUMBER(14_Cercania!$C$6),ISNUMBER(14_Cercania!$C$7),AC145&lt;&gt;"Rechazado",AC145&lt;&gt;"Inactivo"),6371*2*ASIN(SQRT(SIN(RADIANS(14_Cercania!$C$6-L145)/2)^2+COS(RADIANS(L145))*COS(RADIANS(14_Cercania!$C$6))*SIN(RADIANS(14_Cercania!$C$7-M145)/2)^2))+ROW()*0.000000001,"")</f>
        <v/>
      </c>
    </row>
    <row r="146" customFormat="false" ht="15" hidden="false" customHeight="false" outlineLevel="0" collapsed="false">
      <c r="B146" s="45" t="n">
        <v>140</v>
      </c>
      <c r="C146" s="91"/>
      <c r="D146" s="91"/>
      <c r="E146" s="92"/>
      <c r="F146" s="92"/>
      <c r="G146" s="91"/>
      <c r="H146" s="91"/>
      <c r="I146" s="91"/>
      <c r="J146" s="93" t="s">
        <v>2490</v>
      </c>
      <c r="K146" s="91"/>
      <c r="L146" s="94"/>
      <c r="M146" s="94"/>
      <c r="N146" s="91"/>
      <c r="O146" s="35" t="str">
        <f aca="false">HYPERLINK(IF(AND(ISNUMBER(L146),ISNUMBER(M146)),"https://www.google.com/maps/search/?api=1&amp;query="&amp;L146&amp;","&amp;M146,"https://www.google.com/maps/search/?api=1&amp;query="&amp;SUBSTITUTE(SUBSTITUTE(SUBSTITUTE(K146&amp;", "&amp;I146&amp;", Puno, Peru"," ","+"),"&amp;","y"),"#","")),"Ver en mapa")</f>
        <v>Ver en mapa</v>
      </c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5" t="str">
        <f aca="false">IF(AND(ISNUMBER(L146),ISNUMBER(M146),ISNUMBER(14_Cercania!$C$6),ISNUMBER(14_Cercania!$C$7),AC146&lt;&gt;"Rechazado",AC146&lt;&gt;"Inactivo"),6371*2*ASIN(SQRT(SIN(RADIANS(14_Cercania!$C$6-L146)/2)^2+COS(RADIANS(L146))*COS(RADIANS(14_Cercania!$C$6))*SIN(RADIANS(14_Cercania!$C$7-M146)/2)^2))+ROW()*0.000000001,"")</f>
        <v/>
      </c>
    </row>
    <row r="147" customFormat="false" ht="15" hidden="false" customHeight="false" outlineLevel="0" collapsed="false">
      <c r="B147" s="45" t="n">
        <v>141</v>
      </c>
      <c r="C147" s="91"/>
      <c r="D147" s="91"/>
      <c r="E147" s="92"/>
      <c r="F147" s="92"/>
      <c r="G147" s="91"/>
      <c r="H147" s="91"/>
      <c r="I147" s="91"/>
      <c r="J147" s="93" t="s">
        <v>2490</v>
      </c>
      <c r="K147" s="91"/>
      <c r="L147" s="94"/>
      <c r="M147" s="94"/>
      <c r="N147" s="91"/>
      <c r="O147" s="35" t="str">
        <f aca="false">HYPERLINK(IF(AND(ISNUMBER(L147),ISNUMBER(M147)),"https://www.google.com/maps/search/?api=1&amp;query="&amp;L147&amp;","&amp;M147,"https://www.google.com/maps/search/?api=1&amp;query="&amp;SUBSTITUTE(SUBSTITUTE(SUBSTITUTE(K147&amp;", "&amp;I147&amp;", Puno, Peru"," ","+"),"&amp;","y"),"#","")),"Ver en mapa")</f>
        <v>Ver en mapa</v>
      </c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5" t="str">
        <f aca="false">IF(AND(ISNUMBER(L147),ISNUMBER(M147),ISNUMBER(14_Cercania!$C$6),ISNUMBER(14_Cercania!$C$7),AC147&lt;&gt;"Rechazado",AC147&lt;&gt;"Inactivo"),6371*2*ASIN(SQRT(SIN(RADIANS(14_Cercania!$C$6-L147)/2)^2+COS(RADIANS(L147))*COS(RADIANS(14_Cercania!$C$6))*SIN(RADIANS(14_Cercania!$C$7-M147)/2)^2))+ROW()*0.000000001,"")</f>
        <v/>
      </c>
    </row>
    <row r="148" customFormat="false" ht="15" hidden="false" customHeight="false" outlineLevel="0" collapsed="false">
      <c r="B148" s="45" t="n">
        <v>142</v>
      </c>
      <c r="C148" s="91"/>
      <c r="D148" s="91"/>
      <c r="E148" s="92"/>
      <c r="F148" s="92"/>
      <c r="G148" s="91"/>
      <c r="H148" s="91"/>
      <c r="I148" s="91"/>
      <c r="J148" s="93" t="s">
        <v>2490</v>
      </c>
      <c r="K148" s="91"/>
      <c r="L148" s="94"/>
      <c r="M148" s="94"/>
      <c r="N148" s="91"/>
      <c r="O148" s="35" t="str">
        <f aca="false">HYPERLINK(IF(AND(ISNUMBER(L148),ISNUMBER(M148)),"https://www.google.com/maps/search/?api=1&amp;query="&amp;L148&amp;","&amp;M148,"https://www.google.com/maps/search/?api=1&amp;query="&amp;SUBSTITUTE(SUBSTITUTE(SUBSTITUTE(K148&amp;", "&amp;I148&amp;", Puno, Peru"," ","+"),"&amp;","y"),"#","")),"Ver en mapa")</f>
        <v>Ver en mapa</v>
      </c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5" t="str">
        <f aca="false">IF(AND(ISNUMBER(L148),ISNUMBER(M148),ISNUMBER(14_Cercania!$C$6),ISNUMBER(14_Cercania!$C$7),AC148&lt;&gt;"Rechazado",AC148&lt;&gt;"Inactivo"),6371*2*ASIN(SQRT(SIN(RADIANS(14_Cercania!$C$6-L148)/2)^2+COS(RADIANS(L148))*COS(RADIANS(14_Cercania!$C$6))*SIN(RADIANS(14_Cercania!$C$7-M148)/2)^2))+ROW()*0.000000001,"")</f>
        <v/>
      </c>
    </row>
    <row r="149" customFormat="false" ht="15" hidden="false" customHeight="false" outlineLevel="0" collapsed="false">
      <c r="B149" s="45" t="n">
        <v>143</v>
      </c>
      <c r="C149" s="91"/>
      <c r="D149" s="91"/>
      <c r="E149" s="92"/>
      <c r="F149" s="92"/>
      <c r="G149" s="91"/>
      <c r="H149" s="91"/>
      <c r="I149" s="91"/>
      <c r="J149" s="93" t="s">
        <v>2490</v>
      </c>
      <c r="K149" s="91"/>
      <c r="L149" s="94"/>
      <c r="M149" s="94"/>
      <c r="N149" s="91"/>
      <c r="O149" s="35" t="str">
        <f aca="false">HYPERLINK(IF(AND(ISNUMBER(L149),ISNUMBER(M149)),"https://www.google.com/maps/search/?api=1&amp;query="&amp;L149&amp;","&amp;M149,"https://www.google.com/maps/search/?api=1&amp;query="&amp;SUBSTITUTE(SUBSTITUTE(SUBSTITUTE(K149&amp;", "&amp;I149&amp;", Puno, Peru"," ","+"),"&amp;","y"),"#","")),"Ver en mapa")</f>
        <v>Ver en mapa</v>
      </c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5" t="str">
        <f aca="false">IF(AND(ISNUMBER(L149),ISNUMBER(M149),ISNUMBER(14_Cercania!$C$6),ISNUMBER(14_Cercania!$C$7),AC149&lt;&gt;"Rechazado",AC149&lt;&gt;"Inactivo"),6371*2*ASIN(SQRT(SIN(RADIANS(14_Cercania!$C$6-L149)/2)^2+COS(RADIANS(L149))*COS(RADIANS(14_Cercania!$C$6))*SIN(RADIANS(14_Cercania!$C$7-M149)/2)^2))+ROW()*0.000000001,"")</f>
        <v/>
      </c>
    </row>
    <row r="150" customFormat="false" ht="15" hidden="false" customHeight="false" outlineLevel="0" collapsed="false">
      <c r="B150" s="45" t="n">
        <v>144</v>
      </c>
      <c r="C150" s="91"/>
      <c r="D150" s="91"/>
      <c r="E150" s="92"/>
      <c r="F150" s="92"/>
      <c r="G150" s="91"/>
      <c r="H150" s="91"/>
      <c r="I150" s="91"/>
      <c r="J150" s="93" t="s">
        <v>2490</v>
      </c>
      <c r="K150" s="91"/>
      <c r="L150" s="94"/>
      <c r="M150" s="94"/>
      <c r="N150" s="91"/>
      <c r="O150" s="35" t="str">
        <f aca="false">HYPERLINK(IF(AND(ISNUMBER(L150),ISNUMBER(M150)),"https://www.google.com/maps/search/?api=1&amp;query="&amp;L150&amp;","&amp;M150,"https://www.google.com/maps/search/?api=1&amp;query="&amp;SUBSTITUTE(SUBSTITUTE(SUBSTITUTE(K150&amp;", "&amp;I150&amp;", Puno, Peru"," ","+"),"&amp;","y"),"#","")),"Ver en mapa")</f>
        <v>Ver en mapa</v>
      </c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5" t="str">
        <f aca="false">IF(AND(ISNUMBER(L150),ISNUMBER(M150),ISNUMBER(14_Cercania!$C$6),ISNUMBER(14_Cercania!$C$7),AC150&lt;&gt;"Rechazado",AC150&lt;&gt;"Inactivo"),6371*2*ASIN(SQRT(SIN(RADIANS(14_Cercania!$C$6-L150)/2)^2+COS(RADIANS(L150))*COS(RADIANS(14_Cercania!$C$6))*SIN(RADIANS(14_Cercania!$C$7-M150)/2)^2))+ROW()*0.000000001,"")</f>
        <v/>
      </c>
    </row>
    <row r="151" customFormat="false" ht="15" hidden="false" customHeight="false" outlineLevel="0" collapsed="false">
      <c r="B151" s="45" t="n">
        <v>145</v>
      </c>
      <c r="C151" s="91"/>
      <c r="D151" s="91"/>
      <c r="E151" s="92"/>
      <c r="F151" s="92"/>
      <c r="G151" s="91"/>
      <c r="H151" s="91"/>
      <c r="I151" s="91"/>
      <c r="J151" s="93" t="s">
        <v>2490</v>
      </c>
      <c r="K151" s="91"/>
      <c r="L151" s="94"/>
      <c r="M151" s="94"/>
      <c r="N151" s="91"/>
      <c r="O151" s="35" t="str">
        <f aca="false">HYPERLINK(IF(AND(ISNUMBER(L151),ISNUMBER(M151)),"https://www.google.com/maps/search/?api=1&amp;query="&amp;L151&amp;","&amp;M151,"https://www.google.com/maps/search/?api=1&amp;query="&amp;SUBSTITUTE(SUBSTITUTE(SUBSTITUTE(K151&amp;", "&amp;I151&amp;", Puno, Peru"," ","+"),"&amp;","y"),"#","")),"Ver en mapa")</f>
        <v>Ver en mapa</v>
      </c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5" t="str">
        <f aca="false">IF(AND(ISNUMBER(L151),ISNUMBER(M151),ISNUMBER(14_Cercania!$C$6),ISNUMBER(14_Cercania!$C$7),AC151&lt;&gt;"Rechazado",AC151&lt;&gt;"Inactivo"),6371*2*ASIN(SQRT(SIN(RADIANS(14_Cercania!$C$6-L151)/2)^2+COS(RADIANS(L151))*COS(RADIANS(14_Cercania!$C$6))*SIN(RADIANS(14_Cercania!$C$7-M151)/2)^2))+ROW()*0.000000001,"")</f>
        <v/>
      </c>
    </row>
    <row r="152" customFormat="false" ht="15" hidden="false" customHeight="false" outlineLevel="0" collapsed="false">
      <c r="B152" s="45" t="n">
        <v>146</v>
      </c>
      <c r="C152" s="91"/>
      <c r="D152" s="91"/>
      <c r="E152" s="92"/>
      <c r="F152" s="92"/>
      <c r="G152" s="91"/>
      <c r="H152" s="91"/>
      <c r="I152" s="91"/>
      <c r="J152" s="93" t="s">
        <v>2490</v>
      </c>
      <c r="K152" s="91"/>
      <c r="L152" s="94"/>
      <c r="M152" s="94"/>
      <c r="N152" s="91"/>
      <c r="O152" s="35" t="str">
        <f aca="false">HYPERLINK(IF(AND(ISNUMBER(L152),ISNUMBER(M152)),"https://www.google.com/maps/search/?api=1&amp;query="&amp;L152&amp;","&amp;M152,"https://www.google.com/maps/search/?api=1&amp;query="&amp;SUBSTITUTE(SUBSTITUTE(SUBSTITUTE(K152&amp;", "&amp;I152&amp;", Puno, Peru"," ","+"),"&amp;","y"),"#","")),"Ver en mapa")</f>
        <v>Ver en mapa</v>
      </c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5" t="str">
        <f aca="false">IF(AND(ISNUMBER(L152),ISNUMBER(M152),ISNUMBER(14_Cercania!$C$6),ISNUMBER(14_Cercania!$C$7),AC152&lt;&gt;"Rechazado",AC152&lt;&gt;"Inactivo"),6371*2*ASIN(SQRT(SIN(RADIANS(14_Cercania!$C$6-L152)/2)^2+COS(RADIANS(L152))*COS(RADIANS(14_Cercania!$C$6))*SIN(RADIANS(14_Cercania!$C$7-M152)/2)^2))+ROW()*0.000000001,"")</f>
        <v/>
      </c>
    </row>
    <row r="153" customFormat="false" ht="15" hidden="false" customHeight="false" outlineLevel="0" collapsed="false">
      <c r="B153" s="45" t="n">
        <v>147</v>
      </c>
      <c r="C153" s="91"/>
      <c r="D153" s="91"/>
      <c r="E153" s="92"/>
      <c r="F153" s="92"/>
      <c r="G153" s="91"/>
      <c r="H153" s="91"/>
      <c r="I153" s="91"/>
      <c r="J153" s="93" t="s">
        <v>2490</v>
      </c>
      <c r="K153" s="91"/>
      <c r="L153" s="94"/>
      <c r="M153" s="94"/>
      <c r="N153" s="91"/>
      <c r="O153" s="35" t="str">
        <f aca="false">HYPERLINK(IF(AND(ISNUMBER(L153),ISNUMBER(M153)),"https://www.google.com/maps/search/?api=1&amp;query="&amp;L153&amp;","&amp;M153,"https://www.google.com/maps/search/?api=1&amp;query="&amp;SUBSTITUTE(SUBSTITUTE(SUBSTITUTE(K153&amp;", "&amp;I153&amp;", Puno, Peru"," ","+"),"&amp;","y"),"#","")),"Ver en mapa")</f>
        <v>Ver en mapa</v>
      </c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5" t="str">
        <f aca="false">IF(AND(ISNUMBER(L153),ISNUMBER(M153),ISNUMBER(14_Cercania!$C$6),ISNUMBER(14_Cercania!$C$7),AC153&lt;&gt;"Rechazado",AC153&lt;&gt;"Inactivo"),6371*2*ASIN(SQRT(SIN(RADIANS(14_Cercania!$C$6-L153)/2)^2+COS(RADIANS(L153))*COS(RADIANS(14_Cercania!$C$6))*SIN(RADIANS(14_Cercania!$C$7-M153)/2)^2))+ROW()*0.000000001,"")</f>
        <v/>
      </c>
    </row>
    <row r="154" customFormat="false" ht="15" hidden="false" customHeight="false" outlineLevel="0" collapsed="false">
      <c r="B154" s="45" t="n">
        <v>148</v>
      </c>
      <c r="C154" s="91"/>
      <c r="D154" s="91"/>
      <c r="E154" s="92"/>
      <c r="F154" s="92"/>
      <c r="G154" s="91"/>
      <c r="H154" s="91"/>
      <c r="I154" s="91"/>
      <c r="J154" s="93" t="s">
        <v>2490</v>
      </c>
      <c r="K154" s="91"/>
      <c r="L154" s="94"/>
      <c r="M154" s="94"/>
      <c r="N154" s="91"/>
      <c r="O154" s="35" t="str">
        <f aca="false">HYPERLINK(IF(AND(ISNUMBER(L154),ISNUMBER(M154)),"https://www.google.com/maps/search/?api=1&amp;query="&amp;L154&amp;","&amp;M154,"https://www.google.com/maps/search/?api=1&amp;query="&amp;SUBSTITUTE(SUBSTITUTE(SUBSTITUTE(K154&amp;", "&amp;I154&amp;", Puno, Peru"," ","+"),"&amp;","y"),"#","")),"Ver en mapa")</f>
        <v>Ver en mapa</v>
      </c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5" t="str">
        <f aca="false">IF(AND(ISNUMBER(L154),ISNUMBER(M154),ISNUMBER(14_Cercania!$C$6),ISNUMBER(14_Cercania!$C$7),AC154&lt;&gt;"Rechazado",AC154&lt;&gt;"Inactivo"),6371*2*ASIN(SQRT(SIN(RADIANS(14_Cercania!$C$6-L154)/2)^2+COS(RADIANS(L154))*COS(RADIANS(14_Cercania!$C$6))*SIN(RADIANS(14_Cercania!$C$7-M154)/2)^2))+ROW()*0.000000001,"")</f>
        <v/>
      </c>
    </row>
    <row r="155" customFormat="false" ht="15" hidden="false" customHeight="false" outlineLevel="0" collapsed="false">
      <c r="B155" s="45" t="n">
        <v>149</v>
      </c>
      <c r="C155" s="91"/>
      <c r="D155" s="91"/>
      <c r="E155" s="92"/>
      <c r="F155" s="92"/>
      <c r="G155" s="91"/>
      <c r="H155" s="91"/>
      <c r="I155" s="91"/>
      <c r="J155" s="93" t="s">
        <v>2490</v>
      </c>
      <c r="K155" s="91"/>
      <c r="L155" s="94"/>
      <c r="M155" s="94"/>
      <c r="N155" s="91"/>
      <c r="O155" s="35" t="str">
        <f aca="false">HYPERLINK(IF(AND(ISNUMBER(L155),ISNUMBER(M155)),"https://www.google.com/maps/search/?api=1&amp;query="&amp;L155&amp;","&amp;M155,"https://www.google.com/maps/search/?api=1&amp;query="&amp;SUBSTITUTE(SUBSTITUTE(SUBSTITUTE(K155&amp;", "&amp;I155&amp;", Puno, Peru"," ","+"),"&amp;","y"),"#","")),"Ver en mapa")</f>
        <v>Ver en mapa</v>
      </c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5" t="str">
        <f aca="false">IF(AND(ISNUMBER(L155),ISNUMBER(M155),ISNUMBER(14_Cercania!$C$6),ISNUMBER(14_Cercania!$C$7),AC155&lt;&gt;"Rechazado",AC155&lt;&gt;"Inactivo"),6371*2*ASIN(SQRT(SIN(RADIANS(14_Cercania!$C$6-L155)/2)^2+COS(RADIANS(L155))*COS(RADIANS(14_Cercania!$C$6))*SIN(RADIANS(14_Cercania!$C$7-M155)/2)^2))+ROW()*0.000000001,"")</f>
        <v/>
      </c>
    </row>
    <row r="156" customFormat="false" ht="15" hidden="false" customHeight="false" outlineLevel="0" collapsed="false">
      <c r="B156" s="45" t="n">
        <v>150</v>
      </c>
      <c r="C156" s="91"/>
      <c r="D156" s="91"/>
      <c r="E156" s="92"/>
      <c r="F156" s="92"/>
      <c r="G156" s="91"/>
      <c r="H156" s="91"/>
      <c r="I156" s="91"/>
      <c r="J156" s="93" t="s">
        <v>2490</v>
      </c>
      <c r="K156" s="91"/>
      <c r="L156" s="94"/>
      <c r="M156" s="94"/>
      <c r="N156" s="91"/>
      <c r="O156" s="35" t="str">
        <f aca="false">HYPERLINK(IF(AND(ISNUMBER(L156),ISNUMBER(M156)),"https://www.google.com/maps/search/?api=1&amp;query="&amp;L156&amp;","&amp;M156,"https://www.google.com/maps/search/?api=1&amp;query="&amp;SUBSTITUTE(SUBSTITUTE(SUBSTITUTE(K156&amp;", "&amp;I156&amp;", Puno, Peru"," ","+"),"&amp;","y"),"#","")),"Ver en mapa")</f>
        <v>Ver en mapa</v>
      </c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5" t="str">
        <f aca="false">IF(AND(ISNUMBER(L156),ISNUMBER(M156),ISNUMBER(14_Cercania!$C$6),ISNUMBER(14_Cercania!$C$7),AC156&lt;&gt;"Rechazado",AC156&lt;&gt;"Inactivo"),6371*2*ASIN(SQRT(SIN(RADIANS(14_Cercania!$C$6-L156)/2)^2+COS(RADIANS(L156))*COS(RADIANS(14_Cercania!$C$6))*SIN(RADIANS(14_Cercania!$C$7-M156)/2)^2))+ROW()*0.000000001,"")</f>
        <v/>
      </c>
    </row>
    <row r="157" customFormat="false" ht="15" hidden="false" customHeight="false" outlineLevel="0" collapsed="false">
      <c r="B157" s="45" t="n">
        <v>151</v>
      </c>
      <c r="C157" s="91"/>
      <c r="D157" s="91"/>
      <c r="E157" s="92"/>
      <c r="F157" s="92"/>
      <c r="G157" s="91"/>
      <c r="H157" s="91"/>
      <c r="I157" s="91"/>
      <c r="J157" s="93" t="s">
        <v>2490</v>
      </c>
      <c r="K157" s="91"/>
      <c r="L157" s="94"/>
      <c r="M157" s="94"/>
      <c r="N157" s="91"/>
      <c r="O157" s="35" t="str">
        <f aca="false">HYPERLINK(IF(AND(ISNUMBER(L157),ISNUMBER(M157)),"https://www.google.com/maps/search/?api=1&amp;query="&amp;L157&amp;","&amp;M157,"https://www.google.com/maps/search/?api=1&amp;query="&amp;SUBSTITUTE(SUBSTITUTE(SUBSTITUTE(K157&amp;", "&amp;I157&amp;", Puno, Peru"," ","+"),"&amp;","y"),"#","")),"Ver en mapa")</f>
        <v>Ver en mapa</v>
      </c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5" t="str">
        <f aca="false">IF(AND(ISNUMBER(L157),ISNUMBER(M157),ISNUMBER(14_Cercania!$C$6),ISNUMBER(14_Cercania!$C$7),AC157&lt;&gt;"Rechazado",AC157&lt;&gt;"Inactivo"),6371*2*ASIN(SQRT(SIN(RADIANS(14_Cercania!$C$6-L157)/2)^2+COS(RADIANS(L157))*COS(RADIANS(14_Cercania!$C$6))*SIN(RADIANS(14_Cercania!$C$7-M157)/2)^2))+ROW()*0.000000001,"")</f>
        <v/>
      </c>
    </row>
    <row r="158" customFormat="false" ht="15" hidden="false" customHeight="false" outlineLevel="0" collapsed="false">
      <c r="B158" s="45" t="n">
        <v>152</v>
      </c>
      <c r="C158" s="91"/>
      <c r="D158" s="91"/>
      <c r="E158" s="92"/>
      <c r="F158" s="92"/>
      <c r="G158" s="91"/>
      <c r="H158" s="91"/>
      <c r="I158" s="91"/>
      <c r="J158" s="93" t="s">
        <v>2490</v>
      </c>
      <c r="K158" s="91"/>
      <c r="L158" s="94"/>
      <c r="M158" s="94"/>
      <c r="N158" s="91"/>
      <c r="O158" s="35" t="str">
        <f aca="false">HYPERLINK(IF(AND(ISNUMBER(L158),ISNUMBER(M158)),"https://www.google.com/maps/search/?api=1&amp;query="&amp;L158&amp;","&amp;M158,"https://www.google.com/maps/search/?api=1&amp;query="&amp;SUBSTITUTE(SUBSTITUTE(SUBSTITUTE(K158&amp;", "&amp;I158&amp;", Puno, Peru"," ","+"),"&amp;","y"),"#","")),"Ver en mapa")</f>
        <v>Ver en mapa</v>
      </c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5" t="str">
        <f aca="false">IF(AND(ISNUMBER(L158),ISNUMBER(M158),ISNUMBER(14_Cercania!$C$6),ISNUMBER(14_Cercania!$C$7),AC158&lt;&gt;"Rechazado",AC158&lt;&gt;"Inactivo"),6371*2*ASIN(SQRT(SIN(RADIANS(14_Cercania!$C$6-L158)/2)^2+COS(RADIANS(L158))*COS(RADIANS(14_Cercania!$C$6))*SIN(RADIANS(14_Cercania!$C$7-M158)/2)^2))+ROW()*0.000000001,"")</f>
        <v/>
      </c>
    </row>
    <row r="159" customFormat="false" ht="15" hidden="false" customHeight="false" outlineLevel="0" collapsed="false">
      <c r="B159" s="45" t="n">
        <v>153</v>
      </c>
      <c r="C159" s="91"/>
      <c r="D159" s="91"/>
      <c r="E159" s="92"/>
      <c r="F159" s="92"/>
      <c r="G159" s="91"/>
      <c r="H159" s="91"/>
      <c r="I159" s="91"/>
      <c r="J159" s="93" t="s">
        <v>2490</v>
      </c>
      <c r="K159" s="91"/>
      <c r="L159" s="94"/>
      <c r="M159" s="94"/>
      <c r="N159" s="91"/>
      <c r="O159" s="35" t="str">
        <f aca="false">HYPERLINK(IF(AND(ISNUMBER(L159),ISNUMBER(M159)),"https://www.google.com/maps/search/?api=1&amp;query="&amp;L159&amp;","&amp;M159,"https://www.google.com/maps/search/?api=1&amp;query="&amp;SUBSTITUTE(SUBSTITUTE(SUBSTITUTE(K159&amp;", "&amp;I159&amp;", Puno, Peru"," ","+"),"&amp;","y"),"#","")),"Ver en mapa")</f>
        <v>Ver en mapa</v>
      </c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5" t="str">
        <f aca="false">IF(AND(ISNUMBER(L159),ISNUMBER(M159),ISNUMBER(14_Cercania!$C$6),ISNUMBER(14_Cercania!$C$7),AC159&lt;&gt;"Rechazado",AC159&lt;&gt;"Inactivo"),6371*2*ASIN(SQRT(SIN(RADIANS(14_Cercania!$C$6-L159)/2)^2+COS(RADIANS(L159))*COS(RADIANS(14_Cercania!$C$6))*SIN(RADIANS(14_Cercania!$C$7-M159)/2)^2))+ROW()*0.000000001,"")</f>
        <v/>
      </c>
    </row>
    <row r="160" customFormat="false" ht="15" hidden="false" customHeight="false" outlineLevel="0" collapsed="false">
      <c r="B160" s="45" t="n">
        <v>154</v>
      </c>
      <c r="C160" s="91"/>
      <c r="D160" s="91"/>
      <c r="E160" s="92"/>
      <c r="F160" s="92"/>
      <c r="G160" s="91"/>
      <c r="H160" s="91"/>
      <c r="I160" s="91"/>
      <c r="J160" s="93" t="s">
        <v>2490</v>
      </c>
      <c r="K160" s="91"/>
      <c r="L160" s="94"/>
      <c r="M160" s="94"/>
      <c r="N160" s="91"/>
      <c r="O160" s="35" t="str">
        <f aca="false">HYPERLINK(IF(AND(ISNUMBER(L160),ISNUMBER(M160)),"https://www.google.com/maps/search/?api=1&amp;query="&amp;L160&amp;","&amp;M160,"https://www.google.com/maps/search/?api=1&amp;query="&amp;SUBSTITUTE(SUBSTITUTE(SUBSTITUTE(K160&amp;", "&amp;I160&amp;", Puno, Peru"," ","+"),"&amp;","y"),"#","")),"Ver en mapa")</f>
        <v>Ver en mapa</v>
      </c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5" t="str">
        <f aca="false">IF(AND(ISNUMBER(L160),ISNUMBER(M160),ISNUMBER(14_Cercania!$C$6),ISNUMBER(14_Cercania!$C$7),AC160&lt;&gt;"Rechazado",AC160&lt;&gt;"Inactivo"),6371*2*ASIN(SQRT(SIN(RADIANS(14_Cercania!$C$6-L160)/2)^2+COS(RADIANS(L160))*COS(RADIANS(14_Cercania!$C$6))*SIN(RADIANS(14_Cercania!$C$7-M160)/2)^2))+ROW()*0.000000001,"")</f>
        <v/>
      </c>
    </row>
    <row r="161" customFormat="false" ht="15" hidden="false" customHeight="false" outlineLevel="0" collapsed="false">
      <c r="B161" s="45" t="n">
        <v>155</v>
      </c>
      <c r="C161" s="91"/>
      <c r="D161" s="91"/>
      <c r="E161" s="92"/>
      <c r="F161" s="92"/>
      <c r="G161" s="91"/>
      <c r="H161" s="91"/>
      <c r="I161" s="91"/>
      <c r="J161" s="93" t="s">
        <v>2490</v>
      </c>
      <c r="K161" s="91"/>
      <c r="L161" s="94"/>
      <c r="M161" s="94"/>
      <c r="N161" s="91"/>
      <c r="O161" s="35" t="str">
        <f aca="false">HYPERLINK(IF(AND(ISNUMBER(L161),ISNUMBER(M161)),"https://www.google.com/maps/search/?api=1&amp;query="&amp;L161&amp;","&amp;M161,"https://www.google.com/maps/search/?api=1&amp;query="&amp;SUBSTITUTE(SUBSTITUTE(SUBSTITUTE(K161&amp;", "&amp;I161&amp;", Puno, Peru"," ","+"),"&amp;","y"),"#","")),"Ver en mapa")</f>
        <v>Ver en mapa</v>
      </c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5" t="str">
        <f aca="false">IF(AND(ISNUMBER(L161),ISNUMBER(M161),ISNUMBER(14_Cercania!$C$6),ISNUMBER(14_Cercania!$C$7),AC161&lt;&gt;"Rechazado",AC161&lt;&gt;"Inactivo"),6371*2*ASIN(SQRT(SIN(RADIANS(14_Cercania!$C$6-L161)/2)^2+COS(RADIANS(L161))*COS(RADIANS(14_Cercania!$C$6))*SIN(RADIANS(14_Cercania!$C$7-M161)/2)^2))+ROW()*0.000000001,"")</f>
        <v/>
      </c>
    </row>
    <row r="162" customFormat="false" ht="15" hidden="false" customHeight="false" outlineLevel="0" collapsed="false">
      <c r="B162" s="45" t="n">
        <v>156</v>
      </c>
      <c r="C162" s="91"/>
      <c r="D162" s="91"/>
      <c r="E162" s="92"/>
      <c r="F162" s="92"/>
      <c r="G162" s="91"/>
      <c r="H162" s="91"/>
      <c r="I162" s="91"/>
      <c r="J162" s="93" t="s">
        <v>2490</v>
      </c>
      <c r="K162" s="91"/>
      <c r="L162" s="94"/>
      <c r="M162" s="94"/>
      <c r="N162" s="91"/>
      <c r="O162" s="35" t="str">
        <f aca="false">HYPERLINK(IF(AND(ISNUMBER(L162),ISNUMBER(M162)),"https://www.google.com/maps/search/?api=1&amp;query="&amp;L162&amp;","&amp;M162,"https://www.google.com/maps/search/?api=1&amp;query="&amp;SUBSTITUTE(SUBSTITUTE(SUBSTITUTE(K162&amp;", "&amp;I162&amp;", Puno, Peru"," ","+"),"&amp;","y"),"#","")),"Ver en mapa")</f>
        <v>Ver en mapa</v>
      </c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5" t="str">
        <f aca="false">IF(AND(ISNUMBER(L162),ISNUMBER(M162),ISNUMBER(14_Cercania!$C$6),ISNUMBER(14_Cercania!$C$7),AC162&lt;&gt;"Rechazado",AC162&lt;&gt;"Inactivo"),6371*2*ASIN(SQRT(SIN(RADIANS(14_Cercania!$C$6-L162)/2)^2+COS(RADIANS(L162))*COS(RADIANS(14_Cercania!$C$6))*SIN(RADIANS(14_Cercania!$C$7-M162)/2)^2))+ROW()*0.000000001,"")</f>
        <v/>
      </c>
    </row>
    <row r="163" customFormat="false" ht="15" hidden="false" customHeight="false" outlineLevel="0" collapsed="false">
      <c r="B163" s="45" t="n">
        <v>157</v>
      </c>
      <c r="C163" s="91"/>
      <c r="D163" s="91"/>
      <c r="E163" s="92"/>
      <c r="F163" s="92"/>
      <c r="G163" s="91"/>
      <c r="H163" s="91"/>
      <c r="I163" s="91"/>
      <c r="J163" s="93" t="s">
        <v>2490</v>
      </c>
      <c r="K163" s="91"/>
      <c r="L163" s="94"/>
      <c r="M163" s="94"/>
      <c r="N163" s="91"/>
      <c r="O163" s="35" t="str">
        <f aca="false">HYPERLINK(IF(AND(ISNUMBER(L163),ISNUMBER(M163)),"https://www.google.com/maps/search/?api=1&amp;query="&amp;L163&amp;","&amp;M163,"https://www.google.com/maps/search/?api=1&amp;query="&amp;SUBSTITUTE(SUBSTITUTE(SUBSTITUTE(K163&amp;", "&amp;I163&amp;", Puno, Peru"," ","+"),"&amp;","y"),"#","")),"Ver en mapa")</f>
        <v>Ver en mapa</v>
      </c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5" t="str">
        <f aca="false">IF(AND(ISNUMBER(L163),ISNUMBER(M163),ISNUMBER(14_Cercania!$C$6),ISNUMBER(14_Cercania!$C$7),AC163&lt;&gt;"Rechazado",AC163&lt;&gt;"Inactivo"),6371*2*ASIN(SQRT(SIN(RADIANS(14_Cercania!$C$6-L163)/2)^2+COS(RADIANS(L163))*COS(RADIANS(14_Cercania!$C$6))*SIN(RADIANS(14_Cercania!$C$7-M163)/2)^2))+ROW()*0.000000001,"")</f>
        <v/>
      </c>
    </row>
    <row r="164" customFormat="false" ht="15" hidden="false" customHeight="false" outlineLevel="0" collapsed="false">
      <c r="B164" s="45" t="n">
        <v>158</v>
      </c>
      <c r="C164" s="91"/>
      <c r="D164" s="91"/>
      <c r="E164" s="92"/>
      <c r="F164" s="92"/>
      <c r="G164" s="91"/>
      <c r="H164" s="91"/>
      <c r="I164" s="91"/>
      <c r="J164" s="93" t="s">
        <v>2490</v>
      </c>
      <c r="K164" s="91"/>
      <c r="L164" s="94"/>
      <c r="M164" s="94"/>
      <c r="N164" s="91"/>
      <c r="O164" s="35" t="str">
        <f aca="false">HYPERLINK(IF(AND(ISNUMBER(L164),ISNUMBER(M164)),"https://www.google.com/maps/search/?api=1&amp;query="&amp;L164&amp;","&amp;M164,"https://www.google.com/maps/search/?api=1&amp;query="&amp;SUBSTITUTE(SUBSTITUTE(SUBSTITUTE(K164&amp;", "&amp;I164&amp;", Puno, Peru"," ","+"),"&amp;","y"),"#","")),"Ver en mapa")</f>
        <v>Ver en mapa</v>
      </c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5" t="str">
        <f aca="false">IF(AND(ISNUMBER(L164),ISNUMBER(M164),ISNUMBER(14_Cercania!$C$6),ISNUMBER(14_Cercania!$C$7),AC164&lt;&gt;"Rechazado",AC164&lt;&gt;"Inactivo"),6371*2*ASIN(SQRT(SIN(RADIANS(14_Cercania!$C$6-L164)/2)^2+COS(RADIANS(L164))*COS(RADIANS(14_Cercania!$C$6))*SIN(RADIANS(14_Cercania!$C$7-M164)/2)^2))+ROW()*0.000000001,"")</f>
        <v/>
      </c>
    </row>
    <row r="165" customFormat="false" ht="15" hidden="false" customHeight="false" outlineLevel="0" collapsed="false">
      <c r="B165" s="45" t="n">
        <v>159</v>
      </c>
      <c r="C165" s="91"/>
      <c r="D165" s="91"/>
      <c r="E165" s="92"/>
      <c r="F165" s="92"/>
      <c r="G165" s="91"/>
      <c r="H165" s="91"/>
      <c r="I165" s="91"/>
      <c r="J165" s="93" t="s">
        <v>2490</v>
      </c>
      <c r="K165" s="91"/>
      <c r="L165" s="94"/>
      <c r="M165" s="94"/>
      <c r="N165" s="91"/>
      <c r="O165" s="35" t="str">
        <f aca="false">HYPERLINK(IF(AND(ISNUMBER(L165),ISNUMBER(M165)),"https://www.google.com/maps/search/?api=1&amp;query="&amp;L165&amp;","&amp;M165,"https://www.google.com/maps/search/?api=1&amp;query="&amp;SUBSTITUTE(SUBSTITUTE(SUBSTITUTE(K165&amp;", "&amp;I165&amp;", Puno, Peru"," ","+"),"&amp;","y"),"#","")),"Ver en mapa")</f>
        <v>Ver en mapa</v>
      </c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5" t="str">
        <f aca="false">IF(AND(ISNUMBER(L165),ISNUMBER(M165),ISNUMBER(14_Cercania!$C$6),ISNUMBER(14_Cercania!$C$7),AC165&lt;&gt;"Rechazado",AC165&lt;&gt;"Inactivo"),6371*2*ASIN(SQRT(SIN(RADIANS(14_Cercania!$C$6-L165)/2)^2+COS(RADIANS(L165))*COS(RADIANS(14_Cercania!$C$6))*SIN(RADIANS(14_Cercania!$C$7-M165)/2)^2))+ROW()*0.000000001,"")</f>
        <v/>
      </c>
    </row>
    <row r="166" customFormat="false" ht="15" hidden="false" customHeight="false" outlineLevel="0" collapsed="false">
      <c r="B166" s="45" t="n">
        <v>160</v>
      </c>
      <c r="C166" s="91"/>
      <c r="D166" s="91"/>
      <c r="E166" s="92"/>
      <c r="F166" s="92"/>
      <c r="G166" s="91"/>
      <c r="H166" s="91"/>
      <c r="I166" s="91"/>
      <c r="J166" s="93" t="s">
        <v>2490</v>
      </c>
      <c r="K166" s="91"/>
      <c r="L166" s="94"/>
      <c r="M166" s="94"/>
      <c r="N166" s="91"/>
      <c r="O166" s="35" t="str">
        <f aca="false">HYPERLINK(IF(AND(ISNUMBER(L166),ISNUMBER(M166)),"https://www.google.com/maps/search/?api=1&amp;query="&amp;L166&amp;","&amp;M166,"https://www.google.com/maps/search/?api=1&amp;query="&amp;SUBSTITUTE(SUBSTITUTE(SUBSTITUTE(K166&amp;", "&amp;I166&amp;", Puno, Peru"," ","+"),"&amp;","y"),"#","")),"Ver en mapa")</f>
        <v>Ver en mapa</v>
      </c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5" t="str">
        <f aca="false">IF(AND(ISNUMBER(L166),ISNUMBER(M166),ISNUMBER(14_Cercania!$C$6),ISNUMBER(14_Cercania!$C$7),AC166&lt;&gt;"Rechazado",AC166&lt;&gt;"Inactivo"),6371*2*ASIN(SQRT(SIN(RADIANS(14_Cercania!$C$6-L166)/2)^2+COS(RADIANS(L166))*COS(RADIANS(14_Cercania!$C$6))*SIN(RADIANS(14_Cercania!$C$7-M166)/2)^2))+ROW()*0.000000001,"")</f>
        <v/>
      </c>
    </row>
    <row r="167" customFormat="false" ht="15" hidden="false" customHeight="false" outlineLevel="0" collapsed="false">
      <c r="B167" s="45" t="n">
        <v>161</v>
      </c>
      <c r="C167" s="91"/>
      <c r="D167" s="91"/>
      <c r="E167" s="92"/>
      <c r="F167" s="92"/>
      <c r="G167" s="91"/>
      <c r="H167" s="91"/>
      <c r="I167" s="91"/>
      <c r="J167" s="93" t="s">
        <v>2490</v>
      </c>
      <c r="K167" s="91"/>
      <c r="L167" s="94"/>
      <c r="M167" s="94"/>
      <c r="N167" s="91"/>
      <c r="O167" s="35" t="str">
        <f aca="false">HYPERLINK(IF(AND(ISNUMBER(L167),ISNUMBER(M167)),"https://www.google.com/maps/search/?api=1&amp;query="&amp;L167&amp;","&amp;M167,"https://www.google.com/maps/search/?api=1&amp;query="&amp;SUBSTITUTE(SUBSTITUTE(SUBSTITUTE(K167&amp;", "&amp;I167&amp;", Puno, Peru"," ","+"),"&amp;","y"),"#","")),"Ver en mapa")</f>
        <v>Ver en mapa</v>
      </c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5" t="str">
        <f aca="false">IF(AND(ISNUMBER(L167),ISNUMBER(M167),ISNUMBER(14_Cercania!$C$6),ISNUMBER(14_Cercania!$C$7),AC167&lt;&gt;"Rechazado",AC167&lt;&gt;"Inactivo"),6371*2*ASIN(SQRT(SIN(RADIANS(14_Cercania!$C$6-L167)/2)^2+COS(RADIANS(L167))*COS(RADIANS(14_Cercania!$C$6))*SIN(RADIANS(14_Cercania!$C$7-M167)/2)^2))+ROW()*0.000000001,"")</f>
        <v/>
      </c>
    </row>
    <row r="168" customFormat="false" ht="15" hidden="false" customHeight="false" outlineLevel="0" collapsed="false">
      <c r="B168" s="45" t="n">
        <v>162</v>
      </c>
      <c r="C168" s="91"/>
      <c r="D168" s="91"/>
      <c r="E168" s="92"/>
      <c r="F168" s="92"/>
      <c r="G168" s="91"/>
      <c r="H168" s="91"/>
      <c r="I168" s="91"/>
      <c r="J168" s="93" t="s">
        <v>2490</v>
      </c>
      <c r="K168" s="91"/>
      <c r="L168" s="94"/>
      <c r="M168" s="94"/>
      <c r="N168" s="91"/>
      <c r="O168" s="35" t="str">
        <f aca="false">HYPERLINK(IF(AND(ISNUMBER(L168),ISNUMBER(M168)),"https://www.google.com/maps/search/?api=1&amp;query="&amp;L168&amp;","&amp;M168,"https://www.google.com/maps/search/?api=1&amp;query="&amp;SUBSTITUTE(SUBSTITUTE(SUBSTITUTE(K168&amp;", "&amp;I168&amp;", Puno, Peru"," ","+"),"&amp;","y"),"#","")),"Ver en mapa")</f>
        <v>Ver en mapa</v>
      </c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5" t="str">
        <f aca="false">IF(AND(ISNUMBER(L168),ISNUMBER(M168),ISNUMBER(14_Cercania!$C$6),ISNUMBER(14_Cercania!$C$7),AC168&lt;&gt;"Rechazado",AC168&lt;&gt;"Inactivo"),6371*2*ASIN(SQRT(SIN(RADIANS(14_Cercania!$C$6-L168)/2)^2+COS(RADIANS(L168))*COS(RADIANS(14_Cercania!$C$6))*SIN(RADIANS(14_Cercania!$C$7-M168)/2)^2))+ROW()*0.000000001,"")</f>
        <v/>
      </c>
    </row>
    <row r="169" customFormat="false" ht="15" hidden="false" customHeight="false" outlineLevel="0" collapsed="false">
      <c r="B169" s="45" t="n">
        <v>163</v>
      </c>
      <c r="C169" s="91"/>
      <c r="D169" s="91"/>
      <c r="E169" s="92"/>
      <c r="F169" s="92"/>
      <c r="G169" s="91"/>
      <c r="H169" s="91"/>
      <c r="I169" s="91"/>
      <c r="J169" s="93" t="s">
        <v>2490</v>
      </c>
      <c r="K169" s="91"/>
      <c r="L169" s="94"/>
      <c r="M169" s="94"/>
      <c r="N169" s="91"/>
      <c r="O169" s="35" t="str">
        <f aca="false">HYPERLINK(IF(AND(ISNUMBER(L169),ISNUMBER(M169)),"https://www.google.com/maps/search/?api=1&amp;query="&amp;L169&amp;","&amp;M169,"https://www.google.com/maps/search/?api=1&amp;query="&amp;SUBSTITUTE(SUBSTITUTE(SUBSTITUTE(K169&amp;", "&amp;I169&amp;", Puno, Peru"," ","+"),"&amp;","y"),"#","")),"Ver en mapa")</f>
        <v>Ver en mapa</v>
      </c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5" t="str">
        <f aca="false">IF(AND(ISNUMBER(L169),ISNUMBER(M169),ISNUMBER(14_Cercania!$C$6),ISNUMBER(14_Cercania!$C$7),AC169&lt;&gt;"Rechazado",AC169&lt;&gt;"Inactivo"),6371*2*ASIN(SQRT(SIN(RADIANS(14_Cercania!$C$6-L169)/2)^2+COS(RADIANS(L169))*COS(RADIANS(14_Cercania!$C$6))*SIN(RADIANS(14_Cercania!$C$7-M169)/2)^2))+ROW()*0.000000001,"")</f>
        <v/>
      </c>
    </row>
    <row r="170" customFormat="false" ht="15" hidden="false" customHeight="false" outlineLevel="0" collapsed="false">
      <c r="B170" s="45" t="n">
        <v>164</v>
      </c>
      <c r="C170" s="91"/>
      <c r="D170" s="91"/>
      <c r="E170" s="92"/>
      <c r="F170" s="92"/>
      <c r="G170" s="91"/>
      <c r="H170" s="91"/>
      <c r="I170" s="91"/>
      <c r="J170" s="93" t="s">
        <v>2490</v>
      </c>
      <c r="K170" s="91"/>
      <c r="L170" s="94"/>
      <c r="M170" s="94"/>
      <c r="N170" s="91"/>
      <c r="O170" s="35" t="str">
        <f aca="false">HYPERLINK(IF(AND(ISNUMBER(L170),ISNUMBER(M170)),"https://www.google.com/maps/search/?api=1&amp;query="&amp;L170&amp;","&amp;M170,"https://www.google.com/maps/search/?api=1&amp;query="&amp;SUBSTITUTE(SUBSTITUTE(SUBSTITUTE(K170&amp;", "&amp;I170&amp;", Puno, Peru"," ","+"),"&amp;","y"),"#","")),"Ver en mapa")</f>
        <v>Ver en mapa</v>
      </c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5" t="str">
        <f aca="false">IF(AND(ISNUMBER(L170),ISNUMBER(M170),ISNUMBER(14_Cercania!$C$6),ISNUMBER(14_Cercania!$C$7),AC170&lt;&gt;"Rechazado",AC170&lt;&gt;"Inactivo"),6371*2*ASIN(SQRT(SIN(RADIANS(14_Cercania!$C$6-L170)/2)^2+COS(RADIANS(L170))*COS(RADIANS(14_Cercania!$C$6))*SIN(RADIANS(14_Cercania!$C$7-M170)/2)^2))+ROW()*0.000000001,"")</f>
        <v/>
      </c>
    </row>
    <row r="171" customFormat="false" ht="15" hidden="false" customHeight="false" outlineLevel="0" collapsed="false">
      <c r="B171" s="45" t="n">
        <v>165</v>
      </c>
      <c r="C171" s="91"/>
      <c r="D171" s="91"/>
      <c r="E171" s="92"/>
      <c r="F171" s="92"/>
      <c r="G171" s="91"/>
      <c r="H171" s="91"/>
      <c r="I171" s="91"/>
      <c r="J171" s="93" t="s">
        <v>2490</v>
      </c>
      <c r="K171" s="91"/>
      <c r="L171" s="94"/>
      <c r="M171" s="94"/>
      <c r="N171" s="91"/>
      <c r="O171" s="35" t="str">
        <f aca="false">HYPERLINK(IF(AND(ISNUMBER(L171),ISNUMBER(M171)),"https://www.google.com/maps/search/?api=1&amp;query="&amp;L171&amp;","&amp;M171,"https://www.google.com/maps/search/?api=1&amp;query="&amp;SUBSTITUTE(SUBSTITUTE(SUBSTITUTE(K171&amp;", "&amp;I171&amp;", Puno, Peru"," ","+"),"&amp;","y"),"#","")),"Ver en mapa")</f>
        <v>Ver en mapa</v>
      </c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5" t="str">
        <f aca="false">IF(AND(ISNUMBER(L171),ISNUMBER(M171),ISNUMBER(14_Cercania!$C$6),ISNUMBER(14_Cercania!$C$7),AC171&lt;&gt;"Rechazado",AC171&lt;&gt;"Inactivo"),6371*2*ASIN(SQRT(SIN(RADIANS(14_Cercania!$C$6-L171)/2)^2+COS(RADIANS(L171))*COS(RADIANS(14_Cercania!$C$6))*SIN(RADIANS(14_Cercania!$C$7-M171)/2)^2))+ROW()*0.000000001,"")</f>
        <v/>
      </c>
    </row>
    <row r="172" customFormat="false" ht="15" hidden="false" customHeight="false" outlineLevel="0" collapsed="false">
      <c r="B172" s="45" t="n">
        <v>166</v>
      </c>
      <c r="C172" s="91"/>
      <c r="D172" s="91"/>
      <c r="E172" s="92"/>
      <c r="F172" s="92"/>
      <c r="G172" s="91"/>
      <c r="H172" s="91"/>
      <c r="I172" s="91"/>
      <c r="J172" s="93" t="s">
        <v>2490</v>
      </c>
      <c r="K172" s="91"/>
      <c r="L172" s="94"/>
      <c r="M172" s="94"/>
      <c r="N172" s="91"/>
      <c r="O172" s="35" t="str">
        <f aca="false">HYPERLINK(IF(AND(ISNUMBER(L172),ISNUMBER(M172)),"https://www.google.com/maps/search/?api=1&amp;query="&amp;L172&amp;","&amp;M172,"https://www.google.com/maps/search/?api=1&amp;query="&amp;SUBSTITUTE(SUBSTITUTE(SUBSTITUTE(K172&amp;", "&amp;I172&amp;", Puno, Peru"," ","+"),"&amp;","y"),"#","")),"Ver en mapa")</f>
        <v>Ver en mapa</v>
      </c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5" t="str">
        <f aca="false">IF(AND(ISNUMBER(L172),ISNUMBER(M172),ISNUMBER(14_Cercania!$C$6),ISNUMBER(14_Cercania!$C$7),AC172&lt;&gt;"Rechazado",AC172&lt;&gt;"Inactivo"),6371*2*ASIN(SQRT(SIN(RADIANS(14_Cercania!$C$6-L172)/2)^2+COS(RADIANS(L172))*COS(RADIANS(14_Cercania!$C$6))*SIN(RADIANS(14_Cercania!$C$7-M172)/2)^2))+ROW()*0.000000001,"")</f>
        <v/>
      </c>
    </row>
    <row r="173" customFormat="false" ht="15" hidden="false" customHeight="false" outlineLevel="0" collapsed="false">
      <c r="B173" s="45" t="n">
        <v>167</v>
      </c>
      <c r="C173" s="91"/>
      <c r="D173" s="91"/>
      <c r="E173" s="92"/>
      <c r="F173" s="92"/>
      <c r="G173" s="91"/>
      <c r="H173" s="91"/>
      <c r="I173" s="91"/>
      <c r="J173" s="93" t="s">
        <v>2490</v>
      </c>
      <c r="K173" s="91"/>
      <c r="L173" s="94"/>
      <c r="M173" s="94"/>
      <c r="N173" s="91"/>
      <c r="O173" s="35" t="str">
        <f aca="false">HYPERLINK(IF(AND(ISNUMBER(L173),ISNUMBER(M173)),"https://www.google.com/maps/search/?api=1&amp;query="&amp;L173&amp;","&amp;M173,"https://www.google.com/maps/search/?api=1&amp;query="&amp;SUBSTITUTE(SUBSTITUTE(SUBSTITUTE(K173&amp;", "&amp;I173&amp;", Puno, Peru"," ","+"),"&amp;","y"),"#","")),"Ver en mapa")</f>
        <v>Ver en mapa</v>
      </c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5" t="str">
        <f aca="false">IF(AND(ISNUMBER(L173),ISNUMBER(M173),ISNUMBER(14_Cercania!$C$6),ISNUMBER(14_Cercania!$C$7),AC173&lt;&gt;"Rechazado",AC173&lt;&gt;"Inactivo"),6371*2*ASIN(SQRT(SIN(RADIANS(14_Cercania!$C$6-L173)/2)^2+COS(RADIANS(L173))*COS(RADIANS(14_Cercania!$C$6))*SIN(RADIANS(14_Cercania!$C$7-M173)/2)^2))+ROW()*0.000000001,"")</f>
        <v/>
      </c>
    </row>
    <row r="174" customFormat="false" ht="15" hidden="false" customHeight="false" outlineLevel="0" collapsed="false">
      <c r="B174" s="45" t="n">
        <v>168</v>
      </c>
      <c r="C174" s="91"/>
      <c r="D174" s="91"/>
      <c r="E174" s="92"/>
      <c r="F174" s="92"/>
      <c r="G174" s="91"/>
      <c r="H174" s="91"/>
      <c r="I174" s="91"/>
      <c r="J174" s="93" t="s">
        <v>2490</v>
      </c>
      <c r="K174" s="91"/>
      <c r="L174" s="94"/>
      <c r="M174" s="94"/>
      <c r="N174" s="91"/>
      <c r="O174" s="35" t="str">
        <f aca="false">HYPERLINK(IF(AND(ISNUMBER(L174),ISNUMBER(M174)),"https://www.google.com/maps/search/?api=1&amp;query="&amp;L174&amp;","&amp;M174,"https://www.google.com/maps/search/?api=1&amp;query="&amp;SUBSTITUTE(SUBSTITUTE(SUBSTITUTE(K174&amp;", "&amp;I174&amp;", Puno, Peru"," ","+"),"&amp;","y"),"#","")),"Ver en mapa")</f>
        <v>Ver en mapa</v>
      </c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5" t="str">
        <f aca="false">IF(AND(ISNUMBER(L174),ISNUMBER(M174),ISNUMBER(14_Cercania!$C$6),ISNUMBER(14_Cercania!$C$7),AC174&lt;&gt;"Rechazado",AC174&lt;&gt;"Inactivo"),6371*2*ASIN(SQRT(SIN(RADIANS(14_Cercania!$C$6-L174)/2)^2+COS(RADIANS(L174))*COS(RADIANS(14_Cercania!$C$6))*SIN(RADIANS(14_Cercania!$C$7-M174)/2)^2))+ROW()*0.000000001,"")</f>
        <v/>
      </c>
    </row>
    <row r="175" customFormat="false" ht="15" hidden="false" customHeight="false" outlineLevel="0" collapsed="false">
      <c r="B175" s="45" t="n">
        <v>169</v>
      </c>
      <c r="C175" s="91"/>
      <c r="D175" s="91"/>
      <c r="E175" s="92"/>
      <c r="F175" s="92"/>
      <c r="G175" s="91"/>
      <c r="H175" s="91"/>
      <c r="I175" s="91"/>
      <c r="J175" s="93" t="s">
        <v>2490</v>
      </c>
      <c r="K175" s="91"/>
      <c r="L175" s="94"/>
      <c r="M175" s="94"/>
      <c r="N175" s="91"/>
      <c r="O175" s="35" t="str">
        <f aca="false">HYPERLINK(IF(AND(ISNUMBER(L175),ISNUMBER(M175)),"https://www.google.com/maps/search/?api=1&amp;query="&amp;L175&amp;","&amp;M175,"https://www.google.com/maps/search/?api=1&amp;query="&amp;SUBSTITUTE(SUBSTITUTE(SUBSTITUTE(K175&amp;", "&amp;I175&amp;", Puno, Peru"," ","+"),"&amp;","y"),"#","")),"Ver en mapa")</f>
        <v>Ver en mapa</v>
      </c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5" t="str">
        <f aca="false">IF(AND(ISNUMBER(L175),ISNUMBER(M175),ISNUMBER(14_Cercania!$C$6),ISNUMBER(14_Cercania!$C$7),AC175&lt;&gt;"Rechazado",AC175&lt;&gt;"Inactivo"),6371*2*ASIN(SQRT(SIN(RADIANS(14_Cercania!$C$6-L175)/2)^2+COS(RADIANS(L175))*COS(RADIANS(14_Cercania!$C$6))*SIN(RADIANS(14_Cercania!$C$7-M175)/2)^2))+ROW()*0.000000001,"")</f>
        <v/>
      </c>
    </row>
    <row r="176" customFormat="false" ht="15" hidden="false" customHeight="false" outlineLevel="0" collapsed="false">
      <c r="B176" s="45" t="n">
        <v>170</v>
      </c>
      <c r="C176" s="91"/>
      <c r="D176" s="91"/>
      <c r="E176" s="92"/>
      <c r="F176" s="92"/>
      <c r="G176" s="91"/>
      <c r="H176" s="91"/>
      <c r="I176" s="91"/>
      <c r="J176" s="93" t="s">
        <v>2490</v>
      </c>
      <c r="K176" s="91"/>
      <c r="L176" s="94"/>
      <c r="M176" s="94"/>
      <c r="N176" s="91"/>
      <c r="O176" s="35" t="str">
        <f aca="false">HYPERLINK(IF(AND(ISNUMBER(L176),ISNUMBER(M176)),"https://www.google.com/maps/search/?api=1&amp;query="&amp;L176&amp;","&amp;M176,"https://www.google.com/maps/search/?api=1&amp;query="&amp;SUBSTITUTE(SUBSTITUTE(SUBSTITUTE(K176&amp;", "&amp;I176&amp;", Puno, Peru"," ","+"),"&amp;","y"),"#","")),"Ver en mapa")</f>
        <v>Ver en mapa</v>
      </c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5" t="str">
        <f aca="false">IF(AND(ISNUMBER(L176),ISNUMBER(M176),ISNUMBER(14_Cercania!$C$6),ISNUMBER(14_Cercania!$C$7),AC176&lt;&gt;"Rechazado",AC176&lt;&gt;"Inactivo"),6371*2*ASIN(SQRT(SIN(RADIANS(14_Cercania!$C$6-L176)/2)^2+COS(RADIANS(L176))*COS(RADIANS(14_Cercania!$C$6))*SIN(RADIANS(14_Cercania!$C$7-M176)/2)^2))+ROW()*0.000000001,"")</f>
        <v/>
      </c>
    </row>
    <row r="177" customFormat="false" ht="15" hidden="false" customHeight="false" outlineLevel="0" collapsed="false">
      <c r="B177" s="45" t="n">
        <v>171</v>
      </c>
      <c r="C177" s="91"/>
      <c r="D177" s="91"/>
      <c r="E177" s="92"/>
      <c r="F177" s="92"/>
      <c r="G177" s="91"/>
      <c r="H177" s="91"/>
      <c r="I177" s="91"/>
      <c r="J177" s="93" t="s">
        <v>2490</v>
      </c>
      <c r="K177" s="91"/>
      <c r="L177" s="94"/>
      <c r="M177" s="94"/>
      <c r="N177" s="91"/>
      <c r="O177" s="35" t="str">
        <f aca="false">HYPERLINK(IF(AND(ISNUMBER(L177),ISNUMBER(M177)),"https://www.google.com/maps/search/?api=1&amp;query="&amp;L177&amp;","&amp;M177,"https://www.google.com/maps/search/?api=1&amp;query="&amp;SUBSTITUTE(SUBSTITUTE(SUBSTITUTE(K177&amp;", "&amp;I177&amp;", Puno, Peru"," ","+"),"&amp;","y"),"#","")),"Ver en mapa")</f>
        <v>Ver en mapa</v>
      </c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5" t="str">
        <f aca="false">IF(AND(ISNUMBER(L177),ISNUMBER(M177),ISNUMBER(14_Cercania!$C$6),ISNUMBER(14_Cercania!$C$7),AC177&lt;&gt;"Rechazado",AC177&lt;&gt;"Inactivo"),6371*2*ASIN(SQRT(SIN(RADIANS(14_Cercania!$C$6-L177)/2)^2+COS(RADIANS(L177))*COS(RADIANS(14_Cercania!$C$6))*SIN(RADIANS(14_Cercania!$C$7-M177)/2)^2))+ROW()*0.000000001,"")</f>
        <v/>
      </c>
    </row>
    <row r="178" customFormat="false" ht="15" hidden="false" customHeight="false" outlineLevel="0" collapsed="false">
      <c r="B178" s="45" t="n">
        <v>172</v>
      </c>
      <c r="C178" s="91"/>
      <c r="D178" s="91"/>
      <c r="E178" s="92"/>
      <c r="F178" s="92"/>
      <c r="G178" s="91"/>
      <c r="H178" s="91"/>
      <c r="I178" s="91"/>
      <c r="J178" s="93" t="s">
        <v>2490</v>
      </c>
      <c r="K178" s="91"/>
      <c r="L178" s="94"/>
      <c r="M178" s="94"/>
      <c r="N178" s="91"/>
      <c r="O178" s="35" t="str">
        <f aca="false">HYPERLINK(IF(AND(ISNUMBER(L178),ISNUMBER(M178)),"https://www.google.com/maps/search/?api=1&amp;query="&amp;L178&amp;","&amp;M178,"https://www.google.com/maps/search/?api=1&amp;query="&amp;SUBSTITUTE(SUBSTITUTE(SUBSTITUTE(K178&amp;", "&amp;I178&amp;", Puno, Peru"," ","+"),"&amp;","y"),"#","")),"Ver en mapa")</f>
        <v>Ver en mapa</v>
      </c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5" t="str">
        <f aca="false">IF(AND(ISNUMBER(L178),ISNUMBER(M178),ISNUMBER(14_Cercania!$C$6),ISNUMBER(14_Cercania!$C$7),AC178&lt;&gt;"Rechazado",AC178&lt;&gt;"Inactivo"),6371*2*ASIN(SQRT(SIN(RADIANS(14_Cercania!$C$6-L178)/2)^2+COS(RADIANS(L178))*COS(RADIANS(14_Cercania!$C$6))*SIN(RADIANS(14_Cercania!$C$7-M178)/2)^2))+ROW()*0.000000001,"")</f>
        <v/>
      </c>
    </row>
    <row r="179" customFormat="false" ht="15" hidden="false" customHeight="false" outlineLevel="0" collapsed="false">
      <c r="B179" s="45" t="n">
        <v>173</v>
      </c>
      <c r="C179" s="91"/>
      <c r="D179" s="91"/>
      <c r="E179" s="92"/>
      <c r="F179" s="92"/>
      <c r="G179" s="91"/>
      <c r="H179" s="91"/>
      <c r="I179" s="91"/>
      <c r="J179" s="93" t="s">
        <v>2490</v>
      </c>
      <c r="K179" s="91"/>
      <c r="L179" s="94"/>
      <c r="M179" s="94"/>
      <c r="N179" s="91"/>
      <c r="O179" s="35" t="str">
        <f aca="false">HYPERLINK(IF(AND(ISNUMBER(L179),ISNUMBER(M179)),"https://www.google.com/maps/search/?api=1&amp;query="&amp;L179&amp;","&amp;M179,"https://www.google.com/maps/search/?api=1&amp;query="&amp;SUBSTITUTE(SUBSTITUTE(SUBSTITUTE(K179&amp;", "&amp;I179&amp;", Puno, Peru"," ","+"),"&amp;","y"),"#","")),"Ver en mapa")</f>
        <v>Ver en mapa</v>
      </c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5" t="str">
        <f aca="false">IF(AND(ISNUMBER(L179),ISNUMBER(M179),ISNUMBER(14_Cercania!$C$6),ISNUMBER(14_Cercania!$C$7),AC179&lt;&gt;"Rechazado",AC179&lt;&gt;"Inactivo"),6371*2*ASIN(SQRT(SIN(RADIANS(14_Cercania!$C$6-L179)/2)^2+COS(RADIANS(L179))*COS(RADIANS(14_Cercania!$C$6))*SIN(RADIANS(14_Cercania!$C$7-M179)/2)^2))+ROW()*0.000000001,"")</f>
        <v/>
      </c>
    </row>
    <row r="180" customFormat="false" ht="15" hidden="false" customHeight="false" outlineLevel="0" collapsed="false">
      <c r="B180" s="45" t="n">
        <v>174</v>
      </c>
      <c r="C180" s="91"/>
      <c r="D180" s="91"/>
      <c r="E180" s="92"/>
      <c r="F180" s="92"/>
      <c r="G180" s="91"/>
      <c r="H180" s="91"/>
      <c r="I180" s="91"/>
      <c r="J180" s="93" t="s">
        <v>2490</v>
      </c>
      <c r="K180" s="91"/>
      <c r="L180" s="94"/>
      <c r="M180" s="94"/>
      <c r="N180" s="91"/>
      <c r="O180" s="35" t="str">
        <f aca="false">HYPERLINK(IF(AND(ISNUMBER(L180),ISNUMBER(M180)),"https://www.google.com/maps/search/?api=1&amp;query="&amp;L180&amp;","&amp;M180,"https://www.google.com/maps/search/?api=1&amp;query="&amp;SUBSTITUTE(SUBSTITUTE(SUBSTITUTE(K180&amp;", "&amp;I180&amp;", Puno, Peru"," ","+"),"&amp;","y"),"#","")),"Ver en mapa")</f>
        <v>Ver en mapa</v>
      </c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5" t="str">
        <f aca="false">IF(AND(ISNUMBER(L180),ISNUMBER(M180),ISNUMBER(14_Cercania!$C$6),ISNUMBER(14_Cercania!$C$7),AC180&lt;&gt;"Rechazado",AC180&lt;&gt;"Inactivo"),6371*2*ASIN(SQRT(SIN(RADIANS(14_Cercania!$C$6-L180)/2)^2+COS(RADIANS(L180))*COS(RADIANS(14_Cercania!$C$6))*SIN(RADIANS(14_Cercania!$C$7-M180)/2)^2))+ROW()*0.000000001,"")</f>
        <v/>
      </c>
    </row>
    <row r="181" customFormat="false" ht="15" hidden="false" customHeight="false" outlineLevel="0" collapsed="false">
      <c r="B181" s="45" t="n">
        <v>175</v>
      </c>
      <c r="C181" s="91"/>
      <c r="D181" s="91"/>
      <c r="E181" s="92"/>
      <c r="F181" s="92"/>
      <c r="G181" s="91"/>
      <c r="H181" s="91"/>
      <c r="I181" s="91"/>
      <c r="J181" s="93" t="s">
        <v>2490</v>
      </c>
      <c r="K181" s="91"/>
      <c r="L181" s="94"/>
      <c r="M181" s="94"/>
      <c r="N181" s="91"/>
      <c r="O181" s="35" t="str">
        <f aca="false">HYPERLINK(IF(AND(ISNUMBER(L181),ISNUMBER(M181)),"https://www.google.com/maps/search/?api=1&amp;query="&amp;L181&amp;","&amp;M181,"https://www.google.com/maps/search/?api=1&amp;query="&amp;SUBSTITUTE(SUBSTITUTE(SUBSTITUTE(K181&amp;", "&amp;I181&amp;", Puno, Peru"," ","+"),"&amp;","y"),"#","")),"Ver en mapa")</f>
        <v>Ver en mapa</v>
      </c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5" t="str">
        <f aca="false">IF(AND(ISNUMBER(L181),ISNUMBER(M181),ISNUMBER(14_Cercania!$C$6),ISNUMBER(14_Cercania!$C$7),AC181&lt;&gt;"Rechazado",AC181&lt;&gt;"Inactivo"),6371*2*ASIN(SQRT(SIN(RADIANS(14_Cercania!$C$6-L181)/2)^2+COS(RADIANS(L181))*COS(RADIANS(14_Cercania!$C$6))*SIN(RADIANS(14_Cercania!$C$7-M181)/2)^2))+ROW()*0.000000001,"")</f>
        <v/>
      </c>
    </row>
    <row r="182" customFormat="false" ht="15" hidden="false" customHeight="false" outlineLevel="0" collapsed="false">
      <c r="B182" s="45" t="n">
        <v>176</v>
      </c>
      <c r="C182" s="91"/>
      <c r="D182" s="91"/>
      <c r="E182" s="92"/>
      <c r="F182" s="92"/>
      <c r="G182" s="91"/>
      <c r="H182" s="91"/>
      <c r="I182" s="91"/>
      <c r="J182" s="93" t="s">
        <v>2490</v>
      </c>
      <c r="K182" s="91"/>
      <c r="L182" s="94"/>
      <c r="M182" s="94"/>
      <c r="N182" s="91"/>
      <c r="O182" s="35" t="str">
        <f aca="false">HYPERLINK(IF(AND(ISNUMBER(L182),ISNUMBER(M182)),"https://www.google.com/maps/search/?api=1&amp;query="&amp;L182&amp;","&amp;M182,"https://www.google.com/maps/search/?api=1&amp;query="&amp;SUBSTITUTE(SUBSTITUTE(SUBSTITUTE(K182&amp;", "&amp;I182&amp;", Puno, Peru"," ","+"),"&amp;","y"),"#","")),"Ver en mapa")</f>
        <v>Ver en mapa</v>
      </c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5" t="str">
        <f aca="false">IF(AND(ISNUMBER(L182),ISNUMBER(M182),ISNUMBER(14_Cercania!$C$6),ISNUMBER(14_Cercania!$C$7),AC182&lt;&gt;"Rechazado",AC182&lt;&gt;"Inactivo"),6371*2*ASIN(SQRT(SIN(RADIANS(14_Cercania!$C$6-L182)/2)^2+COS(RADIANS(L182))*COS(RADIANS(14_Cercania!$C$6))*SIN(RADIANS(14_Cercania!$C$7-M182)/2)^2))+ROW()*0.000000001,"")</f>
        <v/>
      </c>
    </row>
    <row r="183" customFormat="false" ht="15" hidden="false" customHeight="false" outlineLevel="0" collapsed="false">
      <c r="B183" s="45" t="n">
        <v>177</v>
      </c>
      <c r="C183" s="91"/>
      <c r="D183" s="91"/>
      <c r="E183" s="92"/>
      <c r="F183" s="92"/>
      <c r="G183" s="91"/>
      <c r="H183" s="91"/>
      <c r="I183" s="91"/>
      <c r="J183" s="93" t="s">
        <v>2490</v>
      </c>
      <c r="K183" s="91"/>
      <c r="L183" s="94"/>
      <c r="M183" s="94"/>
      <c r="N183" s="91"/>
      <c r="O183" s="35" t="str">
        <f aca="false">HYPERLINK(IF(AND(ISNUMBER(L183),ISNUMBER(M183)),"https://www.google.com/maps/search/?api=1&amp;query="&amp;L183&amp;","&amp;M183,"https://www.google.com/maps/search/?api=1&amp;query="&amp;SUBSTITUTE(SUBSTITUTE(SUBSTITUTE(K183&amp;", "&amp;I183&amp;", Puno, Peru"," ","+"),"&amp;","y"),"#","")),"Ver en mapa")</f>
        <v>Ver en mapa</v>
      </c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5" t="str">
        <f aca="false">IF(AND(ISNUMBER(L183),ISNUMBER(M183),ISNUMBER(14_Cercania!$C$6),ISNUMBER(14_Cercania!$C$7),AC183&lt;&gt;"Rechazado",AC183&lt;&gt;"Inactivo"),6371*2*ASIN(SQRT(SIN(RADIANS(14_Cercania!$C$6-L183)/2)^2+COS(RADIANS(L183))*COS(RADIANS(14_Cercania!$C$6))*SIN(RADIANS(14_Cercania!$C$7-M183)/2)^2))+ROW()*0.000000001,"")</f>
        <v/>
      </c>
    </row>
    <row r="184" customFormat="false" ht="15" hidden="false" customHeight="false" outlineLevel="0" collapsed="false">
      <c r="B184" s="45" t="n">
        <v>178</v>
      </c>
      <c r="C184" s="91"/>
      <c r="D184" s="91"/>
      <c r="E184" s="92"/>
      <c r="F184" s="92"/>
      <c r="G184" s="91"/>
      <c r="H184" s="91"/>
      <c r="I184" s="91"/>
      <c r="J184" s="93" t="s">
        <v>2490</v>
      </c>
      <c r="K184" s="91"/>
      <c r="L184" s="94"/>
      <c r="M184" s="94"/>
      <c r="N184" s="91"/>
      <c r="O184" s="35" t="str">
        <f aca="false">HYPERLINK(IF(AND(ISNUMBER(L184),ISNUMBER(M184)),"https://www.google.com/maps/search/?api=1&amp;query="&amp;L184&amp;","&amp;M184,"https://www.google.com/maps/search/?api=1&amp;query="&amp;SUBSTITUTE(SUBSTITUTE(SUBSTITUTE(K184&amp;", "&amp;I184&amp;", Puno, Peru"," ","+"),"&amp;","y"),"#","")),"Ver en mapa")</f>
        <v>Ver en mapa</v>
      </c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5" t="str">
        <f aca="false">IF(AND(ISNUMBER(L184),ISNUMBER(M184),ISNUMBER(14_Cercania!$C$6),ISNUMBER(14_Cercania!$C$7),AC184&lt;&gt;"Rechazado",AC184&lt;&gt;"Inactivo"),6371*2*ASIN(SQRT(SIN(RADIANS(14_Cercania!$C$6-L184)/2)^2+COS(RADIANS(L184))*COS(RADIANS(14_Cercania!$C$6))*SIN(RADIANS(14_Cercania!$C$7-M184)/2)^2))+ROW()*0.000000001,"")</f>
        <v/>
      </c>
    </row>
    <row r="185" customFormat="false" ht="15" hidden="false" customHeight="false" outlineLevel="0" collapsed="false">
      <c r="B185" s="45" t="n">
        <v>179</v>
      </c>
      <c r="C185" s="91"/>
      <c r="D185" s="91"/>
      <c r="E185" s="92"/>
      <c r="F185" s="92"/>
      <c r="G185" s="91"/>
      <c r="H185" s="91"/>
      <c r="I185" s="91"/>
      <c r="J185" s="93" t="s">
        <v>2490</v>
      </c>
      <c r="K185" s="91"/>
      <c r="L185" s="94"/>
      <c r="M185" s="94"/>
      <c r="N185" s="91"/>
      <c r="O185" s="35" t="str">
        <f aca="false">HYPERLINK(IF(AND(ISNUMBER(L185),ISNUMBER(M185)),"https://www.google.com/maps/search/?api=1&amp;query="&amp;L185&amp;","&amp;M185,"https://www.google.com/maps/search/?api=1&amp;query="&amp;SUBSTITUTE(SUBSTITUTE(SUBSTITUTE(K185&amp;", "&amp;I185&amp;", Puno, Peru"," ","+"),"&amp;","y"),"#","")),"Ver en mapa")</f>
        <v>Ver en mapa</v>
      </c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5" t="str">
        <f aca="false">IF(AND(ISNUMBER(L185),ISNUMBER(M185),ISNUMBER(14_Cercania!$C$6),ISNUMBER(14_Cercania!$C$7),AC185&lt;&gt;"Rechazado",AC185&lt;&gt;"Inactivo"),6371*2*ASIN(SQRT(SIN(RADIANS(14_Cercania!$C$6-L185)/2)^2+COS(RADIANS(L185))*COS(RADIANS(14_Cercania!$C$6))*SIN(RADIANS(14_Cercania!$C$7-M185)/2)^2))+ROW()*0.000000001,"")</f>
        <v/>
      </c>
    </row>
    <row r="186" customFormat="false" ht="15" hidden="false" customHeight="false" outlineLevel="0" collapsed="false">
      <c r="B186" s="45" t="n">
        <v>180</v>
      </c>
      <c r="C186" s="91"/>
      <c r="D186" s="91"/>
      <c r="E186" s="92"/>
      <c r="F186" s="92"/>
      <c r="G186" s="91"/>
      <c r="H186" s="91"/>
      <c r="I186" s="91"/>
      <c r="J186" s="93" t="s">
        <v>2490</v>
      </c>
      <c r="K186" s="91"/>
      <c r="L186" s="94"/>
      <c r="M186" s="94"/>
      <c r="N186" s="91"/>
      <c r="O186" s="35" t="str">
        <f aca="false">HYPERLINK(IF(AND(ISNUMBER(L186),ISNUMBER(M186)),"https://www.google.com/maps/search/?api=1&amp;query="&amp;L186&amp;","&amp;M186,"https://www.google.com/maps/search/?api=1&amp;query="&amp;SUBSTITUTE(SUBSTITUTE(SUBSTITUTE(K186&amp;", "&amp;I186&amp;", Puno, Peru"," ","+"),"&amp;","y"),"#","")),"Ver en mapa")</f>
        <v>Ver en mapa</v>
      </c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5" t="str">
        <f aca="false">IF(AND(ISNUMBER(L186),ISNUMBER(M186),ISNUMBER(14_Cercania!$C$6),ISNUMBER(14_Cercania!$C$7),AC186&lt;&gt;"Rechazado",AC186&lt;&gt;"Inactivo"),6371*2*ASIN(SQRT(SIN(RADIANS(14_Cercania!$C$6-L186)/2)^2+COS(RADIANS(L186))*COS(RADIANS(14_Cercania!$C$6))*SIN(RADIANS(14_Cercania!$C$7-M186)/2)^2))+ROW()*0.000000001,"")</f>
        <v/>
      </c>
    </row>
    <row r="187" customFormat="false" ht="15" hidden="false" customHeight="false" outlineLevel="0" collapsed="false">
      <c r="B187" s="45" t="n">
        <v>181</v>
      </c>
      <c r="C187" s="91"/>
      <c r="D187" s="91"/>
      <c r="E187" s="92"/>
      <c r="F187" s="92"/>
      <c r="G187" s="91"/>
      <c r="H187" s="91"/>
      <c r="I187" s="91"/>
      <c r="J187" s="93" t="s">
        <v>2490</v>
      </c>
      <c r="K187" s="91"/>
      <c r="L187" s="94"/>
      <c r="M187" s="94"/>
      <c r="N187" s="91"/>
      <c r="O187" s="35" t="str">
        <f aca="false">HYPERLINK(IF(AND(ISNUMBER(L187),ISNUMBER(M187)),"https://www.google.com/maps/search/?api=1&amp;query="&amp;L187&amp;","&amp;M187,"https://www.google.com/maps/search/?api=1&amp;query="&amp;SUBSTITUTE(SUBSTITUTE(SUBSTITUTE(K187&amp;", "&amp;I187&amp;", Puno, Peru"," ","+"),"&amp;","y"),"#","")),"Ver en mapa")</f>
        <v>Ver en mapa</v>
      </c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5" t="str">
        <f aca="false">IF(AND(ISNUMBER(L187),ISNUMBER(M187),ISNUMBER(14_Cercania!$C$6),ISNUMBER(14_Cercania!$C$7),AC187&lt;&gt;"Rechazado",AC187&lt;&gt;"Inactivo"),6371*2*ASIN(SQRT(SIN(RADIANS(14_Cercania!$C$6-L187)/2)^2+COS(RADIANS(L187))*COS(RADIANS(14_Cercania!$C$6))*SIN(RADIANS(14_Cercania!$C$7-M187)/2)^2))+ROW()*0.000000001,"")</f>
        <v/>
      </c>
    </row>
    <row r="188" customFormat="false" ht="15" hidden="false" customHeight="false" outlineLevel="0" collapsed="false">
      <c r="B188" s="45" t="n">
        <v>182</v>
      </c>
      <c r="C188" s="91"/>
      <c r="D188" s="91"/>
      <c r="E188" s="92"/>
      <c r="F188" s="92"/>
      <c r="G188" s="91"/>
      <c r="H188" s="91"/>
      <c r="I188" s="91"/>
      <c r="J188" s="93" t="s">
        <v>2490</v>
      </c>
      <c r="K188" s="91"/>
      <c r="L188" s="94"/>
      <c r="M188" s="94"/>
      <c r="N188" s="91"/>
      <c r="O188" s="35" t="str">
        <f aca="false">HYPERLINK(IF(AND(ISNUMBER(L188),ISNUMBER(M188)),"https://www.google.com/maps/search/?api=1&amp;query="&amp;L188&amp;","&amp;M188,"https://www.google.com/maps/search/?api=1&amp;query="&amp;SUBSTITUTE(SUBSTITUTE(SUBSTITUTE(K188&amp;", "&amp;I188&amp;", Puno, Peru"," ","+"),"&amp;","y"),"#","")),"Ver en mapa")</f>
        <v>Ver en mapa</v>
      </c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5" t="str">
        <f aca="false">IF(AND(ISNUMBER(L188),ISNUMBER(M188),ISNUMBER(14_Cercania!$C$6),ISNUMBER(14_Cercania!$C$7),AC188&lt;&gt;"Rechazado",AC188&lt;&gt;"Inactivo"),6371*2*ASIN(SQRT(SIN(RADIANS(14_Cercania!$C$6-L188)/2)^2+COS(RADIANS(L188))*COS(RADIANS(14_Cercania!$C$6))*SIN(RADIANS(14_Cercania!$C$7-M188)/2)^2))+ROW()*0.000000001,"")</f>
        <v/>
      </c>
    </row>
    <row r="189" customFormat="false" ht="15" hidden="false" customHeight="false" outlineLevel="0" collapsed="false">
      <c r="B189" s="45" t="n">
        <v>183</v>
      </c>
      <c r="C189" s="91"/>
      <c r="D189" s="91"/>
      <c r="E189" s="92"/>
      <c r="F189" s="92"/>
      <c r="G189" s="91"/>
      <c r="H189" s="91"/>
      <c r="I189" s="91"/>
      <c r="J189" s="93" t="s">
        <v>2490</v>
      </c>
      <c r="K189" s="91"/>
      <c r="L189" s="94"/>
      <c r="M189" s="94"/>
      <c r="N189" s="91"/>
      <c r="O189" s="35" t="str">
        <f aca="false">HYPERLINK(IF(AND(ISNUMBER(L189),ISNUMBER(M189)),"https://www.google.com/maps/search/?api=1&amp;query="&amp;L189&amp;","&amp;M189,"https://www.google.com/maps/search/?api=1&amp;query="&amp;SUBSTITUTE(SUBSTITUTE(SUBSTITUTE(K189&amp;", "&amp;I189&amp;", Puno, Peru"," ","+"),"&amp;","y"),"#","")),"Ver en mapa")</f>
        <v>Ver en mapa</v>
      </c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5" t="str">
        <f aca="false">IF(AND(ISNUMBER(L189),ISNUMBER(M189),ISNUMBER(14_Cercania!$C$6),ISNUMBER(14_Cercania!$C$7),AC189&lt;&gt;"Rechazado",AC189&lt;&gt;"Inactivo"),6371*2*ASIN(SQRT(SIN(RADIANS(14_Cercania!$C$6-L189)/2)^2+COS(RADIANS(L189))*COS(RADIANS(14_Cercania!$C$6))*SIN(RADIANS(14_Cercania!$C$7-M189)/2)^2))+ROW()*0.000000001,"")</f>
        <v/>
      </c>
    </row>
    <row r="190" customFormat="false" ht="15" hidden="false" customHeight="false" outlineLevel="0" collapsed="false">
      <c r="B190" s="45" t="n">
        <v>184</v>
      </c>
      <c r="C190" s="91"/>
      <c r="D190" s="91"/>
      <c r="E190" s="92"/>
      <c r="F190" s="92"/>
      <c r="G190" s="91"/>
      <c r="H190" s="91"/>
      <c r="I190" s="91"/>
      <c r="J190" s="93" t="s">
        <v>2490</v>
      </c>
      <c r="K190" s="91"/>
      <c r="L190" s="94"/>
      <c r="M190" s="94"/>
      <c r="N190" s="91"/>
      <c r="O190" s="35" t="str">
        <f aca="false">HYPERLINK(IF(AND(ISNUMBER(L190),ISNUMBER(M190)),"https://www.google.com/maps/search/?api=1&amp;query="&amp;L190&amp;","&amp;M190,"https://www.google.com/maps/search/?api=1&amp;query="&amp;SUBSTITUTE(SUBSTITUTE(SUBSTITUTE(K190&amp;", "&amp;I190&amp;", Puno, Peru"," ","+"),"&amp;","y"),"#","")),"Ver en mapa")</f>
        <v>Ver en mapa</v>
      </c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5" t="str">
        <f aca="false">IF(AND(ISNUMBER(L190),ISNUMBER(M190),ISNUMBER(14_Cercania!$C$6),ISNUMBER(14_Cercania!$C$7),AC190&lt;&gt;"Rechazado",AC190&lt;&gt;"Inactivo"),6371*2*ASIN(SQRT(SIN(RADIANS(14_Cercania!$C$6-L190)/2)^2+COS(RADIANS(L190))*COS(RADIANS(14_Cercania!$C$6))*SIN(RADIANS(14_Cercania!$C$7-M190)/2)^2))+ROW()*0.000000001,"")</f>
        <v/>
      </c>
    </row>
    <row r="191" customFormat="false" ht="15" hidden="false" customHeight="false" outlineLevel="0" collapsed="false">
      <c r="B191" s="45" t="n">
        <v>185</v>
      </c>
      <c r="C191" s="91"/>
      <c r="D191" s="91"/>
      <c r="E191" s="92"/>
      <c r="F191" s="92"/>
      <c r="G191" s="91"/>
      <c r="H191" s="91"/>
      <c r="I191" s="91"/>
      <c r="J191" s="93" t="s">
        <v>2490</v>
      </c>
      <c r="K191" s="91"/>
      <c r="L191" s="94"/>
      <c r="M191" s="94"/>
      <c r="N191" s="91"/>
      <c r="O191" s="35" t="str">
        <f aca="false">HYPERLINK(IF(AND(ISNUMBER(L191),ISNUMBER(M191)),"https://www.google.com/maps/search/?api=1&amp;query="&amp;L191&amp;","&amp;M191,"https://www.google.com/maps/search/?api=1&amp;query="&amp;SUBSTITUTE(SUBSTITUTE(SUBSTITUTE(K191&amp;", "&amp;I191&amp;", Puno, Peru"," ","+"),"&amp;","y"),"#","")),"Ver en mapa")</f>
        <v>Ver en mapa</v>
      </c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5" t="str">
        <f aca="false">IF(AND(ISNUMBER(L191),ISNUMBER(M191),ISNUMBER(14_Cercania!$C$6),ISNUMBER(14_Cercania!$C$7),AC191&lt;&gt;"Rechazado",AC191&lt;&gt;"Inactivo"),6371*2*ASIN(SQRT(SIN(RADIANS(14_Cercania!$C$6-L191)/2)^2+COS(RADIANS(L191))*COS(RADIANS(14_Cercania!$C$6))*SIN(RADIANS(14_Cercania!$C$7-M191)/2)^2))+ROW()*0.000000001,"")</f>
        <v/>
      </c>
    </row>
    <row r="192" customFormat="false" ht="15" hidden="false" customHeight="false" outlineLevel="0" collapsed="false">
      <c r="B192" s="45" t="n">
        <v>186</v>
      </c>
      <c r="C192" s="91"/>
      <c r="D192" s="91"/>
      <c r="E192" s="92"/>
      <c r="F192" s="92"/>
      <c r="G192" s="91"/>
      <c r="H192" s="91"/>
      <c r="I192" s="91"/>
      <c r="J192" s="93" t="s">
        <v>2490</v>
      </c>
      <c r="K192" s="91"/>
      <c r="L192" s="94"/>
      <c r="M192" s="94"/>
      <c r="N192" s="91"/>
      <c r="O192" s="35" t="str">
        <f aca="false">HYPERLINK(IF(AND(ISNUMBER(L192),ISNUMBER(M192)),"https://www.google.com/maps/search/?api=1&amp;query="&amp;L192&amp;","&amp;M192,"https://www.google.com/maps/search/?api=1&amp;query="&amp;SUBSTITUTE(SUBSTITUTE(SUBSTITUTE(K192&amp;", "&amp;I192&amp;", Puno, Peru"," ","+"),"&amp;","y"),"#","")),"Ver en mapa")</f>
        <v>Ver en mapa</v>
      </c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5" t="str">
        <f aca="false">IF(AND(ISNUMBER(L192),ISNUMBER(M192),ISNUMBER(14_Cercania!$C$6),ISNUMBER(14_Cercania!$C$7),AC192&lt;&gt;"Rechazado",AC192&lt;&gt;"Inactivo"),6371*2*ASIN(SQRT(SIN(RADIANS(14_Cercania!$C$6-L192)/2)^2+COS(RADIANS(L192))*COS(RADIANS(14_Cercania!$C$6))*SIN(RADIANS(14_Cercania!$C$7-M192)/2)^2))+ROW()*0.000000001,"")</f>
        <v/>
      </c>
    </row>
    <row r="193" customFormat="false" ht="15" hidden="false" customHeight="false" outlineLevel="0" collapsed="false">
      <c r="B193" s="45" t="n">
        <v>187</v>
      </c>
      <c r="C193" s="91"/>
      <c r="D193" s="91"/>
      <c r="E193" s="92"/>
      <c r="F193" s="92"/>
      <c r="G193" s="91"/>
      <c r="H193" s="91"/>
      <c r="I193" s="91"/>
      <c r="J193" s="93" t="s">
        <v>2490</v>
      </c>
      <c r="K193" s="91"/>
      <c r="L193" s="94"/>
      <c r="M193" s="94"/>
      <c r="N193" s="91"/>
      <c r="O193" s="35" t="str">
        <f aca="false">HYPERLINK(IF(AND(ISNUMBER(L193),ISNUMBER(M193)),"https://www.google.com/maps/search/?api=1&amp;query="&amp;L193&amp;","&amp;M193,"https://www.google.com/maps/search/?api=1&amp;query="&amp;SUBSTITUTE(SUBSTITUTE(SUBSTITUTE(K193&amp;", "&amp;I193&amp;", Puno, Peru"," ","+"),"&amp;","y"),"#","")),"Ver en mapa")</f>
        <v>Ver en mapa</v>
      </c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5" t="str">
        <f aca="false">IF(AND(ISNUMBER(L193),ISNUMBER(M193),ISNUMBER(14_Cercania!$C$6),ISNUMBER(14_Cercania!$C$7),AC193&lt;&gt;"Rechazado",AC193&lt;&gt;"Inactivo"),6371*2*ASIN(SQRT(SIN(RADIANS(14_Cercania!$C$6-L193)/2)^2+COS(RADIANS(L193))*COS(RADIANS(14_Cercania!$C$6))*SIN(RADIANS(14_Cercania!$C$7-M193)/2)^2))+ROW()*0.000000001,"")</f>
        <v/>
      </c>
    </row>
    <row r="194" customFormat="false" ht="15" hidden="false" customHeight="false" outlineLevel="0" collapsed="false">
      <c r="B194" s="45" t="n">
        <v>188</v>
      </c>
      <c r="C194" s="91"/>
      <c r="D194" s="91"/>
      <c r="E194" s="92"/>
      <c r="F194" s="92"/>
      <c r="G194" s="91"/>
      <c r="H194" s="91"/>
      <c r="I194" s="91"/>
      <c r="J194" s="93" t="s">
        <v>2490</v>
      </c>
      <c r="K194" s="91"/>
      <c r="L194" s="94"/>
      <c r="M194" s="94"/>
      <c r="N194" s="91"/>
      <c r="O194" s="35" t="str">
        <f aca="false">HYPERLINK(IF(AND(ISNUMBER(L194),ISNUMBER(M194)),"https://www.google.com/maps/search/?api=1&amp;query="&amp;L194&amp;","&amp;M194,"https://www.google.com/maps/search/?api=1&amp;query="&amp;SUBSTITUTE(SUBSTITUTE(SUBSTITUTE(K194&amp;", "&amp;I194&amp;", Puno, Peru"," ","+"),"&amp;","y"),"#","")),"Ver en mapa")</f>
        <v>Ver en mapa</v>
      </c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5" t="str">
        <f aca="false">IF(AND(ISNUMBER(L194),ISNUMBER(M194),ISNUMBER(14_Cercania!$C$6),ISNUMBER(14_Cercania!$C$7),AC194&lt;&gt;"Rechazado",AC194&lt;&gt;"Inactivo"),6371*2*ASIN(SQRT(SIN(RADIANS(14_Cercania!$C$6-L194)/2)^2+COS(RADIANS(L194))*COS(RADIANS(14_Cercania!$C$6))*SIN(RADIANS(14_Cercania!$C$7-M194)/2)^2))+ROW()*0.000000001,"")</f>
        <v/>
      </c>
    </row>
    <row r="195" customFormat="false" ht="15" hidden="false" customHeight="false" outlineLevel="0" collapsed="false">
      <c r="B195" s="45" t="n">
        <v>189</v>
      </c>
      <c r="C195" s="91"/>
      <c r="D195" s="91"/>
      <c r="E195" s="92"/>
      <c r="F195" s="92"/>
      <c r="G195" s="91"/>
      <c r="H195" s="91"/>
      <c r="I195" s="91"/>
      <c r="J195" s="93" t="s">
        <v>2490</v>
      </c>
      <c r="K195" s="91"/>
      <c r="L195" s="94"/>
      <c r="M195" s="94"/>
      <c r="N195" s="91"/>
      <c r="O195" s="35" t="str">
        <f aca="false">HYPERLINK(IF(AND(ISNUMBER(L195),ISNUMBER(M195)),"https://www.google.com/maps/search/?api=1&amp;query="&amp;L195&amp;","&amp;M195,"https://www.google.com/maps/search/?api=1&amp;query="&amp;SUBSTITUTE(SUBSTITUTE(SUBSTITUTE(K195&amp;", "&amp;I195&amp;", Puno, Peru"," ","+"),"&amp;","y"),"#","")),"Ver en mapa")</f>
        <v>Ver en mapa</v>
      </c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5" t="str">
        <f aca="false">IF(AND(ISNUMBER(L195),ISNUMBER(M195),ISNUMBER(14_Cercania!$C$6),ISNUMBER(14_Cercania!$C$7),AC195&lt;&gt;"Rechazado",AC195&lt;&gt;"Inactivo"),6371*2*ASIN(SQRT(SIN(RADIANS(14_Cercania!$C$6-L195)/2)^2+COS(RADIANS(L195))*COS(RADIANS(14_Cercania!$C$6))*SIN(RADIANS(14_Cercania!$C$7-M195)/2)^2))+ROW()*0.000000001,"")</f>
        <v/>
      </c>
    </row>
    <row r="196" customFormat="false" ht="15" hidden="false" customHeight="false" outlineLevel="0" collapsed="false">
      <c r="B196" s="45" t="n">
        <v>190</v>
      </c>
      <c r="C196" s="91"/>
      <c r="D196" s="91"/>
      <c r="E196" s="92"/>
      <c r="F196" s="92"/>
      <c r="G196" s="91"/>
      <c r="H196" s="91"/>
      <c r="I196" s="91"/>
      <c r="J196" s="93" t="s">
        <v>2490</v>
      </c>
      <c r="K196" s="91"/>
      <c r="L196" s="94"/>
      <c r="M196" s="94"/>
      <c r="N196" s="91"/>
      <c r="O196" s="35" t="str">
        <f aca="false">HYPERLINK(IF(AND(ISNUMBER(L196),ISNUMBER(M196)),"https://www.google.com/maps/search/?api=1&amp;query="&amp;L196&amp;","&amp;M196,"https://www.google.com/maps/search/?api=1&amp;query="&amp;SUBSTITUTE(SUBSTITUTE(SUBSTITUTE(K196&amp;", "&amp;I196&amp;", Puno, Peru"," ","+"),"&amp;","y"),"#","")),"Ver en mapa")</f>
        <v>Ver en mapa</v>
      </c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5" t="str">
        <f aca="false">IF(AND(ISNUMBER(L196),ISNUMBER(M196),ISNUMBER(14_Cercania!$C$6),ISNUMBER(14_Cercania!$C$7),AC196&lt;&gt;"Rechazado",AC196&lt;&gt;"Inactivo"),6371*2*ASIN(SQRT(SIN(RADIANS(14_Cercania!$C$6-L196)/2)^2+COS(RADIANS(L196))*COS(RADIANS(14_Cercania!$C$6))*SIN(RADIANS(14_Cercania!$C$7-M196)/2)^2))+ROW()*0.000000001,"")</f>
        <v/>
      </c>
    </row>
    <row r="197" customFormat="false" ht="15" hidden="false" customHeight="false" outlineLevel="0" collapsed="false">
      <c r="B197" s="45" t="n">
        <v>191</v>
      </c>
      <c r="C197" s="91"/>
      <c r="D197" s="91"/>
      <c r="E197" s="92"/>
      <c r="F197" s="92"/>
      <c r="G197" s="91"/>
      <c r="H197" s="91"/>
      <c r="I197" s="91"/>
      <c r="J197" s="93" t="s">
        <v>2490</v>
      </c>
      <c r="K197" s="91"/>
      <c r="L197" s="94"/>
      <c r="M197" s="94"/>
      <c r="N197" s="91"/>
      <c r="O197" s="35" t="str">
        <f aca="false">HYPERLINK(IF(AND(ISNUMBER(L197),ISNUMBER(M197)),"https://www.google.com/maps/search/?api=1&amp;query="&amp;L197&amp;","&amp;M197,"https://www.google.com/maps/search/?api=1&amp;query="&amp;SUBSTITUTE(SUBSTITUTE(SUBSTITUTE(K197&amp;", "&amp;I197&amp;", Puno, Peru"," ","+"),"&amp;","y"),"#","")),"Ver en mapa")</f>
        <v>Ver en mapa</v>
      </c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5" t="str">
        <f aca="false">IF(AND(ISNUMBER(L197),ISNUMBER(M197),ISNUMBER(14_Cercania!$C$6),ISNUMBER(14_Cercania!$C$7),AC197&lt;&gt;"Rechazado",AC197&lt;&gt;"Inactivo"),6371*2*ASIN(SQRT(SIN(RADIANS(14_Cercania!$C$6-L197)/2)^2+COS(RADIANS(L197))*COS(RADIANS(14_Cercania!$C$6))*SIN(RADIANS(14_Cercania!$C$7-M197)/2)^2))+ROW()*0.000000001,"")</f>
        <v/>
      </c>
    </row>
    <row r="198" customFormat="false" ht="15" hidden="false" customHeight="false" outlineLevel="0" collapsed="false">
      <c r="B198" s="45" t="n">
        <v>192</v>
      </c>
      <c r="C198" s="91"/>
      <c r="D198" s="91"/>
      <c r="E198" s="92"/>
      <c r="F198" s="92"/>
      <c r="G198" s="91"/>
      <c r="H198" s="91"/>
      <c r="I198" s="91"/>
      <c r="J198" s="93" t="s">
        <v>2490</v>
      </c>
      <c r="K198" s="91"/>
      <c r="L198" s="94"/>
      <c r="M198" s="94"/>
      <c r="N198" s="91"/>
      <c r="O198" s="35" t="str">
        <f aca="false">HYPERLINK(IF(AND(ISNUMBER(L198),ISNUMBER(M198)),"https://www.google.com/maps/search/?api=1&amp;query="&amp;L198&amp;","&amp;M198,"https://www.google.com/maps/search/?api=1&amp;query="&amp;SUBSTITUTE(SUBSTITUTE(SUBSTITUTE(K198&amp;", "&amp;I198&amp;", Puno, Peru"," ","+"),"&amp;","y"),"#","")),"Ver en mapa")</f>
        <v>Ver en mapa</v>
      </c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5" t="str">
        <f aca="false">IF(AND(ISNUMBER(L198),ISNUMBER(M198),ISNUMBER(14_Cercania!$C$6),ISNUMBER(14_Cercania!$C$7),AC198&lt;&gt;"Rechazado",AC198&lt;&gt;"Inactivo"),6371*2*ASIN(SQRT(SIN(RADIANS(14_Cercania!$C$6-L198)/2)^2+COS(RADIANS(L198))*COS(RADIANS(14_Cercania!$C$6))*SIN(RADIANS(14_Cercania!$C$7-M198)/2)^2))+ROW()*0.000000001,"")</f>
        <v/>
      </c>
    </row>
    <row r="199" customFormat="false" ht="15" hidden="false" customHeight="false" outlineLevel="0" collapsed="false">
      <c r="B199" s="45" t="n">
        <v>193</v>
      </c>
      <c r="C199" s="91"/>
      <c r="D199" s="91"/>
      <c r="E199" s="92"/>
      <c r="F199" s="92"/>
      <c r="G199" s="91"/>
      <c r="H199" s="91"/>
      <c r="I199" s="91"/>
      <c r="J199" s="93" t="s">
        <v>2490</v>
      </c>
      <c r="K199" s="91"/>
      <c r="L199" s="94"/>
      <c r="M199" s="94"/>
      <c r="N199" s="91"/>
      <c r="O199" s="35" t="str">
        <f aca="false">HYPERLINK(IF(AND(ISNUMBER(L199),ISNUMBER(M199)),"https://www.google.com/maps/search/?api=1&amp;query="&amp;L199&amp;","&amp;M199,"https://www.google.com/maps/search/?api=1&amp;query="&amp;SUBSTITUTE(SUBSTITUTE(SUBSTITUTE(K199&amp;", "&amp;I199&amp;", Puno, Peru"," ","+"),"&amp;","y"),"#","")),"Ver en mapa")</f>
        <v>Ver en mapa</v>
      </c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5" t="str">
        <f aca="false">IF(AND(ISNUMBER(L199),ISNUMBER(M199),ISNUMBER(14_Cercania!$C$6),ISNUMBER(14_Cercania!$C$7),AC199&lt;&gt;"Rechazado",AC199&lt;&gt;"Inactivo"),6371*2*ASIN(SQRT(SIN(RADIANS(14_Cercania!$C$6-L199)/2)^2+COS(RADIANS(L199))*COS(RADIANS(14_Cercania!$C$6))*SIN(RADIANS(14_Cercania!$C$7-M199)/2)^2))+ROW()*0.000000001,"")</f>
        <v/>
      </c>
    </row>
    <row r="200" customFormat="false" ht="15" hidden="false" customHeight="false" outlineLevel="0" collapsed="false">
      <c r="B200" s="45" t="n">
        <v>194</v>
      </c>
      <c r="C200" s="91"/>
      <c r="D200" s="91"/>
      <c r="E200" s="92"/>
      <c r="F200" s="92"/>
      <c r="G200" s="91"/>
      <c r="H200" s="91"/>
      <c r="I200" s="91"/>
      <c r="J200" s="93" t="s">
        <v>2490</v>
      </c>
      <c r="K200" s="91"/>
      <c r="L200" s="94"/>
      <c r="M200" s="94"/>
      <c r="N200" s="91"/>
      <c r="O200" s="35" t="str">
        <f aca="false">HYPERLINK(IF(AND(ISNUMBER(L200),ISNUMBER(M200)),"https://www.google.com/maps/search/?api=1&amp;query="&amp;L200&amp;","&amp;M200,"https://www.google.com/maps/search/?api=1&amp;query="&amp;SUBSTITUTE(SUBSTITUTE(SUBSTITUTE(K200&amp;", "&amp;I200&amp;", Puno, Peru"," ","+"),"&amp;","y"),"#","")),"Ver en mapa")</f>
        <v>Ver en mapa</v>
      </c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5" t="str">
        <f aca="false">IF(AND(ISNUMBER(L200),ISNUMBER(M200),ISNUMBER(14_Cercania!$C$6),ISNUMBER(14_Cercania!$C$7),AC200&lt;&gt;"Rechazado",AC200&lt;&gt;"Inactivo"),6371*2*ASIN(SQRT(SIN(RADIANS(14_Cercania!$C$6-L200)/2)^2+COS(RADIANS(L200))*COS(RADIANS(14_Cercania!$C$6))*SIN(RADIANS(14_Cercania!$C$7-M200)/2)^2))+ROW()*0.000000001,"")</f>
        <v/>
      </c>
    </row>
    <row r="201" customFormat="false" ht="15" hidden="false" customHeight="false" outlineLevel="0" collapsed="false">
      <c r="B201" s="45" t="n">
        <v>195</v>
      </c>
      <c r="C201" s="91"/>
      <c r="D201" s="91"/>
      <c r="E201" s="92"/>
      <c r="F201" s="92"/>
      <c r="G201" s="91"/>
      <c r="H201" s="91"/>
      <c r="I201" s="91"/>
      <c r="J201" s="93" t="s">
        <v>2490</v>
      </c>
      <c r="K201" s="91"/>
      <c r="L201" s="94"/>
      <c r="M201" s="94"/>
      <c r="N201" s="91"/>
      <c r="O201" s="35" t="str">
        <f aca="false">HYPERLINK(IF(AND(ISNUMBER(L201),ISNUMBER(M201)),"https://www.google.com/maps/search/?api=1&amp;query="&amp;L201&amp;","&amp;M201,"https://www.google.com/maps/search/?api=1&amp;query="&amp;SUBSTITUTE(SUBSTITUTE(SUBSTITUTE(K201&amp;", "&amp;I201&amp;", Puno, Peru"," ","+"),"&amp;","y"),"#","")),"Ver en mapa")</f>
        <v>Ver en mapa</v>
      </c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5" t="str">
        <f aca="false">IF(AND(ISNUMBER(L201),ISNUMBER(M201),ISNUMBER(14_Cercania!$C$6),ISNUMBER(14_Cercania!$C$7),AC201&lt;&gt;"Rechazado",AC201&lt;&gt;"Inactivo"),6371*2*ASIN(SQRT(SIN(RADIANS(14_Cercania!$C$6-L201)/2)^2+COS(RADIANS(L201))*COS(RADIANS(14_Cercania!$C$6))*SIN(RADIANS(14_Cercania!$C$7-M201)/2)^2))+ROW()*0.000000001,"")</f>
        <v/>
      </c>
    </row>
    <row r="202" customFormat="false" ht="15" hidden="false" customHeight="false" outlineLevel="0" collapsed="false">
      <c r="B202" s="45" t="n">
        <v>196</v>
      </c>
      <c r="C202" s="91"/>
      <c r="D202" s="91"/>
      <c r="E202" s="92"/>
      <c r="F202" s="92"/>
      <c r="G202" s="91"/>
      <c r="H202" s="91"/>
      <c r="I202" s="91"/>
      <c r="J202" s="93" t="s">
        <v>2490</v>
      </c>
      <c r="K202" s="91"/>
      <c r="L202" s="94"/>
      <c r="M202" s="94"/>
      <c r="N202" s="91"/>
      <c r="O202" s="35" t="str">
        <f aca="false">HYPERLINK(IF(AND(ISNUMBER(L202),ISNUMBER(M202)),"https://www.google.com/maps/search/?api=1&amp;query="&amp;L202&amp;","&amp;M202,"https://www.google.com/maps/search/?api=1&amp;query="&amp;SUBSTITUTE(SUBSTITUTE(SUBSTITUTE(K202&amp;", "&amp;I202&amp;", Puno, Peru"," ","+"),"&amp;","y"),"#","")),"Ver en mapa")</f>
        <v>Ver en mapa</v>
      </c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5" t="str">
        <f aca="false">IF(AND(ISNUMBER(L202),ISNUMBER(M202),ISNUMBER(14_Cercania!$C$6),ISNUMBER(14_Cercania!$C$7),AC202&lt;&gt;"Rechazado",AC202&lt;&gt;"Inactivo"),6371*2*ASIN(SQRT(SIN(RADIANS(14_Cercania!$C$6-L202)/2)^2+COS(RADIANS(L202))*COS(RADIANS(14_Cercania!$C$6))*SIN(RADIANS(14_Cercania!$C$7-M202)/2)^2))+ROW()*0.000000001,"")</f>
        <v/>
      </c>
    </row>
    <row r="203" customFormat="false" ht="15" hidden="false" customHeight="false" outlineLevel="0" collapsed="false">
      <c r="B203" s="45" t="n">
        <v>197</v>
      </c>
      <c r="C203" s="91"/>
      <c r="D203" s="91"/>
      <c r="E203" s="92"/>
      <c r="F203" s="92"/>
      <c r="G203" s="91"/>
      <c r="H203" s="91"/>
      <c r="I203" s="91"/>
      <c r="J203" s="93" t="s">
        <v>2490</v>
      </c>
      <c r="K203" s="91"/>
      <c r="L203" s="94"/>
      <c r="M203" s="94"/>
      <c r="N203" s="91"/>
      <c r="O203" s="35" t="str">
        <f aca="false">HYPERLINK(IF(AND(ISNUMBER(L203),ISNUMBER(M203)),"https://www.google.com/maps/search/?api=1&amp;query="&amp;L203&amp;","&amp;M203,"https://www.google.com/maps/search/?api=1&amp;query="&amp;SUBSTITUTE(SUBSTITUTE(SUBSTITUTE(K203&amp;", "&amp;I203&amp;", Puno, Peru"," ","+"),"&amp;","y"),"#","")),"Ver en mapa")</f>
        <v>Ver en mapa</v>
      </c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5" t="str">
        <f aca="false">IF(AND(ISNUMBER(L203),ISNUMBER(M203),ISNUMBER(14_Cercania!$C$6),ISNUMBER(14_Cercania!$C$7),AC203&lt;&gt;"Rechazado",AC203&lt;&gt;"Inactivo"),6371*2*ASIN(SQRT(SIN(RADIANS(14_Cercania!$C$6-L203)/2)^2+COS(RADIANS(L203))*COS(RADIANS(14_Cercania!$C$6))*SIN(RADIANS(14_Cercania!$C$7-M203)/2)^2))+ROW()*0.000000001,"")</f>
        <v/>
      </c>
    </row>
    <row r="204" customFormat="false" ht="15" hidden="false" customHeight="false" outlineLevel="0" collapsed="false">
      <c r="B204" s="45" t="n">
        <v>198</v>
      </c>
      <c r="C204" s="91"/>
      <c r="D204" s="91"/>
      <c r="E204" s="92"/>
      <c r="F204" s="92"/>
      <c r="G204" s="91"/>
      <c r="H204" s="91"/>
      <c r="I204" s="91"/>
      <c r="J204" s="93" t="s">
        <v>2490</v>
      </c>
      <c r="K204" s="91"/>
      <c r="L204" s="94"/>
      <c r="M204" s="94"/>
      <c r="N204" s="91"/>
      <c r="O204" s="35" t="str">
        <f aca="false">HYPERLINK(IF(AND(ISNUMBER(L204),ISNUMBER(M204)),"https://www.google.com/maps/search/?api=1&amp;query="&amp;L204&amp;","&amp;M204,"https://www.google.com/maps/search/?api=1&amp;query="&amp;SUBSTITUTE(SUBSTITUTE(SUBSTITUTE(K204&amp;", "&amp;I204&amp;", Puno, Peru"," ","+"),"&amp;","y"),"#","")),"Ver en mapa")</f>
        <v>Ver en mapa</v>
      </c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5" t="str">
        <f aca="false">IF(AND(ISNUMBER(L204),ISNUMBER(M204),ISNUMBER(14_Cercania!$C$6),ISNUMBER(14_Cercania!$C$7),AC204&lt;&gt;"Rechazado",AC204&lt;&gt;"Inactivo"),6371*2*ASIN(SQRT(SIN(RADIANS(14_Cercania!$C$6-L204)/2)^2+COS(RADIANS(L204))*COS(RADIANS(14_Cercania!$C$6))*SIN(RADIANS(14_Cercania!$C$7-M204)/2)^2))+ROW()*0.000000001,"")</f>
        <v/>
      </c>
    </row>
    <row r="205" customFormat="false" ht="15" hidden="false" customHeight="false" outlineLevel="0" collapsed="false">
      <c r="B205" s="45" t="n">
        <v>199</v>
      </c>
      <c r="C205" s="91"/>
      <c r="D205" s="91"/>
      <c r="E205" s="92"/>
      <c r="F205" s="92"/>
      <c r="G205" s="91"/>
      <c r="H205" s="91"/>
      <c r="I205" s="91"/>
      <c r="J205" s="93" t="s">
        <v>2490</v>
      </c>
      <c r="K205" s="91"/>
      <c r="L205" s="94"/>
      <c r="M205" s="94"/>
      <c r="N205" s="91"/>
      <c r="O205" s="35" t="str">
        <f aca="false">HYPERLINK(IF(AND(ISNUMBER(L205),ISNUMBER(M205)),"https://www.google.com/maps/search/?api=1&amp;query="&amp;L205&amp;","&amp;M205,"https://www.google.com/maps/search/?api=1&amp;query="&amp;SUBSTITUTE(SUBSTITUTE(SUBSTITUTE(K205&amp;", "&amp;I205&amp;", Puno, Peru"," ","+"),"&amp;","y"),"#","")),"Ver en mapa")</f>
        <v>Ver en mapa</v>
      </c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5" t="str">
        <f aca="false">IF(AND(ISNUMBER(L205),ISNUMBER(M205),ISNUMBER(14_Cercania!$C$6),ISNUMBER(14_Cercania!$C$7),AC205&lt;&gt;"Rechazado",AC205&lt;&gt;"Inactivo"),6371*2*ASIN(SQRT(SIN(RADIANS(14_Cercania!$C$6-L205)/2)^2+COS(RADIANS(L205))*COS(RADIANS(14_Cercania!$C$6))*SIN(RADIANS(14_Cercania!$C$7-M205)/2)^2))+ROW()*0.000000001,"")</f>
        <v/>
      </c>
    </row>
    <row r="206" customFormat="false" ht="15" hidden="false" customHeight="false" outlineLevel="0" collapsed="false">
      <c r="B206" s="45" t="n">
        <v>200</v>
      </c>
      <c r="C206" s="91"/>
      <c r="D206" s="91"/>
      <c r="E206" s="92"/>
      <c r="F206" s="92"/>
      <c r="G206" s="91"/>
      <c r="H206" s="91"/>
      <c r="I206" s="91"/>
      <c r="J206" s="93" t="s">
        <v>2490</v>
      </c>
      <c r="K206" s="91"/>
      <c r="L206" s="94"/>
      <c r="M206" s="94"/>
      <c r="N206" s="91"/>
      <c r="O206" s="35" t="str">
        <f aca="false">HYPERLINK(IF(AND(ISNUMBER(L206),ISNUMBER(M206)),"https://www.google.com/maps/search/?api=1&amp;query="&amp;L206&amp;","&amp;M206,"https://www.google.com/maps/search/?api=1&amp;query="&amp;SUBSTITUTE(SUBSTITUTE(SUBSTITUTE(K206&amp;", "&amp;I206&amp;", Puno, Peru"," ","+"),"&amp;","y"),"#","")),"Ver en mapa")</f>
        <v>Ver en mapa</v>
      </c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5" t="str">
        <f aca="false">IF(AND(ISNUMBER(L206),ISNUMBER(M206),ISNUMBER(14_Cercania!$C$6),ISNUMBER(14_Cercania!$C$7),AC206&lt;&gt;"Rechazado",AC206&lt;&gt;"Inactivo"),6371*2*ASIN(SQRT(SIN(RADIANS(14_Cercania!$C$6-L206)/2)^2+COS(RADIANS(L206))*COS(RADIANS(14_Cercania!$C$6))*SIN(RADIANS(14_Cercania!$C$7-M206)/2)^2))+ROW()*0.000000001,"")</f>
        <v/>
      </c>
    </row>
    <row r="207" customFormat="false" ht="15" hidden="false" customHeight="false" outlineLevel="0" collapsed="false">
      <c r="B207" s="45" t="n">
        <v>201</v>
      </c>
      <c r="C207" s="91"/>
      <c r="D207" s="91"/>
      <c r="E207" s="92"/>
      <c r="F207" s="92"/>
      <c r="G207" s="91"/>
      <c r="H207" s="91"/>
      <c r="I207" s="91"/>
      <c r="J207" s="93" t="s">
        <v>2490</v>
      </c>
      <c r="K207" s="91"/>
      <c r="L207" s="94"/>
      <c r="M207" s="94"/>
      <c r="N207" s="91"/>
      <c r="O207" s="35" t="str">
        <f aca="false">HYPERLINK(IF(AND(ISNUMBER(L207),ISNUMBER(M207)),"https://www.google.com/maps/search/?api=1&amp;query="&amp;L207&amp;","&amp;M207,"https://www.google.com/maps/search/?api=1&amp;query="&amp;SUBSTITUTE(SUBSTITUTE(SUBSTITUTE(K207&amp;", "&amp;I207&amp;", Puno, Peru"," ","+"),"&amp;","y"),"#","")),"Ver en mapa")</f>
        <v>Ver en mapa</v>
      </c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5" t="str">
        <f aca="false">IF(AND(ISNUMBER(L207),ISNUMBER(M207),ISNUMBER(14_Cercania!$C$6),ISNUMBER(14_Cercania!$C$7),AC207&lt;&gt;"Rechazado",AC207&lt;&gt;"Inactivo"),6371*2*ASIN(SQRT(SIN(RADIANS(14_Cercania!$C$6-L207)/2)^2+COS(RADIANS(L207))*COS(RADIANS(14_Cercania!$C$6))*SIN(RADIANS(14_Cercania!$C$7-M207)/2)^2))+ROW()*0.000000001,"")</f>
        <v/>
      </c>
    </row>
    <row r="208" customFormat="false" ht="15" hidden="false" customHeight="false" outlineLevel="0" collapsed="false">
      <c r="B208" s="45" t="n">
        <v>202</v>
      </c>
      <c r="C208" s="91"/>
      <c r="D208" s="91"/>
      <c r="E208" s="92"/>
      <c r="F208" s="92"/>
      <c r="G208" s="91"/>
      <c r="H208" s="91"/>
      <c r="I208" s="91"/>
      <c r="J208" s="93" t="s">
        <v>2490</v>
      </c>
      <c r="K208" s="91"/>
      <c r="L208" s="94"/>
      <c r="M208" s="94"/>
      <c r="N208" s="91"/>
      <c r="O208" s="35" t="str">
        <f aca="false">HYPERLINK(IF(AND(ISNUMBER(L208),ISNUMBER(M208)),"https://www.google.com/maps/search/?api=1&amp;query="&amp;L208&amp;","&amp;M208,"https://www.google.com/maps/search/?api=1&amp;query="&amp;SUBSTITUTE(SUBSTITUTE(SUBSTITUTE(K208&amp;", "&amp;I208&amp;", Puno, Peru"," ","+"),"&amp;","y"),"#","")),"Ver en mapa")</f>
        <v>Ver en mapa</v>
      </c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5" t="str">
        <f aca="false">IF(AND(ISNUMBER(L208),ISNUMBER(M208),ISNUMBER(14_Cercania!$C$6),ISNUMBER(14_Cercania!$C$7),AC208&lt;&gt;"Rechazado",AC208&lt;&gt;"Inactivo"),6371*2*ASIN(SQRT(SIN(RADIANS(14_Cercania!$C$6-L208)/2)^2+COS(RADIANS(L208))*COS(RADIANS(14_Cercania!$C$6))*SIN(RADIANS(14_Cercania!$C$7-M208)/2)^2))+ROW()*0.000000001,"")</f>
        <v/>
      </c>
    </row>
    <row r="209" customFormat="false" ht="15" hidden="false" customHeight="false" outlineLevel="0" collapsed="false">
      <c r="B209" s="45" t="n">
        <v>203</v>
      </c>
      <c r="C209" s="91"/>
      <c r="D209" s="91"/>
      <c r="E209" s="92"/>
      <c r="F209" s="92"/>
      <c r="G209" s="91"/>
      <c r="H209" s="91"/>
      <c r="I209" s="91"/>
      <c r="J209" s="93" t="s">
        <v>2490</v>
      </c>
      <c r="K209" s="91"/>
      <c r="L209" s="94"/>
      <c r="M209" s="94"/>
      <c r="N209" s="91"/>
      <c r="O209" s="35" t="str">
        <f aca="false">HYPERLINK(IF(AND(ISNUMBER(L209),ISNUMBER(M209)),"https://www.google.com/maps/search/?api=1&amp;query="&amp;L209&amp;","&amp;M209,"https://www.google.com/maps/search/?api=1&amp;query="&amp;SUBSTITUTE(SUBSTITUTE(SUBSTITUTE(K209&amp;", "&amp;I209&amp;", Puno, Peru"," ","+"),"&amp;","y"),"#","")),"Ver en mapa")</f>
        <v>Ver en mapa</v>
      </c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5" t="str">
        <f aca="false">IF(AND(ISNUMBER(L209),ISNUMBER(M209),ISNUMBER(14_Cercania!$C$6),ISNUMBER(14_Cercania!$C$7),AC209&lt;&gt;"Rechazado",AC209&lt;&gt;"Inactivo"),6371*2*ASIN(SQRT(SIN(RADIANS(14_Cercania!$C$6-L209)/2)^2+COS(RADIANS(L209))*COS(RADIANS(14_Cercania!$C$6))*SIN(RADIANS(14_Cercania!$C$7-M209)/2)^2))+ROW()*0.000000001,"")</f>
        <v/>
      </c>
    </row>
    <row r="210" customFormat="false" ht="15" hidden="false" customHeight="false" outlineLevel="0" collapsed="false">
      <c r="B210" s="45" t="n">
        <v>204</v>
      </c>
      <c r="C210" s="91"/>
      <c r="D210" s="91"/>
      <c r="E210" s="92"/>
      <c r="F210" s="92"/>
      <c r="G210" s="91"/>
      <c r="H210" s="91"/>
      <c r="I210" s="91"/>
      <c r="J210" s="93" t="s">
        <v>2490</v>
      </c>
      <c r="K210" s="91"/>
      <c r="L210" s="94"/>
      <c r="M210" s="94"/>
      <c r="N210" s="91"/>
      <c r="O210" s="35" t="str">
        <f aca="false">HYPERLINK(IF(AND(ISNUMBER(L210),ISNUMBER(M210)),"https://www.google.com/maps/search/?api=1&amp;query="&amp;L210&amp;","&amp;M210,"https://www.google.com/maps/search/?api=1&amp;query="&amp;SUBSTITUTE(SUBSTITUTE(SUBSTITUTE(K210&amp;", "&amp;I210&amp;", Puno, Peru"," ","+"),"&amp;","y"),"#","")),"Ver en mapa")</f>
        <v>Ver en mapa</v>
      </c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5" t="str">
        <f aca="false">IF(AND(ISNUMBER(L210),ISNUMBER(M210),ISNUMBER(14_Cercania!$C$6),ISNUMBER(14_Cercania!$C$7),AC210&lt;&gt;"Rechazado",AC210&lt;&gt;"Inactivo"),6371*2*ASIN(SQRT(SIN(RADIANS(14_Cercania!$C$6-L210)/2)^2+COS(RADIANS(L210))*COS(RADIANS(14_Cercania!$C$6))*SIN(RADIANS(14_Cercania!$C$7-M210)/2)^2))+ROW()*0.000000001,"")</f>
        <v/>
      </c>
    </row>
    <row r="211" customFormat="false" ht="15" hidden="false" customHeight="false" outlineLevel="0" collapsed="false">
      <c r="B211" s="45" t="n">
        <v>205</v>
      </c>
      <c r="C211" s="91"/>
      <c r="D211" s="91"/>
      <c r="E211" s="92"/>
      <c r="F211" s="92"/>
      <c r="G211" s="91"/>
      <c r="H211" s="91"/>
      <c r="I211" s="91"/>
      <c r="J211" s="93" t="s">
        <v>2490</v>
      </c>
      <c r="K211" s="91"/>
      <c r="L211" s="94"/>
      <c r="M211" s="94"/>
      <c r="N211" s="91"/>
      <c r="O211" s="35" t="str">
        <f aca="false">HYPERLINK(IF(AND(ISNUMBER(L211),ISNUMBER(M211)),"https://www.google.com/maps/search/?api=1&amp;query="&amp;L211&amp;","&amp;M211,"https://www.google.com/maps/search/?api=1&amp;query="&amp;SUBSTITUTE(SUBSTITUTE(SUBSTITUTE(K211&amp;", "&amp;I211&amp;", Puno, Peru"," ","+"),"&amp;","y"),"#","")),"Ver en mapa")</f>
        <v>Ver en mapa</v>
      </c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5" t="str">
        <f aca="false">IF(AND(ISNUMBER(L211),ISNUMBER(M211),ISNUMBER(14_Cercania!$C$6),ISNUMBER(14_Cercania!$C$7),AC211&lt;&gt;"Rechazado",AC211&lt;&gt;"Inactivo"),6371*2*ASIN(SQRT(SIN(RADIANS(14_Cercania!$C$6-L211)/2)^2+COS(RADIANS(L211))*COS(RADIANS(14_Cercania!$C$6))*SIN(RADIANS(14_Cercania!$C$7-M211)/2)^2))+ROW()*0.000000001,"")</f>
        <v/>
      </c>
    </row>
    <row r="212" customFormat="false" ht="15" hidden="false" customHeight="false" outlineLevel="0" collapsed="false">
      <c r="B212" s="45" t="n">
        <v>206</v>
      </c>
      <c r="C212" s="91"/>
      <c r="D212" s="91"/>
      <c r="E212" s="92"/>
      <c r="F212" s="92"/>
      <c r="G212" s="91"/>
      <c r="H212" s="91"/>
      <c r="I212" s="91"/>
      <c r="J212" s="93" t="s">
        <v>2490</v>
      </c>
      <c r="K212" s="91"/>
      <c r="L212" s="94"/>
      <c r="M212" s="94"/>
      <c r="N212" s="91"/>
      <c r="O212" s="35" t="str">
        <f aca="false">HYPERLINK(IF(AND(ISNUMBER(L212),ISNUMBER(M212)),"https://www.google.com/maps/search/?api=1&amp;query="&amp;L212&amp;","&amp;M212,"https://www.google.com/maps/search/?api=1&amp;query="&amp;SUBSTITUTE(SUBSTITUTE(SUBSTITUTE(K212&amp;", "&amp;I212&amp;", Puno, Peru"," ","+"),"&amp;","y"),"#","")),"Ver en mapa")</f>
        <v>Ver en mapa</v>
      </c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5" t="str">
        <f aca="false">IF(AND(ISNUMBER(L212),ISNUMBER(M212),ISNUMBER(14_Cercania!$C$6),ISNUMBER(14_Cercania!$C$7),AC212&lt;&gt;"Rechazado",AC212&lt;&gt;"Inactivo"),6371*2*ASIN(SQRT(SIN(RADIANS(14_Cercania!$C$6-L212)/2)^2+COS(RADIANS(L212))*COS(RADIANS(14_Cercania!$C$6))*SIN(RADIANS(14_Cercania!$C$7-M212)/2)^2))+ROW()*0.000000001,"")</f>
        <v/>
      </c>
    </row>
    <row r="213" customFormat="false" ht="15" hidden="false" customHeight="false" outlineLevel="0" collapsed="false">
      <c r="B213" s="45" t="n">
        <v>207</v>
      </c>
      <c r="C213" s="91"/>
      <c r="D213" s="91"/>
      <c r="E213" s="92"/>
      <c r="F213" s="92"/>
      <c r="G213" s="91"/>
      <c r="H213" s="91"/>
      <c r="I213" s="91"/>
      <c r="J213" s="93" t="s">
        <v>2490</v>
      </c>
      <c r="K213" s="91"/>
      <c r="L213" s="94"/>
      <c r="M213" s="94"/>
      <c r="N213" s="91"/>
      <c r="O213" s="35" t="str">
        <f aca="false">HYPERLINK(IF(AND(ISNUMBER(L213),ISNUMBER(M213)),"https://www.google.com/maps/search/?api=1&amp;query="&amp;L213&amp;","&amp;M213,"https://www.google.com/maps/search/?api=1&amp;query="&amp;SUBSTITUTE(SUBSTITUTE(SUBSTITUTE(K213&amp;", "&amp;I213&amp;", Puno, Peru"," ","+"),"&amp;","y"),"#","")),"Ver en mapa")</f>
        <v>Ver en mapa</v>
      </c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5" t="str">
        <f aca="false">IF(AND(ISNUMBER(L213),ISNUMBER(M213),ISNUMBER(14_Cercania!$C$6),ISNUMBER(14_Cercania!$C$7),AC213&lt;&gt;"Rechazado",AC213&lt;&gt;"Inactivo"),6371*2*ASIN(SQRT(SIN(RADIANS(14_Cercania!$C$6-L213)/2)^2+COS(RADIANS(L213))*COS(RADIANS(14_Cercania!$C$6))*SIN(RADIANS(14_Cercania!$C$7-M213)/2)^2))+ROW()*0.000000001,"")</f>
        <v/>
      </c>
    </row>
    <row r="214" customFormat="false" ht="15" hidden="false" customHeight="false" outlineLevel="0" collapsed="false">
      <c r="B214" s="45" t="n">
        <v>208</v>
      </c>
      <c r="C214" s="91"/>
      <c r="D214" s="91"/>
      <c r="E214" s="92"/>
      <c r="F214" s="92"/>
      <c r="G214" s="91"/>
      <c r="H214" s="91"/>
      <c r="I214" s="91"/>
      <c r="J214" s="93" t="s">
        <v>2490</v>
      </c>
      <c r="K214" s="91"/>
      <c r="L214" s="94"/>
      <c r="M214" s="94"/>
      <c r="N214" s="91"/>
      <c r="O214" s="35" t="str">
        <f aca="false">HYPERLINK(IF(AND(ISNUMBER(L214),ISNUMBER(M214)),"https://www.google.com/maps/search/?api=1&amp;query="&amp;L214&amp;","&amp;M214,"https://www.google.com/maps/search/?api=1&amp;query="&amp;SUBSTITUTE(SUBSTITUTE(SUBSTITUTE(K214&amp;", "&amp;I214&amp;", Puno, Peru"," ","+"),"&amp;","y"),"#","")),"Ver en mapa")</f>
        <v>Ver en mapa</v>
      </c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5" t="str">
        <f aca="false">IF(AND(ISNUMBER(L214),ISNUMBER(M214),ISNUMBER(14_Cercania!$C$6),ISNUMBER(14_Cercania!$C$7),AC214&lt;&gt;"Rechazado",AC214&lt;&gt;"Inactivo"),6371*2*ASIN(SQRT(SIN(RADIANS(14_Cercania!$C$6-L214)/2)^2+COS(RADIANS(L214))*COS(RADIANS(14_Cercania!$C$6))*SIN(RADIANS(14_Cercania!$C$7-M214)/2)^2))+ROW()*0.000000001,"")</f>
        <v/>
      </c>
    </row>
    <row r="215" customFormat="false" ht="15" hidden="false" customHeight="false" outlineLevel="0" collapsed="false">
      <c r="B215" s="45" t="n">
        <v>209</v>
      </c>
      <c r="C215" s="91"/>
      <c r="D215" s="91"/>
      <c r="E215" s="92"/>
      <c r="F215" s="92"/>
      <c r="G215" s="91"/>
      <c r="H215" s="91"/>
      <c r="I215" s="91"/>
      <c r="J215" s="93" t="s">
        <v>2490</v>
      </c>
      <c r="K215" s="91"/>
      <c r="L215" s="94"/>
      <c r="M215" s="94"/>
      <c r="N215" s="91"/>
      <c r="O215" s="35" t="str">
        <f aca="false">HYPERLINK(IF(AND(ISNUMBER(L215),ISNUMBER(M215)),"https://www.google.com/maps/search/?api=1&amp;query="&amp;L215&amp;","&amp;M215,"https://www.google.com/maps/search/?api=1&amp;query="&amp;SUBSTITUTE(SUBSTITUTE(SUBSTITUTE(K215&amp;", "&amp;I215&amp;", Puno, Peru"," ","+"),"&amp;","y"),"#","")),"Ver en mapa")</f>
        <v>Ver en mapa</v>
      </c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5" t="str">
        <f aca="false">IF(AND(ISNUMBER(L215),ISNUMBER(M215),ISNUMBER(14_Cercania!$C$6),ISNUMBER(14_Cercania!$C$7),AC215&lt;&gt;"Rechazado",AC215&lt;&gt;"Inactivo"),6371*2*ASIN(SQRT(SIN(RADIANS(14_Cercania!$C$6-L215)/2)^2+COS(RADIANS(L215))*COS(RADIANS(14_Cercania!$C$6))*SIN(RADIANS(14_Cercania!$C$7-M215)/2)^2))+ROW()*0.000000001,"")</f>
        <v/>
      </c>
    </row>
    <row r="216" customFormat="false" ht="15" hidden="false" customHeight="false" outlineLevel="0" collapsed="false">
      <c r="B216" s="45" t="n">
        <v>210</v>
      </c>
      <c r="C216" s="91"/>
      <c r="D216" s="91"/>
      <c r="E216" s="92"/>
      <c r="F216" s="92"/>
      <c r="G216" s="91"/>
      <c r="H216" s="91"/>
      <c r="I216" s="91"/>
      <c r="J216" s="93" t="s">
        <v>2490</v>
      </c>
      <c r="K216" s="91"/>
      <c r="L216" s="94"/>
      <c r="M216" s="94"/>
      <c r="N216" s="91"/>
      <c r="O216" s="35" t="str">
        <f aca="false">HYPERLINK(IF(AND(ISNUMBER(L216),ISNUMBER(M216)),"https://www.google.com/maps/search/?api=1&amp;query="&amp;L216&amp;","&amp;M216,"https://www.google.com/maps/search/?api=1&amp;query="&amp;SUBSTITUTE(SUBSTITUTE(SUBSTITUTE(K216&amp;", "&amp;I216&amp;", Puno, Peru"," ","+"),"&amp;","y"),"#","")),"Ver en mapa")</f>
        <v>Ver en mapa</v>
      </c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5" t="str">
        <f aca="false">IF(AND(ISNUMBER(L216),ISNUMBER(M216),ISNUMBER(14_Cercania!$C$6),ISNUMBER(14_Cercania!$C$7),AC216&lt;&gt;"Rechazado",AC216&lt;&gt;"Inactivo"),6371*2*ASIN(SQRT(SIN(RADIANS(14_Cercania!$C$6-L216)/2)^2+COS(RADIANS(L216))*COS(RADIANS(14_Cercania!$C$6))*SIN(RADIANS(14_Cercania!$C$7-M216)/2)^2))+ROW()*0.000000001,"")</f>
        <v/>
      </c>
    </row>
    <row r="217" customFormat="false" ht="15" hidden="false" customHeight="false" outlineLevel="0" collapsed="false">
      <c r="B217" s="45" t="n">
        <v>211</v>
      </c>
      <c r="C217" s="91"/>
      <c r="D217" s="91"/>
      <c r="E217" s="92"/>
      <c r="F217" s="92"/>
      <c r="G217" s="91"/>
      <c r="H217" s="91"/>
      <c r="I217" s="91"/>
      <c r="J217" s="93" t="s">
        <v>2490</v>
      </c>
      <c r="K217" s="91"/>
      <c r="L217" s="94"/>
      <c r="M217" s="94"/>
      <c r="N217" s="91"/>
      <c r="O217" s="35" t="str">
        <f aca="false">HYPERLINK(IF(AND(ISNUMBER(L217),ISNUMBER(M217)),"https://www.google.com/maps/search/?api=1&amp;query="&amp;L217&amp;","&amp;M217,"https://www.google.com/maps/search/?api=1&amp;query="&amp;SUBSTITUTE(SUBSTITUTE(SUBSTITUTE(K217&amp;", "&amp;I217&amp;", Puno, Peru"," ","+"),"&amp;","y"),"#","")),"Ver en mapa")</f>
        <v>Ver en mapa</v>
      </c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5" t="str">
        <f aca="false">IF(AND(ISNUMBER(L217),ISNUMBER(M217),ISNUMBER(14_Cercania!$C$6),ISNUMBER(14_Cercania!$C$7),AC217&lt;&gt;"Rechazado",AC217&lt;&gt;"Inactivo"),6371*2*ASIN(SQRT(SIN(RADIANS(14_Cercania!$C$6-L217)/2)^2+COS(RADIANS(L217))*COS(RADIANS(14_Cercania!$C$6))*SIN(RADIANS(14_Cercania!$C$7-M217)/2)^2))+ROW()*0.000000001,"")</f>
        <v/>
      </c>
    </row>
    <row r="218" customFormat="false" ht="15" hidden="false" customHeight="false" outlineLevel="0" collapsed="false">
      <c r="B218" s="45" t="n">
        <v>212</v>
      </c>
      <c r="C218" s="91"/>
      <c r="D218" s="91"/>
      <c r="E218" s="92"/>
      <c r="F218" s="92"/>
      <c r="G218" s="91"/>
      <c r="H218" s="91"/>
      <c r="I218" s="91"/>
      <c r="J218" s="93" t="s">
        <v>2490</v>
      </c>
      <c r="K218" s="91"/>
      <c r="L218" s="94"/>
      <c r="M218" s="94"/>
      <c r="N218" s="91"/>
      <c r="O218" s="35" t="str">
        <f aca="false">HYPERLINK(IF(AND(ISNUMBER(L218),ISNUMBER(M218)),"https://www.google.com/maps/search/?api=1&amp;query="&amp;L218&amp;","&amp;M218,"https://www.google.com/maps/search/?api=1&amp;query="&amp;SUBSTITUTE(SUBSTITUTE(SUBSTITUTE(K218&amp;", "&amp;I218&amp;", Puno, Peru"," ","+"),"&amp;","y"),"#","")),"Ver en mapa")</f>
        <v>Ver en mapa</v>
      </c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5" t="str">
        <f aca="false">IF(AND(ISNUMBER(L218),ISNUMBER(M218),ISNUMBER(14_Cercania!$C$6),ISNUMBER(14_Cercania!$C$7),AC218&lt;&gt;"Rechazado",AC218&lt;&gt;"Inactivo"),6371*2*ASIN(SQRT(SIN(RADIANS(14_Cercania!$C$6-L218)/2)^2+COS(RADIANS(L218))*COS(RADIANS(14_Cercania!$C$6))*SIN(RADIANS(14_Cercania!$C$7-M218)/2)^2))+ROW()*0.000000001,"")</f>
        <v/>
      </c>
    </row>
    <row r="219" customFormat="false" ht="15" hidden="false" customHeight="false" outlineLevel="0" collapsed="false">
      <c r="B219" s="45" t="n">
        <v>213</v>
      </c>
      <c r="C219" s="91"/>
      <c r="D219" s="91"/>
      <c r="E219" s="92"/>
      <c r="F219" s="92"/>
      <c r="G219" s="91"/>
      <c r="H219" s="91"/>
      <c r="I219" s="91"/>
      <c r="J219" s="93" t="s">
        <v>2490</v>
      </c>
      <c r="K219" s="91"/>
      <c r="L219" s="94"/>
      <c r="M219" s="94"/>
      <c r="N219" s="91"/>
      <c r="O219" s="35" t="str">
        <f aca="false">HYPERLINK(IF(AND(ISNUMBER(L219),ISNUMBER(M219)),"https://www.google.com/maps/search/?api=1&amp;query="&amp;L219&amp;","&amp;M219,"https://www.google.com/maps/search/?api=1&amp;query="&amp;SUBSTITUTE(SUBSTITUTE(SUBSTITUTE(K219&amp;", "&amp;I219&amp;", Puno, Peru"," ","+"),"&amp;","y"),"#","")),"Ver en mapa")</f>
        <v>Ver en mapa</v>
      </c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5" t="str">
        <f aca="false">IF(AND(ISNUMBER(L219),ISNUMBER(M219),ISNUMBER(14_Cercania!$C$6),ISNUMBER(14_Cercania!$C$7),AC219&lt;&gt;"Rechazado",AC219&lt;&gt;"Inactivo"),6371*2*ASIN(SQRT(SIN(RADIANS(14_Cercania!$C$6-L219)/2)^2+COS(RADIANS(L219))*COS(RADIANS(14_Cercania!$C$6))*SIN(RADIANS(14_Cercania!$C$7-M219)/2)^2))+ROW()*0.000000001,"")</f>
        <v/>
      </c>
    </row>
    <row r="220" customFormat="false" ht="15" hidden="false" customHeight="false" outlineLevel="0" collapsed="false">
      <c r="B220" s="45" t="n">
        <v>214</v>
      </c>
      <c r="C220" s="91"/>
      <c r="D220" s="91"/>
      <c r="E220" s="92"/>
      <c r="F220" s="92"/>
      <c r="G220" s="91"/>
      <c r="H220" s="91"/>
      <c r="I220" s="91"/>
      <c r="J220" s="93" t="s">
        <v>2490</v>
      </c>
      <c r="K220" s="91"/>
      <c r="L220" s="94"/>
      <c r="M220" s="94"/>
      <c r="N220" s="91"/>
      <c r="O220" s="35" t="str">
        <f aca="false">HYPERLINK(IF(AND(ISNUMBER(L220),ISNUMBER(M220)),"https://www.google.com/maps/search/?api=1&amp;query="&amp;L220&amp;","&amp;M220,"https://www.google.com/maps/search/?api=1&amp;query="&amp;SUBSTITUTE(SUBSTITUTE(SUBSTITUTE(K220&amp;", "&amp;I220&amp;", Puno, Peru"," ","+"),"&amp;","y"),"#","")),"Ver en mapa")</f>
        <v>Ver en mapa</v>
      </c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5" t="str">
        <f aca="false">IF(AND(ISNUMBER(L220),ISNUMBER(M220),ISNUMBER(14_Cercania!$C$6),ISNUMBER(14_Cercania!$C$7),AC220&lt;&gt;"Rechazado",AC220&lt;&gt;"Inactivo"),6371*2*ASIN(SQRT(SIN(RADIANS(14_Cercania!$C$6-L220)/2)^2+COS(RADIANS(L220))*COS(RADIANS(14_Cercania!$C$6))*SIN(RADIANS(14_Cercania!$C$7-M220)/2)^2))+ROW()*0.000000001,"")</f>
        <v/>
      </c>
    </row>
    <row r="221" customFormat="false" ht="15" hidden="false" customHeight="false" outlineLevel="0" collapsed="false">
      <c r="B221" s="45" t="n">
        <v>215</v>
      </c>
      <c r="C221" s="91"/>
      <c r="D221" s="91"/>
      <c r="E221" s="92"/>
      <c r="F221" s="92"/>
      <c r="G221" s="91"/>
      <c r="H221" s="91"/>
      <c r="I221" s="91"/>
      <c r="J221" s="93" t="s">
        <v>2490</v>
      </c>
      <c r="K221" s="91"/>
      <c r="L221" s="94"/>
      <c r="M221" s="94"/>
      <c r="N221" s="91"/>
      <c r="O221" s="35" t="str">
        <f aca="false">HYPERLINK(IF(AND(ISNUMBER(L221),ISNUMBER(M221)),"https://www.google.com/maps/search/?api=1&amp;query="&amp;L221&amp;","&amp;M221,"https://www.google.com/maps/search/?api=1&amp;query="&amp;SUBSTITUTE(SUBSTITUTE(SUBSTITUTE(K221&amp;", "&amp;I221&amp;", Puno, Peru"," ","+"),"&amp;","y"),"#","")),"Ver en mapa")</f>
        <v>Ver en mapa</v>
      </c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5" t="str">
        <f aca="false">IF(AND(ISNUMBER(L221),ISNUMBER(M221),ISNUMBER(14_Cercania!$C$6),ISNUMBER(14_Cercania!$C$7),AC221&lt;&gt;"Rechazado",AC221&lt;&gt;"Inactivo"),6371*2*ASIN(SQRT(SIN(RADIANS(14_Cercania!$C$6-L221)/2)^2+COS(RADIANS(L221))*COS(RADIANS(14_Cercania!$C$6))*SIN(RADIANS(14_Cercania!$C$7-M221)/2)^2))+ROW()*0.000000001,"")</f>
        <v/>
      </c>
    </row>
    <row r="222" customFormat="false" ht="15" hidden="false" customHeight="false" outlineLevel="0" collapsed="false">
      <c r="B222" s="45" t="n">
        <v>216</v>
      </c>
      <c r="C222" s="91"/>
      <c r="D222" s="91"/>
      <c r="E222" s="92"/>
      <c r="F222" s="92"/>
      <c r="G222" s="91"/>
      <c r="H222" s="91"/>
      <c r="I222" s="91"/>
      <c r="J222" s="93" t="s">
        <v>2490</v>
      </c>
      <c r="K222" s="91"/>
      <c r="L222" s="94"/>
      <c r="M222" s="94"/>
      <c r="N222" s="91"/>
      <c r="O222" s="35" t="str">
        <f aca="false">HYPERLINK(IF(AND(ISNUMBER(L222),ISNUMBER(M222)),"https://www.google.com/maps/search/?api=1&amp;query="&amp;L222&amp;","&amp;M222,"https://www.google.com/maps/search/?api=1&amp;query="&amp;SUBSTITUTE(SUBSTITUTE(SUBSTITUTE(K222&amp;", "&amp;I222&amp;", Puno, Peru"," ","+"),"&amp;","y"),"#","")),"Ver en mapa")</f>
        <v>Ver en mapa</v>
      </c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5" t="str">
        <f aca="false">IF(AND(ISNUMBER(L222),ISNUMBER(M222),ISNUMBER(14_Cercania!$C$6),ISNUMBER(14_Cercania!$C$7),AC222&lt;&gt;"Rechazado",AC222&lt;&gt;"Inactivo"),6371*2*ASIN(SQRT(SIN(RADIANS(14_Cercania!$C$6-L222)/2)^2+COS(RADIANS(L222))*COS(RADIANS(14_Cercania!$C$6))*SIN(RADIANS(14_Cercania!$C$7-M222)/2)^2))+ROW()*0.000000001,"")</f>
        <v/>
      </c>
    </row>
    <row r="223" customFormat="false" ht="15" hidden="false" customHeight="false" outlineLevel="0" collapsed="false">
      <c r="B223" s="45" t="n">
        <v>217</v>
      </c>
      <c r="C223" s="91"/>
      <c r="D223" s="91"/>
      <c r="E223" s="92"/>
      <c r="F223" s="92"/>
      <c r="G223" s="91"/>
      <c r="H223" s="91"/>
      <c r="I223" s="91"/>
      <c r="J223" s="93" t="s">
        <v>2490</v>
      </c>
      <c r="K223" s="91"/>
      <c r="L223" s="94"/>
      <c r="M223" s="94"/>
      <c r="N223" s="91"/>
      <c r="O223" s="35" t="str">
        <f aca="false">HYPERLINK(IF(AND(ISNUMBER(L223),ISNUMBER(M223)),"https://www.google.com/maps/search/?api=1&amp;query="&amp;L223&amp;","&amp;M223,"https://www.google.com/maps/search/?api=1&amp;query="&amp;SUBSTITUTE(SUBSTITUTE(SUBSTITUTE(K223&amp;", "&amp;I223&amp;", Puno, Peru"," ","+"),"&amp;","y"),"#","")),"Ver en mapa")</f>
        <v>Ver en mapa</v>
      </c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5" t="str">
        <f aca="false">IF(AND(ISNUMBER(L223),ISNUMBER(M223),ISNUMBER(14_Cercania!$C$6),ISNUMBER(14_Cercania!$C$7),AC223&lt;&gt;"Rechazado",AC223&lt;&gt;"Inactivo"),6371*2*ASIN(SQRT(SIN(RADIANS(14_Cercania!$C$6-L223)/2)^2+COS(RADIANS(L223))*COS(RADIANS(14_Cercania!$C$6))*SIN(RADIANS(14_Cercania!$C$7-M223)/2)^2))+ROW()*0.000000001,"")</f>
        <v/>
      </c>
    </row>
    <row r="224" customFormat="false" ht="15" hidden="false" customHeight="false" outlineLevel="0" collapsed="false">
      <c r="B224" s="45" t="n">
        <v>218</v>
      </c>
      <c r="C224" s="91"/>
      <c r="D224" s="91"/>
      <c r="E224" s="92"/>
      <c r="F224" s="92"/>
      <c r="G224" s="91"/>
      <c r="H224" s="91"/>
      <c r="I224" s="91"/>
      <c r="J224" s="93" t="s">
        <v>2490</v>
      </c>
      <c r="K224" s="91"/>
      <c r="L224" s="94"/>
      <c r="M224" s="94"/>
      <c r="N224" s="91"/>
      <c r="O224" s="35" t="str">
        <f aca="false">HYPERLINK(IF(AND(ISNUMBER(L224),ISNUMBER(M224)),"https://www.google.com/maps/search/?api=1&amp;query="&amp;L224&amp;","&amp;M224,"https://www.google.com/maps/search/?api=1&amp;query="&amp;SUBSTITUTE(SUBSTITUTE(SUBSTITUTE(K224&amp;", "&amp;I224&amp;", Puno, Peru"," ","+"),"&amp;","y"),"#","")),"Ver en mapa")</f>
        <v>Ver en mapa</v>
      </c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5" t="str">
        <f aca="false">IF(AND(ISNUMBER(L224),ISNUMBER(M224),ISNUMBER(14_Cercania!$C$6),ISNUMBER(14_Cercania!$C$7),AC224&lt;&gt;"Rechazado",AC224&lt;&gt;"Inactivo"),6371*2*ASIN(SQRT(SIN(RADIANS(14_Cercania!$C$6-L224)/2)^2+COS(RADIANS(L224))*COS(RADIANS(14_Cercania!$C$6))*SIN(RADIANS(14_Cercania!$C$7-M224)/2)^2))+ROW()*0.000000001,"")</f>
        <v/>
      </c>
    </row>
    <row r="225" customFormat="false" ht="15" hidden="false" customHeight="false" outlineLevel="0" collapsed="false">
      <c r="B225" s="45" t="n">
        <v>219</v>
      </c>
      <c r="C225" s="91"/>
      <c r="D225" s="91"/>
      <c r="E225" s="92"/>
      <c r="F225" s="92"/>
      <c r="G225" s="91"/>
      <c r="H225" s="91"/>
      <c r="I225" s="91"/>
      <c r="J225" s="93" t="s">
        <v>2490</v>
      </c>
      <c r="K225" s="91"/>
      <c r="L225" s="94"/>
      <c r="M225" s="94"/>
      <c r="N225" s="91"/>
      <c r="O225" s="35" t="str">
        <f aca="false">HYPERLINK(IF(AND(ISNUMBER(L225),ISNUMBER(M225)),"https://www.google.com/maps/search/?api=1&amp;query="&amp;L225&amp;","&amp;M225,"https://www.google.com/maps/search/?api=1&amp;query="&amp;SUBSTITUTE(SUBSTITUTE(SUBSTITUTE(K225&amp;", "&amp;I225&amp;", Puno, Peru"," ","+"),"&amp;","y"),"#","")),"Ver en mapa")</f>
        <v>Ver en mapa</v>
      </c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5" t="str">
        <f aca="false">IF(AND(ISNUMBER(L225),ISNUMBER(M225),ISNUMBER(14_Cercania!$C$6),ISNUMBER(14_Cercania!$C$7),AC225&lt;&gt;"Rechazado",AC225&lt;&gt;"Inactivo"),6371*2*ASIN(SQRT(SIN(RADIANS(14_Cercania!$C$6-L225)/2)^2+COS(RADIANS(L225))*COS(RADIANS(14_Cercania!$C$6))*SIN(RADIANS(14_Cercania!$C$7-M225)/2)^2))+ROW()*0.000000001,"")</f>
        <v/>
      </c>
    </row>
    <row r="226" customFormat="false" ht="15" hidden="false" customHeight="false" outlineLevel="0" collapsed="false">
      <c r="B226" s="45" t="n">
        <v>220</v>
      </c>
      <c r="C226" s="91"/>
      <c r="D226" s="91"/>
      <c r="E226" s="92"/>
      <c r="F226" s="92"/>
      <c r="G226" s="91"/>
      <c r="H226" s="91"/>
      <c r="I226" s="91"/>
      <c r="J226" s="93" t="s">
        <v>2490</v>
      </c>
      <c r="K226" s="91"/>
      <c r="L226" s="94"/>
      <c r="M226" s="94"/>
      <c r="N226" s="91"/>
      <c r="O226" s="35" t="str">
        <f aca="false">HYPERLINK(IF(AND(ISNUMBER(L226),ISNUMBER(M226)),"https://www.google.com/maps/search/?api=1&amp;query="&amp;L226&amp;","&amp;M226,"https://www.google.com/maps/search/?api=1&amp;query="&amp;SUBSTITUTE(SUBSTITUTE(SUBSTITUTE(K226&amp;", "&amp;I226&amp;", Puno, Peru"," ","+"),"&amp;","y"),"#","")),"Ver en mapa")</f>
        <v>Ver en mapa</v>
      </c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5" t="str">
        <f aca="false">IF(AND(ISNUMBER(L226),ISNUMBER(M226),ISNUMBER(14_Cercania!$C$6),ISNUMBER(14_Cercania!$C$7),AC226&lt;&gt;"Rechazado",AC226&lt;&gt;"Inactivo"),6371*2*ASIN(SQRT(SIN(RADIANS(14_Cercania!$C$6-L226)/2)^2+COS(RADIANS(L226))*COS(RADIANS(14_Cercania!$C$6))*SIN(RADIANS(14_Cercania!$C$7-M226)/2)^2))+ROW()*0.000000001,"")</f>
        <v/>
      </c>
    </row>
    <row r="227" customFormat="false" ht="15" hidden="false" customHeight="false" outlineLevel="0" collapsed="false">
      <c r="B227" s="45" t="n">
        <v>221</v>
      </c>
      <c r="C227" s="91"/>
      <c r="D227" s="91"/>
      <c r="E227" s="92"/>
      <c r="F227" s="92"/>
      <c r="G227" s="91"/>
      <c r="H227" s="91"/>
      <c r="I227" s="91"/>
      <c r="J227" s="93" t="s">
        <v>2490</v>
      </c>
      <c r="K227" s="91"/>
      <c r="L227" s="94"/>
      <c r="M227" s="94"/>
      <c r="N227" s="91"/>
      <c r="O227" s="35" t="str">
        <f aca="false">HYPERLINK(IF(AND(ISNUMBER(L227),ISNUMBER(M227)),"https://www.google.com/maps/search/?api=1&amp;query="&amp;L227&amp;","&amp;M227,"https://www.google.com/maps/search/?api=1&amp;query="&amp;SUBSTITUTE(SUBSTITUTE(SUBSTITUTE(K227&amp;", "&amp;I227&amp;", Puno, Peru"," ","+"),"&amp;","y"),"#","")),"Ver en mapa")</f>
        <v>Ver en mapa</v>
      </c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5" t="str">
        <f aca="false">IF(AND(ISNUMBER(L227),ISNUMBER(M227),ISNUMBER(14_Cercania!$C$6),ISNUMBER(14_Cercania!$C$7),AC227&lt;&gt;"Rechazado",AC227&lt;&gt;"Inactivo"),6371*2*ASIN(SQRT(SIN(RADIANS(14_Cercania!$C$6-L227)/2)^2+COS(RADIANS(L227))*COS(RADIANS(14_Cercania!$C$6))*SIN(RADIANS(14_Cercania!$C$7-M227)/2)^2))+ROW()*0.000000001,"")</f>
        <v/>
      </c>
    </row>
    <row r="228" customFormat="false" ht="15" hidden="false" customHeight="false" outlineLevel="0" collapsed="false">
      <c r="B228" s="45" t="n">
        <v>222</v>
      </c>
      <c r="C228" s="91"/>
      <c r="D228" s="91"/>
      <c r="E228" s="92"/>
      <c r="F228" s="92"/>
      <c r="G228" s="91"/>
      <c r="H228" s="91"/>
      <c r="I228" s="91"/>
      <c r="J228" s="93" t="s">
        <v>2490</v>
      </c>
      <c r="K228" s="91"/>
      <c r="L228" s="94"/>
      <c r="M228" s="94"/>
      <c r="N228" s="91"/>
      <c r="O228" s="35" t="str">
        <f aca="false">HYPERLINK(IF(AND(ISNUMBER(L228),ISNUMBER(M228)),"https://www.google.com/maps/search/?api=1&amp;query="&amp;L228&amp;","&amp;M228,"https://www.google.com/maps/search/?api=1&amp;query="&amp;SUBSTITUTE(SUBSTITUTE(SUBSTITUTE(K228&amp;", "&amp;I228&amp;", Puno, Peru"," ","+"),"&amp;","y"),"#","")),"Ver en mapa")</f>
        <v>Ver en mapa</v>
      </c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5" t="str">
        <f aca="false">IF(AND(ISNUMBER(L228),ISNUMBER(M228),ISNUMBER(14_Cercania!$C$6),ISNUMBER(14_Cercania!$C$7),AC228&lt;&gt;"Rechazado",AC228&lt;&gt;"Inactivo"),6371*2*ASIN(SQRT(SIN(RADIANS(14_Cercania!$C$6-L228)/2)^2+COS(RADIANS(L228))*COS(RADIANS(14_Cercania!$C$6))*SIN(RADIANS(14_Cercania!$C$7-M228)/2)^2))+ROW()*0.000000001,"")</f>
        <v/>
      </c>
    </row>
    <row r="229" customFormat="false" ht="15" hidden="false" customHeight="false" outlineLevel="0" collapsed="false">
      <c r="B229" s="45" t="n">
        <v>223</v>
      </c>
      <c r="C229" s="91"/>
      <c r="D229" s="91"/>
      <c r="E229" s="92"/>
      <c r="F229" s="92"/>
      <c r="G229" s="91"/>
      <c r="H229" s="91"/>
      <c r="I229" s="91"/>
      <c r="J229" s="93" t="s">
        <v>2490</v>
      </c>
      <c r="K229" s="91"/>
      <c r="L229" s="94"/>
      <c r="M229" s="94"/>
      <c r="N229" s="91"/>
      <c r="O229" s="35" t="str">
        <f aca="false">HYPERLINK(IF(AND(ISNUMBER(L229),ISNUMBER(M229)),"https://www.google.com/maps/search/?api=1&amp;query="&amp;L229&amp;","&amp;M229,"https://www.google.com/maps/search/?api=1&amp;query="&amp;SUBSTITUTE(SUBSTITUTE(SUBSTITUTE(K229&amp;", "&amp;I229&amp;", Puno, Peru"," ","+"),"&amp;","y"),"#","")),"Ver en mapa")</f>
        <v>Ver en mapa</v>
      </c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5" t="str">
        <f aca="false">IF(AND(ISNUMBER(L229),ISNUMBER(M229),ISNUMBER(14_Cercania!$C$6),ISNUMBER(14_Cercania!$C$7),AC229&lt;&gt;"Rechazado",AC229&lt;&gt;"Inactivo"),6371*2*ASIN(SQRT(SIN(RADIANS(14_Cercania!$C$6-L229)/2)^2+COS(RADIANS(L229))*COS(RADIANS(14_Cercania!$C$6))*SIN(RADIANS(14_Cercania!$C$7-M229)/2)^2))+ROW()*0.000000001,"")</f>
        <v/>
      </c>
    </row>
    <row r="230" customFormat="false" ht="15" hidden="false" customHeight="false" outlineLevel="0" collapsed="false">
      <c r="B230" s="45" t="n">
        <v>224</v>
      </c>
      <c r="C230" s="91"/>
      <c r="D230" s="91"/>
      <c r="E230" s="92"/>
      <c r="F230" s="92"/>
      <c r="G230" s="91"/>
      <c r="H230" s="91"/>
      <c r="I230" s="91"/>
      <c r="J230" s="93" t="s">
        <v>2490</v>
      </c>
      <c r="K230" s="91"/>
      <c r="L230" s="94"/>
      <c r="M230" s="94"/>
      <c r="N230" s="91"/>
      <c r="O230" s="35" t="str">
        <f aca="false">HYPERLINK(IF(AND(ISNUMBER(L230),ISNUMBER(M230)),"https://www.google.com/maps/search/?api=1&amp;query="&amp;L230&amp;","&amp;M230,"https://www.google.com/maps/search/?api=1&amp;query="&amp;SUBSTITUTE(SUBSTITUTE(SUBSTITUTE(K230&amp;", "&amp;I230&amp;", Puno, Peru"," ","+"),"&amp;","y"),"#","")),"Ver en mapa")</f>
        <v>Ver en mapa</v>
      </c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5" t="str">
        <f aca="false">IF(AND(ISNUMBER(L230),ISNUMBER(M230),ISNUMBER(14_Cercania!$C$6),ISNUMBER(14_Cercania!$C$7),AC230&lt;&gt;"Rechazado",AC230&lt;&gt;"Inactivo"),6371*2*ASIN(SQRT(SIN(RADIANS(14_Cercania!$C$6-L230)/2)^2+COS(RADIANS(L230))*COS(RADIANS(14_Cercania!$C$6))*SIN(RADIANS(14_Cercania!$C$7-M230)/2)^2))+ROW()*0.000000001,"")</f>
        <v/>
      </c>
    </row>
    <row r="231" customFormat="false" ht="15" hidden="false" customHeight="false" outlineLevel="0" collapsed="false">
      <c r="B231" s="45" t="n">
        <v>225</v>
      </c>
      <c r="C231" s="91"/>
      <c r="D231" s="91"/>
      <c r="E231" s="92"/>
      <c r="F231" s="92"/>
      <c r="G231" s="91"/>
      <c r="H231" s="91"/>
      <c r="I231" s="91"/>
      <c r="J231" s="93" t="s">
        <v>2490</v>
      </c>
      <c r="K231" s="91"/>
      <c r="L231" s="94"/>
      <c r="M231" s="94"/>
      <c r="N231" s="91"/>
      <c r="O231" s="35" t="str">
        <f aca="false">HYPERLINK(IF(AND(ISNUMBER(L231),ISNUMBER(M231)),"https://www.google.com/maps/search/?api=1&amp;query="&amp;L231&amp;","&amp;M231,"https://www.google.com/maps/search/?api=1&amp;query="&amp;SUBSTITUTE(SUBSTITUTE(SUBSTITUTE(K231&amp;", "&amp;I231&amp;", Puno, Peru"," ","+"),"&amp;","y"),"#","")),"Ver en mapa")</f>
        <v>Ver en mapa</v>
      </c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5" t="str">
        <f aca="false">IF(AND(ISNUMBER(L231),ISNUMBER(M231),ISNUMBER(14_Cercania!$C$6),ISNUMBER(14_Cercania!$C$7),AC231&lt;&gt;"Rechazado",AC231&lt;&gt;"Inactivo"),6371*2*ASIN(SQRT(SIN(RADIANS(14_Cercania!$C$6-L231)/2)^2+COS(RADIANS(L231))*COS(RADIANS(14_Cercania!$C$6))*SIN(RADIANS(14_Cercania!$C$7-M231)/2)^2))+ROW()*0.000000001,"")</f>
        <v/>
      </c>
    </row>
    <row r="232" customFormat="false" ht="15" hidden="false" customHeight="false" outlineLevel="0" collapsed="false">
      <c r="B232" s="45" t="n">
        <v>226</v>
      </c>
      <c r="C232" s="91"/>
      <c r="D232" s="91"/>
      <c r="E232" s="92"/>
      <c r="F232" s="92"/>
      <c r="G232" s="91"/>
      <c r="H232" s="91"/>
      <c r="I232" s="91"/>
      <c r="J232" s="93" t="s">
        <v>2490</v>
      </c>
      <c r="K232" s="91"/>
      <c r="L232" s="94"/>
      <c r="M232" s="94"/>
      <c r="N232" s="91"/>
      <c r="O232" s="35" t="str">
        <f aca="false">HYPERLINK(IF(AND(ISNUMBER(L232),ISNUMBER(M232)),"https://www.google.com/maps/search/?api=1&amp;query="&amp;L232&amp;","&amp;M232,"https://www.google.com/maps/search/?api=1&amp;query="&amp;SUBSTITUTE(SUBSTITUTE(SUBSTITUTE(K232&amp;", "&amp;I232&amp;", Puno, Peru"," ","+"),"&amp;","y"),"#","")),"Ver en mapa")</f>
        <v>Ver en mapa</v>
      </c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5" t="str">
        <f aca="false">IF(AND(ISNUMBER(L232),ISNUMBER(M232),ISNUMBER(14_Cercania!$C$6),ISNUMBER(14_Cercania!$C$7),AC232&lt;&gt;"Rechazado",AC232&lt;&gt;"Inactivo"),6371*2*ASIN(SQRT(SIN(RADIANS(14_Cercania!$C$6-L232)/2)^2+COS(RADIANS(L232))*COS(RADIANS(14_Cercania!$C$6))*SIN(RADIANS(14_Cercania!$C$7-M232)/2)^2))+ROW()*0.000000001,"")</f>
        <v/>
      </c>
    </row>
    <row r="233" customFormat="false" ht="15" hidden="false" customHeight="false" outlineLevel="0" collapsed="false">
      <c r="B233" s="45" t="n">
        <v>227</v>
      </c>
      <c r="C233" s="91"/>
      <c r="D233" s="91"/>
      <c r="E233" s="92"/>
      <c r="F233" s="92"/>
      <c r="G233" s="91"/>
      <c r="H233" s="91"/>
      <c r="I233" s="91"/>
      <c r="J233" s="93" t="s">
        <v>2490</v>
      </c>
      <c r="K233" s="91"/>
      <c r="L233" s="94"/>
      <c r="M233" s="94"/>
      <c r="N233" s="91"/>
      <c r="O233" s="35" t="str">
        <f aca="false">HYPERLINK(IF(AND(ISNUMBER(L233),ISNUMBER(M233)),"https://www.google.com/maps/search/?api=1&amp;query="&amp;L233&amp;","&amp;M233,"https://www.google.com/maps/search/?api=1&amp;query="&amp;SUBSTITUTE(SUBSTITUTE(SUBSTITUTE(K233&amp;", "&amp;I233&amp;", Puno, Peru"," ","+"),"&amp;","y"),"#","")),"Ver en mapa")</f>
        <v>Ver en mapa</v>
      </c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5" t="str">
        <f aca="false">IF(AND(ISNUMBER(L233),ISNUMBER(M233),ISNUMBER(14_Cercania!$C$6),ISNUMBER(14_Cercania!$C$7),AC233&lt;&gt;"Rechazado",AC233&lt;&gt;"Inactivo"),6371*2*ASIN(SQRT(SIN(RADIANS(14_Cercania!$C$6-L233)/2)^2+COS(RADIANS(L233))*COS(RADIANS(14_Cercania!$C$6))*SIN(RADIANS(14_Cercania!$C$7-M233)/2)^2))+ROW()*0.000000001,"")</f>
        <v/>
      </c>
    </row>
    <row r="234" customFormat="false" ht="15" hidden="false" customHeight="false" outlineLevel="0" collapsed="false">
      <c r="B234" s="45" t="n">
        <v>228</v>
      </c>
      <c r="C234" s="91"/>
      <c r="D234" s="91"/>
      <c r="E234" s="92"/>
      <c r="F234" s="92"/>
      <c r="G234" s="91"/>
      <c r="H234" s="91"/>
      <c r="I234" s="91"/>
      <c r="J234" s="93" t="s">
        <v>2490</v>
      </c>
      <c r="K234" s="91"/>
      <c r="L234" s="94"/>
      <c r="M234" s="94"/>
      <c r="N234" s="91"/>
      <c r="O234" s="35" t="str">
        <f aca="false">HYPERLINK(IF(AND(ISNUMBER(L234),ISNUMBER(M234)),"https://www.google.com/maps/search/?api=1&amp;query="&amp;L234&amp;","&amp;M234,"https://www.google.com/maps/search/?api=1&amp;query="&amp;SUBSTITUTE(SUBSTITUTE(SUBSTITUTE(K234&amp;", "&amp;I234&amp;", Puno, Peru"," ","+"),"&amp;","y"),"#","")),"Ver en mapa")</f>
        <v>Ver en mapa</v>
      </c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5" t="str">
        <f aca="false">IF(AND(ISNUMBER(L234),ISNUMBER(M234),ISNUMBER(14_Cercania!$C$6),ISNUMBER(14_Cercania!$C$7),AC234&lt;&gt;"Rechazado",AC234&lt;&gt;"Inactivo"),6371*2*ASIN(SQRT(SIN(RADIANS(14_Cercania!$C$6-L234)/2)^2+COS(RADIANS(L234))*COS(RADIANS(14_Cercania!$C$6))*SIN(RADIANS(14_Cercania!$C$7-M234)/2)^2))+ROW()*0.000000001,"")</f>
        <v/>
      </c>
    </row>
    <row r="235" customFormat="false" ht="15" hidden="false" customHeight="false" outlineLevel="0" collapsed="false">
      <c r="B235" s="45" t="n">
        <v>229</v>
      </c>
      <c r="C235" s="91"/>
      <c r="D235" s="91"/>
      <c r="E235" s="92"/>
      <c r="F235" s="92"/>
      <c r="G235" s="91"/>
      <c r="H235" s="91"/>
      <c r="I235" s="91"/>
      <c r="J235" s="93" t="s">
        <v>2490</v>
      </c>
      <c r="K235" s="91"/>
      <c r="L235" s="94"/>
      <c r="M235" s="94"/>
      <c r="N235" s="91"/>
      <c r="O235" s="35" t="str">
        <f aca="false">HYPERLINK(IF(AND(ISNUMBER(L235),ISNUMBER(M235)),"https://www.google.com/maps/search/?api=1&amp;query="&amp;L235&amp;","&amp;M235,"https://www.google.com/maps/search/?api=1&amp;query="&amp;SUBSTITUTE(SUBSTITUTE(SUBSTITUTE(K235&amp;", "&amp;I235&amp;", Puno, Peru"," ","+"),"&amp;","y"),"#","")),"Ver en mapa")</f>
        <v>Ver en mapa</v>
      </c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5" t="str">
        <f aca="false">IF(AND(ISNUMBER(L235),ISNUMBER(M235),ISNUMBER(14_Cercania!$C$6),ISNUMBER(14_Cercania!$C$7),AC235&lt;&gt;"Rechazado",AC235&lt;&gt;"Inactivo"),6371*2*ASIN(SQRT(SIN(RADIANS(14_Cercania!$C$6-L235)/2)^2+COS(RADIANS(L235))*COS(RADIANS(14_Cercania!$C$6))*SIN(RADIANS(14_Cercania!$C$7-M235)/2)^2))+ROW()*0.000000001,"")</f>
        <v/>
      </c>
    </row>
    <row r="236" customFormat="false" ht="15" hidden="false" customHeight="false" outlineLevel="0" collapsed="false">
      <c r="B236" s="45" t="n">
        <v>230</v>
      </c>
      <c r="C236" s="91"/>
      <c r="D236" s="91"/>
      <c r="E236" s="92"/>
      <c r="F236" s="92"/>
      <c r="G236" s="91"/>
      <c r="H236" s="91"/>
      <c r="I236" s="91"/>
      <c r="J236" s="93" t="s">
        <v>2490</v>
      </c>
      <c r="K236" s="91"/>
      <c r="L236" s="94"/>
      <c r="M236" s="94"/>
      <c r="N236" s="91"/>
      <c r="O236" s="35" t="str">
        <f aca="false">HYPERLINK(IF(AND(ISNUMBER(L236),ISNUMBER(M236)),"https://www.google.com/maps/search/?api=1&amp;query="&amp;L236&amp;","&amp;M236,"https://www.google.com/maps/search/?api=1&amp;query="&amp;SUBSTITUTE(SUBSTITUTE(SUBSTITUTE(K236&amp;", "&amp;I236&amp;", Puno, Peru"," ","+"),"&amp;","y"),"#","")),"Ver en mapa")</f>
        <v>Ver en mapa</v>
      </c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5" t="str">
        <f aca="false">IF(AND(ISNUMBER(L236),ISNUMBER(M236),ISNUMBER(14_Cercania!$C$6),ISNUMBER(14_Cercania!$C$7),AC236&lt;&gt;"Rechazado",AC236&lt;&gt;"Inactivo"),6371*2*ASIN(SQRT(SIN(RADIANS(14_Cercania!$C$6-L236)/2)^2+COS(RADIANS(L236))*COS(RADIANS(14_Cercania!$C$6))*SIN(RADIANS(14_Cercania!$C$7-M236)/2)^2))+ROW()*0.000000001,"")</f>
        <v/>
      </c>
    </row>
    <row r="237" customFormat="false" ht="15" hidden="false" customHeight="false" outlineLevel="0" collapsed="false">
      <c r="B237" s="45" t="n">
        <v>231</v>
      </c>
      <c r="C237" s="91"/>
      <c r="D237" s="91"/>
      <c r="E237" s="92"/>
      <c r="F237" s="92"/>
      <c r="G237" s="91"/>
      <c r="H237" s="91"/>
      <c r="I237" s="91"/>
      <c r="J237" s="93" t="s">
        <v>2490</v>
      </c>
      <c r="K237" s="91"/>
      <c r="L237" s="94"/>
      <c r="M237" s="94"/>
      <c r="N237" s="91"/>
      <c r="O237" s="35" t="str">
        <f aca="false">HYPERLINK(IF(AND(ISNUMBER(L237),ISNUMBER(M237)),"https://www.google.com/maps/search/?api=1&amp;query="&amp;L237&amp;","&amp;M237,"https://www.google.com/maps/search/?api=1&amp;query="&amp;SUBSTITUTE(SUBSTITUTE(SUBSTITUTE(K237&amp;", "&amp;I237&amp;", Puno, Peru"," ","+"),"&amp;","y"),"#","")),"Ver en mapa")</f>
        <v>Ver en mapa</v>
      </c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5" t="str">
        <f aca="false">IF(AND(ISNUMBER(L237),ISNUMBER(M237),ISNUMBER(14_Cercania!$C$6),ISNUMBER(14_Cercania!$C$7),AC237&lt;&gt;"Rechazado",AC237&lt;&gt;"Inactivo"),6371*2*ASIN(SQRT(SIN(RADIANS(14_Cercania!$C$6-L237)/2)^2+COS(RADIANS(L237))*COS(RADIANS(14_Cercania!$C$6))*SIN(RADIANS(14_Cercania!$C$7-M237)/2)^2))+ROW()*0.000000001,"")</f>
        <v/>
      </c>
    </row>
    <row r="238" customFormat="false" ht="15" hidden="false" customHeight="false" outlineLevel="0" collapsed="false">
      <c r="B238" s="45" t="n">
        <v>232</v>
      </c>
      <c r="C238" s="91"/>
      <c r="D238" s="91"/>
      <c r="E238" s="92"/>
      <c r="F238" s="92"/>
      <c r="G238" s="91"/>
      <c r="H238" s="91"/>
      <c r="I238" s="91"/>
      <c r="J238" s="93" t="s">
        <v>2490</v>
      </c>
      <c r="K238" s="91"/>
      <c r="L238" s="94"/>
      <c r="M238" s="94"/>
      <c r="N238" s="91"/>
      <c r="O238" s="35" t="str">
        <f aca="false">HYPERLINK(IF(AND(ISNUMBER(L238),ISNUMBER(M238)),"https://www.google.com/maps/search/?api=1&amp;query="&amp;L238&amp;","&amp;M238,"https://www.google.com/maps/search/?api=1&amp;query="&amp;SUBSTITUTE(SUBSTITUTE(SUBSTITUTE(K238&amp;", "&amp;I238&amp;", Puno, Peru"," ","+"),"&amp;","y"),"#","")),"Ver en mapa")</f>
        <v>Ver en mapa</v>
      </c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5" t="str">
        <f aca="false">IF(AND(ISNUMBER(L238),ISNUMBER(M238),ISNUMBER(14_Cercania!$C$6),ISNUMBER(14_Cercania!$C$7),AC238&lt;&gt;"Rechazado",AC238&lt;&gt;"Inactivo"),6371*2*ASIN(SQRT(SIN(RADIANS(14_Cercania!$C$6-L238)/2)^2+COS(RADIANS(L238))*COS(RADIANS(14_Cercania!$C$6))*SIN(RADIANS(14_Cercania!$C$7-M238)/2)^2))+ROW()*0.000000001,"")</f>
        <v/>
      </c>
    </row>
    <row r="239" customFormat="false" ht="15" hidden="false" customHeight="false" outlineLevel="0" collapsed="false">
      <c r="B239" s="45" t="n">
        <v>233</v>
      </c>
      <c r="C239" s="91"/>
      <c r="D239" s="91"/>
      <c r="E239" s="92"/>
      <c r="F239" s="92"/>
      <c r="G239" s="91"/>
      <c r="H239" s="91"/>
      <c r="I239" s="91"/>
      <c r="J239" s="93" t="s">
        <v>2490</v>
      </c>
      <c r="K239" s="91"/>
      <c r="L239" s="94"/>
      <c r="M239" s="94"/>
      <c r="N239" s="91"/>
      <c r="O239" s="35" t="str">
        <f aca="false">HYPERLINK(IF(AND(ISNUMBER(L239),ISNUMBER(M239)),"https://www.google.com/maps/search/?api=1&amp;query="&amp;L239&amp;","&amp;M239,"https://www.google.com/maps/search/?api=1&amp;query="&amp;SUBSTITUTE(SUBSTITUTE(SUBSTITUTE(K239&amp;", "&amp;I239&amp;", Puno, Peru"," ","+"),"&amp;","y"),"#","")),"Ver en mapa")</f>
        <v>Ver en mapa</v>
      </c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5" t="str">
        <f aca="false">IF(AND(ISNUMBER(L239),ISNUMBER(M239),ISNUMBER(14_Cercania!$C$6),ISNUMBER(14_Cercania!$C$7),AC239&lt;&gt;"Rechazado",AC239&lt;&gt;"Inactivo"),6371*2*ASIN(SQRT(SIN(RADIANS(14_Cercania!$C$6-L239)/2)^2+COS(RADIANS(L239))*COS(RADIANS(14_Cercania!$C$6))*SIN(RADIANS(14_Cercania!$C$7-M239)/2)^2))+ROW()*0.000000001,"")</f>
        <v/>
      </c>
    </row>
    <row r="240" customFormat="false" ht="15" hidden="false" customHeight="false" outlineLevel="0" collapsed="false">
      <c r="B240" s="45" t="n">
        <v>234</v>
      </c>
      <c r="C240" s="91"/>
      <c r="D240" s="91"/>
      <c r="E240" s="92"/>
      <c r="F240" s="92"/>
      <c r="G240" s="91"/>
      <c r="H240" s="91"/>
      <c r="I240" s="91"/>
      <c r="J240" s="93" t="s">
        <v>2490</v>
      </c>
      <c r="K240" s="91"/>
      <c r="L240" s="94"/>
      <c r="M240" s="94"/>
      <c r="N240" s="91"/>
      <c r="O240" s="35" t="str">
        <f aca="false">HYPERLINK(IF(AND(ISNUMBER(L240),ISNUMBER(M240)),"https://www.google.com/maps/search/?api=1&amp;query="&amp;L240&amp;","&amp;M240,"https://www.google.com/maps/search/?api=1&amp;query="&amp;SUBSTITUTE(SUBSTITUTE(SUBSTITUTE(K240&amp;", "&amp;I240&amp;", Puno, Peru"," ","+"),"&amp;","y"),"#","")),"Ver en mapa")</f>
        <v>Ver en mapa</v>
      </c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5" t="str">
        <f aca="false">IF(AND(ISNUMBER(L240),ISNUMBER(M240),ISNUMBER(14_Cercania!$C$6),ISNUMBER(14_Cercania!$C$7),AC240&lt;&gt;"Rechazado",AC240&lt;&gt;"Inactivo"),6371*2*ASIN(SQRT(SIN(RADIANS(14_Cercania!$C$6-L240)/2)^2+COS(RADIANS(L240))*COS(RADIANS(14_Cercania!$C$6))*SIN(RADIANS(14_Cercania!$C$7-M240)/2)^2))+ROW()*0.000000001,"")</f>
        <v/>
      </c>
    </row>
    <row r="241" customFormat="false" ht="15" hidden="false" customHeight="false" outlineLevel="0" collapsed="false">
      <c r="B241" s="45" t="n">
        <v>235</v>
      </c>
      <c r="C241" s="91"/>
      <c r="D241" s="91"/>
      <c r="E241" s="92"/>
      <c r="F241" s="92"/>
      <c r="G241" s="91"/>
      <c r="H241" s="91"/>
      <c r="I241" s="91"/>
      <c r="J241" s="93" t="s">
        <v>2490</v>
      </c>
      <c r="K241" s="91"/>
      <c r="L241" s="94"/>
      <c r="M241" s="94"/>
      <c r="N241" s="91"/>
      <c r="O241" s="35" t="str">
        <f aca="false">HYPERLINK(IF(AND(ISNUMBER(L241),ISNUMBER(M241)),"https://www.google.com/maps/search/?api=1&amp;query="&amp;L241&amp;","&amp;M241,"https://www.google.com/maps/search/?api=1&amp;query="&amp;SUBSTITUTE(SUBSTITUTE(SUBSTITUTE(K241&amp;", "&amp;I241&amp;", Puno, Peru"," ","+"),"&amp;","y"),"#","")),"Ver en mapa")</f>
        <v>Ver en mapa</v>
      </c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5" t="str">
        <f aca="false">IF(AND(ISNUMBER(L241),ISNUMBER(M241),ISNUMBER(14_Cercania!$C$6),ISNUMBER(14_Cercania!$C$7),AC241&lt;&gt;"Rechazado",AC241&lt;&gt;"Inactivo"),6371*2*ASIN(SQRT(SIN(RADIANS(14_Cercania!$C$6-L241)/2)^2+COS(RADIANS(L241))*COS(RADIANS(14_Cercania!$C$6))*SIN(RADIANS(14_Cercania!$C$7-M241)/2)^2))+ROW()*0.000000001,"")</f>
        <v/>
      </c>
    </row>
    <row r="242" customFormat="false" ht="15" hidden="false" customHeight="false" outlineLevel="0" collapsed="false">
      <c r="B242" s="45" t="n">
        <v>236</v>
      </c>
      <c r="C242" s="91"/>
      <c r="D242" s="91"/>
      <c r="E242" s="92"/>
      <c r="F242" s="92"/>
      <c r="G242" s="91"/>
      <c r="H242" s="91"/>
      <c r="I242" s="91"/>
      <c r="J242" s="93" t="s">
        <v>2490</v>
      </c>
      <c r="K242" s="91"/>
      <c r="L242" s="94"/>
      <c r="M242" s="94"/>
      <c r="N242" s="91"/>
      <c r="O242" s="35" t="str">
        <f aca="false">HYPERLINK(IF(AND(ISNUMBER(L242),ISNUMBER(M242)),"https://www.google.com/maps/search/?api=1&amp;query="&amp;L242&amp;","&amp;M242,"https://www.google.com/maps/search/?api=1&amp;query="&amp;SUBSTITUTE(SUBSTITUTE(SUBSTITUTE(K242&amp;", "&amp;I242&amp;", Puno, Peru"," ","+"),"&amp;","y"),"#","")),"Ver en mapa")</f>
        <v>Ver en mapa</v>
      </c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5" t="str">
        <f aca="false">IF(AND(ISNUMBER(L242),ISNUMBER(M242),ISNUMBER(14_Cercania!$C$6),ISNUMBER(14_Cercania!$C$7),AC242&lt;&gt;"Rechazado",AC242&lt;&gt;"Inactivo"),6371*2*ASIN(SQRT(SIN(RADIANS(14_Cercania!$C$6-L242)/2)^2+COS(RADIANS(L242))*COS(RADIANS(14_Cercania!$C$6))*SIN(RADIANS(14_Cercania!$C$7-M242)/2)^2))+ROW()*0.000000001,"")</f>
        <v/>
      </c>
    </row>
    <row r="243" customFormat="false" ht="15" hidden="false" customHeight="false" outlineLevel="0" collapsed="false">
      <c r="B243" s="45" t="n">
        <v>237</v>
      </c>
      <c r="C243" s="91"/>
      <c r="D243" s="91"/>
      <c r="E243" s="92"/>
      <c r="F243" s="92"/>
      <c r="G243" s="91"/>
      <c r="H243" s="91"/>
      <c r="I243" s="91"/>
      <c r="J243" s="93" t="s">
        <v>2490</v>
      </c>
      <c r="K243" s="91"/>
      <c r="L243" s="94"/>
      <c r="M243" s="94"/>
      <c r="N243" s="91"/>
      <c r="O243" s="35" t="str">
        <f aca="false">HYPERLINK(IF(AND(ISNUMBER(L243),ISNUMBER(M243)),"https://www.google.com/maps/search/?api=1&amp;query="&amp;L243&amp;","&amp;M243,"https://www.google.com/maps/search/?api=1&amp;query="&amp;SUBSTITUTE(SUBSTITUTE(SUBSTITUTE(K243&amp;", "&amp;I243&amp;", Puno, Peru"," ","+"),"&amp;","y"),"#","")),"Ver en mapa")</f>
        <v>Ver en mapa</v>
      </c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5" t="str">
        <f aca="false">IF(AND(ISNUMBER(L243),ISNUMBER(M243),ISNUMBER(14_Cercania!$C$6),ISNUMBER(14_Cercania!$C$7),AC243&lt;&gt;"Rechazado",AC243&lt;&gt;"Inactivo"),6371*2*ASIN(SQRT(SIN(RADIANS(14_Cercania!$C$6-L243)/2)^2+COS(RADIANS(L243))*COS(RADIANS(14_Cercania!$C$6))*SIN(RADIANS(14_Cercania!$C$7-M243)/2)^2))+ROW()*0.000000001,"")</f>
        <v/>
      </c>
    </row>
    <row r="244" customFormat="false" ht="15" hidden="false" customHeight="false" outlineLevel="0" collapsed="false">
      <c r="B244" s="45" t="n">
        <v>238</v>
      </c>
      <c r="C244" s="91"/>
      <c r="D244" s="91"/>
      <c r="E244" s="92"/>
      <c r="F244" s="92"/>
      <c r="G244" s="91"/>
      <c r="H244" s="91"/>
      <c r="I244" s="91"/>
      <c r="J244" s="93" t="s">
        <v>2490</v>
      </c>
      <c r="K244" s="91"/>
      <c r="L244" s="94"/>
      <c r="M244" s="94"/>
      <c r="N244" s="91"/>
      <c r="O244" s="35" t="str">
        <f aca="false">HYPERLINK(IF(AND(ISNUMBER(L244),ISNUMBER(M244)),"https://www.google.com/maps/search/?api=1&amp;query="&amp;L244&amp;","&amp;M244,"https://www.google.com/maps/search/?api=1&amp;query="&amp;SUBSTITUTE(SUBSTITUTE(SUBSTITUTE(K244&amp;", "&amp;I244&amp;", Puno, Peru"," ","+"),"&amp;","y"),"#","")),"Ver en mapa")</f>
        <v>Ver en mapa</v>
      </c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5" t="str">
        <f aca="false">IF(AND(ISNUMBER(L244),ISNUMBER(M244),ISNUMBER(14_Cercania!$C$6),ISNUMBER(14_Cercania!$C$7),AC244&lt;&gt;"Rechazado",AC244&lt;&gt;"Inactivo"),6371*2*ASIN(SQRT(SIN(RADIANS(14_Cercania!$C$6-L244)/2)^2+COS(RADIANS(L244))*COS(RADIANS(14_Cercania!$C$6))*SIN(RADIANS(14_Cercania!$C$7-M244)/2)^2))+ROW()*0.000000001,"")</f>
        <v/>
      </c>
    </row>
    <row r="245" customFormat="false" ht="15" hidden="false" customHeight="false" outlineLevel="0" collapsed="false">
      <c r="B245" s="45" t="n">
        <v>239</v>
      </c>
      <c r="C245" s="91"/>
      <c r="D245" s="91"/>
      <c r="E245" s="92"/>
      <c r="F245" s="92"/>
      <c r="G245" s="91"/>
      <c r="H245" s="91"/>
      <c r="I245" s="91"/>
      <c r="J245" s="93" t="s">
        <v>2490</v>
      </c>
      <c r="K245" s="91"/>
      <c r="L245" s="94"/>
      <c r="M245" s="94"/>
      <c r="N245" s="91"/>
      <c r="O245" s="35" t="str">
        <f aca="false">HYPERLINK(IF(AND(ISNUMBER(L245),ISNUMBER(M245)),"https://www.google.com/maps/search/?api=1&amp;query="&amp;L245&amp;","&amp;M245,"https://www.google.com/maps/search/?api=1&amp;query="&amp;SUBSTITUTE(SUBSTITUTE(SUBSTITUTE(K245&amp;", "&amp;I245&amp;", Puno, Peru"," ","+"),"&amp;","y"),"#","")),"Ver en mapa")</f>
        <v>Ver en mapa</v>
      </c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5" t="str">
        <f aca="false">IF(AND(ISNUMBER(L245),ISNUMBER(M245),ISNUMBER(14_Cercania!$C$6),ISNUMBER(14_Cercania!$C$7),AC245&lt;&gt;"Rechazado",AC245&lt;&gt;"Inactivo"),6371*2*ASIN(SQRT(SIN(RADIANS(14_Cercania!$C$6-L245)/2)^2+COS(RADIANS(L245))*COS(RADIANS(14_Cercania!$C$6))*SIN(RADIANS(14_Cercania!$C$7-M245)/2)^2))+ROW()*0.000000001,"")</f>
        <v/>
      </c>
    </row>
    <row r="246" customFormat="false" ht="15" hidden="false" customHeight="false" outlineLevel="0" collapsed="false">
      <c r="B246" s="45" t="n">
        <v>240</v>
      </c>
      <c r="C246" s="91"/>
      <c r="D246" s="91"/>
      <c r="E246" s="92"/>
      <c r="F246" s="92"/>
      <c r="G246" s="91"/>
      <c r="H246" s="91"/>
      <c r="I246" s="91"/>
      <c r="J246" s="93" t="s">
        <v>2490</v>
      </c>
      <c r="K246" s="91"/>
      <c r="L246" s="94"/>
      <c r="M246" s="94"/>
      <c r="N246" s="91"/>
      <c r="O246" s="35" t="str">
        <f aca="false">HYPERLINK(IF(AND(ISNUMBER(L246),ISNUMBER(M246)),"https://www.google.com/maps/search/?api=1&amp;query="&amp;L246&amp;","&amp;M246,"https://www.google.com/maps/search/?api=1&amp;query="&amp;SUBSTITUTE(SUBSTITUTE(SUBSTITUTE(K246&amp;", "&amp;I246&amp;", Puno, Peru"," ","+"),"&amp;","y"),"#","")),"Ver en mapa")</f>
        <v>Ver en mapa</v>
      </c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5" t="str">
        <f aca="false">IF(AND(ISNUMBER(L246),ISNUMBER(M246),ISNUMBER(14_Cercania!$C$6),ISNUMBER(14_Cercania!$C$7),AC246&lt;&gt;"Rechazado",AC246&lt;&gt;"Inactivo"),6371*2*ASIN(SQRT(SIN(RADIANS(14_Cercania!$C$6-L246)/2)^2+COS(RADIANS(L246))*COS(RADIANS(14_Cercania!$C$6))*SIN(RADIANS(14_Cercania!$C$7-M246)/2)^2))+ROW()*0.000000001,"")</f>
        <v/>
      </c>
    </row>
    <row r="247" customFormat="false" ht="15" hidden="false" customHeight="false" outlineLevel="0" collapsed="false">
      <c r="B247" s="45" t="n">
        <v>241</v>
      </c>
      <c r="C247" s="91"/>
      <c r="D247" s="91"/>
      <c r="E247" s="92"/>
      <c r="F247" s="92"/>
      <c r="G247" s="91"/>
      <c r="H247" s="91"/>
      <c r="I247" s="91"/>
      <c r="J247" s="93" t="s">
        <v>2490</v>
      </c>
      <c r="K247" s="91"/>
      <c r="L247" s="94"/>
      <c r="M247" s="94"/>
      <c r="N247" s="91"/>
      <c r="O247" s="35" t="str">
        <f aca="false">HYPERLINK(IF(AND(ISNUMBER(L247),ISNUMBER(M247)),"https://www.google.com/maps/search/?api=1&amp;query="&amp;L247&amp;","&amp;M247,"https://www.google.com/maps/search/?api=1&amp;query="&amp;SUBSTITUTE(SUBSTITUTE(SUBSTITUTE(K247&amp;", "&amp;I247&amp;", Puno, Peru"," ","+"),"&amp;","y"),"#","")),"Ver en mapa")</f>
        <v>Ver en mapa</v>
      </c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5" t="str">
        <f aca="false">IF(AND(ISNUMBER(L247),ISNUMBER(M247),ISNUMBER(14_Cercania!$C$6),ISNUMBER(14_Cercania!$C$7),AC247&lt;&gt;"Rechazado",AC247&lt;&gt;"Inactivo"),6371*2*ASIN(SQRT(SIN(RADIANS(14_Cercania!$C$6-L247)/2)^2+COS(RADIANS(L247))*COS(RADIANS(14_Cercania!$C$6))*SIN(RADIANS(14_Cercania!$C$7-M247)/2)^2))+ROW()*0.000000001,"")</f>
        <v/>
      </c>
    </row>
    <row r="248" customFormat="false" ht="15" hidden="false" customHeight="false" outlineLevel="0" collapsed="false">
      <c r="B248" s="45" t="n">
        <v>242</v>
      </c>
      <c r="C248" s="91"/>
      <c r="D248" s="91"/>
      <c r="E248" s="92"/>
      <c r="F248" s="92"/>
      <c r="G248" s="91"/>
      <c r="H248" s="91"/>
      <c r="I248" s="91"/>
      <c r="J248" s="93" t="s">
        <v>2490</v>
      </c>
      <c r="K248" s="91"/>
      <c r="L248" s="94"/>
      <c r="M248" s="94"/>
      <c r="N248" s="91"/>
      <c r="O248" s="35" t="str">
        <f aca="false">HYPERLINK(IF(AND(ISNUMBER(L248),ISNUMBER(M248)),"https://www.google.com/maps/search/?api=1&amp;query="&amp;L248&amp;","&amp;M248,"https://www.google.com/maps/search/?api=1&amp;query="&amp;SUBSTITUTE(SUBSTITUTE(SUBSTITUTE(K248&amp;", "&amp;I248&amp;", Puno, Peru"," ","+"),"&amp;","y"),"#","")),"Ver en mapa")</f>
        <v>Ver en mapa</v>
      </c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5" t="str">
        <f aca="false">IF(AND(ISNUMBER(L248),ISNUMBER(M248),ISNUMBER(14_Cercania!$C$6),ISNUMBER(14_Cercania!$C$7),AC248&lt;&gt;"Rechazado",AC248&lt;&gt;"Inactivo"),6371*2*ASIN(SQRT(SIN(RADIANS(14_Cercania!$C$6-L248)/2)^2+COS(RADIANS(L248))*COS(RADIANS(14_Cercania!$C$6))*SIN(RADIANS(14_Cercania!$C$7-M248)/2)^2))+ROW()*0.000000001,"")</f>
        <v/>
      </c>
    </row>
    <row r="249" customFormat="false" ht="15" hidden="false" customHeight="false" outlineLevel="0" collapsed="false">
      <c r="B249" s="45" t="n">
        <v>243</v>
      </c>
      <c r="C249" s="91"/>
      <c r="D249" s="91"/>
      <c r="E249" s="92"/>
      <c r="F249" s="92"/>
      <c r="G249" s="91"/>
      <c r="H249" s="91"/>
      <c r="I249" s="91"/>
      <c r="J249" s="93" t="s">
        <v>2490</v>
      </c>
      <c r="K249" s="91"/>
      <c r="L249" s="94"/>
      <c r="M249" s="94"/>
      <c r="N249" s="91"/>
      <c r="O249" s="35" t="str">
        <f aca="false">HYPERLINK(IF(AND(ISNUMBER(L249),ISNUMBER(M249)),"https://www.google.com/maps/search/?api=1&amp;query="&amp;L249&amp;","&amp;M249,"https://www.google.com/maps/search/?api=1&amp;query="&amp;SUBSTITUTE(SUBSTITUTE(SUBSTITUTE(K249&amp;", "&amp;I249&amp;", Puno, Peru"," ","+"),"&amp;","y"),"#","")),"Ver en mapa")</f>
        <v>Ver en mapa</v>
      </c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5" t="str">
        <f aca="false">IF(AND(ISNUMBER(L249),ISNUMBER(M249),ISNUMBER(14_Cercania!$C$6),ISNUMBER(14_Cercania!$C$7),AC249&lt;&gt;"Rechazado",AC249&lt;&gt;"Inactivo"),6371*2*ASIN(SQRT(SIN(RADIANS(14_Cercania!$C$6-L249)/2)^2+COS(RADIANS(L249))*COS(RADIANS(14_Cercania!$C$6))*SIN(RADIANS(14_Cercania!$C$7-M249)/2)^2))+ROW()*0.000000001,"")</f>
        <v/>
      </c>
    </row>
    <row r="250" customFormat="false" ht="15" hidden="false" customHeight="false" outlineLevel="0" collapsed="false">
      <c r="B250" s="45" t="n">
        <v>244</v>
      </c>
      <c r="C250" s="91"/>
      <c r="D250" s="91"/>
      <c r="E250" s="92"/>
      <c r="F250" s="92"/>
      <c r="G250" s="91"/>
      <c r="H250" s="91"/>
      <c r="I250" s="91"/>
      <c r="J250" s="93" t="s">
        <v>2490</v>
      </c>
      <c r="K250" s="91"/>
      <c r="L250" s="94"/>
      <c r="M250" s="94"/>
      <c r="N250" s="91"/>
      <c r="O250" s="35" t="str">
        <f aca="false">HYPERLINK(IF(AND(ISNUMBER(L250),ISNUMBER(M250)),"https://www.google.com/maps/search/?api=1&amp;query="&amp;L250&amp;","&amp;M250,"https://www.google.com/maps/search/?api=1&amp;query="&amp;SUBSTITUTE(SUBSTITUTE(SUBSTITUTE(K250&amp;", "&amp;I250&amp;", Puno, Peru"," ","+"),"&amp;","y"),"#","")),"Ver en mapa")</f>
        <v>Ver en mapa</v>
      </c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5" t="str">
        <f aca="false">IF(AND(ISNUMBER(L250),ISNUMBER(M250),ISNUMBER(14_Cercania!$C$6),ISNUMBER(14_Cercania!$C$7),AC250&lt;&gt;"Rechazado",AC250&lt;&gt;"Inactivo"),6371*2*ASIN(SQRT(SIN(RADIANS(14_Cercania!$C$6-L250)/2)^2+COS(RADIANS(L250))*COS(RADIANS(14_Cercania!$C$6))*SIN(RADIANS(14_Cercania!$C$7-M250)/2)^2))+ROW()*0.000000001,"")</f>
        <v/>
      </c>
    </row>
    <row r="251" customFormat="false" ht="15" hidden="false" customHeight="false" outlineLevel="0" collapsed="false">
      <c r="B251" s="45" t="n">
        <v>245</v>
      </c>
      <c r="C251" s="91"/>
      <c r="D251" s="91"/>
      <c r="E251" s="92"/>
      <c r="F251" s="92"/>
      <c r="G251" s="91"/>
      <c r="H251" s="91"/>
      <c r="I251" s="91"/>
      <c r="J251" s="93" t="s">
        <v>2490</v>
      </c>
      <c r="K251" s="91"/>
      <c r="L251" s="94"/>
      <c r="M251" s="94"/>
      <c r="N251" s="91"/>
      <c r="O251" s="35" t="str">
        <f aca="false">HYPERLINK(IF(AND(ISNUMBER(L251),ISNUMBER(M251)),"https://www.google.com/maps/search/?api=1&amp;query="&amp;L251&amp;","&amp;M251,"https://www.google.com/maps/search/?api=1&amp;query="&amp;SUBSTITUTE(SUBSTITUTE(SUBSTITUTE(K251&amp;", "&amp;I251&amp;", Puno, Peru"," ","+"),"&amp;","y"),"#","")),"Ver en mapa")</f>
        <v>Ver en mapa</v>
      </c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5" t="str">
        <f aca="false">IF(AND(ISNUMBER(L251),ISNUMBER(M251),ISNUMBER(14_Cercania!$C$6),ISNUMBER(14_Cercania!$C$7),AC251&lt;&gt;"Rechazado",AC251&lt;&gt;"Inactivo"),6371*2*ASIN(SQRT(SIN(RADIANS(14_Cercania!$C$6-L251)/2)^2+COS(RADIANS(L251))*COS(RADIANS(14_Cercania!$C$6))*SIN(RADIANS(14_Cercania!$C$7-M251)/2)^2))+ROW()*0.000000001,"")</f>
        <v/>
      </c>
    </row>
    <row r="252" customFormat="false" ht="15" hidden="false" customHeight="false" outlineLevel="0" collapsed="false">
      <c r="B252" s="45" t="n">
        <v>246</v>
      </c>
      <c r="C252" s="91"/>
      <c r="D252" s="91"/>
      <c r="E252" s="92"/>
      <c r="F252" s="92"/>
      <c r="G252" s="91"/>
      <c r="H252" s="91"/>
      <c r="I252" s="91"/>
      <c r="J252" s="93" t="s">
        <v>2490</v>
      </c>
      <c r="K252" s="91"/>
      <c r="L252" s="94"/>
      <c r="M252" s="94"/>
      <c r="N252" s="91"/>
      <c r="O252" s="35" t="str">
        <f aca="false">HYPERLINK(IF(AND(ISNUMBER(L252),ISNUMBER(M252)),"https://www.google.com/maps/search/?api=1&amp;query="&amp;L252&amp;","&amp;M252,"https://www.google.com/maps/search/?api=1&amp;query="&amp;SUBSTITUTE(SUBSTITUTE(SUBSTITUTE(K252&amp;", "&amp;I252&amp;", Puno, Peru"," ","+"),"&amp;","y"),"#","")),"Ver en mapa")</f>
        <v>Ver en mapa</v>
      </c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5" t="str">
        <f aca="false">IF(AND(ISNUMBER(L252),ISNUMBER(M252),ISNUMBER(14_Cercania!$C$6),ISNUMBER(14_Cercania!$C$7),AC252&lt;&gt;"Rechazado",AC252&lt;&gt;"Inactivo"),6371*2*ASIN(SQRT(SIN(RADIANS(14_Cercania!$C$6-L252)/2)^2+COS(RADIANS(L252))*COS(RADIANS(14_Cercania!$C$6))*SIN(RADIANS(14_Cercania!$C$7-M252)/2)^2))+ROW()*0.000000001,"")</f>
        <v/>
      </c>
    </row>
    <row r="253" customFormat="false" ht="15" hidden="false" customHeight="false" outlineLevel="0" collapsed="false">
      <c r="B253" s="45" t="n">
        <v>247</v>
      </c>
      <c r="C253" s="91"/>
      <c r="D253" s="91"/>
      <c r="E253" s="92"/>
      <c r="F253" s="92"/>
      <c r="G253" s="91"/>
      <c r="H253" s="91"/>
      <c r="I253" s="91"/>
      <c r="J253" s="93" t="s">
        <v>2490</v>
      </c>
      <c r="K253" s="91"/>
      <c r="L253" s="94"/>
      <c r="M253" s="94"/>
      <c r="N253" s="91"/>
      <c r="O253" s="35" t="str">
        <f aca="false">HYPERLINK(IF(AND(ISNUMBER(L253),ISNUMBER(M253)),"https://www.google.com/maps/search/?api=1&amp;query="&amp;L253&amp;","&amp;M253,"https://www.google.com/maps/search/?api=1&amp;query="&amp;SUBSTITUTE(SUBSTITUTE(SUBSTITUTE(K253&amp;", "&amp;I253&amp;", Puno, Peru"," ","+"),"&amp;","y"),"#","")),"Ver en mapa")</f>
        <v>Ver en mapa</v>
      </c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5" t="str">
        <f aca="false">IF(AND(ISNUMBER(L253),ISNUMBER(M253),ISNUMBER(14_Cercania!$C$6),ISNUMBER(14_Cercania!$C$7),AC253&lt;&gt;"Rechazado",AC253&lt;&gt;"Inactivo"),6371*2*ASIN(SQRT(SIN(RADIANS(14_Cercania!$C$6-L253)/2)^2+COS(RADIANS(L253))*COS(RADIANS(14_Cercania!$C$6))*SIN(RADIANS(14_Cercania!$C$7-M253)/2)^2))+ROW()*0.000000001,"")</f>
        <v/>
      </c>
    </row>
    <row r="254" customFormat="false" ht="15" hidden="false" customHeight="false" outlineLevel="0" collapsed="false">
      <c r="B254" s="45" t="n">
        <v>248</v>
      </c>
      <c r="C254" s="91"/>
      <c r="D254" s="91"/>
      <c r="E254" s="92"/>
      <c r="F254" s="92"/>
      <c r="G254" s="91"/>
      <c r="H254" s="91"/>
      <c r="I254" s="91"/>
      <c r="J254" s="93" t="s">
        <v>2490</v>
      </c>
      <c r="K254" s="91"/>
      <c r="L254" s="94"/>
      <c r="M254" s="94"/>
      <c r="N254" s="91"/>
      <c r="O254" s="35" t="str">
        <f aca="false">HYPERLINK(IF(AND(ISNUMBER(L254),ISNUMBER(M254)),"https://www.google.com/maps/search/?api=1&amp;query="&amp;L254&amp;","&amp;M254,"https://www.google.com/maps/search/?api=1&amp;query="&amp;SUBSTITUTE(SUBSTITUTE(SUBSTITUTE(K254&amp;", "&amp;I254&amp;", Puno, Peru"," ","+"),"&amp;","y"),"#","")),"Ver en mapa")</f>
        <v>Ver en mapa</v>
      </c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5" t="str">
        <f aca="false">IF(AND(ISNUMBER(L254),ISNUMBER(M254),ISNUMBER(14_Cercania!$C$6),ISNUMBER(14_Cercania!$C$7),AC254&lt;&gt;"Rechazado",AC254&lt;&gt;"Inactivo"),6371*2*ASIN(SQRT(SIN(RADIANS(14_Cercania!$C$6-L254)/2)^2+COS(RADIANS(L254))*COS(RADIANS(14_Cercania!$C$6))*SIN(RADIANS(14_Cercania!$C$7-M254)/2)^2))+ROW()*0.000000001,"")</f>
        <v/>
      </c>
    </row>
    <row r="255" customFormat="false" ht="15" hidden="false" customHeight="false" outlineLevel="0" collapsed="false">
      <c r="B255" s="45" t="n">
        <v>249</v>
      </c>
      <c r="C255" s="91"/>
      <c r="D255" s="91"/>
      <c r="E255" s="92"/>
      <c r="F255" s="92"/>
      <c r="G255" s="91"/>
      <c r="H255" s="91"/>
      <c r="I255" s="91"/>
      <c r="J255" s="93" t="s">
        <v>2490</v>
      </c>
      <c r="K255" s="91"/>
      <c r="L255" s="94"/>
      <c r="M255" s="94"/>
      <c r="N255" s="91"/>
      <c r="O255" s="35" t="str">
        <f aca="false">HYPERLINK(IF(AND(ISNUMBER(L255),ISNUMBER(M255)),"https://www.google.com/maps/search/?api=1&amp;query="&amp;L255&amp;","&amp;M255,"https://www.google.com/maps/search/?api=1&amp;query="&amp;SUBSTITUTE(SUBSTITUTE(SUBSTITUTE(K255&amp;", "&amp;I255&amp;", Puno, Peru"," ","+"),"&amp;","y"),"#","")),"Ver en mapa")</f>
        <v>Ver en mapa</v>
      </c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5" t="str">
        <f aca="false">IF(AND(ISNUMBER(L255),ISNUMBER(M255),ISNUMBER(14_Cercania!$C$6),ISNUMBER(14_Cercania!$C$7),AC255&lt;&gt;"Rechazado",AC255&lt;&gt;"Inactivo"),6371*2*ASIN(SQRT(SIN(RADIANS(14_Cercania!$C$6-L255)/2)^2+COS(RADIANS(L255))*COS(RADIANS(14_Cercania!$C$6))*SIN(RADIANS(14_Cercania!$C$7-M255)/2)^2))+ROW()*0.000000001,"")</f>
        <v/>
      </c>
    </row>
    <row r="256" customFormat="false" ht="15" hidden="false" customHeight="false" outlineLevel="0" collapsed="false">
      <c r="B256" s="45" t="n">
        <v>250</v>
      </c>
      <c r="C256" s="91"/>
      <c r="D256" s="91"/>
      <c r="E256" s="92"/>
      <c r="F256" s="92"/>
      <c r="G256" s="91"/>
      <c r="H256" s="91"/>
      <c r="I256" s="91"/>
      <c r="J256" s="93" t="s">
        <v>2490</v>
      </c>
      <c r="K256" s="91"/>
      <c r="L256" s="94"/>
      <c r="M256" s="94"/>
      <c r="N256" s="91"/>
      <c r="O256" s="35" t="str">
        <f aca="false">HYPERLINK(IF(AND(ISNUMBER(L256),ISNUMBER(M256)),"https://www.google.com/maps/search/?api=1&amp;query="&amp;L256&amp;","&amp;M256,"https://www.google.com/maps/search/?api=1&amp;query="&amp;SUBSTITUTE(SUBSTITUTE(SUBSTITUTE(K256&amp;", "&amp;I256&amp;", Puno, Peru"," ","+"),"&amp;","y"),"#","")),"Ver en mapa")</f>
        <v>Ver en mapa</v>
      </c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5" t="str">
        <f aca="false">IF(AND(ISNUMBER(L256),ISNUMBER(M256),ISNUMBER(14_Cercania!$C$6),ISNUMBER(14_Cercania!$C$7),AC256&lt;&gt;"Rechazado",AC256&lt;&gt;"Inactivo"),6371*2*ASIN(SQRT(SIN(RADIANS(14_Cercania!$C$6-L256)/2)^2+COS(RADIANS(L256))*COS(RADIANS(14_Cercania!$C$6))*SIN(RADIANS(14_Cercania!$C$7-M256)/2)^2))+ROW()*0.000000001,"")</f>
        <v/>
      </c>
    </row>
    <row r="257" customFormat="false" ht="15" hidden="false" customHeight="false" outlineLevel="0" collapsed="false">
      <c r="B257" s="45" t="n">
        <v>251</v>
      </c>
      <c r="C257" s="91"/>
      <c r="D257" s="91"/>
      <c r="E257" s="92"/>
      <c r="F257" s="92"/>
      <c r="G257" s="91"/>
      <c r="H257" s="91"/>
      <c r="I257" s="91"/>
      <c r="J257" s="93" t="s">
        <v>2490</v>
      </c>
      <c r="K257" s="91"/>
      <c r="L257" s="94"/>
      <c r="M257" s="94"/>
      <c r="N257" s="91"/>
      <c r="O257" s="35" t="str">
        <f aca="false">HYPERLINK(IF(AND(ISNUMBER(L257),ISNUMBER(M257)),"https://www.google.com/maps/search/?api=1&amp;query="&amp;L257&amp;","&amp;M257,"https://www.google.com/maps/search/?api=1&amp;query="&amp;SUBSTITUTE(SUBSTITUTE(SUBSTITUTE(K257&amp;", "&amp;I257&amp;", Puno, Peru"," ","+"),"&amp;","y"),"#","")),"Ver en mapa")</f>
        <v>Ver en mapa</v>
      </c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5" t="str">
        <f aca="false">IF(AND(ISNUMBER(L257),ISNUMBER(M257),ISNUMBER(14_Cercania!$C$6),ISNUMBER(14_Cercania!$C$7),AC257&lt;&gt;"Rechazado",AC257&lt;&gt;"Inactivo"),6371*2*ASIN(SQRT(SIN(RADIANS(14_Cercania!$C$6-L257)/2)^2+COS(RADIANS(L257))*COS(RADIANS(14_Cercania!$C$6))*SIN(RADIANS(14_Cercania!$C$7-M257)/2)^2))+ROW()*0.000000001,"")</f>
        <v/>
      </c>
    </row>
    <row r="258" customFormat="false" ht="15" hidden="false" customHeight="false" outlineLevel="0" collapsed="false">
      <c r="B258" s="45" t="n">
        <v>252</v>
      </c>
      <c r="C258" s="91"/>
      <c r="D258" s="91"/>
      <c r="E258" s="92"/>
      <c r="F258" s="92"/>
      <c r="G258" s="91"/>
      <c r="H258" s="91"/>
      <c r="I258" s="91"/>
      <c r="J258" s="93" t="s">
        <v>2490</v>
      </c>
      <c r="K258" s="91"/>
      <c r="L258" s="94"/>
      <c r="M258" s="94"/>
      <c r="N258" s="91"/>
      <c r="O258" s="35" t="str">
        <f aca="false">HYPERLINK(IF(AND(ISNUMBER(L258),ISNUMBER(M258)),"https://www.google.com/maps/search/?api=1&amp;query="&amp;L258&amp;","&amp;M258,"https://www.google.com/maps/search/?api=1&amp;query="&amp;SUBSTITUTE(SUBSTITUTE(SUBSTITUTE(K258&amp;", "&amp;I258&amp;", Puno, Peru"," ","+"),"&amp;","y"),"#","")),"Ver en mapa")</f>
        <v>Ver en mapa</v>
      </c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5" t="str">
        <f aca="false">IF(AND(ISNUMBER(L258),ISNUMBER(M258),ISNUMBER(14_Cercania!$C$6),ISNUMBER(14_Cercania!$C$7),AC258&lt;&gt;"Rechazado",AC258&lt;&gt;"Inactivo"),6371*2*ASIN(SQRT(SIN(RADIANS(14_Cercania!$C$6-L258)/2)^2+COS(RADIANS(L258))*COS(RADIANS(14_Cercania!$C$6))*SIN(RADIANS(14_Cercania!$C$7-M258)/2)^2))+ROW()*0.000000001,"")</f>
        <v/>
      </c>
    </row>
    <row r="259" customFormat="false" ht="15" hidden="false" customHeight="false" outlineLevel="0" collapsed="false">
      <c r="B259" s="45" t="n">
        <v>253</v>
      </c>
      <c r="C259" s="91"/>
      <c r="D259" s="91"/>
      <c r="E259" s="92"/>
      <c r="F259" s="92"/>
      <c r="G259" s="91"/>
      <c r="H259" s="91"/>
      <c r="I259" s="91"/>
      <c r="J259" s="93" t="s">
        <v>2490</v>
      </c>
      <c r="K259" s="91"/>
      <c r="L259" s="94"/>
      <c r="M259" s="94"/>
      <c r="N259" s="91"/>
      <c r="O259" s="35" t="str">
        <f aca="false">HYPERLINK(IF(AND(ISNUMBER(L259),ISNUMBER(M259)),"https://www.google.com/maps/search/?api=1&amp;query="&amp;L259&amp;","&amp;M259,"https://www.google.com/maps/search/?api=1&amp;query="&amp;SUBSTITUTE(SUBSTITUTE(SUBSTITUTE(K259&amp;", "&amp;I259&amp;", Puno, Peru"," ","+"),"&amp;","y"),"#","")),"Ver en mapa")</f>
        <v>Ver en mapa</v>
      </c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5" t="str">
        <f aca="false">IF(AND(ISNUMBER(L259),ISNUMBER(M259),ISNUMBER(14_Cercania!$C$6),ISNUMBER(14_Cercania!$C$7),AC259&lt;&gt;"Rechazado",AC259&lt;&gt;"Inactivo"),6371*2*ASIN(SQRT(SIN(RADIANS(14_Cercania!$C$6-L259)/2)^2+COS(RADIANS(L259))*COS(RADIANS(14_Cercania!$C$6))*SIN(RADIANS(14_Cercania!$C$7-M259)/2)^2))+ROW()*0.000000001,"")</f>
        <v/>
      </c>
    </row>
    <row r="260" customFormat="false" ht="15" hidden="false" customHeight="false" outlineLevel="0" collapsed="false">
      <c r="B260" s="45" t="n">
        <v>254</v>
      </c>
      <c r="C260" s="91"/>
      <c r="D260" s="91"/>
      <c r="E260" s="92"/>
      <c r="F260" s="92"/>
      <c r="G260" s="91"/>
      <c r="H260" s="91"/>
      <c r="I260" s="91"/>
      <c r="J260" s="93" t="s">
        <v>2490</v>
      </c>
      <c r="K260" s="91"/>
      <c r="L260" s="94"/>
      <c r="M260" s="94"/>
      <c r="N260" s="91"/>
      <c r="O260" s="35" t="str">
        <f aca="false">HYPERLINK(IF(AND(ISNUMBER(L260),ISNUMBER(M260)),"https://www.google.com/maps/search/?api=1&amp;query="&amp;L260&amp;","&amp;M260,"https://www.google.com/maps/search/?api=1&amp;query="&amp;SUBSTITUTE(SUBSTITUTE(SUBSTITUTE(K260&amp;", "&amp;I260&amp;", Puno, Peru"," ","+"),"&amp;","y"),"#","")),"Ver en mapa")</f>
        <v>Ver en mapa</v>
      </c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5" t="str">
        <f aca="false">IF(AND(ISNUMBER(L260),ISNUMBER(M260),ISNUMBER(14_Cercania!$C$6),ISNUMBER(14_Cercania!$C$7),AC260&lt;&gt;"Rechazado",AC260&lt;&gt;"Inactivo"),6371*2*ASIN(SQRT(SIN(RADIANS(14_Cercania!$C$6-L260)/2)^2+COS(RADIANS(L260))*COS(RADIANS(14_Cercania!$C$6))*SIN(RADIANS(14_Cercania!$C$7-M260)/2)^2))+ROW()*0.000000001,"")</f>
        <v/>
      </c>
    </row>
    <row r="261" customFormat="false" ht="15" hidden="false" customHeight="false" outlineLevel="0" collapsed="false">
      <c r="B261" s="45" t="n">
        <v>255</v>
      </c>
      <c r="C261" s="91"/>
      <c r="D261" s="91"/>
      <c r="E261" s="92"/>
      <c r="F261" s="92"/>
      <c r="G261" s="91"/>
      <c r="H261" s="91"/>
      <c r="I261" s="91"/>
      <c r="J261" s="93" t="s">
        <v>2490</v>
      </c>
      <c r="K261" s="91"/>
      <c r="L261" s="94"/>
      <c r="M261" s="94"/>
      <c r="N261" s="91"/>
      <c r="O261" s="35" t="str">
        <f aca="false">HYPERLINK(IF(AND(ISNUMBER(L261),ISNUMBER(M261)),"https://www.google.com/maps/search/?api=1&amp;query="&amp;L261&amp;","&amp;M261,"https://www.google.com/maps/search/?api=1&amp;query="&amp;SUBSTITUTE(SUBSTITUTE(SUBSTITUTE(K261&amp;", "&amp;I261&amp;", Puno, Peru"," ","+"),"&amp;","y"),"#","")),"Ver en mapa")</f>
        <v>Ver en mapa</v>
      </c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5" t="str">
        <f aca="false">IF(AND(ISNUMBER(L261),ISNUMBER(M261),ISNUMBER(14_Cercania!$C$6),ISNUMBER(14_Cercania!$C$7),AC261&lt;&gt;"Rechazado",AC261&lt;&gt;"Inactivo"),6371*2*ASIN(SQRT(SIN(RADIANS(14_Cercania!$C$6-L261)/2)^2+COS(RADIANS(L261))*COS(RADIANS(14_Cercania!$C$6))*SIN(RADIANS(14_Cercania!$C$7-M261)/2)^2))+ROW()*0.000000001,"")</f>
        <v/>
      </c>
    </row>
    <row r="262" customFormat="false" ht="15" hidden="false" customHeight="false" outlineLevel="0" collapsed="false">
      <c r="B262" s="45" t="n">
        <v>256</v>
      </c>
      <c r="C262" s="91"/>
      <c r="D262" s="91"/>
      <c r="E262" s="92"/>
      <c r="F262" s="92"/>
      <c r="G262" s="91"/>
      <c r="H262" s="91"/>
      <c r="I262" s="91"/>
      <c r="J262" s="93" t="s">
        <v>2490</v>
      </c>
      <c r="K262" s="91"/>
      <c r="L262" s="94"/>
      <c r="M262" s="94"/>
      <c r="N262" s="91"/>
      <c r="O262" s="35" t="str">
        <f aca="false">HYPERLINK(IF(AND(ISNUMBER(L262),ISNUMBER(M262)),"https://www.google.com/maps/search/?api=1&amp;query="&amp;L262&amp;","&amp;M262,"https://www.google.com/maps/search/?api=1&amp;query="&amp;SUBSTITUTE(SUBSTITUTE(SUBSTITUTE(K262&amp;", "&amp;I262&amp;", Puno, Peru"," ","+"),"&amp;","y"),"#","")),"Ver en mapa")</f>
        <v>Ver en mapa</v>
      </c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5" t="str">
        <f aca="false">IF(AND(ISNUMBER(L262),ISNUMBER(M262),ISNUMBER(14_Cercania!$C$6),ISNUMBER(14_Cercania!$C$7),AC262&lt;&gt;"Rechazado",AC262&lt;&gt;"Inactivo"),6371*2*ASIN(SQRT(SIN(RADIANS(14_Cercania!$C$6-L262)/2)^2+COS(RADIANS(L262))*COS(RADIANS(14_Cercania!$C$6))*SIN(RADIANS(14_Cercania!$C$7-M262)/2)^2))+ROW()*0.000000001,"")</f>
        <v/>
      </c>
    </row>
    <row r="263" customFormat="false" ht="15" hidden="false" customHeight="false" outlineLevel="0" collapsed="false">
      <c r="B263" s="45" t="n">
        <v>257</v>
      </c>
      <c r="C263" s="91"/>
      <c r="D263" s="91"/>
      <c r="E263" s="92"/>
      <c r="F263" s="92"/>
      <c r="G263" s="91"/>
      <c r="H263" s="91"/>
      <c r="I263" s="91"/>
      <c r="J263" s="93" t="s">
        <v>2490</v>
      </c>
      <c r="K263" s="91"/>
      <c r="L263" s="94"/>
      <c r="M263" s="94"/>
      <c r="N263" s="91"/>
      <c r="O263" s="35" t="str">
        <f aca="false">HYPERLINK(IF(AND(ISNUMBER(L263),ISNUMBER(M263)),"https://www.google.com/maps/search/?api=1&amp;query="&amp;L263&amp;","&amp;M263,"https://www.google.com/maps/search/?api=1&amp;query="&amp;SUBSTITUTE(SUBSTITUTE(SUBSTITUTE(K263&amp;", "&amp;I263&amp;", Puno, Peru"," ","+"),"&amp;","y"),"#","")),"Ver en mapa")</f>
        <v>Ver en mapa</v>
      </c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5" t="str">
        <f aca="false">IF(AND(ISNUMBER(L263),ISNUMBER(M263),ISNUMBER(14_Cercania!$C$6),ISNUMBER(14_Cercania!$C$7),AC263&lt;&gt;"Rechazado",AC263&lt;&gt;"Inactivo"),6371*2*ASIN(SQRT(SIN(RADIANS(14_Cercania!$C$6-L263)/2)^2+COS(RADIANS(L263))*COS(RADIANS(14_Cercania!$C$6))*SIN(RADIANS(14_Cercania!$C$7-M263)/2)^2))+ROW()*0.000000001,"")</f>
        <v/>
      </c>
    </row>
    <row r="264" customFormat="false" ht="15" hidden="false" customHeight="false" outlineLevel="0" collapsed="false">
      <c r="B264" s="45" t="n">
        <v>258</v>
      </c>
      <c r="C264" s="91"/>
      <c r="D264" s="91"/>
      <c r="E264" s="92"/>
      <c r="F264" s="92"/>
      <c r="G264" s="91"/>
      <c r="H264" s="91"/>
      <c r="I264" s="91"/>
      <c r="J264" s="93" t="s">
        <v>2490</v>
      </c>
      <c r="K264" s="91"/>
      <c r="L264" s="94"/>
      <c r="M264" s="94"/>
      <c r="N264" s="91"/>
      <c r="O264" s="35" t="str">
        <f aca="false">HYPERLINK(IF(AND(ISNUMBER(L264),ISNUMBER(M264)),"https://www.google.com/maps/search/?api=1&amp;query="&amp;L264&amp;","&amp;M264,"https://www.google.com/maps/search/?api=1&amp;query="&amp;SUBSTITUTE(SUBSTITUTE(SUBSTITUTE(K264&amp;", "&amp;I264&amp;", Puno, Peru"," ","+"),"&amp;","y"),"#","")),"Ver en mapa")</f>
        <v>Ver en mapa</v>
      </c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5" t="str">
        <f aca="false">IF(AND(ISNUMBER(L264),ISNUMBER(M264),ISNUMBER(14_Cercania!$C$6),ISNUMBER(14_Cercania!$C$7),AC264&lt;&gt;"Rechazado",AC264&lt;&gt;"Inactivo"),6371*2*ASIN(SQRT(SIN(RADIANS(14_Cercania!$C$6-L264)/2)^2+COS(RADIANS(L264))*COS(RADIANS(14_Cercania!$C$6))*SIN(RADIANS(14_Cercania!$C$7-M264)/2)^2))+ROW()*0.000000001,"")</f>
        <v/>
      </c>
    </row>
    <row r="265" customFormat="false" ht="15" hidden="false" customHeight="false" outlineLevel="0" collapsed="false">
      <c r="B265" s="45" t="n">
        <v>259</v>
      </c>
      <c r="C265" s="91"/>
      <c r="D265" s="91"/>
      <c r="E265" s="92"/>
      <c r="F265" s="92"/>
      <c r="G265" s="91"/>
      <c r="H265" s="91"/>
      <c r="I265" s="91"/>
      <c r="J265" s="93" t="s">
        <v>2490</v>
      </c>
      <c r="K265" s="91"/>
      <c r="L265" s="94"/>
      <c r="M265" s="94"/>
      <c r="N265" s="91"/>
      <c r="O265" s="35" t="str">
        <f aca="false">HYPERLINK(IF(AND(ISNUMBER(L265),ISNUMBER(M265)),"https://www.google.com/maps/search/?api=1&amp;query="&amp;L265&amp;","&amp;M265,"https://www.google.com/maps/search/?api=1&amp;query="&amp;SUBSTITUTE(SUBSTITUTE(SUBSTITUTE(K265&amp;", "&amp;I265&amp;", Puno, Peru"," ","+"),"&amp;","y"),"#","")),"Ver en mapa")</f>
        <v>Ver en mapa</v>
      </c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5" t="str">
        <f aca="false">IF(AND(ISNUMBER(L265),ISNUMBER(M265),ISNUMBER(14_Cercania!$C$6),ISNUMBER(14_Cercania!$C$7),AC265&lt;&gt;"Rechazado",AC265&lt;&gt;"Inactivo"),6371*2*ASIN(SQRT(SIN(RADIANS(14_Cercania!$C$6-L265)/2)^2+COS(RADIANS(L265))*COS(RADIANS(14_Cercania!$C$6))*SIN(RADIANS(14_Cercania!$C$7-M265)/2)^2))+ROW()*0.000000001,"")</f>
        <v/>
      </c>
    </row>
    <row r="266" customFormat="false" ht="15" hidden="false" customHeight="false" outlineLevel="0" collapsed="false">
      <c r="B266" s="45" t="n">
        <v>260</v>
      </c>
      <c r="C266" s="91"/>
      <c r="D266" s="91"/>
      <c r="E266" s="92"/>
      <c r="F266" s="92"/>
      <c r="G266" s="91"/>
      <c r="H266" s="91"/>
      <c r="I266" s="91"/>
      <c r="J266" s="93" t="s">
        <v>2490</v>
      </c>
      <c r="K266" s="91"/>
      <c r="L266" s="94"/>
      <c r="M266" s="94"/>
      <c r="N266" s="91"/>
      <c r="O266" s="35" t="str">
        <f aca="false">HYPERLINK(IF(AND(ISNUMBER(L266),ISNUMBER(M266)),"https://www.google.com/maps/search/?api=1&amp;query="&amp;L266&amp;","&amp;M266,"https://www.google.com/maps/search/?api=1&amp;query="&amp;SUBSTITUTE(SUBSTITUTE(SUBSTITUTE(K266&amp;", "&amp;I266&amp;", Puno, Peru"," ","+"),"&amp;","y"),"#","")),"Ver en mapa")</f>
        <v>Ver en mapa</v>
      </c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5" t="str">
        <f aca="false">IF(AND(ISNUMBER(L266),ISNUMBER(M266),ISNUMBER(14_Cercania!$C$6),ISNUMBER(14_Cercania!$C$7),AC266&lt;&gt;"Rechazado",AC266&lt;&gt;"Inactivo"),6371*2*ASIN(SQRT(SIN(RADIANS(14_Cercania!$C$6-L266)/2)^2+COS(RADIANS(L266))*COS(RADIANS(14_Cercania!$C$6))*SIN(RADIANS(14_Cercania!$C$7-M266)/2)^2))+ROW()*0.000000001,"")</f>
        <v/>
      </c>
    </row>
    <row r="267" customFormat="false" ht="15" hidden="false" customHeight="false" outlineLevel="0" collapsed="false">
      <c r="B267" s="45" t="n">
        <v>261</v>
      </c>
      <c r="C267" s="91"/>
      <c r="D267" s="91"/>
      <c r="E267" s="92"/>
      <c r="F267" s="92"/>
      <c r="G267" s="91"/>
      <c r="H267" s="91"/>
      <c r="I267" s="91"/>
      <c r="J267" s="93" t="s">
        <v>2490</v>
      </c>
      <c r="K267" s="91"/>
      <c r="L267" s="94"/>
      <c r="M267" s="94"/>
      <c r="N267" s="91"/>
      <c r="O267" s="35" t="str">
        <f aca="false">HYPERLINK(IF(AND(ISNUMBER(L267),ISNUMBER(M267)),"https://www.google.com/maps/search/?api=1&amp;query="&amp;L267&amp;","&amp;M267,"https://www.google.com/maps/search/?api=1&amp;query="&amp;SUBSTITUTE(SUBSTITUTE(SUBSTITUTE(K267&amp;", "&amp;I267&amp;", Puno, Peru"," ","+"),"&amp;","y"),"#","")),"Ver en mapa")</f>
        <v>Ver en mapa</v>
      </c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5" t="str">
        <f aca="false">IF(AND(ISNUMBER(L267),ISNUMBER(M267),ISNUMBER(14_Cercania!$C$6),ISNUMBER(14_Cercania!$C$7),AC267&lt;&gt;"Rechazado",AC267&lt;&gt;"Inactivo"),6371*2*ASIN(SQRT(SIN(RADIANS(14_Cercania!$C$6-L267)/2)^2+COS(RADIANS(L267))*COS(RADIANS(14_Cercania!$C$6))*SIN(RADIANS(14_Cercania!$C$7-M267)/2)^2))+ROW()*0.000000001,"")</f>
        <v/>
      </c>
    </row>
    <row r="268" customFormat="false" ht="15" hidden="false" customHeight="false" outlineLevel="0" collapsed="false">
      <c r="B268" s="45" t="n">
        <v>262</v>
      </c>
      <c r="C268" s="91"/>
      <c r="D268" s="91"/>
      <c r="E268" s="92"/>
      <c r="F268" s="92"/>
      <c r="G268" s="91"/>
      <c r="H268" s="91"/>
      <c r="I268" s="91"/>
      <c r="J268" s="93" t="s">
        <v>2490</v>
      </c>
      <c r="K268" s="91"/>
      <c r="L268" s="94"/>
      <c r="M268" s="94"/>
      <c r="N268" s="91"/>
      <c r="O268" s="35" t="str">
        <f aca="false">HYPERLINK(IF(AND(ISNUMBER(L268),ISNUMBER(M268)),"https://www.google.com/maps/search/?api=1&amp;query="&amp;L268&amp;","&amp;M268,"https://www.google.com/maps/search/?api=1&amp;query="&amp;SUBSTITUTE(SUBSTITUTE(SUBSTITUTE(K268&amp;", "&amp;I268&amp;", Puno, Peru"," ","+"),"&amp;","y"),"#","")),"Ver en mapa")</f>
        <v>Ver en mapa</v>
      </c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5" t="str">
        <f aca="false">IF(AND(ISNUMBER(L268),ISNUMBER(M268),ISNUMBER(14_Cercania!$C$6),ISNUMBER(14_Cercania!$C$7),AC268&lt;&gt;"Rechazado",AC268&lt;&gt;"Inactivo"),6371*2*ASIN(SQRT(SIN(RADIANS(14_Cercania!$C$6-L268)/2)^2+COS(RADIANS(L268))*COS(RADIANS(14_Cercania!$C$6))*SIN(RADIANS(14_Cercania!$C$7-M268)/2)^2))+ROW()*0.000000001,"")</f>
        <v/>
      </c>
    </row>
    <row r="269" customFormat="false" ht="15" hidden="false" customHeight="false" outlineLevel="0" collapsed="false">
      <c r="B269" s="45" t="n">
        <v>263</v>
      </c>
      <c r="C269" s="91"/>
      <c r="D269" s="91"/>
      <c r="E269" s="92"/>
      <c r="F269" s="92"/>
      <c r="G269" s="91"/>
      <c r="H269" s="91"/>
      <c r="I269" s="91"/>
      <c r="J269" s="93" t="s">
        <v>2490</v>
      </c>
      <c r="K269" s="91"/>
      <c r="L269" s="94"/>
      <c r="M269" s="94"/>
      <c r="N269" s="91"/>
      <c r="O269" s="35" t="str">
        <f aca="false">HYPERLINK(IF(AND(ISNUMBER(L269),ISNUMBER(M269)),"https://www.google.com/maps/search/?api=1&amp;query="&amp;L269&amp;","&amp;M269,"https://www.google.com/maps/search/?api=1&amp;query="&amp;SUBSTITUTE(SUBSTITUTE(SUBSTITUTE(K269&amp;", "&amp;I269&amp;", Puno, Peru"," ","+"),"&amp;","y"),"#","")),"Ver en mapa")</f>
        <v>Ver en mapa</v>
      </c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5" t="str">
        <f aca="false">IF(AND(ISNUMBER(L269),ISNUMBER(M269),ISNUMBER(14_Cercania!$C$6),ISNUMBER(14_Cercania!$C$7),AC269&lt;&gt;"Rechazado",AC269&lt;&gt;"Inactivo"),6371*2*ASIN(SQRT(SIN(RADIANS(14_Cercania!$C$6-L269)/2)^2+COS(RADIANS(L269))*COS(RADIANS(14_Cercania!$C$6))*SIN(RADIANS(14_Cercania!$C$7-M269)/2)^2))+ROW()*0.000000001,"")</f>
        <v/>
      </c>
    </row>
    <row r="270" customFormat="false" ht="15" hidden="false" customHeight="false" outlineLevel="0" collapsed="false">
      <c r="B270" s="45" t="n">
        <v>264</v>
      </c>
      <c r="C270" s="91"/>
      <c r="D270" s="91"/>
      <c r="E270" s="92"/>
      <c r="F270" s="92"/>
      <c r="G270" s="91"/>
      <c r="H270" s="91"/>
      <c r="I270" s="91"/>
      <c r="J270" s="93" t="s">
        <v>2490</v>
      </c>
      <c r="K270" s="91"/>
      <c r="L270" s="94"/>
      <c r="M270" s="94"/>
      <c r="N270" s="91"/>
      <c r="O270" s="35" t="str">
        <f aca="false">HYPERLINK(IF(AND(ISNUMBER(L270),ISNUMBER(M270)),"https://www.google.com/maps/search/?api=1&amp;query="&amp;L270&amp;","&amp;M270,"https://www.google.com/maps/search/?api=1&amp;query="&amp;SUBSTITUTE(SUBSTITUTE(SUBSTITUTE(K270&amp;", "&amp;I270&amp;", Puno, Peru"," ","+"),"&amp;","y"),"#","")),"Ver en mapa")</f>
        <v>Ver en mapa</v>
      </c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5" t="str">
        <f aca="false">IF(AND(ISNUMBER(L270),ISNUMBER(M270),ISNUMBER(14_Cercania!$C$6),ISNUMBER(14_Cercania!$C$7),AC270&lt;&gt;"Rechazado",AC270&lt;&gt;"Inactivo"),6371*2*ASIN(SQRT(SIN(RADIANS(14_Cercania!$C$6-L270)/2)^2+COS(RADIANS(L270))*COS(RADIANS(14_Cercania!$C$6))*SIN(RADIANS(14_Cercania!$C$7-M270)/2)^2))+ROW()*0.000000001,"")</f>
        <v/>
      </c>
    </row>
    <row r="271" customFormat="false" ht="15" hidden="false" customHeight="false" outlineLevel="0" collapsed="false">
      <c r="B271" s="45" t="n">
        <v>265</v>
      </c>
      <c r="C271" s="91"/>
      <c r="D271" s="91"/>
      <c r="E271" s="92"/>
      <c r="F271" s="92"/>
      <c r="G271" s="91"/>
      <c r="H271" s="91"/>
      <c r="I271" s="91"/>
      <c r="J271" s="93" t="s">
        <v>2490</v>
      </c>
      <c r="K271" s="91"/>
      <c r="L271" s="94"/>
      <c r="M271" s="94"/>
      <c r="N271" s="91"/>
      <c r="O271" s="35" t="str">
        <f aca="false">HYPERLINK(IF(AND(ISNUMBER(L271),ISNUMBER(M271)),"https://www.google.com/maps/search/?api=1&amp;query="&amp;L271&amp;","&amp;M271,"https://www.google.com/maps/search/?api=1&amp;query="&amp;SUBSTITUTE(SUBSTITUTE(SUBSTITUTE(K271&amp;", "&amp;I271&amp;", Puno, Peru"," ","+"),"&amp;","y"),"#","")),"Ver en mapa")</f>
        <v>Ver en mapa</v>
      </c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5" t="str">
        <f aca="false">IF(AND(ISNUMBER(L271),ISNUMBER(M271),ISNUMBER(14_Cercania!$C$6),ISNUMBER(14_Cercania!$C$7),AC271&lt;&gt;"Rechazado",AC271&lt;&gt;"Inactivo"),6371*2*ASIN(SQRT(SIN(RADIANS(14_Cercania!$C$6-L271)/2)^2+COS(RADIANS(L271))*COS(RADIANS(14_Cercania!$C$6))*SIN(RADIANS(14_Cercania!$C$7-M271)/2)^2))+ROW()*0.000000001,"")</f>
        <v/>
      </c>
    </row>
    <row r="272" customFormat="false" ht="15" hidden="false" customHeight="false" outlineLevel="0" collapsed="false">
      <c r="B272" s="45" t="n">
        <v>266</v>
      </c>
      <c r="C272" s="91"/>
      <c r="D272" s="91"/>
      <c r="E272" s="92"/>
      <c r="F272" s="92"/>
      <c r="G272" s="91"/>
      <c r="H272" s="91"/>
      <c r="I272" s="91"/>
      <c r="J272" s="93" t="s">
        <v>2490</v>
      </c>
      <c r="K272" s="91"/>
      <c r="L272" s="94"/>
      <c r="M272" s="94"/>
      <c r="N272" s="91"/>
      <c r="O272" s="35" t="str">
        <f aca="false">HYPERLINK(IF(AND(ISNUMBER(L272),ISNUMBER(M272)),"https://www.google.com/maps/search/?api=1&amp;query="&amp;L272&amp;","&amp;M272,"https://www.google.com/maps/search/?api=1&amp;query="&amp;SUBSTITUTE(SUBSTITUTE(SUBSTITUTE(K272&amp;", "&amp;I272&amp;", Puno, Peru"," ","+"),"&amp;","y"),"#","")),"Ver en mapa")</f>
        <v>Ver en mapa</v>
      </c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5" t="str">
        <f aca="false">IF(AND(ISNUMBER(L272),ISNUMBER(M272),ISNUMBER(14_Cercania!$C$6),ISNUMBER(14_Cercania!$C$7),AC272&lt;&gt;"Rechazado",AC272&lt;&gt;"Inactivo"),6371*2*ASIN(SQRT(SIN(RADIANS(14_Cercania!$C$6-L272)/2)^2+COS(RADIANS(L272))*COS(RADIANS(14_Cercania!$C$6))*SIN(RADIANS(14_Cercania!$C$7-M272)/2)^2))+ROW()*0.000000001,"")</f>
        <v/>
      </c>
    </row>
    <row r="273" customFormat="false" ht="15" hidden="false" customHeight="false" outlineLevel="0" collapsed="false">
      <c r="B273" s="45" t="n">
        <v>267</v>
      </c>
      <c r="C273" s="91"/>
      <c r="D273" s="91"/>
      <c r="E273" s="92"/>
      <c r="F273" s="92"/>
      <c r="G273" s="91"/>
      <c r="H273" s="91"/>
      <c r="I273" s="91"/>
      <c r="J273" s="93" t="s">
        <v>2490</v>
      </c>
      <c r="K273" s="91"/>
      <c r="L273" s="94"/>
      <c r="M273" s="94"/>
      <c r="N273" s="91"/>
      <c r="O273" s="35" t="str">
        <f aca="false">HYPERLINK(IF(AND(ISNUMBER(L273),ISNUMBER(M273)),"https://www.google.com/maps/search/?api=1&amp;query="&amp;L273&amp;","&amp;M273,"https://www.google.com/maps/search/?api=1&amp;query="&amp;SUBSTITUTE(SUBSTITUTE(SUBSTITUTE(K273&amp;", "&amp;I273&amp;", Puno, Peru"," ","+"),"&amp;","y"),"#","")),"Ver en mapa")</f>
        <v>Ver en mapa</v>
      </c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5" t="str">
        <f aca="false">IF(AND(ISNUMBER(L273),ISNUMBER(M273),ISNUMBER(14_Cercania!$C$6),ISNUMBER(14_Cercania!$C$7),AC273&lt;&gt;"Rechazado",AC273&lt;&gt;"Inactivo"),6371*2*ASIN(SQRT(SIN(RADIANS(14_Cercania!$C$6-L273)/2)^2+COS(RADIANS(L273))*COS(RADIANS(14_Cercania!$C$6))*SIN(RADIANS(14_Cercania!$C$7-M273)/2)^2))+ROW()*0.000000001,"")</f>
        <v/>
      </c>
    </row>
    <row r="274" customFormat="false" ht="15" hidden="false" customHeight="false" outlineLevel="0" collapsed="false">
      <c r="B274" s="45" t="n">
        <v>268</v>
      </c>
      <c r="C274" s="91"/>
      <c r="D274" s="91"/>
      <c r="E274" s="92"/>
      <c r="F274" s="92"/>
      <c r="G274" s="91"/>
      <c r="H274" s="91"/>
      <c r="I274" s="91"/>
      <c r="J274" s="93" t="s">
        <v>2490</v>
      </c>
      <c r="K274" s="91"/>
      <c r="L274" s="94"/>
      <c r="M274" s="94"/>
      <c r="N274" s="91"/>
      <c r="O274" s="35" t="str">
        <f aca="false">HYPERLINK(IF(AND(ISNUMBER(L274),ISNUMBER(M274)),"https://www.google.com/maps/search/?api=1&amp;query="&amp;L274&amp;","&amp;M274,"https://www.google.com/maps/search/?api=1&amp;query="&amp;SUBSTITUTE(SUBSTITUTE(SUBSTITUTE(K274&amp;", "&amp;I274&amp;", Puno, Peru"," ","+"),"&amp;","y"),"#","")),"Ver en mapa")</f>
        <v>Ver en mapa</v>
      </c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5" t="str">
        <f aca="false">IF(AND(ISNUMBER(L274),ISNUMBER(M274),ISNUMBER(14_Cercania!$C$6),ISNUMBER(14_Cercania!$C$7),AC274&lt;&gt;"Rechazado",AC274&lt;&gt;"Inactivo"),6371*2*ASIN(SQRT(SIN(RADIANS(14_Cercania!$C$6-L274)/2)^2+COS(RADIANS(L274))*COS(RADIANS(14_Cercania!$C$6))*SIN(RADIANS(14_Cercania!$C$7-M274)/2)^2))+ROW()*0.000000001,"")</f>
        <v/>
      </c>
    </row>
    <row r="275" customFormat="false" ht="15" hidden="false" customHeight="false" outlineLevel="0" collapsed="false">
      <c r="B275" s="45" t="n">
        <v>269</v>
      </c>
      <c r="C275" s="91"/>
      <c r="D275" s="91"/>
      <c r="E275" s="92"/>
      <c r="F275" s="92"/>
      <c r="G275" s="91"/>
      <c r="H275" s="91"/>
      <c r="I275" s="91"/>
      <c r="J275" s="93" t="s">
        <v>2490</v>
      </c>
      <c r="K275" s="91"/>
      <c r="L275" s="94"/>
      <c r="M275" s="94"/>
      <c r="N275" s="91"/>
      <c r="O275" s="35" t="str">
        <f aca="false">HYPERLINK(IF(AND(ISNUMBER(L275),ISNUMBER(M275)),"https://www.google.com/maps/search/?api=1&amp;query="&amp;L275&amp;","&amp;M275,"https://www.google.com/maps/search/?api=1&amp;query="&amp;SUBSTITUTE(SUBSTITUTE(SUBSTITUTE(K275&amp;", "&amp;I275&amp;", Puno, Peru"," ","+"),"&amp;","y"),"#","")),"Ver en mapa")</f>
        <v>Ver en mapa</v>
      </c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5" t="str">
        <f aca="false">IF(AND(ISNUMBER(L275),ISNUMBER(M275),ISNUMBER(14_Cercania!$C$6),ISNUMBER(14_Cercania!$C$7),AC275&lt;&gt;"Rechazado",AC275&lt;&gt;"Inactivo"),6371*2*ASIN(SQRT(SIN(RADIANS(14_Cercania!$C$6-L275)/2)^2+COS(RADIANS(L275))*COS(RADIANS(14_Cercania!$C$6))*SIN(RADIANS(14_Cercania!$C$7-M275)/2)^2))+ROW()*0.000000001,"")</f>
        <v/>
      </c>
    </row>
    <row r="276" customFormat="false" ht="15" hidden="false" customHeight="false" outlineLevel="0" collapsed="false">
      <c r="B276" s="45" t="n">
        <v>270</v>
      </c>
      <c r="C276" s="91"/>
      <c r="D276" s="91"/>
      <c r="E276" s="92"/>
      <c r="F276" s="92"/>
      <c r="G276" s="91"/>
      <c r="H276" s="91"/>
      <c r="I276" s="91"/>
      <c r="J276" s="93" t="s">
        <v>2490</v>
      </c>
      <c r="K276" s="91"/>
      <c r="L276" s="94"/>
      <c r="M276" s="94"/>
      <c r="N276" s="91"/>
      <c r="O276" s="35" t="str">
        <f aca="false">HYPERLINK(IF(AND(ISNUMBER(L276),ISNUMBER(M276)),"https://www.google.com/maps/search/?api=1&amp;query="&amp;L276&amp;","&amp;M276,"https://www.google.com/maps/search/?api=1&amp;query="&amp;SUBSTITUTE(SUBSTITUTE(SUBSTITUTE(K276&amp;", "&amp;I276&amp;", Puno, Peru"," ","+"),"&amp;","y"),"#","")),"Ver en mapa")</f>
        <v>Ver en mapa</v>
      </c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5" t="str">
        <f aca="false">IF(AND(ISNUMBER(L276),ISNUMBER(M276),ISNUMBER(14_Cercania!$C$6),ISNUMBER(14_Cercania!$C$7),AC276&lt;&gt;"Rechazado",AC276&lt;&gt;"Inactivo"),6371*2*ASIN(SQRT(SIN(RADIANS(14_Cercania!$C$6-L276)/2)^2+COS(RADIANS(L276))*COS(RADIANS(14_Cercania!$C$6))*SIN(RADIANS(14_Cercania!$C$7-M276)/2)^2))+ROW()*0.000000001,"")</f>
        <v/>
      </c>
    </row>
    <row r="277" customFormat="false" ht="15" hidden="false" customHeight="false" outlineLevel="0" collapsed="false">
      <c r="B277" s="45" t="n">
        <v>271</v>
      </c>
      <c r="C277" s="91"/>
      <c r="D277" s="91"/>
      <c r="E277" s="92"/>
      <c r="F277" s="92"/>
      <c r="G277" s="91"/>
      <c r="H277" s="91"/>
      <c r="I277" s="91"/>
      <c r="J277" s="93" t="s">
        <v>2490</v>
      </c>
      <c r="K277" s="91"/>
      <c r="L277" s="94"/>
      <c r="M277" s="94"/>
      <c r="N277" s="91"/>
      <c r="O277" s="35" t="str">
        <f aca="false">HYPERLINK(IF(AND(ISNUMBER(L277),ISNUMBER(M277)),"https://www.google.com/maps/search/?api=1&amp;query="&amp;L277&amp;","&amp;M277,"https://www.google.com/maps/search/?api=1&amp;query="&amp;SUBSTITUTE(SUBSTITUTE(SUBSTITUTE(K277&amp;", "&amp;I277&amp;", Puno, Peru"," ","+"),"&amp;","y"),"#","")),"Ver en mapa")</f>
        <v>Ver en mapa</v>
      </c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5" t="str">
        <f aca="false">IF(AND(ISNUMBER(L277),ISNUMBER(M277),ISNUMBER(14_Cercania!$C$6),ISNUMBER(14_Cercania!$C$7),AC277&lt;&gt;"Rechazado",AC277&lt;&gt;"Inactivo"),6371*2*ASIN(SQRT(SIN(RADIANS(14_Cercania!$C$6-L277)/2)^2+COS(RADIANS(L277))*COS(RADIANS(14_Cercania!$C$6))*SIN(RADIANS(14_Cercania!$C$7-M277)/2)^2))+ROW()*0.000000001,"")</f>
        <v/>
      </c>
    </row>
    <row r="278" customFormat="false" ht="15" hidden="false" customHeight="false" outlineLevel="0" collapsed="false">
      <c r="B278" s="45" t="n">
        <v>272</v>
      </c>
      <c r="C278" s="91"/>
      <c r="D278" s="91"/>
      <c r="E278" s="92"/>
      <c r="F278" s="92"/>
      <c r="G278" s="91"/>
      <c r="H278" s="91"/>
      <c r="I278" s="91"/>
      <c r="J278" s="93" t="s">
        <v>2490</v>
      </c>
      <c r="K278" s="91"/>
      <c r="L278" s="94"/>
      <c r="M278" s="94"/>
      <c r="N278" s="91"/>
      <c r="O278" s="35" t="str">
        <f aca="false">HYPERLINK(IF(AND(ISNUMBER(L278),ISNUMBER(M278)),"https://www.google.com/maps/search/?api=1&amp;query="&amp;L278&amp;","&amp;M278,"https://www.google.com/maps/search/?api=1&amp;query="&amp;SUBSTITUTE(SUBSTITUTE(SUBSTITUTE(K278&amp;", "&amp;I278&amp;", Puno, Peru"," ","+"),"&amp;","y"),"#","")),"Ver en mapa")</f>
        <v>Ver en mapa</v>
      </c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5" t="str">
        <f aca="false">IF(AND(ISNUMBER(L278),ISNUMBER(M278),ISNUMBER(14_Cercania!$C$6),ISNUMBER(14_Cercania!$C$7),AC278&lt;&gt;"Rechazado",AC278&lt;&gt;"Inactivo"),6371*2*ASIN(SQRT(SIN(RADIANS(14_Cercania!$C$6-L278)/2)^2+COS(RADIANS(L278))*COS(RADIANS(14_Cercania!$C$6))*SIN(RADIANS(14_Cercania!$C$7-M278)/2)^2))+ROW()*0.000000001,"")</f>
        <v/>
      </c>
    </row>
    <row r="279" customFormat="false" ht="15" hidden="false" customHeight="false" outlineLevel="0" collapsed="false">
      <c r="B279" s="45" t="n">
        <v>273</v>
      </c>
      <c r="C279" s="91"/>
      <c r="D279" s="91"/>
      <c r="E279" s="92"/>
      <c r="F279" s="92"/>
      <c r="G279" s="91"/>
      <c r="H279" s="91"/>
      <c r="I279" s="91"/>
      <c r="J279" s="93" t="s">
        <v>2490</v>
      </c>
      <c r="K279" s="91"/>
      <c r="L279" s="94"/>
      <c r="M279" s="94"/>
      <c r="N279" s="91"/>
      <c r="O279" s="35" t="str">
        <f aca="false">HYPERLINK(IF(AND(ISNUMBER(L279),ISNUMBER(M279)),"https://www.google.com/maps/search/?api=1&amp;query="&amp;L279&amp;","&amp;M279,"https://www.google.com/maps/search/?api=1&amp;query="&amp;SUBSTITUTE(SUBSTITUTE(SUBSTITUTE(K279&amp;", "&amp;I279&amp;", Puno, Peru"," ","+"),"&amp;","y"),"#","")),"Ver en mapa")</f>
        <v>Ver en mapa</v>
      </c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5" t="str">
        <f aca="false">IF(AND(ISNUMBER(L279),ISNUMBER(M279),ISNUMBER(14_Cercania!$C$6),ISNUMBER(14_Cercania!$C$7),AC279&lt;&gt;"Rechazado",AC279&lt;&gt;"Inactivo"),6371*2*ASIN(SQRT(SIN(RADIANS(14_Cercania!$C$6-L279)/2)^2+COS(RADIANS(L279))*COS(RADIANS(14_Cercania!$C$6))*SIN(RADIANS(14_Cercania!$C$7-M279)/2)^2))+ROW()*0.000000001,"")</f>
        <v/>
      </c>
    </row>
    <row r="280" customFormat="false" ht="15" hidden="false" customHeight="false" outlineLevel="0" collapsed="false">
      <c r="B280" s="45" t="n">
        <v>274</v>
      </c>
      <c r="C280" s="91"/>
      <c r="D280" s="91"/>
      <c r="E280" s="92"/>
      <c r="F280" s="92"/>
      <c r="G280" s="91"/>
      <c r="H280" s="91"/>
      <c r="I280" s="91"/>
      <c r="J280" s="93" t="s">
        <v>2490</v>
      </c>
      <c r="K280" s="91"/>
      <c r="L280" s="94"/>
      <c r="M280" s="94"/>
      <c r="N280" s="91"/>
      <c r="O280" s="35" t="str">
        <f aca="false">HYPERLINK(IF(AND(ISNUMBER(L280),ISNUMBER(M280)),"https://www.google.com/maps/search/?api=1&amp;query="&amp;L280&amp;","&amp;M280,"https://www.google.com/maps/search/?api=1&amp;query="&amp;SUBSTITUTE(SUBSTITUTE(SUBSTITUTE(K280&amp;", "&amp;I280&amp;", Puno, Peru"," ","+"),"&amp;","y"),"#","")),"Ver en mapa")</f>
        <v>Ver en mapa</v>
      </c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5" t="str">
        <f aca="false">IF(AND(ISNUMBER(L280),ISNUMBER(M280),ISNUMBER(14_Cercania!$C$6),ISNUMBER(14_Cercania!$C$7),AC280&lt;&gt;"Rechazado",AC280&lt;&gt;"Inactivo"),6371*2*ASIN(SQRT(SIN(RADIANS(14_Cercania!$C$6-L280)/2)^2+COS(RADIANS(L280))*COS(RADIANS(14_Cercania!$C$6))*SIN(RADIANS(14_Cercania!$C$7-M280)/2)^2))+ROW()*0.000000001,"")</f>
        <v/>
      </c>
    </row>
    <row r="281" customFormat="false" ht="15" hidden="false" customHeight="false" outlineLevel="0" collapsed="false">
      <c r="B281" s="45" t="n">
        <v>275</v>
      </c>
      <c r="C281" s="91"/>
      <c r="D281" s="91"/>
      <c r="E281" s="92"/>
      <c r="F281" s="92"/>
      <c r="G281" s="91"/>
      <c r="H281" s="91"/>
      <c r="I281" s="91"/>
      <c r="J281" s="93" t="s">
        <v>2490</v>
      </c>
      <c r="K281" s="91"/>
      <c r="L281" s="94"/>
      <c r="M281" s="94"/>
      <c r="N281" s="91"/>
      <c r="O281" s="35" t="str">
        <f aca="false">HYPERLINK(IF(AND(ISNUMBER(L281),ISNUMBER(M281)),"https://www.google.com/maps/search/?api=1&amp;query="&amp;L281&amp;","&amp;M281,"https://www.google.com/maps/search/?api=1&amp;query="&amp;SUBSTITUTE(SUBSTITUTE(SUBSTITUTE(K281&amp;", "&amp;I281&amp;", Puno, Peru"," ","+"),"&amp;","y"),"#","")),"Ver en mapa")</f>
        <v>Ver en mapa</v>
      </c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5" t="str">
        <f aca="false">IF(AND(ISNUMBER(L281),ISNUMBER(M281),ISNUMBER(14_Cercania!$C$6),ISNUMBER(14_Cercania!$C$7),AC281&lt;&gt;"Rechazado",AC281&lt;&gt;"Inactivo"),6371*2*ASIN(SQRT(SIN(RADIANS(14_Cercania!$C$6-L281)/2)^2+COS(RADIANS(L281))*COS(RADIANS(14_Cercania!$C$6))*SIN(RADIANS(14_Cercania!$C$7-M281)/2)^2))+ROW()*0.000000001,"")</f>
        <v/>
      </c>
    </row>
    <row r="282" customFormat="false" ht="15" hidden="false" customHeight="false" outlineLevel="0" collapsed="false">
      <c r="B282" s="45" t="n">
        <v>276</v>
      </c>
      <c r="C282" s="91"/>
      <c r="D282" s="91"/>
      <c r="E282" s="92"/>
      <c r="F282" s="92"/>
      <c r="G282" s="91"/>
      <c r="H282" s="91"/>
      <c r="I282" s="91"/>
      <c r="J282" s="93" t="s">
        <v>2490</v>
      </c>
      <c r="K282" s="91"/>
      <c r="L282" s="94"/>
      <c r="M282" s="94"/>
      <c r="N282" s="91"/>
      <c r="O282" s="35" t="str">
        <f aca="false">HYPERLINK(IF(AND(ISNUMBER(L282),ISNUMBER(M282)),"https://www.google.com/maps/search/?api=1&amp;query="&amp;L282&amp;","&amp;M282,"https://www.google.com/maps/search/?api=1&amp;query="&amp;SUBSTITUTE(SUBSTITUTE(SUBSTITUTE(K282&amp;", "&amp;I282&amp;", Puno, Peru"," ","+"),"&amp;","y"),"#","")),"Ver en mapa")</f>
        <v>Ver en mapa</v>
      </c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5" t="str">
        <f aca="false">IF(AND(ISNUMBER(L282),ISNUMBER(M282),ISNUMBER(14_Cercania!$C$6),ISNUMBER(14_Cercania!$C$7),AC282&lt;&gt;"Rechazado",AC282&lt;&gt;"Inactivo"),6371*2*ASIN(SQRT(SIN(RADIANS(14_Cercania!$C$6-L282)/2)^2+COS(RADIANS(L282))*COS(RADIANS(14_Cercania!$C$6))*SIN(RADIANS(14_Cercania!$C$7-M282)/2)^2))+ROW()*0.000000001,"")</f>
        <v/>
      </c>
    </row>
    <row r="283" customFormat="false" ht="15" hidden="false" customHeight="false" outlineLevel="0" collapsed="false">
      <c r="B283" s="45" t="n">
        <v>277</v>
      </c>
      <c r="C283" s="91"/>
      <c r="D283" s="91"/>
      <c r="E283" s="92"/>
      <c r="F283" s="92"/>
      <c r="G283" s="91"/>
      <c r="H283" s="91"/>
      <c r="I283" s="91"/>
      <c r="J283" s="93" t="s">
        <v>2490</v>
      </c>
      <c r="K283" s="91"/>
      <c r="L283" s="94"/>
      <c r="M283" s="94"/>
      <c r="N283" s="91"/>
      <c r="O283" s="35" t="str">
        <f aca="false">HYPERLINK(IF(AND(ISNUMBER(L283),ISNUMBER(M283)),"https://www.google.com/maps/search/?api=1&amp;query="&amp;L283&amp;","&amp;M283,"https://www.google.com/maps/search/?api=1&amp;query="&amp;SUBSTITUTE(SUBSTITUTE(SUBSTITUTE(K283&amp;", "&amp;I283&amp;", Puno, Peru"," ","+"),"&amp;","y"),"#","")),"Ver en mapa")</f>
        <v>Ver en mapa</v>
      </c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5" t="str">
        <f aca="false">IF(AND(ISNUMBER(L283),ISNUMBER(M283),ISNUMBER(14_Cercania!$C$6),ISNUMBER(14_Cercania!$C$7),AC283&lt;&gt;"Rechazado",AC283&lt;&gt;"Inactivo"),6371*2*ASIN(SQRT(SIN(RADIANS(14_Cercania!$C$6-L283)/2)^2+COS(RADIANS(L283))*COS(RADIANS(14_Cercania!$C$6))*SIN(RADIANS(14_Cercania!$C$7-M283)/2)^2))+ROW()*0.000000001,"")</f>
        <v/>
      </c>
    </row>
    <row r="284" customFormat="false" ht="15" hidden="false" customHeight="false" outlineLevel="0" collapsed="false">
      <c r="B284" s="45" t="n">
        <v>278</v>
      </c>
      <c r="C284" s="91"/>
      <c r="D284" s="91"/>
      <c r="E284" s="92"/>
      <c r="F284" s="92"/>
      <c r="G284" s="91"/>
      <c r="H284" s="91"/>
      <c r="I284" s="91"/>
      <c r="J284" s="93" t="s">
        <v>2490</v>
      </c>
      <c r="K284" s="91"/>
      <c r="L284" s="94"/>
      <c r="M284" s="94"/>
      <c r="N284" s="91"/>
      <c r="O284" s="35" t="str">
        <f aca="false">HYPERLINK(IF(AND(ISNUMBER(L284),ISNUMBER(M284)),"https://www.google.com/maps/search/?api=1&amp;query="&amp;L284&amp;","&amp;M284,"https://www.google.com/maps/search/?api=1&amp;query="&amp;SUBSTITUTE(SUBSTITUTE(SUBSTITUTE(K284&amp;", "&amp;I284&amp;", Puno, Peru"," ","+"),"&amp;","y"),"#","")),"Ver en mapa")</f>
        <v>Ver en mapa</v>
      </c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5" t="str">
        <f aca="false">IF(AND(ISNUMBER(L284),ISNUMBER(M284),ISNUMBER(14_Cercania!$C$6),ISNUMBER(14_Cercania!$C$7),AC284&lt;&gt;"Rechazado",AC284&lt;&gt;"Inactivo"),6371*2*ASIN(SQRT(SIN(RADIANS(14_Cercania!$C$6-L284)/2)^2+COS(RADIANS(L284))*COS(RADIANS(14_Cercania!$C$6))*SIN(RADIANS(14_Cercania!$C$7-M284)/2)^2))+ROW()*0.000000001,"")</f>
        <v/>
      </c>
    </row>
    <row r="285" customFormat="false" ht="15" hidden="false" customHeight="false" outlineLevel="0" collapsed="false">
      <c r="B285" s="45" t="n">
        <v>279</v>
      </c>
      <c r="C285" s="91"/>
      <c r="D285" s="91"/>
      <c r="E285" s="92"/>
      <c r="F285" s="92"/>
      <c r="G285" s="91"/>
      <c r="H285" s="91"/>
      <c r="I285" s="91"/>
      <c r="J285" s="93" t="s">
        <v>2490</v>
      </c>
      <c r="K285" s="91"/>
      <c r="L285" s="94"/>
      <c r="M285" s="94"/>
      <c r="N285" s="91"/>
      <c r="O285" s="35" t="str">
        <f aca="false">HYPERLINK(IF(AND(ISNUMBER(L285),ISNUMBER(M285)),"https://www.google.com/maps/search/?api=1&amp;query="&amp;L285&amp;","&amp;M285,"https://www.google.com/maps/search/?api=1&amp;query="&amp;SUBSTITUTE(SUBSTITUTE(SUBSTITUTE(K285&amp;", "&amp;I285&amp;", Puno, Peru"," ","+"),"&amp;","y"),"#","")),"Ver en mapa")</f>
        <v>Ver en mapa</v>
      </c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5" t="str">
        <f aca="false">IF(AND(ISNUMBER(L285),ISNUMBER(M285),ISNUMBER(14_Cercania!$C$6),ISNUMBER(14_Cercania!$C$7),AC285&lt;&gt;"Rechazado",AC285&lt;&gt;"Inactivo"),6371*2*ASIN(SQRT(SIN(RADIANS(14_Cercania!$C$6-L285)/2)^2+COS(RADIANS(L285))*COS(RADIANS(14_Cercania!$C$6))*SIN(RADIANS(14_Cercania!$C$7-M285)/2)^2))+ROW()*0.000000001,"")</f>
        <v/>
      </c>
    </row>
    <row r="286" customFormat="false" ht="15" hidden="false" customHeight="false" outlineLevel="0" collapsed="false">
      <c r="B286" s="45" t="n">
        <v>280</v>
      </c>
      <c r="C286" s="91"/>
      <c r="D286" s="91"/>
      <c r="E286" s="92"/>
      <c r="F286" s="92"/>
      <c r="G286" s="91"/>
      <c r="H286" s="91"/>
      <c r="I286" s="91"/>
      <c r="J286" s="93" t="s">
        <v>2490</v>
      </c>
      <c r="K286" s="91"/>
      <c r="L286" s="94"/>
      <c r="M286" s="94"/>
      <c r="N286" s="91"/>
      <c r="O286" s="35" t="str">
        <f aca="false">HYPERLINK(IF(AND(ISNUMBER(L286),ISNUMBER(M286)),"https://www.google.com/maps/search/?api=1&amp;query="&amp;L286&amp;","&amp;M286,"https://www.google.com/maps/search/?api=1&amp;query="&amp;SUBSTITUTE(SUBSTITUTE(SUBSTITUTE(K286&amp;", "&amp;I286&amp;", Puno, Peru"," ","+"),"&amp;","y"),"#","")),"Ver en mapa")</f>
        <v>Ver en mapa</v>
      </c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5" t="str">
        <f aca="false">IF(AND(ISNUMBER(L286),ISNUMBER(M286),ISNUMBER(14_Cercania!$C$6),ISNUMBER(14_Cercania!$C$7),AC286&lt;&gt;"Rechazado",AC286&lt;&gt;"Inactivo"),6371*2*ASIN(SQRT(SIN(RADIANS(14_Cercania!$C$6-L286)/2)^2+COS(RADIANS(L286))*COS(RADIANS(14_Cercania!$C$6))*SIN(RADIANS(14_Cercania!$C$7-M286)/2)^2))+ROW()*0.000000001,"")</f>
        <v/>
      </c>
    </row>
    <row r="287" customFormat="false" ht="15" hidden="false" customHeight="false" outlineLevel="0" collapsed="false">
      <c r="B287" s="45" t="n">
        <v>281</v>
      </c>
      <c r="C287" s="91"/>
      <c r="D287" s="91"/>
      <c r="E287" s="92"/>
      <c r="F287" s="92"/>
      <c r="G287" s="91"/>
      <c r="H287" s="91"/>
      <c r="I287" s="91"/>
      <c r="J287" s="93" t="s">
        <v>2490</v>
      </c>
      <c r="K287" s="91"/>
      <c r="L287" s="94"/>
      <c r="M287" s="94"/>
      <c r="N287" s="91"/>
      <c r="O287" s="35" t="str">
        <f aca="false">HYPERLINK(IF(AND(ISNUMBER(L287),ISNUMBER(M287)),"https://www.google.com/maps/search/?api=1&amp;query="&amp;L287&amp;","&amp;M287,"https://www.google.com/maps/search/?api=1&amp;query="&amp;SUBSTITUTE(SUBSTITUTE(SUBSTITUTE(K287&amp;", "&amp;I287&amp;", Puno, Peru"," ","+"),"&amp;","y"),"#","")),"Ver en mapa")</f>
        <v>Ver en mapa</v>
      </c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5" t="str">
        <f aca="false">IF(AND(ISNUMBER(L287),ISNUMBER(M287),ISNUMBER(14_Cercania!$C$6),ISNUMBER(14_Cercania!$C$7),AC287&lt;&gt;"Rechazado",AC287&lt;&gt;"Inactivo"),6371*2*ASIN(SQRT(SIN(RADIANS(14_Cercania!$C$6-L287)/2)^2+COS(RADIANS(L287))*COS(RADIANS(14_Cercania!$C$6))*SIN(RADIANS(14_Cercania!$C$7-M287)/2)^2))+ROW()*0.000000001,"")</f>
        <v/>
      </c>
    </row>
    <row r="288" customFormat="false" ht="15" hidden="false" customHeight="false" outlineLevel="0" collapsed="false">
      <c r="B288" s="45" t="n">
        <v>282</v>
      </c>
      <c r="C288" s="91"/>
      <c r="D288" s="91"/>
      <c r="E288" s="92"/>
      <c r="F288" s="92"/>
      <c r="G288" s="91"/>
      <c r="H288" s="91"/>
      <c r="I288" s="91"/>
      <c r="J288" s="93" t="s">
        <v>2490</v>
      </c>
      <c r="K288" s="91"/>
      <c r="L288" s="94"/>
      <c r="M288" s="94"/>
      <c r="N288" s="91"/>
      <c r="O288" s="35" t="str">
        <f aca="false">HYPERLINK(IF(AND(ISNUMBER(L288),ISNUMBER(M288)),"https://www.google.com/maps/search/?api=1&amp;query="&amp;L288&amp;","&amp;M288,"https://www.google.com/maps/search/?api=1&amp;query="&amp;SUBSTITUTE(SUBSTITUTE(SUBSTITUTE(K288&amp;", "&amp;I288&amp;", Puno, Peru"," ","+"),"&amp;","y"),"#","")),"Ver en mapa")</f>
        <v>Ver en mapa</v>
      </c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5" t="str">
        <f aca="false">IF(AND(ISNUMBER(L288),ISNUMBER(M288),ISNUMBER(14_Cercania!$C$6),ISNUMBER(14_Cercania!$C$7),AC288&lt;&gt;"Rechazado",AC288&lt;&gt;"Inactivo"),6371*2*ASIN(SQRT(SIN(RADIANS(14_Cercania!$C$6-L288)/2)^2+COS(RADIANS(L288))*COS(RADIANS(14_Cercania!$C$6))*SIN(RADIANS(14_Cercania!$C$7-M288)/2)^2))+ROW()*0.000000001,"")</f>
        <v/>
      </c>
    </row>
    <row r="289" customFormat="false" ht="15" hidden="false" customHeight="false" outlineLevel="0" collapsed="false">
      <c r="B289" s="45" t="n">
        <v>283</v>
      </c>
      <c r="C289" s="91"/>
      <c r="D289" s="91"/>
      <c r="E289" s="92"/>
      <c r="F289" s="92"/>
      <c r="G289" s="91"/>
      <c r="H289" s="91"/>
      <c r="I289" s="91"/>
      <c r="J289" s="93" t="s">
        <v>2490</v>
      </c>
      <c r="K289" s="91"/>
      <c r="L289" s="94"/>
      <c r="M289" s="94"/>
      <c r="N289" s="91"/>
      <c r="O289" s="35" t="str">
        <f aca="false">HYPERLINK(IF(AND(ISNUMBER(L289),ISNUMBER(M289)),"https://www.google.com/maps/search/?api=1&amp;query="&amp;L289&amp;","&amp;M289,"https://www.google.com/maps/search/?api=1&amp;query="&amp;SUBSTITUTE(SUBSTITUTE(SUBSTITUTE(K289&amp;", "&amp;I289&amp;", Puno, Peru"," ","+"),"&amp;","y"),"#","")),"Ver en mapa")</f>
        <v>Ver en mapa</v>
      </c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5" t="str">
        <f aca="false">IF(AND(ISNUMBER(L289),ISNUMBER(M289),ISNUMBER(14_Cercania!$C$6),ISNUMBER(14_Cercania!$C$7),AC289&lt;&gt;"Rechazado",AC289&lt;&gt;"Inactivo"),6371*2*ASIN(SQRT(SIN(RADIANS(14_Cercania!$C$6-L289)/2)^2+COS(RADIANS(L289))*COS(RADIANS(14_Cercania!$C$6))*SIN(RADIANS(14_Cercania!$C$7-M289)/2)^2))+ROW()*0.000000001,"")</f>
        <v/>
      </c>
    </row>
    <row r="290" customFormat="false" ht="15" hidden="false" customHeight="false" outlineLevel="0" collapsed="false">
      <c r="B290" s="45" t="n">
        <v>284</v>
      </c>
      <c r="C290" s="91"/>
      <c r="D290" s="91"/>
      <c r="E290" s="92"/>
      <c r="F290" s="92"/>
      <c r="G290" s="91"/>
      <c r="H290" s="91"/>
      <c r="I290" s="91"/>
      <c r="J290" s="93" t="s">
        <v>2490</v>
      </c>
      <c r="K290" s="91"/>
      <c r="L290" s="94"/>
      <c r="M290" s="94"/>
      <c r="N290" s="91"/>
      <c r="O290" s="35" t="str">
        <f aca="false">HYPERLINK(IF(AND(ISNUMBER(L290),ISNUMBER(M290)),"https://www.google.com/maps/search/?api=1&amp;query="&amp;L290&amp;","&amp;M290,"https://www.google.com/maps/search/?api=1&amp;query="&amp;SUBSTITUTE(SUBSTITUTE(SUBSTITUTE(K290&amp;", "&amp;I290&amp;", Puno, Peru"," ","+"),"&amp;","y"),"#","")),"Ver en mapa")</f>
        <v>Ver en mapa</v>
      </c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5" t="str">
        <f aca="false">IF(AND(ISNUMBER(L290),ISNUMBER(M290),ISNUMBER(14_Cercania!$C$6),ISNUMBER(14_Cercania!$C$7),AC290&lt;&gt;"Rechazado",AC290&lt;&gt;"Inactivo"),6371*2*ASIN(SQRT(SIN(RADIANS(14_Cercania!$C$6-L290)/2)^2+COS(RADIANS(L290))*COS(RADIANS(14_Cercania!$C$6))*SIN(RADIANS(14_Cercania!$C$7-M290)/2)^2))+ROW()*0.000000001,"")</f>
        <v/>
      </c>
    </row>
    <row r="291" customFormat="false" ht="15" hidden="false" customHeight="false" outlineLevel="0" collapsed="false">
      <c r="B291" s="45" t="n">
        <v>285</v>
      </c>
      <c r="C291" s="91"/>
      <c r="D291" s="91"/>
      <c r="E291" s="92"/>
      <c r="F291" s="92"/>
      <c r="G291" s="91"/>
      <c r="H291" s="91"/>
      <c r="I291" s="91"/>
      <c r="J291" s="93" t="s">
        <v>2490</v>
      </c>
      <c r="K291" s="91"/>
      <c r="L291" s="94"/>
      <c r="M291" s="94"/>
      <c r="N291" s="91"/>
      <c r="O291" s="35" t="str">
        <f aca="false">HYPERLINK(IF(AND(ISNUMBER(L291),ISNUMBER(M291)),"https://www.google.com/maps/search/?api=1&amp;query="&amp;L291&amp;","&amp;M291,"https://www.google.com/maps/search/?api=1&amp;query="&amp;SUBSTITUTE(SUBSTITUTE(SUBSTITUTE(K291&amp;", "&amp;I291&amp;", Puno, Peru"," ","+"),"&amp;","y"),"#","")),"Ver en mapa")</f>
        <v>Ver en mapa</v>
      </c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5" t="str">
        <f aca="false">IF(AND(ISNUMBER(L291),ISNUMBER(M291),ISNUMBER(14_Cercania!$C$6),ISNUMBER(14_Cercania!$C$7),AC291&lt;&gt;"Rechazado",AC291&lt;&gt;"Inactivo"),6371*2*ASIN(SQRT(SIN(RADIANS(14_Cercania!$C$6-L291)/2)^2+COS(RADIANS(L291))*COS(RADIANS(14_Cercania!$C$6))*SIN(RADIANS(14_Cercania!$C$7-M291)/2)^2))+ROW()*0.000000001,"")</f>
        <v/>
      </c>
    </row>
    <row r="292" customFormat="false" ht="15" hidden="false" customHeight="false" outlineLevel="0" collapsed="false">
      <c r="B292" s="45" t="n">
        <v>286</v>
      </c>
      <c r="C292" s="91"/>
      <c r="D292" s="91"/>
      <c r="E292" s="92"/>
      <c r="F292" s="92"/>
      <c r="G292" s="91"/>
      <c r="H292" s="91"/>
      <c r="I292" s="91"/>
      <c r="J292" s="93" t="s">
        <v>2490</v>
      </c>
      <c r="K292" s="91"/>
      <c r="L292" s="94"/>
      <c r="M292" s="94"/>
      <c r="N292" s="91"/>
      <c r="O292" s="35" t="str">
        <f aca="false">HYPERLINK(IF(AND(ISNUMBER(L292),ISNUMBER(M292)),"https://www.google.com/maps/search/?api=1&amp;query="&amp;L292&amp;","&amp;M292,"https://www.google.com/maps/search/?api=1&amp;query="&amp;SUBSTITUTE(SUBSTITUTE(SUBSTITUTE(K292&amp;", "&amp;I292&amp;", Puno, Peru"," ","+"),"&amp;","y"),"#","")),"Ver en mapa")</f>
        <v>Ver en mapa</v>
      </c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5" t="str">
        <f aca="false">IF(AND(ISNUMBER(L292),ISNUMBER(M292),ISNUMBER(14_Cercania!$C$6),ISNUMBER(14_Cercania!$C$7),AC292&lt;&gt;"Rechazado",AC292&lt;&gt;"Inactivo"),6371*2*ASIN(SQRT(SIN(RADIANS(14_Cercania!$C$6-L292)/2)^2+COS(RADIANS(L292))*COS(RADIANS(14_Cercania!$C$6))*SIN(RADIANS(14_Cercania!$C$7-M292)/2)^2))+ROW()*0.000000001,"")</f>
        <v/>
      </c>
    </row>
    <row r="293" customFormat="false" ht="15" hidden="false" customHeight="false" outlineLevel="0" collapsed="false">
      <c r="B293" s="45" t="n">
        <v>287</v>
      </c>
      <c r="C293" s="91"/>
      <c r="D293" s="91"/>
      <c r="E293" s="92"/>
      <c r="F293" s="92"/>
      <c r="G293" s="91"/>
      <c r="H293" s="91"/>
      <c r="I293" s="91"/>
      <c r="J293" s="93" t="s">
        <v>2490</v>
      </c>
      <c r="K293" s="91"/>
      <c r="L293" s="94"/>
      <c r="M293" s="94"/>
      <c r="N293" s="91"/>
      <c r="O293" s="35" t="str">
        <f aca="false">HYPERLINK(IF(AND(ISNUMBER(L293),ISNUMBER(M293)),"https://www.google.com/maps/search/?api=1&amp;query="&amp;L293&amp;","&amp;M293,"https://www.google.com/maps/search/?api=1&amp;query="&amp;SUBSTITUTE(SUBSTITUTE(SUBSTITUTE(K293&amp;", "&amp;I293&amp;", Puno, Peru"," ","+"),"&amp;","y"),"#","")),"Ver en mapa")</f>
        <v>Ver en mapa</v>
      </c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5" t="str">
        <f aca="false">IF(AND(ISNUMBER(L293),ISNUMBER(M293),ISNUMBER(14_Cercania!$C$6),ISNUMBER(14_Cercania!$C$7),AC293&lt;&gt;"Rechazado",AC293&lt;&gt;"Inactivo"),6371*2*ASIN(SQRT(SIN(RADIANS(14_Cercania!$C$6-L293)/2)^2+COS(RADIANS(L293))*COS(RADIANS(14_Cercania!$C$6))*SIN(RADIANS(14_Cercania!$C$7-M293)/2)^2))+ROW()*0.000000001,"")</f>
        <v/>
      </c>
    </row>
    <row r="294" customFormat="false" ht="15" hidden="false" customHeight="false" outlineLevel="0" collapsed="false">
      <c r="B294" s="45" t="n">
        <v>288</v>
      </c>
      <c r="C294" s="91"/>
      <c r="D294" s="91"/>
      <c r="E294" s="92"/>
      <c r="F294" s="92"/>
      <c r="G294" s="91"/>
      <c r="H294" s="91"/>
      <c r="I294" s="91"/>
      <c r="J294" s="93" t="s">
        <v>2490</v>
      </c>
      <c r="K294" s="91"/>
      <c r="L294" s="94"/>
      <c r="M294" s="94"/>
      <c r="N294" s="91"/>
      <c r="O294" s="35" t="str">
        <f aca="false">HYPERLINK(IF(AND(ISNUMBER(L294),ISNUMBER(M294)),"https://www.google.com/maps/search/?api=1&amp;query="&amp;L294&amp;","&amp;M294,"https://www.google.com/maps/search/?api=1&amp;query="&amp;SUBSTITUTE(SUBSTITUTE(SUBSTITUTE(K294&amp;", "&amp;I294&amp;", Puno, Peru"," ","+"),"&amp;","y"),"#","")),"Ver en mapa")</f>
        <v>Ver en mapa</v>
      </c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5" t="str">
        <f aca="false">IF(AND(ISNUMBER(L294),ISNUMBER(M294),ISNUMBER(14_Cercania!$C$6),ISNUMBER(14_Cercania!$C$7),AC294&lt;&gt;"Rechazado",AC294&lt;&gt;"Inactivo"),6371*2*ASIN(SQRT(SIN(RADIANS(14_Cercania!$C$6-L294)/2)^2+COS(RADIANS(L294))*COS(RADIANS(14_Cercania!$C$6))*SIN(RADIANS(14_Cercania!$C$7-M294)/2)^2))+ROW()*0.000000001,"")</f>
        <v/>
      </c>
    </row>
    <row r="295" customFormat="false" ht="15" hidden="false" customHeight="false" outlineLevel="0" collapsed="false">
      <c r="B295" s="45" t="n">
        <v>289</v>
      </c>
      <c r="C295" s="91"/>
      <c r="D295" s="91"/>
      <c r="E295" s="92"/>
      <c r="F295" s="92"/>
      <c r="G295" s="91"/>
      <c r="H295" s="91"/>
      <c r="I295" s="91"/>
      <c r="J295" s="93" t="s">
        <v>2490</v>
      </c>
      <c r="K295" s="91"/>
      <c r="L295" s="94"/>
      <c r="M295" s="94"/>
      <c r="N295" s="91"/>
      <c r="O295" s="35" t="str">
        <f aca="false">HYPERLINK(IF(AND(ISNUMBER(L295),ISNUMBER(M295)),"https://www.google.com/maps/search/?api=1&amp;query="&amp;L295&amp;","&amp;M295,"https://www.google.com/maps/search/?api=1&amp;query="&amp;SUBSTITUTE(SUBSTITUTE(SUBSTITUTE(K295&amp;", "&amp;I295&amp;", Puno, Peru"," ","+"),"&amp;","y"),"#","")),"Ver en mapa")</f>
        <v>Ver en mapa</v>
      </c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5" t="str">
        <f aca="false">IF(AND(ISNUMBER(L295),ISNUMBER(M295),ISNUMBER(14_Cercania!$C$6),ISNUMBER(14_Cercania!$C$7),AC295&lt;&gt;"Rechazado",AC295&lt;&gt;"Inactivo"),6371*2*ASIN(SQRT(SIN(RADIANS(14_Cercania!$C$6-L295)/2)^2+COS(RADIANS(L295))*COS(RADIANS(14_Cercania!$C$6))*SIN(RADIANS(14_Cercania!$C$7-M295)/2)^2))+ROW()*0.000000001,"")</f>
        <v/>
      </c>
    </row>
    <row r="296" customFormat="false" ht="15" hidden="false" customHeight="false" outlineLevel="0" collapsed="false">
      <c r="B296" s="45" t="n">
        <v>290</v>
      </c>
      <c r="C296" s="91"/>
      <c r="D296" s="91"/>
      <c r="E296" s="92"/>
      <c r="F296" s="92"/>
      <c r="G296" s="91"/>
      <c r="H296" s="91"/>
      <c r="I296" s="91"/>
      <c r="J296" s="93" t="s">
        <v>2490</v>
      </c>
      <c r="K296" s="91"/>
      <c r="L296" s="94"/>
      <c r="M296" s="94"/>
      <c r="N296" s="91"/>
      <c r="O296" s="35" t="str">
        <f aca="false">HYPERLINK(IF(AND(ISNUMBER(L296),ISNUMBER(M296)),"https://www.google.com/maps/search/?api=1&amp;query="&amp;L296&amp;","&amp;M296,"https://www.google.com/maps/search/?api=1&amp;query="&amp;SUBSTITUTE(SUBSTITUTE(SUBSTITUTE(K296&amp;", "&amp;I296&amp;", Puno, Peru"," ","+"),"&amp;","y"),"#","")),"Ver en mapa")</f>
        <v>Ver en mapa</v>
      </c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5" t="str">
        <f aca="false">IF(AND(ISNUMBER(L296),ISNUMBER(M296),ISNUMBER(14_Cercania!$C$6),ISNUMBER(14_Cercania!$C$7),AC296&lt;&gt;"Rechazado",AC296&lt;&gt;"Inactivo"),6371*2*ASIN(SQRT(SIN(RADIANS(14_Cercania!$C$6-L296)/2)^2+COS(RADIANS(L296))*COS(RADIANS(14_Cercania!$C$6))*SIN(RADIANS(14_Cercania!$C$7-M296)/2)^2))+ROW()*0.000000001,"")</f>
        <v/>
      </c>
    </row>
    <row r="297" customFormat="false" ht="15" hidden="false" customHeight="false" outlineLevel="0" collapsed="false">
      <c r="B297" s="45" t="n">
        <v>291</v>
      </c>
      <c r="C297" s="91"/>
      <c r="D297" s="91"/>
      <c r="E297" s="92"/>
      <c r="F297" s="92"/>
      <c r="G297" s="91"/>
      <c r="H297" s="91"/>
      <c r="I297" s="91"/>
      <c r="J297" s="93" t="s">
        <v>2490</v>
      </c>
      <c r="K297" s="91"/>
      <c r="L297" s="94"/>
      <c r="M297" s="94"/>
      <c r="N297" s="91"/>
      <c r="O297" s="35" t="str">
        <f aca="false">HYPERLINK(IF(AND(ISNUMBER(L297),ISNUMBER(M297)),"https://www.google.com/maps/search/?api=1&amp;query="&amp;L297&amp;","&amp;M297,"https://www.google.com/maps/search/?api=1&amp;query="&amp;SUBSTITUTE(SUBSTITUTE(SUBSTITUTE(K297&amp;", "&amp;I297&amp;", Puno, Peru"," ","+"),"&amp;","y"),"#","")),"Ver en mapa")</f>
        <v>Ver en mapa</v>
      </c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5" t="str">
        <f aca="false">IF(AND(ISNUMBER(L297),ISNUMBER(M297),ISNUMBER(14_Cercania!$C$6),ISNUMBER(14_Cercania!$C$7),AC297&lt;&gt;"Rechazado",AC297&lt;&gt;"Inactivo"),6371*2*ASIN(SQRT(SIN(RADIANS(14_Cercania!$C$6-L297)/2)^2+COS(RADIANS(L297))*COS(RADIANS(14_Cercania!$C$6))*SIN(RADIANS(14_Cercania!$C$7-M297)/2)^2))+ROW()*0.000000001,"")</f>
        <v/>
      </c>
    </row>
    <row r="298" customFormat="false" ht="15" hidden="false" customHeight="false" outlineLevel="0" collapsed="false">
      <c r="B298" s="45" t="n">
        <v>292</v>
      </c>
      <c r="C298" s="91"/>
      <c r="D298" s="91"/>
      <c r="E298" s="92"/>
      <c r="F298" s="92"/>
      <c r="G298" s="91"/>
      <c r="H298" s="91"/>
      <c r="I298" s="91"/>
      <c r="J298" s="93" t="s">
        <v>2490</v>
      </c>
      <c r="K298" s="91"/>
      <c r="L298" s="94"/>
      <c r="M298" s="94"/>
      <c r="N298" s="91"/>
      <c r="O298" s="35" t="str">
        <f aca="false">HYPERLINK(IF(AND(ISNUMBER(L298),ISNUMBER(M298)),"https://www.google.com/maps/search/?api=1&amp;query="&amp;L298&amp;","&amp;M298,"https://www.google.com/maps/search/?api=1&amp;query="&amp;SUBSTITUTE(SUBSTITUTE(SUBSTITUTE(K298&amp;", "&amp;I298&amp;", Puno, Peru"," ","+"),"&amp;","y"),"#","")),"Ver en mapa")</f>
        <v>Ver en mapa</v>
      </c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5" t="str">
        <f aca="false">IF(AND(ISNUMBER(L298),ISNUMBER(M298),ISNUMBER(14_Cercania!$C$6),ISNUMBER(14_Cercania!$C$7),AC298&lt;&gt;"Rechazado",AC298&lt;&gt;"Inactivo"),6371*2*ASIN(SQRT(SIN(RADIANS(14_Cercania!$C$6-L298)/2)^2+COS(RADIANS(L298))*COS(RADIANS(14_Cercania!$C$6))*SIN(RADIANS(14_Cercania!$C$7-M298)/2)^2))+ROW()*0.000000001,"")</f>
        <v/>
      </c>
    </row>
    <row r="299" customFormat="false" ht="15" hidden="false" customHeight="false" outlineLevel="0" collapsed="false">
      <c r="B299" s="45" t="n">
        <v>293</v>
      </c>
      <c r="C299" s="91"/>
      <c r="D299" s="91"/>
      <c r="E299" s="92"/>
      <c r="F299" s="92"/>
      <c r="G299" s="91"/>
      <c r="H299" s="91"/>
      <c r="I299" s="91"/>
      <c r="J299" s="93" t="s">
        <v>2490</v>
      </c>
      <c r="K299" s="91"/>
      <c r="L299" s="94"/>
      <c r="M299" s="94"/>
      <c r="N299" s="91"/>
      <c r="O299" s="35" t="str">
        <f aca="false">HYPERLINK(IF(AND(ISNUMBER(L299),ISNUMBER(M299)),"https://www.google.com/maps/search/?api=1&amp;query="&amp;L299&amp;","&amp;M299,"https://www.google.com/maps/search/?api=1&amp;query="&amp;SUBSTITUTE(SUBSTITUTE(SUBSTITUTE(K299&amp;", "&amp;I299&amp;", Puno, Peru"," ","+"),"&amp;","y"),"#","")),"Ver en mapa")</f>
        <v>Ver en mapa</v>
      </c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5" t="str">
        <f aca="false">IF(AND(ISNUMBER(L299),ISNUMBER(M299),ISNUMBER(14_Cercania!$C$6),ISNUMBER(14_Cercania!$C$7),AC299&lt;&gt;"Rechazado",AC299&lt;&gt;"Inactivo"),6371*2*ASIN(SQRT(SIN(RADIANS(14_Cercania!$C$6-L299)/2)^2+COS(RADIANS(L299))*COS(RADIANS(14_Cercania!$C$6))*SIN(RADIANS(14_Cercania!$C$7-M299)/2)^2))+ROW()*0.000000001,"")</f>
        <v/>
      </c>
    </row>
    <row r="300" customFormat="false" ht="15" hidden="false" customHeight="false" outlineLevel="0" collapsed="false">
      <c r="B300" s="45" t="n">
        <v>294</v>
      </c>
      <c r="C300" s="91"/>
      <c r="D300" s="91"/>
      <c r="E300" s="92"/>
      <c r="F300" s="92"/>
      <c r="G300" s="91"/>
      <c r="H300" s="91"/>
      <c r="I300" s="91"/>
      <c r="J300" s="93" t="s">
        <v>2490</v>
      </c>
      <c r="K300" s="91"/>
      <c r="L300" s="94"/>
      <c r="M300" s="94"/>
      <c r="N300" s="91"/>
      <c r="O300" s="35" t="str">
        <f aca="false">HYPERLINK(IF(AND(ISNUMBER(L300),ISNUMBER(M300)),"https://www.google.com/maps/search/?api=1&amp;query="&amp;L300&amp;","&amp;M300,"https://www.google.com/maps/search/?api=1&amp;query="&amp;SUBSTITUTE(SUBSTITUTE(SUBSTITUTE(K300&amp;", "&amp;I300&amp;", Puno, Peru"," ","+"),"&amp;","y"),"#","")),"Ver en mapa")</f>
        <v>Ver en mapa</v>
      </c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5" t="str">
        <f aca="false">IF(AND(ISNUMBER(L300),ISNUMBER(M300),ISNUMBER(14_Cercania!$C$6),ISNUMBER(14_Cercania!$C$7),AC300&lt;&gt;"Rechazado",AC300&lt;&gt;"Inactivo"),6371*2*ASIN(SQRT(SIN(RADIANS(14_Cercania!$C$6-L300)/2)^2+COS(RADIANS(L300))*COS(RADIANS(14_Cercania!$C$6))*SIN(RADIANS(14_Cercania!$C$7-M300)/2)^2))+ROW()*0.000000001,"")</f>
        <v/>
      </c>
    </row>
    <row r="301" customFormat="false" ht="15" hidden="false" customHeight="false" outlineLevel="0" collapsed="false">
      <c r="B301" s="45" t="n">
        <v>295</v>
      </c>
      <c r="C301" s="91"/>
      <c r="D301" s="91"/>
      <c r="E301" s="92"/>
      <c r="F301" s="92"/>
      <c r="G301" s="91"/>
      <c r="H301" s="91"/>
      <c r="I301" s="91"/>
      <c r="J301" s="93" t="s">
        <v>2490</v>
      </c>
      <c r="K301" s="91"/>
      <c r="L301" s="94"/>
      <c r="M301" s="94"/>
      <c r="N301" s="91"/>
      <c r="O301" s="35" t="str">
        <f aca="false">HYPERLINK(IF(AND(ISNUMBER(L301),ISNUMBER(M301)),"https://www.google.com/maps/search/?api=1&amp;query="&amp;L301&amp;","&amp;M301,"https://www.google.com/maps/search/?api=1&amp;query="&amp;SUBSTITUTE(SUBSTITUTE(SUBSTITUTE(K301&amp;", "&amp;I301&amp;", Puno, Peru"," ","+"),"&amp;","y"),"#","")),"Ver en mapa")</f>
        <v>Ver en mapa</v>
      </c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5" t="str">
        <f aca="false">IF(AND(ISNUMBER(L301),ISNUMBER(M301),ISNUMBER(14_Cercania!$C$6),ISNUMBER(14_Cercania!$C$7),AC301&lt;&gt;"Rechazado",AC301&lt;&gt;"Inactivo"),6371*2*ASIN(SQRT(SIN(RADIANS(14_Cercania!$C$6-L301)/2)^2+COS(RADIANS(L301))*COS(RADIANS(14_Cercania!$C$6))*SIN(RADIANS(14_Cercania!$C$7-M301)/2)^2))+ROW()*0.000000001,"")</f>
        <v/>
      </c>
    </row>
    <row r="302" customFormat="false" ht="15" hidden="false" customHeight="false" outlineLevel="0" collapsed="false">
      <c r="B302" s="45" t="n">
        <v>296</v>
      </c>
      <c r="C302" s="91"/>
      <c r="D302" s="91"/>
      <c r="E302" s="92"/>
      <c r="F302" s="92"/>
      <c r="G302" s="91"/>
      <c r="H302" s="91"/>
      <c r="I302" s="91"/>
      <c r="J302" s="93" t="s">
        <v>2490</v>
      </c>
      <c r="K302" s="91"/>
      <c r="L302" s="94"/>
      <c r="M302" s="94"/>
      <c r="N302" s="91"/>
      <c r="O302" s="35" t="str">
        <f aca="false">HYPERLINK(IF(AND(ISNUMBER(L302),ISNUMBER(M302)),"https://www.google.com/maps/search/?api=1&amp;query="&amp;L302&amp;","&amp;M302,"https://www.google.com/maps/search/?api=1&amp;query="&amp;SUBSTITUTE(SUBSTITUTE(SUBSTITUTE(K302&amp;", "&amp;I302&amp;", Puno, Peru"," ","+"),"&amp;","y"),"#","")),"Ver en mapa")</f>
        <v>Ver en mapa</v>
      </c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5" t="str">
        <f aca="false">IF(AND(ISNUMBER(L302),ISNUMBER(M302),ISNUMBER(14_Cercania!$C$6),ISNUMBER(14_Cercania!$C$7),AC302&lt;&gt;"Rechazado",AC302&lt;&gt;"Inactivo"),6371*2*ASIN(SQRT(SIN(RADIANS(14_Cercania!$C$6-L302)/2)^2+COS(RADIANS(L302))*COS(RADIANS(14_Cercania!$C$6))*SIN(RADIANS(14_Cercania!$C$7-M302)/2)^2))+ROW()*0.000000001,"")</f>
        <v/>
      </c>
    </row>
    <row r="303" customFormat="false" ht="15" hidden="false" customHeight="false" outlineLevel="0" collapsed="false">
      <c r="B303" s="45" t="n">
        <v>297</v>
      </c>
      <c r="C303" s="91"/>
      <c r="D303" s="91"/>
      <c r="E303" s="92"/>
      <c r="F303" s="92"/>
      <c r="G303" s="91"/>
      <c r="H303" s="91"/>
      <c r="I303" s="91"/>
      <c r="J303" s="93" t="s">
        <v>2490</v>
      </c>
      <c r="K303" s="91"/>
      <c r="L303" s="94"/>
      <c r="M303" s="94"/>
      <c r="N303" s="91"/>
      <c r="O303" s="35" t="str">
        <f aca="false">HYPERLINK(IF(AND(ISNUMBER(L303),ISNUMBER(M303)),"https://www.google.com/maps/search/?api=1&amp;query="&amp;L303&amp;","&amp;M303,"https://www.google.com/maps/search/?api=1&amp;query="&amp;SUBSTITUTE(SUBSTITUTE(SUBSTITUTE(K303&amp;", "&amp;I303&amp;", Puno, Peru"," ","+"),"&amp;","y"),"#","")),"Ver en mapa")</f>
        <v>Ver en mapa</v>
      </c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5" t="str">
        <f aca="false">IF(AND(ISNUMBER(L303),ISNUMBER(M303),ISNUMBER(14_Cercania!$C$6),ISNUMBER(14_Cercania!$C$7),AC303&lt;&gt;"Rechazado",AC303&lt;&gt;"Inactivo"),6371*2*ASIN(SQRT(SIN(RADIANS(14_Cercania!$C$6-L303)/2)^2+COS(RADIANS(L303))*COS(RADIANS(14_Cercania!$C$6))*SIN(RADIANS(14_Cercania!$C$7-M303)/2)^2))+ROW()*0.000000001,"")</f>
        <v/>
      </c>
    </row>
    <row r="304" customFormat="false" ht="15" hidden="false" customHeight="false" outlineLevel="0" collapsed="false">
      <c r="B304" s="45" t="n">
        <v>298</v>
      </c>
      <c r="C304" s="91"/>
      <c r="D304" s="91"/>
      <c r="E304" s="92"/>
      <c r="F304" s="92"/>
      <c r="G304" s="91"/>
      <c r="H304" s="91"/>
      <c r="I304" s="91"/>
      <c r="J304" s="93" t="s">
        <v>2490</v>
      </c>
      <c r="K304" s="91"/>
      <c r="L304" s="94"/>
      <c r="M304" s="94"/>
      <c r="N304" s="91"/>
      <c r="O304" s="35" t="str">
        <f aca="false">HYPERLINK(IF(AND(ISNUMBER(L304),ISNUMBER(M304)),"https://www.google.com/maps/search/?api=1&amp;query="&amp;L304&amp;","&amp;M304,"https://www.google.com/maps/search/?api=1&amp;query="&amp;SUBSTITUTE(SUBSTITUTE(SUBSTITUTE(K304&amp;", "&amp;I304&amp;", Puno, Peru"," ","+"),"&amp;","y"),"#","")),"Ver en mapa")</f>
        <v>Ver en mapa</v>
      </c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5" t="str">
        <f aca="false">IF(AND(ISNUMBER(L304),ISNUMBER(M304),ISNUMBER(14_Cercania!$C$6),ISNUMBER(14_Cercania!$C$7),AC304&lt;&gt;"Rechazado",AC304&lt;&gt;"Inactivo"),6371*2*ASIN(SQRT(SIN(RADIANS(14_Cercania!$C$6-L304)/2)^2+COS(RADIANS(L304))*COS(RADIANS(14_Cercania!$C$6))*SIN(RADIANS(14_Cercania!$C$7-M304)/2)^2))+ROW()*0.000000001,"")</f>
        <v/>
      </c>
    </row>
    <row r="305" customFormat="false" ht="15" hidden="false" customHeight="false" outlineLevel="0" collapsed="false">
      <c r="B305" s="45" t="n">
        <v>299</v>
      </c>
      <c r="C305" s="91"/>
      <c r="D305" s="91"/>
      <c r="E305" s="92"/>
      <c r="F305" s="92"/>
      <c r="G305" s="91"/>
      <c r="H305" s="91"/>
      <c r="I305" s="91"/>
      <c r="J305" s="93" t="s">
        <v>2490</v>
      </c>
      <c r="K305" s="91"/>
      <c r="L305" s="94"/>
      <c r="M305" s="94"/>
      <c r="N305" s="91"/>
      <c r="O305" s="35" t="str">
        <f aca="false">HYPERLINK(IF(AND(ISNUMBER(L305),ISNUMBER(M305)),"https://www.google.com/maps/search/?api=1&amp;query="&amp;L305&amp;","&amp;M305,"https://www.google.com/maps/search/?api=1&amp;query="&amp;SUBSTITUTE(SUBSTITUTE(SUBSTITUTE(K305&amp;", "&amp;I305&amp;", Puno, Peru"," ","+"),"&amp;","y"),"#","")),"Ver en mapa")</f>
        <v>Ver en mapa</v>
      </c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5" t="str">
        <f aca="false">IF(AND(ISNUMBER(L305),ISNUMBER(M305),ISNUMBER(14_Cercania!$C$6),ISNUMBER(14_Cercania!$C$7),AC305&lt;&gt;"Rechazado",AC305&lt;&gt;"Inactivo"),6371*2*ASIN(SQRT(SIN(RADIANS(14_Cercania!$C$6-L305)/2)^2+COS(RADIANS(L305))*COS(RADIANS(14_Cercania!$C$6))*SIN(RADIANS(14_Cercania!$C$7-M305)/2)^2))+ROW()*0.000000001,"")</f>
        <v/>
      </c>
    </row>
    <row r="306" customFormat="false" ht="15" hidden="false" customHeight="false" outlineLevel="0" collapsed="false">
      <c r="B306" s="45" t="n">
        <v>300</v>
      </c>
      <c r="C306" s="91"/>
      <c r="D306" s="91"/>
      <c r="E306" s="92"/>
      <c r="F306" s="92"/>
      <c r="G306" s="91"/>
      <c r="H306" s="91"/>
      <c r="I306" s="91"/>
      <c r="J306" s="93" t="s">
        <v>2490</v>
      </c>
      <c r="K306" s="91"/>
      <c r="L306" s="94"/>
      <c r="M306" s="94"/>
      <c r="N306" s="91"/>
      <c r="O306" s="35" t="str">
        <f aca="false">HYPERLINK(IF(AND(ISNUMBER(L306),ISNUMBER(M306)),"https://www.google.com/maps/search/?api=1&amp;query="&amp;L306&amp;","&amp;M306,"https://www.google.com/maps/search/?api=1&amp;query="&amp;SUBSTITUTE(SUBSTITUTE(SUBSTITUTE(K306&amp;", "&amp;I306&amp;", Puno, Peru"," ","+"),"&amp;","y"),"#","")),"Ver en mapa")</f>
        <v>Ver en mapa</v>
      </c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5" t="str">
        <f aca="false">IF(AND(ISNUMBER(L306),ISNUMBER(M306),ISNUMBER(14_Cercania!$C$6),ISNUMBER(14_Cercania!$C$7),AC306&lt;&gt;"Rechazado",AC306&lt;&gt;"Inactivo"),6371*2*ASIN(SQRT(SIN(RADIANS(14_Cercania!$C$6-L306)/2)^2+COS(RADIANS(L306))*COS(RADIANS(14_Cercania!$C$6))*SIN(RADIANS(14_Cercania!$C$7-M306)/2)^2))+ROW()*0.000000001,"")</f>
        <v/>
      </c>
    </row>
    <row r="309" customFormat="false" ht="15" hidden="false" customHeight="false" outlineLevel="0" collapsed="false">
      <c r="B309" s="29" t="s">
        <v>3226</v>
      </c>
    </row>
    <row r="310" customFormat="false" ht="43.5" hidden="false" customHeight="true" outlineLevel="0" collapsed="false">
      <c r="B310" s="96" t="s">
        <v>3227</v>
      </c>
      <c r="C310" s="96"/>
      <c r="D310" s="96"/>
      <c r="E310" s="97" t="s">
        <v>3228</v>
      </c>
      <c r="F310" s="97"/>
      <c r="G310" s="97"/>
      <c r="H310" s="97"/>
      <c r="I310" s="97"/>
      <c r="J310" s="97"/>
      <c r="K310" s="97"/>
      <c r="L310" s="97"/>
      <c r="M310" s="97"/>
      <c r="N310" s="97"/>
    </row>
    <row r="311" customFormat="false" ht="43.5" hidden="false" customHeight="true" outlineLevel="0" collapsed="false">
      <c r="B311" s="96" t="s">
        <v>3229</v>
      </c>
      <c r="C311" s="96"/>
      <c r="D311" s="96"/>
      <c r="E311" s="97" t="s">
        <v>3230</v>
      </c>
      <c r="F311" s="97"/>
      <c r="G311" s="97"/>
      <c r="H311" s="97"/>
      <c r="I311" s="97"/>
      <c r="J311" s="97"/>
      <c r="K311" s="97"/>
      <c r="L311" s="97"/>
      <c r="M311" s="97"/>
      <c r="N311" s="97"/>
    </row>
    <row r="312" customFormat="false" ht="43.5" hidden="false" customHeight="true" outlineLevel="0" collapsed="false">
      <c r="B312" s="96" t="s">
        <v>3231</v>
      </c>
      <c r="C312" s="96"/>
      <c r="D312" s="96"/>
      <c r="E312" s="97" t="s">
        <v>3232</v>
      </c>
      <c r="F312" s="97"/>
      <c r="G312" s="97"/>
      <c r="H312" s="97"/>
      <c r="I312" s="97"/>
      <c r="J312" s="97"/>
      <c r="K312" s="97"/>
      <c r="L312" s="97"/>
      <c r="M312" s="97"/>
      <c r="N312" s="97"/>
    </row>
    <row r="313" customFormat="false" ht="43.5" hidden="false" customHeight="true" outlineLevel="0" collapsed="false">
      <c r="B313" s="96" t="s">
        <v>3233</v>
      </c>
      <c r="C313" s="96"/>
      <c r="D313" s="96"/>
      <c r="E313" s="97" t="s">
        <v>3234</v>
      </c>
      <c r="F313" s="97"/>
      <c r="G313" s="97"/>
      <c r="H313" s="97"/>
      <c r="I313" s="97"/>
      <c r="J313" s="97"/>
      <c r="K313" s="97"/>
      <c r="L313" s="97"/>
      <c r="M313" s="97"/>
      <c r="N313" s="97"/>
    </row>
    <row r="315" customFormat="false" ht="15" hidden="false" customHeight="false" outlineLevel="0" collapsed="false">
      <c r="B315" s="29" t="s">
        <v>3235</v>
      </c>
    </row>
    <row r="316" customFormat="false" ht="31.5" hidden="false" customHeight="true" outlineLevel="0" collapsed="false">
      <c r="B316" s="96" t="s">
        <v>3236</v>
      </c>
      <c r="C316" s="96"/>
      <c r="D316" s="96"/>
      <c r="E316" s="97" t="s">
        <v>3237</v>
      </c>
      <c r="F316" s="97"/>
      <c r="G316" s="97"/>
      <c r="H316" s="97"/>
      <c r="I316" s="97"/>
      <c r="J316" s="97"/>
      <c r="K316" s="97"/>
      <c r="L316" s="97"/>
      <c r="M316" s="97"/>
      <c r="N316" s="97"/>
    </row>
    <row r="317" customFormat="false" ht="31.5" hidden="false" customHeight="true" outlineLevel="0" collapsed="false">
      <c r="B317" s="96" t="s">
        <v>3238</v>
      </c>
      <c r="C317" s="96"/>
      <c r="D317" s="96"/>
      <c r="E317" s="97" t="s">
        <v>3239</v>
      </c>
      <c r="F317" s="97"/>
      <c r="G317" s="97"/>
      <c r="H317" s="97"/>
      <c r="I317" s="97"/>
      <c r="J317" s="97"/>
      <c r="K317" s="97"/>
      <c r="L317" s="97"/>
      <c r="M317" s="97"/>
      <c r="N317" s="97"/>
    </row>
    <row r="318" customFormat="false" ht="31.5" hidden="false" customHeight="true" outlineLevel="0" collapsed="false">
      <c r="B318" s="96" t="s">
        <v>3240</v>
      </c>
      <c r="C318" s="96"/>
      <c r="D318" s="96"/>
      <c r="E318" s="97" t="s">
        <v>3241</v>
      </c>
      <c r="F318" s="97"/>
      <c r="G318" s="97"/>
      <c r="H318" s="97"/>
      <c r="I318" s="97"/>
      <c r="J318" s="97"/>
      <c r="K318" s="97"/>
      <c r="L318" s="97"/>
      <c r="M318" s="97"/>
      <c r="N318" s="97"/>
    </row>
    <row r="319" customFormat="false" ht="31.5" hidden="false" customHeight="true" outlineLevel="0" collapsed="false">
      <c r="B319" s="96" t="s">
        <v>3242</v>
      </c>
      <c r="C319" s="96"/>
      <c r="D319" s="96"/>
      <c r="E319" s="97" t="s">
        <v>3243</v>
      </c>
      <c r="F319" s="97"/>
      <c r="G319" s="97"/>
      <c r="H319" s="97"/>
      <c r="I319" s="97"/>
      <c r="J319" s="97"/>
      <c r="K319" s="97"/>
      <c r="L319" s="97"/>
      <c r="M319" s="97"/>
      <c r="N319" s="97"/>
    </row>
    <row r="320" customFormat="false" ht="31.5" hidden="false" customHeight="true" outlineLevel="0" collapsed="false">
      <c r="B320" s="96" t="s">
        <v>3244</v>
      </c>
      <c r="C320" s="96"/>
      <c r="D320" s="96"/>
      <c r="E320" s="97" t="s">
        <v>3245</v>
      </c>
      <c r="F320" s="97"/>
      <c r="G320" s="97"/>
      <c r="H320" s="97"/>
      <c r="I320" s="97"/>
      <c r="J320" s="97"/>
      <c r="K320" s="97"/>
      <c r="L320" s="97"/>
      <c r="M320" s="97"/>
      <c r="N320" s="97"/>
    </row>
    <row r="321" customFormat="false" ht="31.5" hidden="false" customHeight="true" outlineLevel="0" collapsed="false">
      <c r="B321" s="96" t="s">
        <v>3246</v>
      </c>
      <c r="C321" s="96"/>
      <c r="D321" s="96"/>
      <c r="E321" s="97" t="s">
        <v>3247</v>
      </c>
      <c r="F321" s="97"/>
      <c r="G321" s="97"/>
      <c r="H321" s="97"/>
      <c r="I321" s="97"/>
      <c r="J321" s="97"/>
      <c r="K321" s="97"/>
      <c r="L321" s="97"/>
      <c r="M321" s="97"/>
      <c r="N321" s="97"/>
    </row>
    <row r="322" customFormat="false" ht="31.5" hidden="false" customHeight="true" outlineLevel="0" collapsed="false">
      <c r="B322" s="96" t="s">
        <v>3248</v>
      </c>
      <c r="C322" s="96"/>
      <c r="D322" s="96"/>
      <c r="E322" s="97" t="s">
        <v>3249</v>
      </c>
      <c r="F322" s="97"/>
      <c r="G322" s="97"/>
      <c r="H322" s="97"/>
      <c r="I322" s="97"/>
      <c r="J322" s="97"/>
      <c r="K322" s="97"/>
      <c r="L322" s="97"/>
      <c r="M322" s="97"/>
      <c r="N322" s="97"/>
    </row>
  </sheetData>
  <mergeCells count="26">
    <mergeCell ref="B4:J4"/>
    <mergeCell ref="K4:O4"/>
    <mergeCell ref="P4:V4"/>
    <mergeCell ref="W4:AD4"/>
    <mergeCell ref="B310:D310"/>
    <mergeCell ref="E310:N310"/>
    <mergeCell ref="B311:D311"/>
    <mergeCell ref="E311:N311"/>
    <mergeCell ref="B312:D312"/>
    <mergeCell ref="E312:N312"/>
    <mergeCell ref="B313:D313"/>
    <mergeCell ref="E313:N313"/>
    <mergeCell ref="B316:D316"/>
    <mergeCell ref="E316:N316"/>
    <mergeCell ref="B317:D317"/>
    <mergeCell ref="E317:N317"/>
    <mergeCell ref="B318:D318"/>
    <mergeCell ref="E318:N318"/>
    <mergeCell ref="B319:D319"/>
    <mergeCell ref="E319:N319"/>
    <mergeCell ref="B320:D320"/>
    <mergeCell ref="E320:N320"/>
    <mergeCell ref="B321:D321"/>
    <mergeCell ref="E321:N321"/>
    <mergeCell ref="B322:D322"/>
    <mergeCell ref="E322:N322"/>
  </mergeCells>
  <dataValidations count="16">
    <dataValidation allowBlank="true" errorStyle="stop" operator="between" showDropDown="false" showErrorMessage="false" showInputMessage="false" sqref="P7:P306" type="list">
      <formula1>"Moto,Mototaxi,Auto / taxi,Bicicleta,A pie"</formula1>
      <formula2>0</formula2>
    </dataValidation>
    <dataValidation allowBlank="true" errorStyle="stop" operator="between" showDropDown="false" showErrorMessage="false" showInputMessage="false" sqref="S7:S306" type="list">
      <formula1>"A-I,A-IIa,A-IIb,B-IIa,B-IIb,B-IIc,Otra,No tiene"</formula1>
      <formula2>0</formula2>
    </dataValidation>
    <dataValidation allowBlank="true" errorStyle="stop" operator="between" showDropDown="false" showErrorMessage="false" showInputMessage="false" sqref="R7:R306" type="list">
      <formula1>"Sí,No"</formula1>
      <formula2>0</formula2>
    </dataValidation>
    <dataValidation allowBlank="true" errorStyle="stop" operator="between" showDropDown="false" showErrorMessage="false" showInputMessage="false" sqref="T7:T306" type="list">
      <formula1>"Sí,No"</formula1>
      <formula2>0</formula2>
    </dataValidation>
    <dataValidation allowBlank="true" errorStyle="stop" operator="between" showDropDown="false" showErrorMessage="false" showInputMessage="false" sqref="U7:U306" type="list">
      <formula1>"Sí,No"</formula1>
      <formula2>0</formula2>
    </dataValidation>
    <dataValidation allowBlank="true" errorStyle="stop" operator="between" showDropDown="false" showErrorMessage="false" showInputMessage="false" sqref="V7:V306" type="list">
      <formula1>"Sí,No"</formula1>
      <formula2>0</formula2>
    </dataValidation>
    <dataValidation allowBlank="true" errorStyle="stop" operator="between" showDropDown="false" showErrorMessage="false" showInputMessage="false" sqref="Z7:Z306" type="list">
      <formula1>"Sí,No"</formula1>
      <formula2>0</formula2>
    </dataValidation>
    <dataValidation allowBlank="true" errorStyle="stop" operator="between" showDropDown="false" showErrorMessage="false" showInputMessage="false" sqref="AA7:AA306" type="list">
      <formula1>"Sí,No"</formula1>
      <formula2>0</formula2>
    </dataValidation>
    <dataValidation allowBlank="true" errorStyle="stop" operator="between" showDropDown="false" showErrorMessage="false" showInputMessage="false" sqref="AB7:AB306" type="list">
      <formula1>"Sí,No,Pendiente"</formula1>
      <formula2>0</formula2>
    </dataValidation>
    <dataValidation allowBlank="true" errorStyle="stop" operator="between" showDropDown="false" showErrorMessage="false" showInputMessage="false" sqref="Y7:Y306" type="list">
      <formula1>"Facebook,Computrabajo,Afiche,Paradero,Referido,Radio,Otro"</formula1>
      <formula2>0</formula2>
    </dataValidation>
    <dataValidation allowBlank="true" errorStyle="stop" operator="between" showDropDown="false" showErrorMessage="false" showInputMessage="false" sqref="AC7:AC306" type="list">
      <formula1>"Postulante,Entrevistado,Aprobado,Activo,Inactivo,Rechazado"</formula1>
      <formula2>0</formula2>
    </dataValidation>
    <dataValidation allowBlank="true" errorStyle="stop" operator="between" showDropDown="false" showErrorMessage="false" showInputMessage="false" sqref="N7:N306" type="list">
      <formula1>"Ubicación compartida por WhatsApp,GPS de la app ComeYa,Google Maps,Visita en campo"</formula1>
      <formula2>0</formula2>
    </dataValidation>
    <dataValidation allowBlank="true" errorStyle="stop" operator="between" showDropDown="false" showErrorMessage="false" showInputMessage="false" sqref="I7:I306" type="list">
      <formula1>99_Listas!$D$2:$D$17</formula1>
      <formula2>0</formula2>
    </dataValidation>
    <dataValidation allowBlank="true" error="El DNI debe tener 8 dígitos" errorStyle="stop" operator="equal" showDropDown="false" showErrorMessage="true" showInputMessage="false" sqref="E7:E306" type="textLength">
      <formula1>8</formula1>
      <formula2>0</formula2>
    </dataValidation>
    <dataValidation allowBlank="true" error="La coordenada está fuera de la ciudad de Puno." errorStyle="stop" operator="between" showDropDown="false" showErrorMessage="true" showInputMessage="false" sqref="L7:L306" type="decimal">
      <formula1>-15.95</formula1>
      <formula2>-15.75</formula2>
    </dataValidation>
    <dataValidation allowBlank="true" error="La coordenada está fuera de la ciudad de Puno." errorStyle="stop" operator="between" showDropDown="false" showErrorMessage="true" showInputMessage="false" sqref="M7:M306" type="decimal">
      <formula1>-70.12</formula1>
      <formula2>-69.95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5" min="5" style="1" width="30"/>
    <col collapsed="false" customWidth="true" hidden="false" outlineLevel="0" max="7" min="6" style="1" width="20"/>
    <col collapsed="false" customWidth="true" hidden="false" outlineLevel="0" max="9" min="8" style="1" width="18"/>
    <col collapsed="false" customWidth="true" hidden="false" outlineLevel="0" max="10" min="10" style="1" width="15"/>
    <col collapsed="false" customWidth="true" hidden="false" outlineLevel="0" max="14" min="11" style="1" width="11"/>
    <col collapsed="false" customWidth="true" hidden="false" outlineLevel="0" max="15" min="15" style="1" width="12"/>
    <col collapsed="false" customWidth="true" hidden="false" outlineLevel="0" max="17" min="16" style="1" width="15"/>
    <col collapsed="false" customWidth="true" hidden="false" outlineLevel="0" max="18" min="18" style="1" width="10"/>
    <col collapsed="false" customWidth="true" hidden="false" outlineLevel="0" max="19" min="19" style="1" width="14"/>
    <col collapsed="false" customWidth="true" hidden="false" outlineLevel="0" max="20" min="20" style="1" width="17"/>
    <col collapsed="false" customWidth="true" hidden="false" outlineLevel="0" max="21" min="21" style="1" width="26"/>
    <col collapsed="false" customWidth="true" hidden="false" outlineLevel="0" max="22" min="22" style="1" width="17"/>
    <col collapsed="false" customWidth="true" hidden="false" outlineLevel="0" max="23" min="23" style="1" width="14"/>
    <col collapsed="false" customWidth="true" hidden="false" outlineLevel="0" max="24" min="24" style="1" width="16"/>
    <col collapsed="false" customWidth="true" hidden="false" outlineLevel="0" max="26" min="25" style="1" width="18"/>
    <col collapsed="false" customWidth="true" hidden="false" outlineLevel="0" max="27" min="27" style="1" width="17"/>
    <col collapsed="false" customWidth="true" hidden="false" outlineLevel="0" max="28" min="28" style="1" width="16"/>
    <col collapsed="false" customWidth="true" hidden="false" outlineLevel="0" max="29" min="29" style="1" width="46"/>
    <col collapsed="false" customWidth="true" hidden="false" outlineLevel="0" max="31" min="30" style="0" width="13"/>
    <col collapsed="false" customWidth="true" hidden="false" outlineLevel="0" max="32" min="32" style="0" width="22"/>
  </cols>
  <sheetData>
    <row r="1" customFormat="false" ht="33.75" hidden="false" customHeight="true" outlineLevel="0" collapsed="false">
      <c r="A1" s="13" t="s">
        <v>3250</v>
      </c>
      <c r="B1" s="13" t="s">
        <v>3251</v>
      </c>
      <c r="C1" s="13" t="s">
        <v>3252</v>
      </c>
      <c r="D1" s="13" t="s">
        <v>155</v>
      </c>
      <c r="E1" s="13" t="s">
        <v>3253</v>
      </c>
      <c r="F1" s="13" t="s">
        <v>2464</v>
      </c>
      <c r="G1" s="13" t="s">
        <v>3083</v>
      </c>
      <c r="H1" s="13" t="s">
        <v>3254</v>
      </c>
      <c r="I1" s="13" t="s">
        <v>3255</v>
      </c>
      <c r="J1" s="13" t="s">
        <v>2478</v>
      </c>
      <c r="K1" s="13" t="s">
        <v>3256</v>
      </c>
      <c r="L1" s="13" t="s">
        <v>3257</v>
      </c>
      <c r="M1" s="13" t="s">
        <v>3258</v>
      </c>
      <c r="N1" s="13" t="s">
        <v>3259</v>
      </c>
      <c r="O1" s="13" t="s">
        <v>3260</v>
      </c>
      <c r="P1" s="13" t="s">
        <v>3261</v>
      </c>
      <c r="Q1" s="13" t="s">
        <v>3262</v>
      </c>
      <c r="R1" s="13" t="s">
        <v>3263</v>
      </c>
      <c r="S1" s="13" t="s">
        <v>2476</v>
      </c>
      <c r="T1" s="13" t="s">
        <v>3264</v>
      </c>
      <c r="U1" s="13" t="s">
        <v>3265</v>
      </c>
      <c r="V1" s="13" t="s">
        <v>3266</v>
      </c>
      <c r="W1" s="13" t="s">
        <v>3267</v>
      </c>
      <c r="X1" s="13" t="s">
        <v>3268</v>
      </c>
      <c r="Y1" s="13" t="s">
        <v>3269</v>
      </c>
      <c r="Z1" s="13" t="s">
        <v>3270</v>
      </c>
      <c r="AA1" s="13" t="s">
        <v>3271</v>
      </c>
      <c r="AB1" s="13" t="s">
        <v>3272</v>
      </c>
      <c r="AC1" s="13" t="s">
        <v>3208</v>
      </c>
      <c r="AD1" s="98" t="s">
        <v>2470</v>
      </c>
      <c r="AE1" s="98" t="s">
        <v>2471</v>
      </c>
      <c r="AF1" s="98" t="s">
        <v>3273</v>
      </c>
    </row>
    <row r="2" customFormat="false" ht="15" hidden="false" customHeight="true" outlineLevel="0" collapsed="false">
      <c r="A2" s="99" t="s">
        <v>3209</v>
      </c>
      <c r="B2" s="99" t="s">
        <v>3274</v>
      </c>
      <c r="C2" s="99" t="s">
        <v>3275</v>
      </c>
      <c r="D2" s="99" t="s">
        <v>159</v>
      </c>
      <c r="E2" s="99" t="s">
        <v>3276</v>
      </c>
      <c r="F2" s="99" t="s">
        <v>166</v>
      </c>
      <c r="G2" s="99" t="s">
        <v>3277</v>
      </c>
      <c r="H2" s="99" t="s">
        <v>3278</v>
      </c>
      <c r="I2" s="99" t="s">
        <v>3279</v>
      </c>
      <c r="J2" s="99" t="s">
        <v>3280</v>
      </c>
      <c r="K2" s="99" t="s">
        <v>3070</v>
      </c>
      <c r="L2" s="99" t="s">
        <v>3070</v>
      </c>
      <c r="M2" s="99" t="s">
        <v>3070</v>
      </c>
      <c r="N2" s="99" t="s">
        <v>3039</v>
      </c>
      <c r="O2" s="99" t="s">
        <v>3039</v>
      </c>
      <c r="P2" s="99" t="s">
        <v>3070</v>
      </c>
      <c r="Q2" s="99" t="s">
        <v>3039</v>
      </c>
      <c r="R2" s="99" t="s">
        <v>3039</v>
      </c>
      <c r="S2" s="100" t="n">
        <v>9</v>
      </c>
      <c r="T2" s="100" t="n">
        <v>7</v>
      </c>
      <c r="U2" s="99" t="s">
        <v>619</v>
      </c>
      <c r="V2" s="100" t="n">
        <v>9</v>
      </c>
      <c r="W2" s="99" t="n">
        <v>120</v>
      </c>
      <c r="X2" s="99" t="s">
        <v>3039</v>
      </c>
      <c r="Y2" s="99" t="s">
        <v>3281</v>
      </c>
      <c r="Z2" s="99" t="s">
        <v>3070</v>
      </c>
      <c r="AA2" s="99" t="s">
        <v>3070</v>
      </c>
      <c r="AB2" s="99" t="n">
        <v>4</v>
      </c>
      <c r="AC2" s="99" t="s">
        <v>3282</v>
      </c>
      <c r="AD2" s="89" t="n">
        <v>-15.8334622</v>
      </c>
      <c r="AE2" s="89" t="n">
        <v>-70.0234387</v>
      </c>
      <c r="AF2" s="89" t="s">
        <v>3283</v>
      </c>
    </row>
    <row r="3" customFormat="false" ht="15" hidden="false" customHeight="true" outlineLevel="0" collapsed="false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52"/>
      <c r="T3" s="52"/>
      <c r="U3" s="101"/>
      <c r="V3" s="52"/>
      <c r="W3" s="101"/>
      <c r="X3" s="101"/>
      <c r="Y3" s="101"/>
      <c r="Z3" s="101"/>
      <c r="AA3" s="101"/>
      <c r="AB3" s="101"/>
      <c r="AC3" s="101"/>
      <c r="AD3" s="94"/>
      <c r="AE3" s="94"/>
      <c r="AF3" s="91"/>
    </row>
    <row r="4" customFormat="false" ht="15" hidden="false" customHeight="true" outlineLevel="0" collapsed="false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52"/>
      <c r="T4" s="52"/>
      <c r="U4" s="101"/>
      <c r="V4" s="52"/>
      <c r="W4" s="101"/>
      <c r="X4" s="101"/>
      <c r="Y4" s="101"/>
      <c r="Z4" s="101"/>
      <c r="AA4" s="101"/>
      <c r="AB4" s="101"/>
      <c r="AC4" s="101"/>
      <c r="AD4" s="94"/>
      <c r="AE4" s="94"/>
      <c r="AF4" s="91"/>
    </row>
    <row r="5" customFormat="false" ht="15" hidden="false" customHeight="true" outlineLevel="0" collapsed="false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52"/>
      <c r="T5" s="52"/>
      <c r="U5" s="101"/>
      <c r="V5" s="52"/>
      <c r="W5" s="101"/>
      <c r="X5" s="101"/>
      <c r="Y5" s="101"/>
      <c r="Z5" s="101"/>
      <c r="AA5" s="101"/>
      <c r="AB5" s="101"/>
      <c r="AC5" s="101"/>
      <c r="AD5" s="94"/>
      <c r="AE5" s="94"/>
      <c r="AF5" s="91"/>
    </row>
    <row r="6" customFormat="false" ht="15" hidden="false" customHeight="true" outlineLevel="0" collapsed="false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52"/>
      <c r="T6" s="52"/>
      <c r="U6" s="101"/>
      <c r="V6" s="52"/>
      <c r="W6" s="101"/>
      <c r="X6" s="101"/>
      <c r="Y6" s="101"/>
      <c r="Z6" s="101"/>
      <c r="AA6" s="101"/>
      <c r="AB6" s="101"/>
      <c r="AC6" s="101"/>
      <c r="AD6" s="94"/>
      <c r="AE6" s="94"/>
      <c r="AF6" s="91"/>
    </row>
    <row r="7" customFormat="false" ht="15" hidden="false" customHeight="true" outlineLevel="0" collapsed="false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2"/>
      <c r="T7" s="52"/>
      <c r="U7" s="101"/>
      <c r="V7" s="52"/>
      <c r="W7" s="101"/>
      <c r="X7" s="101"/>
      <c r="Y7" s="101"/>
      <c r="Z7" s="101"/>
      <c r="AA7" s="101"/>
      <c r="AB7" s="101"/>
      <c r="AC7" s="101"/>
      <c r="AD7" s="94"/>
      <c r="AE7" s="94"/>
      <c r="AF7" s="91"/>
    </row>
    <row r="8" customFormat="false" ht="15" hidden="false" customHeight="true" outlineLevel="0" collapsed="false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52"/>
      <c r="T8" s="52"/>
      <c r="U8" s="101"/>
      <c r="V8" s="52"/>
      <c r="W8" s="101"/>
      <c r="X8" s="101"/>
      <c r="Y8" s="101"/>
      <c r="Z8" s="101"/>
      <c r="AA8" s="101"/>
      <c r="AB8" s="101"/>
      <c r="AC8" s="101"/>
      <c r="AD8" s="94"/>
      <c r="AE8" s="94"/>
      <c r="AF8" s="91"/>
    </row>
    <row r="9" customFormat="false" ht="15" hidden="false" customHeight="true" outlineLevel="0" collapsed="false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52"/>
      <c r="T9" s="52"/>
      <c r="U9" s="101"/>
      <c r="V9" s="52"/>
      <c r="W9" s="101"/>
      <c r="X9" s="101"/>
      <c r="Y9" s="101"/>
      <c r="Z9" s="101"/>
      <c r="AA9" s="101"/>
      <c r="AB9" s="101"/>
      <c r="AC9" s="101"/>
      <c r="AD9" s="94"/>
      <c r="AE9" s="94"/>
      <c r="AF9" s="91"/>
    </row>
    <row r="10" customFormat="false" ht="15" hidden="false" customHeight="true" outlineLevel="0" collapsed="false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52"/>
      <c r="T10" s="52"/>
      <c r="U10" s="101"/>
      <c r="V10" s="52"/>
      <c r="W10" s="101"/>
      <c r="X10" s="101"/>
      <c r="Y10" s="101"/>
      <c r="Z10" s="101"/>
      <c r="AA10" s="101"/>
      <c r="AB10" s="101"/>
      <c r="AC10" s="101"/>
      <c r="AD10" s="94"/>
      <c r="AE10" s="94"/>
      <c r="AF10" s="91"/>
    </row>
    <row r="11" customFormat="false" ht="15" hidden="false" customHeight="true" outlineLevel="0" collapsed="false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52"/>
      <c r="T11" s="52"/>
      <c r="U11" s="101"/>
      <c r="V11" s="52"/>
      <c r="W11" s="101"/>
      <c r="X11" s="101"/>
      <c r="Y11" s="101"/>
      <c r="Z11" s="101"/>
      <c r="AA11" s="101"/>
      <c r="AB11" s="101"/>
      <c r="AC11" s="101"/>
      <c r="AD11" s="94"/>
      <c r="AE11" s="94"/>
      <c r="AF11" s="91"/>
    </row>
    <row r="12" customFormat="false" ht="15" hidden="false" customHeight="true" outlineLevel="0" collapsed="false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52"/>
      <c r="T12" s="52"/>
      <c r="U12" s="101"/>
      <c r="V12" s="52"/>
      <c r="W12" s="101"/>
      <c r="X12" s="101"/>
      <c r="Y12" s="101"/>
      <c r="Z12" s="101"/>
      <c r="AA12" s="101"/>
      <c r="AB12" s="101"/>
      <c r="AC12" s="101"/>
      <c r="AD12" s="94"/>
      <c r="AE12" s="94"/>
      <c r="AF12" s="91"/>
    </row>
    <row r="13" customFormat="false" ht="15" hidden="false" customHeight="true" outlineLevel="0" collapsed="false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52"/>
      <c r="T13" s="52"/>
      <c r="U13" s="101"/>
      <c r="V13" s="52"/>
      <c r="W13" s="101"/>
      <c r="X13" s="101"/>
      <c r="Y13" s="101"/>
      <c r="Z13" s="101"/>
      <c r="AA13" s="101"/>
      <c r="AB13" s="101"/>
      <c r="AC13" s="101"/>
      <c r="AD13" s="94"/>
      <c r="AE13" s="94"/>
      <c r="AF13" s="91"/>
    </row>
    <row r="14" customFormat="false" ht="15" hidden="false" customHeight="true" outlineLevel="0" collapsed="false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52"/>
      <c r="T14" s="52"/>
      <c r="U14" s="101"/>
      <c r="V14" s="52"/>
      <c r="W14" s="101"/>
      <c r="X14" s="101"/>
      <c r="Y14" s="101"/>
      <c r="Z14" s="101"/>
      <c r="AA14" s="101"/>
      <c r="AB14" s="101"/>
      <c r="AC14" s="101"/>
      <c r="AD14" s="94"/>
      <c r="AE14" s="94"/>
      <c r="AF14" s="91"/>
    </row>
    <row r="15" customFormat="false" ht="15" hidden="false" customHeight="true" outlineLevel="0" collapsed="false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52"/>
      <c r="T15" s="52"/>
      <c r="U15" s="101"/>
      <c r="V15" s="52"/>
      <c r="W15" s="101"/>
      <c r="X15" s="101"/>
      <c r="Y15" s="101"/>
      <c r="Z15" s="101"/>
      <c r="AA15" s="101"/>
      <c r="AB15" s="101"/>
      <c r="AC15" s="101"/>
      <c r="AD15" s="94"/>
      <c r="AE15" s="94"/>
      <c r="AF15" s="91"/>
    </row>
    <row r="16" customFormat="false" ht="15" hidden="false" customHeight="true" outlineLevel="0" collapsed="false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52"/>
      <c r="T16" s="52"/>
      <c r="U16" s="101"/>
      <c r="V16" s="52"/>
      <c r="W16" s="101"/>
      <c r="X16" s="101"/>
      <c r="Y16" s="101"/>
      <c r="Z16" s="101"/>
      <c r="AA16" s="101"/>
      <c r="AB16" s="101"/>
      <c r="AC16" s="101"/>
      <c r="AD16" s="94"/>
      <c r="AE16" s="94"/>
      <c r="AF16" s="91"/>
    </row>
    <row r="17" customFormat="false" ht="15" hidden="false" customHeight="true" outlineLevel="0" collapsed="false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52"/>
      <c r="T17" s="52"/>
      <c r="U17" s="101"/>
      <c r="V17" s="52"/>
      <c r="W17" s="101"/>
      <c r="X17" s="101"/>
      <c r="Y17" s="101"/>
      <c r="Z17" s="101"/>
      <c r="AA17" s="101"/>
      <c r="AB17" s="101"/>
      <c r="AC17" s="101"/>
      <c r="AD17" s="94"/>
      <c r="AE17" s="94"/>
      <c r="AF17" s="91"/>
    </row>
    <row r="18" customFormat="false" ht="15" hidden="false" customHeight="true" outlineLevel="0" collapsed="false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52"/>
      <c r="T18" s="52"/>
      <c r="U18" s="101"/>
      <c r="V18" s="52"/>
      <c r="W18" s="101"/>
      <c r="X18" s="101"/>
      <c r="Y18" s="101"/>
      <c r="Z18" s="101"/>
      <c r="AA18" s="101"/>
      <c r="AB18" s="101"/>
      <c r="AC18" s="101"/>
      <c r="AD18" s="94"/>
      <c r="AE18" s="94"/>
      <c r="AF18" s="91"/>
    </row>
    <row r="19" customFormat="false" ht="15" hidden="false" customHeight="true" outlineLevel="0" collapsed="false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52"/>
      <c r="T19" s="52"/>
      <c r="U19" s="101"/>
      <c r="V19" s="52"/>
      <c r="W19" s="101"/>
      <c r="X19" s="101"/>
      <c r="Y19" s="101"/>
      <c r="Z19" s="101"/>
      <c r="AA19" s="101"/>
      <c r="AB19" s="101"/>
      <c r="AC19" s="101"/>
      <c r="AD19" s="94"/>
      <c r="AE19" s="94"/>
      <c r="AF19" s="91"/>
    </row>
    <row r="20" customFormat="false" ht="15" hidden="false" customHeight="true" outlineLevel="0" collapsed="false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52"/>
      <c r="T20" s="52"/>
      <c r="U20" s="101"/>
      <c r="V20" s="52"/>
      <c r="W20" s="101"/>
      <c r="X20" s="101"/>
      <c r="Y20" s="101"/>
      <c r="Z20" s="101"/>
      <c r="AA20" s="101"/>
      <c r="AB20" s="101"/>
      <c r="AC20" s="101"/>
      <c r="AD20" s="94"/>
      <c r="AE20" s="94"/>
      <c r="AF20" s="91"/>
    </row>
    <row r="21" customFormat="false" ht="15" hidden="false" customHeight="true" outlineLevel="0" collapsed="false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52"/>
      <c r="T21" s="52"/>
      <c r="U21" s="101"/>
      <c r="V21" s="52"/>
      <c r="W21" s="101"/>
      <c r="X21" s="101"/>
      <c r="Y21" s="101"/>
      <c r="Z21" s="101"/>
      <c r="AA21" s="101"/>
      <c r="AB21" s="101"/>
      <c r="AC21" s="101"/>
      <c r="AD21" s="94"/>
      <c r="AE21" s="94"/>
      <c r="AF21" s="91"/>
    </row>
    <row r="22" customFormat="false" ht="15" hidden="false" customHeight="true" outlineLevel="0" collapsed="false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52"/>
      <c r="T22" s="52"/>
      <c r="U22" s="101"/>
      <c r="V22" s="52"/>
      <c r="W22" s="101"/>
      <c r="X22" s="101"/>
      <c r="Y22" s="101"/>
      <c r="Z22" s="101"/>
      <c r="AA22" s="101"/>
      <c r="AB22" s="101"/>
      <c r="AC22" s="101"/>
      <c r="AD22" s="94"/>
      <c r="AE22" s="94"/>
      <c r="AF22" s="91"/>
    </row>
    <row r="23" customFormat="false" ht="15" hidden="false" customHeight="true" outlineLevel="0" collapsed="false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52"/>
      <c r="T23" s="52"/>
      <c r="U23" s="101"/>
      <c r="V23" s="52"/>
      <c r="W23" s="101"/>
      <c r="X23" s="101"/>
      <c r="Y23" s="101"/>
      <c r="Z23" s="101"/>
      <c r="AA23" s="101"/>
      <c r="AB23" s="101"/>
      <c r="AC23" s="101"/>
      <c r="AD23" s="94"/>
      <c r="AE23" s="94"/>
      <c r="AF23" s="91"/>
    </row>
    <row r="24" customFormat="false" ht="15" hidden="false" customHeight="true" outlineLevel="0" collapsed="false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52"/>
      <c r="T24" s="52"/>
      <c r="U24" s="101"/>
      <c r="V24" s="52"/>
      <c r="W24" s="101"/>
      <c r="X24" s="101"/>
      <c r="Y24" s="101"/>
      <c r="Z24" s="101"/>
      <c r="AA24" s="101"/>
      <c r="AB24" s="101"/>
      <c r="AC24" s="101"/>
      <c r="AD24" s="94"/>
      <c r="AE24" s="94"/>
      <c r="AF24" s="91"/>
    </row>
    <row r="25" customFormat="false" ht="15" hidden="false" customHeight="true" outlineLevel="0" collapsed="false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52"/>
      <c r="T25" s="52"/>
      <c r="U25" s="101"/>
      <c r="V25" s="52"/>
      <c r="W25" s="101"/>
      <c r="X25" s="101"/>
      <c r="Y25" s="101"/>
      <c r="Z25" s="101"/>
      <c r="AA25" s="101"/>
      <c r="AB25" s="101"/>
      <c r="AC25" s="101"/>
      <c r="AD25" s="94"/>
      <c r="AE25" s="94"/>
      <c r="AF25" s="91"/>
    </row>
    <row r="26" customFormat="false" ht="15" hidden="false" customHeight="true" outlineLevel="0" collapsed="false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52"/>
      <c r="T26" s="52"/>
      <c r="U26" s="101"/>
      <c r="V26" s="52"/>
      <c r="W26" s="101"/>
      <c r="X26" s="101"/>
      <c r="Y26" s="101"/>
      <c r="Z26" s="101"/>
      <c r="AA26" s="101"/>
      <c r="AB26" s="101"/>
      <c r="AC26" s="101"/>
      <c r="AD26" s="94"/>
      <c r="AE26" s="94"/>
      <c r="AF26" s="91"/>
    </row>
    <row r="27" customFormat="false" ht="15" hidden="false" customHeight="true" outlineLevel="0" collapsed="false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52"/>
      <c r="T27" s="52"/>
      <c r="U27" s="101"/>
      <c r="V27" s="52"/>
      <c r="W27" s="101"/>
      <c r="X27" s="101"/>
      <c r="Y27" s="101"/>
      <c r="Z27" s="101"/>
      <c r="AA27" s="101"/>
      <c r="AB27" s="101"/>
      <c r="AC27" s="101"/>
      <c r="AD27" s="94"/>
      <c r="AE27" s="94"/>
      <c r="AF27" s="91"/>
    </row>
    <row r="28" customFormat="false" ht="15" hidden="false" customHeight="true" outlineLevel="0" collapsed="false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52"/>
      <c r="T28" s="52"/>
      <c r="U28" s="101"/>
      <c r="V28" s="52"/>
      <c r="W28" s="101"/>
      <c r="X28" s="101"/>
      <c r="Y28" s="101"/>
      <c r="Z28" s="101"/>
      <c r="AA28" s="101"/>
      <c r="AB28" s="101"/>
      <c r="AC28" s="101"/>
      <c r="AD28" s="94"/>
      <c r="AE28" s="94"/>
      <c r="AF28" s="91"/>
    </row>
    <row r="29" customFormat="false" ht="15" hidden="false" customHeight="true" outlineLevel="0" collapsed="false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52"/>
      <c r="T29" s="52"/>
      <c r="U29" s="101"/>
      <c r="V29" s="52"/>
      <c r="W29" s="101"/>
      <c r="X29" s="101"/>
      <c r="Y29" s="101"/>
      <c r="Z29" s="101"/>
      <c r="AA29" s="101"/>
      <c r="AB29" s="101"/>
      <c r="AC29" s="101"/>
      <c r="AD29" s="94"/>
      <c r="AE29" s="94"/>
      <c r="AF29" s="91"/>
    </row>
    <row r="30" customFormat="false" ht="15" hidden="false" customHeight="true" outlineLevel="0" collapsed="false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52"/>
      <c r="T30" s="52"/>
      <c r="U30" s="101"/>
      <c r="V30" s="52"/>
      <c r="W30" s="101"/>
      <c r="X30" s="101"/>
      <c r="Y30" s="101"/>
      <c r="Z30" s="101"/>
      <c r="AA30" s="101"/>
      <c r="AB30" s="101"/>
      <c r="AC30" s="101"/>
      <c r="AD30" s="94"/>
      <c r="AE30" s="94"/>
      <c r="AF30" s="91"/>
    </row>
    <row r="31" customFormat="false" ht="15" hidden="false" customHeight="true" outlineLevel="0" collapsed="false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52"/>
      <c r="T31" s="52"/>
      <c r="U31" s="101"/>
      <c r="V31" s="52"/>
      <c r="W31" s="101"/>
      <c r="X31" s="101"/>
      <c r="Y31" s="101"/>
      <c r="Z31" s="101"/>
      <c r="AA31" s="101"/>
      <c r="AB31" s="101"/>
      <c r="AC31" s="101"/>
      <c r="AD31" s="94"/>
      <c r="AE31" s="94"/>
      <c r="AF31" s="91"/>
    </row>
    <row r="32" customFormat="false" ht="15" hidden="false" customHeight="true" outlineLevel="0" collapsed="false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52"/>
      <c r="T32" s="52"/>
      <c r="U32" s="101"/>
      <c r="V32" s="52"/>
      <c r="W32" s="101"/>
      <c r="X32" s="101"/>
      <c r="Y32" s="101"/>
      <c r="Z32" s="101"/>
      <c r="AA32" s="101"/>
      <c r="AB32" s="101"/>
      <c r="AC32" s="101"/>
      <c r="AD32" s="94"/>
      <c r="AE32" s="94"/>
      <c r="AF32" s="91"/>
    </row>
    <row r="33" customFormat="false" ht="15" hidden="false" customHeight="true" outlineLevel="0" collapsed="false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52"/>
      <c r="T33" s="52"/>
      <c r="U33" s="101"/>
      <c r="V33" s="52"/>
      <c r="W33" s="101"/>
      <c r="X33" s="101"/>
      <c r="Y33" s="101"/>
      <c r="Z33" s="101"/>
      <c r="AA33" s="101"/>
      <c r="AB33" s="101"/>
      <c r="AC33" s="101"/>
      <c r="AD33" s="94"/>
      <c r="AE33" s="94"/>
      <c r="AF33" s="91"/>
    </row>
    <row r="34" customFormat="false" ht="15" hidden="false" customHeight="true" outlineLevel="0" collapsed="false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52"/>
      <c r="T34" s="52"/>
      <c r="U34" s="101"/>
      <c r="V34" s="52"/>
      <c r="W34" s="101"/>
      <c r="X34" s="101"/>
      <c r="Y34" s="101"/>
      <c r="Z34" s="101"/>
      <c r="AA34" s="101"/>
      <c r="AB34" s="101"/>
      <c r="AC34" s="101"/>
      <c r="AD34" s="94"/>
      <c r="AE34" s="94"/>
      <c r="AF34" s="91"/>
    </row>
    <row r="35" customFormat="false" ht="15" hidden="false" customHeight="true" outlineLevel="0" collapsed="false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52"/>
      <c r="T35" s="52"/>
      <c r="U35" s="101"/>
      <c r="V35" s="52"/>
      <c r="W35" s="101"/>
      <c r="X35" s="101"/>
      <c r="Y35" s="101"/>
      <c r="Z35" s="101"/>
      <c r="AA35" s="101"/>
      <c r="AB35" s="101"/>
      <c r="AC35" s="101"/>
      <c r="AD35" s="94"/>
      <c r="AE35" s="94"/>
      <c r="AF35" s="91"/>
    </row>
    <row r="36" customFormat="false" ht="15" hidden="false" customHeight="true" outlineLevel="0" collapsed="false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52"/>
      <c r="T36" s="52"/>
      <c r="U36" s="101"/>
      <c r="V36" s="52"/>
      <c r="W36" s="101"/>
      <c r="X36" s="101"/>
      <c r="Y36" s="101"/>
      <c r="Z36" s="101"/>
      <c r="AA36" s="101"/>
      <c r="AB36" s="101"/>
      <c r="AC36" s="101"/>
      <c r="AD36" s="94"/>
      <c r="AE36" s="94"/>
      <c r="AF36" s="91"/>
    </row>
    <row r="37" customFormat="false" ht="15" hidden="false" customHeight="true" outlineLevel="0" collapsed="false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52"/>
      <c r="T37" s="52"/>
      <c r="U37" s="101"/>
      <c r="V37" s="52"/>
      <c r="W37" s="101"/>
      <c r="X37" s="101"/>
      <c r="Y37" s="101"/>
      <c r="Z37" s="101"/>
      <c r="AA37" s="101"/>
      <c r="AB37" s="101"/>
      <c r="AC37" s="101"/>
      <c r="AD37" s="94"/>
      <c r="AE37" s="94"/>
      <c r="AF37" s="91"/>
    </row>
    <row r="38" customFormat="false" ht="15" hidden="false" customHeight="true" outlineLevel="0" collapsed="false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52"/>
      <c r="T38" s="52"/>
      <c r="U38" s="101"/>
      <c r="V38" s="52"/>
      <c r="W38" s="101"/>
      <c r="X38" s="101"/>
      <c r="Y38" s="101"/>
      <c r="Z38" s="101"/>
      <c r="AA38" s="101"/>
      <c r="AB38" s="101"/>
      <c r="AC38" s="101"/>
      <c r="AD38" s="94"/>
      <c r="AE38" s="94"/>
      <c r="AF38" s="91"/>
    </row>
    <row r="39" customFormat="false" ht="15" hidden="false" customHeight="true" outlineLevel="0" collapsed="false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52"/>
      <c r="T39" s="52"/>
      <c r="U39" s="101"/>
      <c r="V39" s="52"/>
      <c r="W39" s="101"/>
      <c r="X39" s="101"/>
      <c r="Y39" s="101"/>
      <c r="Z39" s="101"/>
      <c r="AA39" s="101"/>
      <c r="AB39" s="101"/>
      <c r="AC39" s="101"/>
      <c r="AD39" s="94"/>
      <c r="AE39" s="94"/>
      <c r="AF39" s="91"/>
    </row>
    <row r="40" customFormat="false" ht="15" hidden="false" customHeight="true" outlineLevel="0" collapsed="false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52"/>
      <c r="T40" s="52"/>
      <c r="U40" s="101"/>
      <c r="V40" s="52"/>
      <c r="W40" s="101"/>
      <c r="X40" s="101"/>
      <c r="Y40" s="101"/>
      <c r="Z40" s="101"/>
      <c r="AA40" s="101"/>
      <c r="AB40" s="101"/>
      <c r="AC40" s="101"/>
      <c r="AD40" s="94"/>
      <c r="AE40" s="94"/>
      <c r="AF40" s="91"/>
    </row>
    <row r="41" customFormat="false" ht="15" hidden="false" customHeight="true" outlineLevel="0" collapsed="false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52"/>
      <c r="T41" s="52"/>
      <c r="U41" s="101"/>
      <c r="V41" s="52"/>
      <c r="W41" s="101"/>
      <c r="X41" s="101"/>
      <c r="Y41" s="101"/>
      <c r="Z41" s="101"/>
      <c r="AA41" s="101"/>
      <c r="AB41" s="101"/>
      <c r="AC41" s="101"/>
      <c r="AD41" s="94"/>
      <c r="AE41" s="94"/>
      <c r="AF41" s="91"/>
    </row>
    <row r="42" customFormat="false" ht="15" hidden="false" customHeight="true" outlineLevel="0" collapsed="false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52"/>
      <c r="T42" s="52"/>
      <c r="U42" s="101"/>
      <c r="V42" s="52"/>
      <c r="W42" s="101"/>
      <c r="X42" s="101"/>
      <c r="Y42" s="101"/>
      <c r="Z42" s="101"/>
      <c r="AA42" s="101"/>
      <c r="AB42" s="101"/>
      <c r="AC42" s="101"/>
      <c r="AD42" s="94"/>
      <c r="AE42" s="94"/>
      <c r="AF42" s="91"/>
    </row>
    <row r="43" customFormat="false" ht="15" hidden="false" customHeight="true" outlineLevel="0" collapsed="false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52"/>
      <c r="T43" s="52"/>
      <c r="U43" s="101"/>
      <c r="V43" s="52"/>
      <c r="W43" s="101"/>
      <c r="X43" s="101"/>
      <c r="Y43" s="101"/>
      <c r="Z43" s="101"/>
      <c r="AA43" s="101"/>
      <c r="AB43" s="101"/>
      <c r="AC43" s="101"/>
      <c r="AD43" s="94"/>
      <c r="AE43" s="94"/>
      <c r="AF43" s="91"/>
    </row>
    <row r="44" customFormat="false" ht="15" hidden="false" customHeight="true" outlineLevel="0" collapsed="false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52"/>
      <c r="T44" s="52"/>
      <c r="U44" s="101"/>
      <c r="V44" s="52"/>
      <c r="W44" s="101"/>
      <c r="X44" s="101"/>
      <c r="Y44" s="101"/>
      <c r="Z44" s="101"/>
      <c r="AA44" s="101"/>
      <c r="AB44" s="101"/>
      <c r="AC44" s="101"/>
      <c r="AD44" s="94"/>
      <c r="AE44" s="94"/>
      <c r="AF44" s="91"/>
    </row>
    <row r="45" customFormat="false" ht="15" hidden="false" customHeight="true" outlineLevel="0" collapsed="false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52"/>
      <c r="T45" s="52"/>
      <c r="U45" s="101"/>
      <c r="V45" s="52"/>
      <c r="W45" s="101"/>
      <c r="X45" s="101"/>
      <c r="Y45" s="101"/>
      <c r="Z45" s="101"/>
      <c r="AA45" s="101"/>
      <c r="AB45" s="101"/>
      <c r="AC45" s="101"/>
      <c r="AD45" s="94"/>
      <c r="AE45" s="94"/>
      <c r="AF45" s="91"/>
    </row>
    <row r="46" customFormat="false" ht="15" hidden="false" customHeight="true" outlineLevel="0" collapsed="false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52"/>
      <c r="T46" s="52"/>
      <c r="U46" s="101"/>
      <c r="V46" s="52"/>
      <c r="W46" s="101"/>
      <c r="X46" s="101"/>
      <c r="Y46" s="101"/>
      <c r="Z46" s="101"/>
      <c r="AA46" s="101"/>
      <c r="AB46" s="101"/>
      <c r="AC46" s="101"/>
      <c r="AD46" s="94"/>
      <c r="AE46" s="94"/>
      <c r="AF46" s="91"/>
    </row>
    <row r="47" customFormat="false" ht="15" hidden="false" customHeight="true" outlineLevel="0" collapsed="false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52"/>
      <c r="T47" s="52"/>
      <c r="U47" s="101"/>
      <c r="V47" s="52"/>
      <c r="W47" s="101"/>
      <c r="X47" s="101"/>
      <c r="Y47" s="101"/>
      <c r="Z47" s="101"/>
      <c r="AA47" s="101"/>
      <c r="AB47" s="101"/>
      <c r="AC47" s="101"/>
      <c r="AD47" s="94"/>
      <c r="AE47" s="94"/>
      <c r="AF47" s="91"/>
    </row>
    <row r="48" customFormat="false" ht="15" hidden="false" customHeight="true" outlineLevel="0" collapsed="false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52"/>
      <c r="T48" s="52"/>
      <c r="U48" s="101"/>
      <c r="V48" s="52"/>
      <c r="W48" s="101"/>
      <c r="X48" s="101"/>
      <c r="Y48" s="101"/>
      <c r="Z48" s="101"/>
      <c r="AA48" s="101"/>
      <c r="AB48" s="101"/>
      <c r="AC48" s="101"/>
      <c r="AD48" s="94"/>
      <c r="AE48" s="94"/>
      <c r="AF48" s="91"/>
    </row>
    <row r="49" customFormat="false" ht="15" hidden="false" customHeight="true" outlineLevel="0" collapsed="false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52"/>
      <c r="T49" s="52"/>
      <c r="U49" s="101"/>
      <c r="V49" s="52"/>
      <c r="W49" s="101"/>
      <c r="X49" s="101"/>
      <c r="Y49" s="101"/>
      <c r="Z49" s="101"/>
      <c r="AA49" s="101"/>
      <c r="AB49" s="101"/>
      <c r="AC49" s="101"/>
      <c r="AD49" s="94"/>
      <c r="AE49" s="94"/>
      <c r="AF49" s="91"/>
    </row>
    <row r="50" customFormat="false" ht="15" hidden="false" customHeight="true" outlineLevel="0" collapsed="false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52"/>
      <c r="T50" s="52"/>
      <c r="U50" s="101"/>
      <c r="V50" s="52"/>
      <c r="W50" s="101"/>
      <c r="X50" s="101"/>
      <c r="Y50" s="101"/>
      <c r="Z50" s="101"/>
      <c r="AA50" s="101"/>
      <c r="AB50" s="101"/>
      <c r="AC50" s="101"/>
      <c r="AD50" s="94"/>
      <c r="AE50" s="94"/>
      <c r="AF50" s="91"/>
    </row>
    <row r="51" customFormat="false" ht="15" hidden="false" customHeight="true" outlineLevel="0" collapsed="false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52"/>
      <c r="T51" s="52"/>
      <c r="U51" s="101"/>
      <c r="V51" s="52"/>
      <c r="W51" s="101"/>
      <c r="X51" s="101"/>
      <c r="Y51" s="101"/>
      <c r="Z51" s="101"/>
      <c r="AA51" s="101"/>
      <c r="AB51" s="101"/>
      <c r="AC51" s="101"/>
      <c r="AD51" s="94"/>
      <c r="AE51" s="94"/>
      <c r="AF51" s="91"/>
    </row>
    <row r="52" customFormat="false" ht="15" hidden="false" customHeight="true" outlineLevel="0" collapsed="false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52"/>
      <c r="T52" s="52"/>
      <c r="U52" s="101"/>
      <c r="V52" s="52"/>
      <c r="W52" s="101"/>
      <c r="X52" s="101"/>
      <c r="Y52" s="101"/>
      <c r="Z52" s="101"/>
      <c r="AA52" s="101"/>
      <c r="AB52" s="101"/>
      <c r="AC52" s="101"/>
      <c r="AD52" s="94"/>
      <c r="AE52" s="94"/>
      <c r="AF52" s="91"/>
    </row>
    <row r="53" customFormat="false" ht="15" hidden="false" customHeight="true" outlineLevel="0" collapsed="false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52"/>
      <c r="T53" s="52"/>
      <c r="U53" s="101"/>
      <c r="V53" s="52"/>
      <c r="W53" s="101"/>
      <c r="X53" s="101"/>
      <c r="Y53" s="101"/>
      <c r="Z53" s="101"/>
      <c r="AA53" s="101"/>
      <c r="AB53" s="101"/>
      <c r="AC53" s="101"/>
      <c r="AD53" s="94"/>
      <c r="AE53" s="94"/>
      <c r="AF53" s="91"/>
    </row>
    <row r="54" customFormat="false" ht="15" hidden="false" customHeight="true" outlineLevel="0" collapsed="false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52"/>
      <c r="T54" s="52"/>
      <c r="U54" s="101"/>
      <c r="V54" s="52"/>
      <c r="W54" s="101"/>
      <c r="X54" s="101"/>
      <c r="Y54" s="101"/>
      <c r="Z54" s="101"/>
      <c r="AA54" s="101"/>
      <c r="AB54" s="101"/>
      <c r="AC54" s="101"/>
      <c r="AD54" s="94"/>
      <c r="AE54" s="94"/>
      <c r="AF54" s="91"/>
    </row>
    <row r="55" customFormat="false" ht="15" hidden="false" customHeight="true" outlineLevel="0" collapsed="false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52"/>
      <c r="T55" s="52"/>
      <c r="U55" s="101"/>
      <c r="V55" s="52"/>
      <c r="W55" s="101"/>
      <c r="X55" s="101"/>
      <c r="Y55" s="101"/>
      <c r="Z55" s="101"/>
      <c r="AA55" s="101"/>
      <c r="AB55" s="101"/>
      <c r="AC55" s="101"/>
      <c r="AD55" s="94"/>
      <c r="AE55" s="94"/>
      <c r="AF55" s="91"/>
    </row>
    <row r="56" customFormat="false" ht="15" hidden="false" customHeight="true" outlineLevel="0" collapsed="false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52"/>
      <c r="T56" s="52"/>
      <c r="U56" s="101"/>
      <c r="V56" s="52"/>
      <c r="W56" s="101"/>
      <c r="X56" s="101"/>
      <c r="Y56" s="101"/>
      <c r="Z56" s="101"/>
      <c r="AA56" s="101"/>
      <c r="AB56" s="101"/>
      <c r="AC56" s="101"/>
      <c r="AD56" s="94"/>
      <c r="AE56" s="94"/>
      <c r="AF56" s="91"/>
    </row>
    <row r="57" customFormat="false" ht="15" hidden="false" customHeight="true" outlineLevel="0" collapsed="false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52"/>
      <c r="T57" s="52"/>
      <c r="U57" s="101"/>
      <c r="V57" s="52"/>
      <c r="W57" s="101"/>
      <c r="X57" s="101"/>
      <c r="Y57" s="101"/>
      <c r="Z57" s="101"/>
      <c r="AA57" s="101"/>
      <c r="AB57" s="101"/>
      <c r="AC57" s="101"/>
      <c r="AD57" s="94"/>
      <c r="AE57" s="94"/>
      <c r="AF57" s="91"/>
    </row>
    <row r="58" customFormat="false" ht="15" hidden="false" customHeight="true" outlineLevel="0" collapsed="false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52"/>
      <c r="T58" s="52"/>
      <c r="U58" s="101"/>
      <c r="V58" s="52"/>
      <c r="W58" s="101"/>
      <c r="X58" s="101"/>
      <c r="Y58" s="101"/>
      <c r="Z58" s="101"/>
      <c r="AA58" s="101"/>
      <c r="AB58" s="101"/>
      <c r="AC58" s="101"/>
      <c r="AD58" s="94"/>
      <c r="AE58" s="94"/>
      <c r="AF58" s="91"/>
    </row>
    <row r="59" customFormat="false" ht="15" hidden="false" customHeight="true" outlineLevel="0" collapsed="false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52"/>
      <c r="T59" s="52"/>
      <c r="U59" s="101"/>
      <c r="V59" s="52"/>
      <c r="W59" s="101"/>
      <c r="X59" s="101"/>
      <c r="Y59" s="101"/>
      <c r="Z59" s="101"/>
      <c r="AA59" s="101"/>
      <c r="AB59" s="101"/>
      <c r="AC59" s="101"/>
      <c r="AD59" s="94"/>
      <c r="AE59" s="94"/>
      <c r="AF59" s="91"/>
    </row>
    <row r="60" customFormat="false" ht="15" hidden="false" customHeight="true" outlineLevel="0" collapsed="false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52"/>
      <c r="T60" s="52"/>
      <c r="U60" s="101"/>
      <c r="V60" s="52"/>
      <c r="W60" s="101"/>
      <c r="X60" s="101"/>
      <c r="Y60" s="101"/>
      <c r="Z60" s="101"/>
      <c r="AA60" s="101"/>
      <c r="AB60" s="101"/>
      <c r="AC60" s="101"/>
      <c r="AD60" s="94"/>
      <c r="AE60" s="94"/>
      <c r="AF60" s="91"/>
    </row>
    <row r="61" customFormat="false" ht="15" hidden="false" customHeight="true" outlineLevel="0" collapsed="false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52"/>
      <c r="T61" s="52"/>
      <c r="U61" s="101"/>
      <c r="V61" s="52"/>
      <c r="W61" s="101"/>
      <c r="X61" s="101"/>
      <c r="Y61" s="101"/>
      <c r="Z61" s="101"/>
      <c r="AA61" s="101"/>
      <c r="AB61" s="101"/>
      <c r="AC61" s="101"/>
      <c r="AD61" s="94"/>
      <c r="AE61" s="94"/>
      <c r="AF61" s="91"/>
    </row>
    <row r="62" customFormat="false" ht="15" hidden="false" customHeight="true" outlineLevel="0" collapsed="false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52"/>
      <c r="T62" s="52"/>
      <c r="U62" s="101"/>
      <c r="V62" s="52"/>
      <c r="W62" s="101"/>
      <c r="X62" s="101"/>
      <c r="Y62" s="101"/>
      <c r="Z62" s="101"/>
      <c r="AA62" s="101"/>
      <c r="AB62" s="101"/>
      <c r="AC62" s="101"/>
      <c r="AD62" s="94"/>
      <c r="AE62" s="94"/>
      <c r="AF62" s="91"/>
    </row>
    <row r="63" customFormat="false" ht="15" hidden="false" customHeight="true" outlineLevel="0" collapsed="false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52"/>
      <c r="T63" s="52"/>
      <c r="U63" s="101"/>
      <c r="V63" s="52"/>
      <c r="W63" s="101"/>
      <c r="X63" s="101"/>
      <c r="Y63" s="101"/>
      <c r="Z63" s="101"/>
      <c r="AA63" s="101"/>
      <c r="AB63" s="101"/>
      <c r="AC63" s="101"/>
      <c r="AD63" s="94"/>
      <c r="AE63" s="94"/>
      <c r="AF63" s="91"/>
    </row>
    <row r="64" customFormat="false" ht="15" hidden="false" customHeight="true" outlineLevel="0" collapsed="false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52"/>
      <c r="T64" s="52"/>
      <c r="U64" s="101"/>
      <c r="V64" s="52"/>
      <c r="W64" s="101"/>
      <c r="X64" s="101"/>
      <c r="Y64" s="101"/>
      <c r="Z64" s="101"/>
      <c r="AA64" s="101"/>
      <c r="AB64" s="101"/>
      <c r="AC64" s="101"/>
      <c r="AD64" s="94"/>
      <c r="AE64" s="94"/>
      <c r="AF64" s="91"/>
    </row>
    <row r="65" customFormat="false" ht="15" hidden="false" customHeight="true" outlineLevel="0" collapsed="false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52"/>
      <c r="T65" s="52"/>
      <c r="U65" s="101"/>
      <c r="V65" s="52"/>
      <c r="W65" s="101"/>
      <c r="X65" s="101"/>
      <c r="Y65" s="101"/>
      <c r="Z65" s="101"/>
      <c r="AA65" s="101"/>
      <c r="AB65" s="101"/>
      <c r="AC65" s="101"/>
      <c r="AD65" s="94"/>
      <c r="AE65" s="94"/>
      <c r="AF65" s="91"/>
    </row>
    <row r="66" customFormat="false" ht="15" hidden="false" customHeight="true" outlineLevel="0" collapsed="false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52"/>
      <c r="T66" s="52"/>
      <c r="U66" s="101"/>
      <c r="V66" s="52"/>
      <c r="W66" s="101"/>
      <c r="X66" s="101"/>
      <c r="Y66" s="101"/>
      <c r="Z66" s="101"/>
      <c r="AA66" s="101"/>
      <c r="AB66" s="101"/>
      <c r="AC66" s="101"/>
      <c r="AD66" s="94"/>
      <c r="AE66" s="94"/>
      <c r="AF66" s="91"/>
    </row>
    <row r="67" customFormat="false" ht="15" hidden="false" customHeight="true" outlineLevel="0" collapsed="false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52"/>
      <c r="T67" s="52"/>
      <c r="U67" s="101"/>
      <c r="V67" s="52"/>
      <c r="W67" s="101"/>
      <c r="X67" s="101"/>
      <c r="Y67" s="101"/>
      <c r="Z67" s="101"/>
      <c r="AA67" s="101"/>
      <c r="AB67" s="101"/>
      <c r="AC67" s="101"/>
      <c r="AD67" s="94"/>
      <c r="AE67" s="94"/>
      <c r="AF67" s="91"/>
    </row>
    <row r="68" customFormat="false" ht="15" hidden="false" customHeight="true" outlineLevel="0" collapsed="false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52"/>
      <c r="T68" s="52"/>
      <c r="U68" s="101"/>
      <c r="V68" s="52"/>
      <c r="W68" s="101"/>
      <c r="X68" s="101"/>
      <c r="Y68" s="101"/>
      <c r="Z68" s="101"/>
      <c r="AA68" s="101"/>
      <c r="AB68" s="101"/>
      <c r="AC68" s="101"/>
      <c r="AD68" s="94"/>
      <c r="AE68" s="94"/>
      <c r="AF68" s="91"/>
    </row>
    <row r="69" customFormat="false" ht="15" hidden="false" customHeight="true" outlineLevel="0" collapsed="false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52"/>
      <c r="T69" s="52"/>
      <c r="U69" s="101"/>
      <c r="V69" s="52"/>
      <c r="W69" s="101"/>
      <c r="X69" s="101"/>
      <c r="Y69" s="101"/>
      <c r="Z69" s="101"/>
      <c r="AA69" s="101"/>
      <c r="AB69" s="101"/>
      <c r="AC69" s="101"/>
      <c r="AD69" s="94"/>
      <c r="AE69" s="94"/>
      <c r="AF69" s="91"/>
    </row>
    <row r="70" customFormat="false" ht="15" hidden="false" customHeight="true" outlineLevel="0" collapsed="false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52"/>
      <c r="T70" s="52"/>
      <c r="U70" s="101"/>
      <c r="V70" s="52"/>
      <c r="W70" s="101"/>
      <c r="X70" s="101"/>
      <c r="Y70" s="101"/>
      <c r="Z70" s="101"/>
      <c r="AA70" s="101"/>
      <c r="AB70" s="101"/>
      <c r="AC70" s="101"/>
      <c r="AD70" s="94"/>
      <c r="AE70" s="94"/>
      <c r="AF70" s="91"/>
    </row>
    <row r="71" customFormat="false" ht="15" hidden="false" customHeight="true" outlineLevel="0" collapsed="false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52"/>
      <c r="T71" s="52"/>
      <c r="U71" s="101"/>
      <c r="V71" s="52"/>
      <c r="W71" s="101"/>
      <c r="X71" s="101"/>
      <c r="Y71" s="101"/>
      <c r="Z71" s="101"/>
      <c r="AA71" s="101"/>
      <c r="AB71" s="101"/>
      <c r="AC71" s="101"/>
      <c r="AD71" s="94"/>
      <c r="AE71" s="94"/>
      <c r="AF71" s="91"/>
    </row>
    <row r="72" customFormat="false" ht="15" hidden="false" customHeight="true" outlineLevel="0" collapsed="false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52"/>
      <c r="T72" s="52"/>
      <c r="U72" s="101"/>
      <c r="V72" s="52"/>
      <c r="W72" s="101"/>
      <c r="X72" s="101"/>
      <c r="Y72" s="101"/>
      <c r="Z72" s="101"/>
      <c r="AA72" s="101"/>
      <c r="AB72" s="101"/>
      <c r="AC72" s="101"/>
      <c r="AD72" s="94"/>
      <c r="AE72" s="94"/>
      <c r="AF72" s="91"/>
    </row>
    <row r="73" customFormat="false" ht="15" hidden="false" customHeight="true" outlineLevel="0" collapsed="false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52"/>
      <c r="T73" s="52"/>
      <c r="U73" s="101"/>
      <c r="V73" s="52"/>
      <c r="W73" s="101"/>
      <c r="X73" s="101"/>
      <c r="Y73" s="101"/>
      <c r="Z73" s="101"/>
      <c r="AA73" s="101"/>
      <c r="AB73" s="101"/>
      <c r="AC73" s="101"/>
      <c r="AD73" s="94"/>
      <c r="AE73" s="94"/>
      <c r="AF73" s="91"/>
    </row>
    <row r="74" customFormat="false" ht="15" hidden="false" customHeight="true" outlineLevel="0" collapsed="false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52"/>
      <c r="T74" s="52"/>
      <c r="U74" s="101"/>
      <c r="V74" s="52"/>
      <c r="W74" s="101"/>
      <c r="X74" s="101"/>
      <c r="Y74" s="101"/>
      <c r="Z74" s="101"/>
      <c r="AA74" s="101"/>
      <c r="AB74" s="101"/>
      <c r="AC74" s="101"/>
      <c r="AD74" s="94"/>
      <c r="AE74" s="94"/>
      <c r="AF74" s="91"/>
    </row>
    <row r="75" customFormat="false" ht="15" hidden="false" customHeight="true" outlineLevel="0" collapsed="false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52"/>
      <c r="T75" s="52"/>
      <c r="U75" s="101"/>
      <c r="V75" s="52"/>
      <c r="W75" s="101"/>
      <c r="X75" s="101"/>
      <c r="Y75" s="101"/>
      <c r="Z75" s="101"/>
      <c r="AA75" s="101"/>
      <c r="AB75" s="101"/>
      <c r="AC75" s="101"/>
      <c r="AD75" s="94"/>
      <c r="AE75" s="94"/>
      <c r="AF75" s="91"/>
    </row>
    <row r="76" customFormat="false" ht="15" hidden="false" customHeight="true" outlineLevel="0" collapsed="false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52"/>
      <c r="T76" s="52"/>
      <c r="U76" s="101"/>
      <c r="V76" s="52"/>
      <c r="W76" s="101"/>
      <c r="X76" s="101"/>
      <c r="Y76" s="101"/>
      <c r="Z76" s="101"/>
      <c r="AA76" s="101"/>
      <c r="AB76" s="101"/>
      <c r="AC76" s="101"/>
      <c r="AD76" s="94"/>
      <c r="AE76" s="94"/>
      <c r="AF76" s="91"/>
    </row>
    <row r="77" customFormat="false" ht="15" hidden="false" customHeight="true" outlineLevel="0" collapsed="false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52"/>
      <c r="T77" s="52"/>
      <c r="U77" s="101"/>
      <c r="V77" s="52"/>
      <c r="W77" s="101"/>
      <c r="X77" s="101"/>
      <c r="Y77" s="101"/>
      <c r="Z77" s="101"/>
      <c r="AA77" s="101"/>
      <c r="AB77" s="101"/>
      <c r="AC77" s="101"/>
      <c r="AD77" s="94"/>
      <c r="AE77" s="94"/>
      <c r="AF77" s="91"/>
    </row>
    <row r="78" customFormat="false" ht="15" hidden="false" customHeight="true" outlineLevel="0" collapsed="false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52"/>
      <c r="T78" s="52"/>
      <c r="U78" s="101"/>
      <c r="V78" s="52"/>
      <c r="W78" s="101"/>
      <c r="X78" s="101"/>
      <c r="Y78" s="101"/>
      <c r="Z78" s="101"/>
      <c r="AA78" s="101"/>
      <c r="AB78" s="101"/>
      <c r="AC78" s="101"/>
      <c r="AD78" s="94"/>
      <c r="AE78" s="94"/>
      <c r="AF78" s="91"/>
    </row>
    <row r="79" customFormat="false" ht="15" hidden="false" customHeight="true" outlineLevel="0" collapsed="false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52"/>
      <c r="T79" s="52"/>
      <c r="U79" s="101"/>
      <c r="V79" s="52"/>
      <c r="W79" s="101"/>
      <c r="X79" s="101"/>
      <c r="Y79" s="101"/>
      <c r="Z79" s="101"/>
      <c r="AA79" s="101"/>
      <c r="AB79" s="101"/>
      <c r="AC79" s="101"/>
      <c r="AD79" s="94"/>
      <c r="AE79" s="94"/>
      <c r="AF79" s="91"/>
    </row>
    <row r="80" customFormat="false" ht="15" hidden="false" customHeight="true" outlineLevel="0" collapsed="false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52"/>
      <c r="T80" s="52"/>
      <c r="U80" s="101"/>
      <c r="V80" s="52"/>
      <c r="W80" s="101"/>
      <c r="X80" s="101"/>
      <c r="Y80" s="101"/>
      <c r="Z80" s="101"/>
      <c r="AA80" s="101"/>
      <c r="AB80" s="101"/>
      <c r="AC80" s="101"/>
      <c r="AD80" s="94"/>
      <c r="AE80" s="94"/>
      <c r="AF80" s="91"/>
    </row>
    <row r="81" customFormat="false" ht="15" hidden="false" customHeight="true" outlineLevel="0" collapsed="false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52"/>
      <c r="T81" s="52"/>
      <c r="U81" s="101"/>
      <c r="V81" s="52"/>
      <c r="W81" s="101"/>
      <c r="X81" s="101"/>
      <c r="Y81" s="101"/>
      <c r="Z81" s="101"/>
      <c r="AA81" s="101"/>
      <c r="AB81" s="101"/>
      <c r="AC81" s="101"/>
      <c r="AD81" s="94"/>
      <c r="AE81" s="94"/>
      <c r="AF81" s="91"/>
    </row>
    <row r="82" customFormat="false" ht="15" hidden="false" customHeight="true" outlineLevel="0" collapsed="false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52"/>
      <c r="T82" s="52"/>
      <c r="U82" s="101"/>
      <c r="V82" s="52"/>
      <c r="W82" s="101"/>
      <c r="X82" s="101"/>
      <c r="Y82" s="101"/>
      <c r="Z82" s="101"/>
      <c r="AA82" s="101"/>
      <c r="AB82" s="101"/>
      <c r="AC82" s="101"/>
      <c r="AD82" s="94"/>
      <c r="AE82" s="94"/>
      <c r="AF82" s="91"/>
    </row>
    <row r="83" customFormat="false" ht="15" hidden="false" customHeight="true" outlineLevel="0" collapsed="false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52"/>
      <c r="T83" s="52"/>
      <c r="U83" s="101"/>
      <c r="V83" s="52"/>
      <c r="W83" s="101"/>
      <c r="X83" s="101"/>
      <c r="Y83" s="101"/>
      <c r="Z83" s="101"/>
      <c r="AA83" s="101"/>
      <c r="AB83" s="101"/>
      <c r="AC83" s="101"/>
      <c r="AD83" s="94"/>
      <c r="AE83" s="94"/>
      <c r="AF83" s="91"/>
    </row>
    <row r="84" customFormat="false" ht="15" hidden="false" customHeight="true" outlineLevel="0" collapsed="false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52"/>
      <c r="T84" s="52"/>
      <c r="U84" s="101"/>
      <c r="V84" s="52"/>
      <c r="W84" s="101"/>
      <c r="X84" s="101"/>
      <c r="Y84" s="101"/>
      <c r="Z84" s="101"/>
      <c r="AA84" s="101"/>
      <c r="AB84" s="101"/>
      <c r="AC84" s="101"/>
      <c r="AD84" s="94"/>
      <c r="AE84" s="94"/>
      <c r="AF84" s="91"/>
    </row>
    <row r="85" customFormat="false" ht="15" hidden="false" customHeight="true" outlineLevel="0" collapsed="false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52"/>
      <c r="T85" s="52"/>
      <c r="U85" s="101"/>
      <c r="V85" s="52"/>
      <c r="W85" s="101"/>
      <c r="X85" s="101"/>
      <c r="Y85" s="101"/>
      <c r="Z85" s="101"/>
      <c r="AA85" s="101"/>
      <c r="AB85" s="101"/>
      <c r="AC85" s="101"/>
      <c r="AD85" s="94"/>
      <c r="AE85" s="94"/>
      <c r="AF85" s="91"/>
    </row>
    <row r="86" customFormat="false" ht="15" hidden="false" customHeight="true" outlineLevel="0" collapsed="false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52"/>
      <c r="T86" s="52"/>
      <c r="U86" s="101"/>
      <c r="V86" s="52"/>
      <c r="W86" s="101"/>
      <c r="X86" s="101"/>
      <c r="Y86" s="101"/>
      <c r="Z86" s="101"/>
      <c r="AA86" s="101"/>
      <c r="AB86" s="101"/>
      <c r="AC86" s="101"/>
      <c r="AD86" s="94"/>
      <c r="AE86" s="94"/>
      <c r="AF86" s="91"/>
    </row>
    <row r="87" customFormat="false" ht="15" hidden="false" customHeight="true" outlineLevel="0" collapsed="false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52"/>
      <c r="T87" s="52"/>
      <c r="U87" s="101"/>
      <c r="V87" s="52"/>
      <c r="W87" s="101"/>
      <c r="X87" s="101"/>
      <c r="Y87" s="101"/>
      <c r="Z87" s="101"/>
      <c r="AA87" s="101"/>
      <c r="AB87" s="101"/>
      <c r="AC87" s="101"/>
      <c r="AD87" s="94"/>
      <c r="AE87" s="94"/>
      <c r="AF87" s="91"/>
    </row>
    <row r="88" customFormat="false" ht="15" hidden="false" customHeight="true" outlineLevel="0" collapsed="false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52"/>
      <c r="T88" s="52"/>
      <c r="U88" s="101"/>
      <c r="V88" s="52"/>
      <c r="W88" s="101"/>
      <c r="X88" s="101"/>
      <c r="Y88" s="101"/>
      <c r="Z88" s="101"/>
      <c r="AA88" s="101"/>
      <c r="AB88" s="101"/>
      <c r="AC88" s="101"/>
      <c r="AD88" s="94"/>
      <c r="AE88" s="94"/>
      <c r="AF88" s="91"/>
    </row>
    <row r="89" customFormat="false" ht="15" hidden="false" customHeight="true" outlineLevel="0" collapsed="false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52"/>
      <c r="T89" s="52"/>
      <c r="U89" s="101"/>
      <c r="V89" s="52"/>
      <c r="W89" s="101"/>
      <c r="X89" s="101"/>
      <c r="Y89" s="101"/>
      <c r="Z89" s="101"/>
      <c r="AA89" s="101"/>
      <c r="AB89" s="101"/>
      <c r="AC89" s="101"/>
      <c r="AD89" s="94"/>
      <c r="AE89" s="94"/>
      <c r="AF89" s="91"/>
    </row>
    <row r="90" customFormat="false" ht="15" hidden="false" customHeight="true" outlineLevel="0" collapsed="false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52"/>
      <c r="T90" s="52"/>
      <c r="U90" s="101"/>
      <c r="V90" s="52"/>
      <c r="W90" s="101"/>
      <c r="X90" s="101"/>
      <c r="Y90" s="101"/>
      <c r="Z90" s="101"/>
      <c r="AA90" s="101"/>
      <c r="AB90" s="101"/>
      <c r="AC90" s="101"/>
      <c r="AD90" s="94"/>
      <c r="AE90" s="94"/>
      <c r="AF90" s="91"/>
    </row>
    <row r="91" customFormat="false" ht="15" hidden="false" customHeight="true" outlineLevel="0" collapsed="false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52"/>
      <c r="T91" s="52"/>
      <c r="U91" s="101"/>
      <c r="V91" s="52"/>
      <c r="W91" s="101"/>
      <c r="X91" s="101"/>
      <c r="Y91" s="101"/>
      <c r="Z91" s="101"/>
      <c r="AA91" s="101"/>
      <c r="AB91" s="101"/>
      <c r="AC91" s="101"/>
      <c r="AD91" s="94"/>
      <c r="AE91" s="94"/>
      <c r="AF91" s="91"/>
    </row>
    <row r="92" customFormat="false" ht="15" hidden="false" customHeight="true" outlineLevel="0" collapsed="false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52"/>
      <c r="T92" s="52"/>
      <c r="U92" s="101"/>
      <c r="V92" s="52"/>
      <c r="W92" s="101"/>
      <c r="X92" s="101"/>
      <c r="Y92" s="101"/>
      <c r="Z92" s="101"/>
      <c r="AA92" s="101"/>
      <c r="AB92" s="101"/>
      <c r="AC92" s="101"/>
      <c r="AD92" s="94"/>
      <c r="AE92" s="94"/>
      <c r="AF92" s="91"/>
    </row>
    <row r="93" customFormat="false" ht="15" hidden="false" customHeight="true" outlineLevel="0" collapsed="false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52"/>
      <c r="T93" s="52"/>
      <c r="U93" s="101"/>
      <c r="V93" s="52"/>
      <c r="W93" s="101"/>
      <c r="X93" s="101"/>
      <c r="Y93" s="101"/>
      <c r="Z93" s="101"/>
      <c r="AA93" s="101"/>
      <c r="AB93" s="101"/>
      <c r="AC93" s="101"/>
      <c r="AD93" s="94"/>
      <c r="AE93" s="94"/>
      <c r="AF93" s="91"/>
    </row>
    <row r="94" customFormat="false" ht="15" hidden="false" customHeight="true" outlineLevel="0" collapsed="false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52"/>
      <c r="T94" s="52"/>
      <c r="U94" s="101"/>
      <c r="V94" s="52"/>
      <c r="W94" s="101"/>
      <c r="X94" s="101"/>
      <c r="Y94" s="101"/>
      <c r="Z94" s="101"/>
      <c r="AA94" s="101"/>
      <c r="AB94" s="101"/>
      <c r="AC94" s="101"/>
      <c r="AD94" s="94"/>
      <c r="AE94" s="94"/>
      <c r="AF94" s="91"/>
    </row>
    <row r="95" customFormat="false" ht="15" hidden="false" customHeight="true" outlineLevel="0" collapsed="false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52"/>
      <c r="T95" s="52"/>
      <c r="U95" s="101"/>
      <c r="V95" s="52"/>
      <c r="W95" s="101"/>
      <c r="X95" s="101"/>
      <c r="Y95" s="101"/>
      <c r="Z95" s="101"/>
      <c r="AA95" s="101"/>
      <c r="AB95" s="101"/>
      <c r="AC95" s="101"/>
      <c r="AD95" s="94"/>
      <c r="AE95" s="94"/>
      <c r="AF95" s="91"/>
    </row>
    <row r="96" customFormat="false" ht="15" hidden="false" customHeight="true" outlineLevel="0" collapsed="false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52"/>
      <c r="T96" s="52"/>
      <c r="U96" s="101"/>
      <c r="V96" s="52"/>
      <c r="W96" s="101"/>
      <c r="X96" s="101"/>
      <c r="Y96" s="101"/>
      <c r="Z96" s="101"/>
      <c r="AA96" s="101"/>
      <c r="AB96" s="101"/>
      <c r="AC96" s="101"/>
      <c r="AD96" s="94"/>
      <c r="AE96" s="94"/>
      <c r="AF96" s="91"/>
    </row>
    <row r="97" customFormat="false" ht="15" hidden="false" customHeight="true" outlineLevel="0" collapsed="false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52"/>
      <c r="T97" s="52"/>
      <c r="U97" s="101"/>
      <c r="V97" s="52"/>
      <c r="W97" s="101"/>
      <c r="X97" s="101"/>
      <c r="Y97" s="101"/>
      <c r="Z97" s="101"/>
      <c r="AA97" s="101"/>
      <c r="AB97" s="101"/>
      <c r="AC97" s="101"/>
      <c r="AD97" s="94"/>
      <c r="AE97" s="94"/>
      <c r="AF97" s="91"/>
    </row>
    <row r="98" customFormat="false" ht="15" hidden="false" customHeight="true" outlineLevel="0" collapsed="false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52"/>
      <c r="T98" s="52"/>
      <c r="U98" s="101"/>
      <c r="V98" s="52"/>
      <c r="W98" s="101"/>
      <c r="X98" s="101"/>
      <c r="Y98" s="101"/>
      <c r="Z98" s="101"/>
      <c r="AA98" s="101"/>
      <c r="AB98" s="101"/>
      <c r="AC98" s="101"/>
      <c r="AD98" s="94"/>
      <c r="AE98" s="94"/>
      <c r="AF98" s="91"/>
    </row>
    <row r="99" customFormat="false" ht="15" hidden="false" customHeight="true" outlineLevel="0" collapsed="false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52"/>
      <c r="T99" s="52"/>
      <c r="U99" s="101"/>
      <c r="V99" s="52"/>
      <c r="W99" s="101"/>
      <c r="X99" s="101"/>
      <c r="Y99" s="101"/>
      <c r="Z99" s="101"/>
      <c r="AA99" s="101"/>
      <c r="AB99" s="101"/>
      <c r="AC99" s="101"/>
      <c r="AD99" s="94"/>
      <c r="AE99" s="94"/>
      <c r="AF99" s="91"/>
    </row>
    <row r="100" customFormat="false" ht="15" hidden="false" customHeight="true" outlineLevel="0" collapsed="false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52"/>
      <c r="T100" s="52"/>
      <c r="U100" s="101"/>
      <c r="V100" s="52"/>
      <c r="W100" s="101"/>
      <c r="X100" s="101"/>
      <c r="Y100" s="101"/>
      <c r="Z100" s="101"/>
      <c r="AA100" s="101"/>
      <c r="AB100" s="101"/>
      <c r="AC100" s="101"/>
      <c r="AD100" s="94"/>
      <c r="AE100" s="94"/>
      <c r="AF100" s="91"/>
    </row>
    <row r="101" customFormat="false" ht="15" hidden="false" customHeight="true" outlineLevel="0" collapsed="false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52"/>
      <c r="T101" s="52"/>
      <c r="U101" s="101"/>
      <c r="V101" s="52"/>
      <c r="W101" s="101"/>
      <c r="X101" s="101"/>
      <c r="Y101" s="101"/>
      <c r="Z101" s="101"/>
      <c r="AA101" s="101"/>
      <c r="AB101" s="101"/>
      <c r="AC101" s="101"/>
      <c r="AD101" s="94"/>
      <c r="AE101" s="94"/>
      <c r="AF101" s="91"/>
    </row>
    <row r="102" customFormat="false" ht="15" hidden="false" customHeight="true" outlineLevel="0" collapsed="false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52"/>
      <c r="T102" s="52"/>
      <c r="U102" s="101"/>
      <c r="V102" s="52"/>
      <c r="W102" s="101"/>
      <c r="X102" s="101"/>
      <c r="Y102" s="101"/>
      <c r="Z102" s="101"/>
      <c r="AA102" s="101"/>
      <c r="AB102" s="101"/>
      <c r="AC102" s="101"/>
      <c r="AD102" s="94"/>
      <c r="AE102" s="94"/>
      <c r="AF102" s="91"/>
    </row>
    <row r="103" customFormat="false" ht="15" hidden="false" customHeight="true" outlineLevel="0" collapsed="false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52"/>
      <c r="T103" s="52"/>
      <c r="U103" s="101"/>
      <c r="V103" s="52"/>
      <c r="W103" s="101"/>
      <c r="X103" s="101"/>
      <c r="Y103" s="101"/>
      <c r="Z103" s="101"/>
      <c r="AA103" s="101"/>
      <c r="AB103" s="101"/>
      <c r="AC103" s="101"/>
      <c r="AD103" s="94"/>
      <c r="AE103" s="94"/>
      <c r="AF103" s="91"/>
    </row>
    <row r="104" customFormat="false" ht="15" hidden="false" customHeight="true" outlineLevel="0" collapsed="false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52"/>
      <c r="T104" s="52"/>
      <c r="U104" s="101"/>
      <c r="V104" s="52"/>
      <c r="W104" s="101"/>
      <c r="X104" s="101"/>
      <c r="Y104" s="101"/>
      <c r="Z104" s="101"/>
      <c r="AA104" s="101"/>
      <c r="AB104" s="101"/>
      <c r="AC104" s="101"/>
      <c r="AD104" s="94"/>
      <c r="AE104" s="94"/>
      <c r="AF104" s="91"/>
    </row>
    <row r="105" customFormat="false" ht="15" hidden="false" customHeight="true" outlineLevel="0" collapsed="false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52"/>
      <c r="T105" s="52"/>
      <c r="U105" s="101"/>
      <c r="V105" s="52"/>
      <c r="W105" s="101"/>
      <c r="X105" s="101"/>
      <c r="Y105" s="101"/>
      <c r="Z105" s="101"/>
      <c r="AA105" s="101"/>
      <c r="AB105" s="101"/>
      <c r="AC105" s="101"/>
      <c r="AD105" s="94"/>
      <c r="AE105" s="94"/>
      <c r="AF105" s="91"/>
    </row>
    <row r="106" customFormat="false" ht="15" hidden="false" customHeight="true" outlineLevel="0" collapsed="false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52"/>
      <c r="T106" s="52"/>
      <c r="U106" s="101"/>
      <c r="V106" s="52"/>
      <c r="W106" s="101"/>
      <c r="X106" s="101"/>
      <c r="Y106" s="101"/>
      <c r="Z106" s="101"/>
      <c r="AA106" s="101"/>
      <c r="AB106" s="101"/>
      <c r="AC106" s="101"/>
      <c r="AD106" s="94"/>
      <c r="AE106" s="94"/>
      <c r="AF106" s="91"/>
    </row>
    <row r="107" customFormat="false" ht="15" hidden="false" customHeight="true" outlineLevel="0" collapsed="false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52"/>
      <c r="T107" s="52"/>
      <c r="U107" s="101"/>
      <c r="V107" s="52"/>
      <c r="W107" s="101"/>
      <c r="X107" s="101"/>
      <c r="Y107" s="101"/>
      <c r="Z107" s="101"/>
      <c r="AA107" s="101"/>
      <c r="AB107" s="101"/>
      <c r="AC107" s="101"/>
      <c r="AD107" s="94"/>
      <c r="AE107" s="94"/>
      <c r="AF107" s="91"/>
    </row>
    <row r="108" customFormat="false" ht="15" hidden="false" customHeight="true" outlineLevel="0" collapsed="false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52"/>
      <c r="T108" s="52"/>
      <c r="U108" s="101"/>
      <c r="V108" s="52"/>
      <c r="W108" s="101"/>
      <c r="X108" s="101"/>
      <c r="Y108" s="101"/>
      <c r="Z108" s="101"/>
      <c r="AA108" s="101"/>
      <c r="AB108" s="101"/>
      <c r="AC108" s="101"/>
      <c r="AD108" s="94"/>
      <c r="AE108" s="94"/>
      <c r="AF108" s="91"/>
    </row>
    <row r="109" customFormat="false" ht="15" hidden="false" customHeight="true" outlineLevel="0" collapsed="false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52"/>
      <c r="T109" s="52"/>
      <c r="U109" s="101"/>
      <c r="V109" s="52"/>
      <c r="W109" s="101"/>
      <c r="X109" s="101"/>
      <c r="Y109" s="101"/>
      <c r="Z109" s="101"/>
      <c r="AA109" s="101"/>
      <c r="AB109" s="101"/>
      <c r="AC109" s="101"/>
      <c r="AD109" s="94"/>
      <c r="AE109" s="94"/>
      <c r="AF109" s="91"/>
    </row>
    <row r="110" customFormat="false" ht="15" hidden="false" customHeight="true" outlineLevel="0" collapsed="false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52"/>
      <c r="T110" s="52"/>
      <c r="U110" s="101"/>
      <c r="V110" s="52"/>
      <c r="W110" s="101"/>
      <c r="X110" s="101"/>
      <c r="Y110" s="101"/>
      <c r="Z110" s="101"/>
      <c r="AA110" s="101"/>
      <c r="AB110" s="101"/>
      <c r="AC110" s="101"/>
      <c r="AD110" s="94"/>
      <c r="AE110" s="94"/>
      <c r="AF110" s="91"/>
    </row>
    <row r="111" customFormat="false" ht="15" hidden="false" customHeight="true" outlineLevel="0" collapsed="false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52"/>
      <c r="T111" s="52"/>
      <c r="U111" s="101"/>
      <c r="V111" s="52"/>
      <c r="W111" s="101"/>
      <c r="X111" s="101"/>
      <c r="Y111" s="101"/>
      <c r="Z111" s="101"/>
      <c r="AA111" s="101"/>
      <c r="AB111" s="101"/>
      <c r="AC111" s="101"/>
      <c r="AD111" s="94"/>
      <c r="AE111" s="94"/>
      <c r="AF111" s="91"/>
    </row>
    <row r="112" customFormat="false" ht="15" hidden="false" customHeight="true" outlineLevel="0" collapsed="false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52"/>
      <c r="T112" s="52"/>
      <c r="U112" s="101"/>
      <c r="V112" s="52"/>
      <c r="W112" s="101"/>
      <c r="X112" s="101"/>
      <c r="Y112" s="101"/>
      <c r="Z112" s="101"/>
      <c r="AA112" s="101"/>
      <c r="AB112" s="101"/>
      <c r="AC112" s="101"/>
      <c r="AD112" s="94"/>
      <c r="AE112" s="94"/>
      <c r="AF112" s="91"/>
    </row>
    <row r="113" customFormat="false" ht="15" hidden="false" customHeight="true" outlineLevel="0" collapsed="false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52"/>
      <c r="T113" s="52"/>
      <c r="U113" s="101"/>
      <c r="V113" s="52"/>
      <c r="W113" s="101"/>
      <c r="X113" s="101"/>
      <c r="Y113" s="101"/>
      <c r="Z113" s="101"/>
      <c r="AA113" s="101"/>
      <c r="AB113" s="101"/>
      <c r="AC113" s="101"/>
      <c r="AD113" s="94"/>
      <c r="AE113" s="94"/>
      <c r="AF113" s="91"/>
    </row>
    <row r="114" customFormat="false" ht="15" hidden="false" customHeight="true" outlineLevel="0" collapsed="false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52"/>
      <c r="T114" s="52"/>
      <c r="U114" s="101"/>
      <c r="V114" s="52"/>
      <c r="W114" s="101"/>
      <c r="X114" s="101"/>
      <c r="Y114" s="101"/>
      <c r="Z114" s="101"/>
      <c r="AA114" s="101"/>
      <c r="AB114" s="101"/>
      <c r="AC114" s="101"/>
      <c r="AD114" s="94"/>
      <c r="AE114" s="94"/>
      <c r="AF114" s="91"/>
    </row>
    <row r="115" customFormat="false" ht="15" hidden="false" customHeight="true" outlineLevel="0" collapsed="false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52"/>
      <c r="T115" s="52"/>
      <c r="U115" s="101"/>
      <c r="V115" s="52"/>
      <c r="W115" s="101"/>
      <c r="X115" s="101"/>
      <c r="Y115" s="101"/>
      <c r="Z115" s="101"/>
      <c r="AA115" s="101"/>
      <c r="AB115" s="101"/>
      <c r="AC115" s="101"/>
      <c r="AD115" s="94"/>
      <c r="AE115" s="94"/>
      <c r="AF115" s="91"/>
    </row>
    <row r="116" customFormat="false" ht="15" hidden="false" customHeight="true" outlineLevel="0" collapsed="false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52"/>
      <c r="T116" s="52"/>
      <c r="U116" s="101"/>
      <c r="V116" s="52"/>
      <c r="W116" s="101"/>
      <c r="X116" s="101"/>
      <c r="Y116" s="101"/>
      <c r="Z116" s="101"/>
      <c r="AA116" s="101"/>
      <c r="AB116" s="101"/>
      <c r="AC116" s="101"/>
      <c r="AD116" s="94"/>
      <c r="AE116" s="94"/>
      <c r="AF116" s="91"/>
    </row>
    <row r="117" customFormat="false" ht="15" hidden="false" customHeight="true" outlineLevel="0" collapsed="false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52"/>
      <c r="T117" s="52"/>
      <c r="U117" s="101"/>
      <c r="V117" s="52"/>
      <c r="W117" s="101"/>
      <c r="X117" s="101"/>
      <c r="Y117" s="101"/>
      <c r="Z117" s="101"/>
      <c r="AA117" s="101"/>
      <c r="AB117" s="101"/>
      <c r="AC117" s="101"/>
      <c r="AD117" s="94"/>
      <c r="AE117" s="94"/>
      <c r="AF117" s="91"/>
    </row>
    <row r="118" customFormat="false" ht="15" hidden="false" customHeight="true" outlineLevel="0" collapsed="false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52"/>
      <c r="T118" s="52"/>
      <c r="U118" s="101"/>
      <c r="V118" s="52"/>
      <c r="W118" s="101"/>
      <c r="X118" s="101"/>
      <c r="Y118" s="101"/>
      <c r="Z118" s="101"/>
      <c r="AA118" s="101"/>
      <c r="AB118" s="101"/>
      <c r="AC118" s="101"/>
      <c r="AD118" s="94"/>
      <c r="AE118" s="94"/>
      <c r="AF118" s="91"/>
    </row>
    <row r="119" customFormat="false" ht="15" hidden="false" customHeight="true" outlineLevel="0" collapsed="false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52"/>
      <c r="T119" s="52"/>
      <c r="U119" s="101"/>
      <c r="V119" s="52"/>
      <c r="W119" s="101"/>
      <c r="X119" s="101"/>
      <c r="Y119" s="101"/>
      <c r="Z119" s="101"/>
      <c r="AA119" s="101"/>
      <c r="AB119" s="101"/>
      <c r="AC119" s="101"/>
      <c r="AD119" s="94"/>
      <c r="AE119" s="94"/>
      <c r="AF119" s="91"/>
    </row>
    <row r="120" customFormat="false" ht="15" hidden="false" customHeight="true" outlineLevel="0" collapsed="false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52"/>
      <c r="T120" s="52"/>
      <c r="U120" s="101"/>
      <c r="V120" s="52"/>
      <c r="W120" s="101"/>
      <c r="X120" s="101"/>
      <c r="Y120" s="101"/>
      <c r="Z120" s="101"/>
      <c r="AA120" s="101"/>
      <c r="AB120" s="101"/>
      <c r="AC120" s="101"/>
      <c r="AD120" s="94"/>
      <c r="AE120" s="94"/>
      <c r="AF120" s="91"/>
    </row>
    <row r="121" customFormat="false" ht="15" hidden="false" customHeight="true" outlineLevel="0" collapsed="false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52"/>
      <c r="T121" s="52"/>
      <c r="U121" s="101"/>
      <c r="V121" s="52"/>
      <c r="W121" s="101"/>
      <c r="X121" s="101"/>
      <c r="Y121" s="101"/>
      <c r="Z121" s="101"/>
      <c r="AA121" s="101"/>
      <c r="AB121" s="101"/>
      <c r="AC121" s="101"/>
      <c r="AD121" s="94"/>
      <c r="AE121" s="94"/>
      <c r="AF121" s="91"/>
    </row>
    <row r="122" customFormat="false" ht="15" hidden="false" customHeight="true" outlineLevel="0" collapsed="false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52"/>
      <c r="T122" s="52"/>
      <c r="U122" s="101"/>
      <c r="V122" s="52"/>
      <c r="W122" s="101"/>
      <c r="X122" s="101"/>
      <c r="Y122" s="101"/>
      <c r="Z122" s="101"/>
      <c r="AA122" s="101"/>
      <c r="AB122" s="101"/>
      <c r="AC122" s="101"/>
      <c r="AD122" s="94"/>
      <c r="AE122" s="94"/>
      <c r="AF122" s="91"/>
    </row>
    <row r="123" customFormat="false" ht="15" hidden="false" customHeight="true" outlineLevel="0" collapsed="false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52"/>
      <c r="T123" s="52"/>
      <c r="U123" s="101"/>
      <c r="V123" s="52"/>
      <c r="W123" s="101"/>
      <c r="X123" s="101"/>
      <c r="Y123" s="101"/>
      <c r="Z123" s="101"/>
      <c r="AA123" s="101"/>
      <c r="AB123" s="101"/>
      <c r="AC123" s="101"/>
      <c r="AD123" s="94"/>
      <c r="AE123" s="94"/>
      <c r="AF123" s="91"/>
    </row>
    <row r="124" customFormat="false" ht="15" hidden="false" customHeight="true" outlineLevel="0" collapsed="false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52"/>
      <c r="T124" s="52"/>
      <c r="U124" s="101"/>
      <c r="V124" s="52"/>
      <c r="W124" s="101"/>
      <c r="X124" s="101"/>
      <c r="Y124" s="101"/>
      <c r="Z124" s="101"/>
      <c r="AA124" s="101"/>
      <c r="AB124" s="101"/>
      <c r="AC124" s="101"/>
      <c r="AD124" s="94"/>
      <c r="AE124" s="94"/>
      <c r="AF124" s="91"/>
    </row>
    <row r="125" customFormat="false" ht="15" hidden="false" customHeight="true" outlineLevel="0" collapsed="false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52"/>
      <c r="T125" s="52"/>
      <c r="U125" s="101"/>
      <c r="V125" s="52"/>
      <c r="W125" s="101"/>
      <c r="X125" s="101"/>
      <c r="Y125" s="101"/>
      <c r="Z125" s="101"/>
      <c r="AA125" s="101"/>
      <c r="AB125" s="101"/>
      <c r="AC125" s="101"/>
      <c r="AD125" s="94"/>
      <c r="AE125" s="94"/>
      <c r="AF125" s="91"/>
    </row>
    <row r="126" customFormat="false" ht="15" hidden="false" customHeight="true" outlineLevel="0" collapsed="false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52"/>
      <c r="T126" s="52"/>
      <c r="U126" s="101"/>
      <c r="V126" s="52"/>
      <c r="W126" s="101"/>
      <c r="X126" s="101"/>
      <c r="Y126" s="101"/>
      <c r="Z126" s="101"/>
      <c r="AA126" s="101"/>
      <c r="AB126" s="101"/>
      <c r="AC126" s="101"/>
      <c r="AD126" s="94"/>
      <c r="AE126" s="94"/>
      <c r="AF126" s="91"/>
    </row>
    <row r="127" customFormat="false" ht="15" hidden="false" customHeight="true" outlineLevel="0" collapsed="false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52"/>
      <c r="T127" s="52"/>
      <c r="U127" s="101"/>
      <c r="V127" s="52"/>
      <c r="W127" s="101"/>
      <c r="X127" s="101"/>
      <c r="Y127" s="101"/>
      <c r="Z127" s="101"/>
      <c r="AA127" s="101"/>
      <c r="AB127" s="101"/>
      <c r="AC127" s="101"/>
      <c r="AD127" s="94"/>
      <c r="AE127" s="94"/>
      <c r="AF127" s="91"/>
    </row>
    <row r="128" customFormat="false" ht="15" hidden="false" customHeight="true" outlineLevel="0" collapsed="false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52"/>
      <c r="T128" s="52"/>
      <c r="U128" s="101"/>
      <c r="V128" s="52"/>
      <c r="W128" s="101"/>
      <c r="X128" s="101"/>
      <c r="Y128" s="101"/>
      <c r="Z128" s="101"/>
      <c r="AA128" s="101"/>
      <c r="AB128" s="101"/>
      <c r="AC128" s="101"/>
      <c r="AD128" s="94"/>
      <c r="AE128" s="94"/>
      <c r="AF128" s="91"/>
    </row>
    <row r="129" customFormat="false" ht="15" hidden="false" customHeight="true" outlineLevel="0" collapsed="false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52"/>
      <c r="T129" s="52"/>
      <c r="U129" s="101"/>
      <c r="V129" s="52"/>
      <c r="W129" s="101"/>
      <c r="X129" s="101"/>
      <c r="Y129" s="101"/>
      <c r="Z129" s="101"/>
      <c r="AA129" s="101"/>
      <c r="AB129" s="101"/>
      <c r="AC129" s="101"/>
      <c r="AD129" s="94"/>
      <c r="AE129" s="94"/>
      <c r="AF129" s="91"/>
    </row>
    <row r="130" customFormat="false" ht="15" hidden="false" customHeight="true" outlineLevel="0" collapsed="false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52"/>
      <c r="T130" s="52"/>
      <c r="U130" s="101"/>
      <c r="V130" s="52"/>
      <c r="W130" s="101"/>
      <c r="X130" s="101"/>
      <c r="Y130" s="101"/>
      <c r="Z130" s="101"/>
      <c r="AA130" s="101"/>
      <c r="AB130" s="101"/>
      <c r="AC130" s="101"/>
      <c r="AD130" s="94"/>
      <c r="AE130" s="94"/>
      <c r="AF130" s="91"/>
    </row>
    <row r="131" customFormat="false" ht="15" hidden="false" customHeight="true" outlineLevel="0" collapsed="false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52"/>
      <c r="T131" s="52"/>
      <c r="U131" s="101"/>
      <c r="V131" s="52"/>
      <c r="W131" s="101"/>
      <c r="X131" s="101"/>
      <c r="Y131" s="101"/>
      <c r="Z131" s="101"/>
      <c r="AA131" s="101"/>
      <c r="AB131" s="101"/>
      <c r="AC131" s="101"/>
      <c r="AD131" s="94"/>
      <c r="AE131" s="94"/>
      <c r="AF131" s="91"/>
    </row>
    <row r="132" customFormat="false" ht="15" hidden="false" customHeight="true" outlineLevel="0" collapsed="false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52"/>
      <c r="T132" s="52"/>
      <c r="U132" s="101"/>
      <c r="V132" s="52"/>
      <c r="W132" s="101"/>
      <c r="X132" s="101"/>
      <c r="Y132" s="101"/>
      <c r="Z132" s="101"/>
      <c r="AA132" s="101"/>
      <c r="AB132" s="101"/>
      <c r="AC132" s="101"/>
      <c r="AD132" s="94"/>
      <c r="AE132" s="94"/>
      <c r="AF132" s="91"/>
    </row>
    <row r="133" customFormat="false" ht="15" hidden="false" customHeight="true" outlineLevel="0" collapsed="false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52"/>
      <c r="T133" s="52"/>
      <c r="U133" s="101"/>
      <c r="V133" s="52"/>
      <c r="W133" s="101"/>
      <c r="X133" s="101"/>
      <c r="Y133" s="101"/>
      <c r="Z133" s="101"/>
      <c r="AA133" s="101"/>
      <c r="AB133" s="101"/>
      <c r="AC133" s="101"/>
      <c r="AD133" s="94"/>
      <c r="AE133" s="94"/>
      <c r="AF133" s="91"/>
    </row>
    <row r="134" customFormat="false" ht="15" hidden="false" customHeight="true" outlineLevel="0" collapsed="false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52"/>
      <c r="T134" s="52"/>
      <c r="U134" s="101"/>
      <c r="V134" s="52"/>
      <c r="W134" s="101"/>
      <c r="X134" s="101"/>
      <c r="Y134" s="101"/>
      <c r="Z134" s="101"/>
      <c r="AA134" s="101"/>
      <c r="AB134" s="101"/>
      <c r="AC134" s="101"/>
      <c r="AD134" s="94"/>
      <c r="AE134" s="94"/>
      <c r="AF134" s="91"/>
    </row>
    <row r="135" customFormat="false" ht="15" hidden="false" customHeight="true" outlineLevel="0" collapsed="false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52"/>
      <c r="T135" s="52"/>
      <c r="U135" s="101"/>
      <c r="V135" s="52"/>
      <c r="W135" s="101"/>
      <c r="X135" s="101"/>
      <c r="Y135" s="101"/>
      <c r="Z135" s="101"/>
      <c r="AA135" s="101"/>
      <c r="AB135" s="101"/>
      <c r="AC135" s="101"/>
      <c r="AD135" s="94"/>
      <c r="AE135" s="94"/>
      <c r="AF135" s="91"/>
    </row>
    <row r="136" customFormat="false" ht="15" hidden="false" customHeight="true" outlineLevel="0" collapsed="false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52"/>
      <c r="T136" s="52"/>
      <c r="U136" s="101"/>
      <c r="V136" s="52"/>
      <c r="W136" s="101"/>
      <c r="X136" s="101"/>
      <c r="Y136" s="101"/>
      <c r="Z136" s="101"/>
      <c r="AA136" s="101"/>
      <c r="AB136" s="101"/>
      <c r="AC136" s="101"/>
      <c r="AD136" s="94"/>
      <c r="AE136" s="94"/>
      <c r="AF136" s="91"/>
    </row>
    <row r="137" customFormat="false" ht="15" hidden="false" customHeight="true" outlineLevel="0" collapsed="false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52"/>
      <c r="T137" s="52"/>
      <c r="U137" s="101"/>
      <c r="V137" s="52"/>
      <c r="W137" s="101"/>
      <c r="X137" s="101"/>
      <c r="Y137" s="101"/>
      <c r="Z137" s="101"/>
      <c r="AA137" s="101"/>
      <c r="AB137" s="101"/>
      <c r="AC137" s="101"/>
      <c r="AD137" s="94"/>
      <c r="AE137" s="94"/>
      <c r="AF137" s="91"/>
    </row>
    <row r="138" customFormat="false" ht="15" hidden="false" customHeight="true" outlineLevel="0" collapsed="false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52"/>
      <c r="T138" s="52"/>
      <c r="U138" s="101"/>
      <c r="V138" s="52"/>
      <c r="W138" s="101"/>
      <c r="X138" s="101"/>
      <c r="Y138" s="101"/>
      <c r="Z138" s="101"/>
      <c r="AA138" s="101"/>
      <c r="AB138" s="101"/>
      <c r="AC138" s="101"/>
      <c r="AD138" s="94"/>
      <c r="AE138" s="94"/>
      <c r="AF138" s="91"/>
    </row>
    <row r="139" customFormat="false" ht="15" hidden="false" customHeight="true" outlineLevel="0" collapsed="false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52"/>
      <c r="T139" s="52"/>
      <c r="U139" s="101"/>
      <c r="V139" s="52"/>
      <c r="W139" s="101"/>
      <c r="X139" s="101"/>
      <c r="Y139" s="101"/>
      <c r="Z139" s="101"/>
      <c r="AA139" s="101"/>
      <c r="AB139" s="101"/>
      <c r="AC139" s="101"/>
      <c r="AD139" s="94"/>
      <c r="AE139" s="94"/>
      <c r="AF139" s="91"/>
    </row>
    <row r="140" customFormat="false" ht="15" hidden="false" customHeight="true" outlineLevel="0" collapsed="false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52"/>
      <c r="T140" s="52"/>
      <c r="U140" s="101"/>
      <c r="V140" s="52"/>
      <c r="W140" s="101"/>
      <c r="X140" s="101"/>
      <c r="Y140" s="101"/>
      <c r="Z140" s="101"/>
      <c r="AA140" s="101"/>
      <c r="AB140" s="101"/>
      <c r="AC140" s="101"/>
      <c r="AD140" s="94"/>
      <c r="AE140" s="94"/>
      <c r="AF140" s="91"/>
    </row>
    <row r="141" customFormat="false" ht="15" hidden="false" customHeight="true" outlineLevel="0" collapsed="false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52"/>
      <c r="T141" s="52"/>
      <c r="U141" s="101"/>
      <c r="V141" s="52"/>
      <c r="W141" s="101"/>
      <c r="X141" s="101"/>
      <c r="Y141" s="101"/>
      <c r="Z141" s="101"/>
      <c r="AA141" s="101"/>
      <c r="AB141" s="101"/>
      <c r="AC141" s="101"/>
      <c r="AD141" s="94"/>
      <c r="AE141" s="94"/>
      <c r="AF141" s="91"/>
    </row>
    <row r="142" customFormat="false" ht="15" hidden="false" customHeight="true" outlineLevel="0" collapsed="false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52"/>
      <c r="T142" s="52"/>
      <c r="U142" s="101"/>
      <c r="V142" s="52"/>
      <c r="W142" s="101"/>
      <c r="X142" s="101"/>
      <c r="Y142" s="101"/>
      <c r="Z142" s="101"/>
      <c r="AA142" s="101"/>
      <c r="AB142" s="101"/>
      <c r="AC142" s="101"/>
      <c r="AD142" s="94"/>
      <c r="AE142" s="94"/>
      <c r="AF142" s="91"/>
    </row>
    <row r="143" customFormat="false" ht="15" hidden="false" customHeight="true" outlineLevel="0" collapsed="false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52"/>
      <c r="T143" s="52"/>
      <c r="U143" s="101"/>
      <c r="V143" s="52"/>
      <c r="W143" s="101"/>
      <c r="X143" s="101"/>
      <c r="Y143" s="101"/>
      <c r="Z143" s="101"/>
      <c r="AA143" s="101"/>
      <c r="AB143" s="101"/>
      <c r="AC143" s="101"/>
      <c r="AD143" s="94"/>
      <c r="AE143" s="94"/>
      <c r="AF143" s="91"/>
    </row>
    <row r="144" customFormat="false" ht="15" hidden="false" customHeight="true" outlineLevel="0" collapsed="false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52"/>
      <c r="T144" s="52"/>
      <c r="U144" s="101"/>
      <c r="V144" s="52"/>
      <c r="W144" s="101"/>
      <c r="X144" s="101"/>
      <c r="Y144" s="101"/>
      <c r="Z144" s="101"/>
      <c r="AA144" s="101"/>
      <c r="AB144" s="101"/>
      <c r="AC144" s="101"/>
      <c r="AD144" s="94"/>
      <c r="AE144" s="94"/>
      <c r="AF144" s="91"/>
    </row>
    <row r="145" customFormat="false" ht="15" hidden="false" customHeight="true" outlineLevel="0" collapsed="false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52"/>
      <c r="T145" s="52"/>
      <c r="U145" s="101"/>
      <c r="V145" s="52"/>
      <c r="W145" s="101"/>
      <c r="X145" s="101"/>
      <c r="Y145" s="101"/>
      <c r="Z145" s="101"/>
      <c r="AA145" s="101"/>
      <c r="AB145" s="101"/>
      <c r="AC145" s="101"/>
      <c r="AD145" s="94"/>
      <c r="AE145" s="94"/>
      <c r="AF145" s="91"/>
    </row>
    <row r="146" customFormat="false" ht="15" hidden="false" customHeight="true" outlineLevel="0" collapsed="false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52"/>
      <c r="T146" s="52"/>
      <c r="U146" s="101"/>
      <c r="V146" s="52"/>
      <c r="W146" s="101"/>
      <c r="X146" s="101"/>
      <c r="Y146" s="101"/>
      <c r="Z146" s="101"/>
      <c r="AA146" s="101"/>
      <c r="AB146" s="101"/>
      <c r="AC146" s="101"/>
      <c r="AD146" s="94"/>
      <c r="AE146" s="94"/>
      <c r="AF146" s="91"/>
    </row>
    <row r="147" customFormat="false" ht="15" hidden="false" customHeight="true" outlineLevel="0" collapsed="false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52"/>
      <c r="T147" s="52"/>
      <c r="U147" s="101"/>
      <c r="V147" s="52"/>
      <c r="W147" s="101"/>
      <c r="X147" s="101"/>
      <c r="Y147" s="101"/>
      <c r="Z147" s="101"/>
      <c r="AA147" s="101"/>
      <c r="AB147" s="101"/>
      <c r="AC147" s="101"/>
      <c r="AD147" s="94"/>
      <c r="AE147" s="94"/>
      <c r="AF147" s="91"/>
    </row>
    <row r="148" customFormat="false" ht="15" hidden="false" customHeight="true" outlineLevel="0" collapsed="false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52"/>
      <c r="T148" s="52"/>
      <c r="U148" s="101"/>
      <c r="V148" s="52"/>
      <c r="W148" s="101"/>
      <c r="X148" s="101"/>
      <c r="Y148" s="101"/>
      <c r="Z148" s="101"/>
      <c r="AA148" s="101"/>
      <c r="AB148" s="101"/>
      <c r="AC148" s="101"/>
      <c r="AD148" s="94"/>
      <c r="AE148" s="94"/>
      <c r="AF148" s="91"/>
    </row>
    <row r="149" customFormat="false" ht="15" hidden="false" customHeight="true" outlineLevel="0" collapsed="false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52"/>
      <c r="T149" s="52"/>
      <c r="U149" s="101"/>
      <c r="V149" s="52"/>
      <c r="W149" s="101"/>
      <c r="X149" s="101"/>
      <c r="Y149" s="101"/>
      <c r="Z149" s="101"/>
      <c r="AA149" s="101"/>
      <c r="AB149" s="101"/>
      <c r="AC149" s="101"/>
      <c r="AD149" s="94"/>
      <c r="AE149" s="94"/>
      <c r="AF149" s="91"/>
    </row>
    <row r="150" customFormat="false" ht="15" hidden="false" customHeight="true" outlineLevel="0" collapsed="false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52"/>
      <c r="T150" s="52"/>
      <c r="U150" s="101"/>
      <c r="V150" s="52"/>
      <c r="W150" s="101"/>
      <c r="X150" s="101"/>
      <c r="Y150" s="101"/>
      <c r="Z150" s="101"/>
      <c r="AA150" s="101"/>
      <c r="AB150" s="101"/>
      <c r="AC150" s="101"/>
      <c r="AD150" s="94"/>
      <c r="AE150" s="94"/>
      <c r="AF150" s="91"/>
    </row>
    <row r="151" customFormat="false" ht="15" hidden="false" customHeight="true" outlineLevel="0" collapsed="false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52"/>
      <c r="T151" s="52"/>
      <c r="U151" s="101"/>
      <c r="V151" s="52"/>
      <c r="W151" s="101"/>
      <c r="X151" s="101"/>
      <c r="Y151" s="101"/>
      <c r="Z151" s="101"/>
      <c r="AA151" s="101"/>
      <c r="AB151" s="101"/>
      <c r="AC151" s="101"/>
      <c r="AD151" s="94"/>
      <c r="AE151" s="94"/>
      <c r="AF151" s="91"/>
    </row>
    <row r="152" customFormat="false" ht="15" hidden="false" customHeight="true" outlineLevel="0" collapsed="false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52"/>
      <c r="T152" s="52"/>
      <c r="U152" s="101"/>
      <c r="V152" s="52"/>
      <c r="W152" s="101"/>
      <c r="X152" s="101"/>
      <c r="Y152" s="101"/>
      <c r="Z152" s="101"/>
      <c r="AA152" s="101"/>
      <c r="AB152" s="101"/>
      <c r="AC152" s="101"/>
      <c r="AD152" s="94"/>
      <c r="AE152" s="94"/>
      <c r="AF152" s="91"/>
    </row>
    <row r="153" customFormat="false" ht="15" hidden="false" customHeight="true" outlineLevel="0" collapsed="false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52"/>
      <c r="T153" s="52"/>
      <c r="U153" s="101"/>
      <c r="V153" s="52"/>
      <c r="W153" s="101"/>
      <c r="X153" s="101"/>
      <c r="Y153" s="101"/>
      <c r="Z153" s="101"/>
      <c r="AA153" s="101"/>
      <c r="AB153" s="101"/>
      <c r="AC153" s="101"/>
      <c r="AD153" s="94"/>
      <c r="AE153" s="94"/>
      <c r="AF153" s="91"/>
    </row>
    <row r="154" customFormat="false" ht="15" hidden="false" customHeight="true" outlineLevel="0" collapsed="false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52"/>
      <c r="T154" s="52"/>
      <c r="U154" s="101"/>
      <c r="V154" s="52"/>
      <c r="W154" s="101"/>
      <c r="X154" s="101"/>
      <c r="Y154" s="101"/>
      <c r="Z154" s="101"/>
      <c r="AA154" s="101"/>
      <c r="AB154" s="101"/>
      <c r="AC154" s="101"/>
      <c r="AD154" s="94"/>
      <c r="AE154" s="94"/>
      <c r="AF154" s="91"/>
    </row>
    <row r="155" customFormat="false" ht="15" hidden="false" customHeight="true" outlineLevel="0" collapsed="false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52"/>
      <c r="T155" s="52"/>
      <c r="U155" s="101"/>
      <c r="V155" s="52"/>
      <c r="W155" s="101"/>
      <c r="X155" s="101"/>
      <c r="Y155" s="101"/>
      <c r="Z155" s="101"/>
      <c r="AA155" s="101"/>
      <c r="AB155" s="101"/>
      <c r="AC155" s="101"/>
      <c r="AD155" s="94"/>
      <c r="AE155" s="94"/>
      <c r="AF155" s="91"/>
    </row>
    <row r="156" customFormat="false" ht="15" hidden="false" customHeight="true" outlineLevel="0" collapsed="false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52"/>
      <c r="T156" s="52"/>
      <c r="U156" s="101"/>
      <c r="V156" s="52"/>
      <c r="W156" s="101"/>
      <c r="X156" s="101"/>
      <c r="Y156" s="101"/>
      <c r="Z156" s="101"/>
      <c r="AA156" s="101"/>
      <c r="AB156" s="101"/>
      <c r="AC156" s="101"/>
      <c r="AD156" s="94"/>
      <c r="AE156" s="94"/>
      <c r="AF156" s="91"/>
    </row>
    <row r="157" customFormat="false" ht="15" hidden="false" customHeight="true" outlineLevel="0" collapsed="false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52"/>
      <c r="T157" s="52"/>
      <c r="U157" s="101"/>
      <c r="V157" s="52"/>
      <c r="W157" s="101"/>
      <c r="X157" s="101"/>
      <c r="Y157" s="101"/>
      <c r="Z157" s="101"/>
      <c r="AA157" s="101"/>
      <c r="AB157" s="101"/>
      <c r="AC157" s="101"/>
      <c r="AD157" s="94"/>
      <c r="AE157" s="94"/>
      <c r="AF157" s="91"/>
    </row>
    <row r="158" customFormat="false" ht="15" hidden="false" customHeight="true" outlineLevel="0" collapsed="false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52"/>
      <c r="T158" s="52"/>
      <c r="U158" s="101"/>
      <c r="V158" s="52"/>
      <c r="W158" s="101"/>
      <c r="X158" s="101"/>
      <c r="Y158" s="101"/>
      <c r="Z158" s="101"/>
      <c r="AA158" s="101"/>
      <c r="AB158" s="101"/>
      <c r="AC158" s="101"/>
      <c r="AD158" s="94"/>
      <c r="AE158" s="94"/>
      <c r="AF158" s="91"/>
    </row>
    <row r="159" customFormat="false" ht="15" hidden="false" customHeight="true" outlineLevel="0" collapsed="false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52"/>
      <c r="T159" s="52"/>
      <c r="U159" s="101"/>
      <c r="V159" s="52"/>
      <c r="W159" s="101"/>
      <c r="X159" s="101"/>
      <c r="Y159" s="101"/>
      <c r="Z159" s="101"/>
      <c r="AA159" s="101"/>
      <c r="AB159" s="101"/>
      <c r="AC159" s="101"/>
      <c r="AD159" s="94"/>
      <c r="AE159" s="94"/>
      <c r="AF159" s="91"/>
    </row>
    <row r="160" customFormat="false" ht="15" hidden="false" customHeight="true" outlineLevel="0" collapsed="false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52"/>
      <c r="T160" s="52"/>
      <c r="U160" s="101"/>
      <c r="V160" s="52"/>
      <c r="W160" s="101"/>
      <c r="X160" s="101"/>
      <c r="Y160" s="101"/>
      <c r="Z160" s="101"/>
      <c r="AA160" s="101"/>
      <c r="AB160" s="101"/>
      <c r="AC160" s="101"/>
      <c r="AD160" s="94"/>
      <c r="AE160" s="94"/>
      <c r="AF160" s="91"/>
    </row>
    <row r="161" customFormat="false" ht="15" hidden="false" customHeight="true" outlineLevel="0" collapsed="false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52"/>
      <c r="T161" s="52"/>
      <c r="U161" s="101"/>
      <c r="V161" s="52"/>
      <c r="W161" s="101"/>
      <c r="X161" s="101"/>
      <c r="Y161" s="101"/>
      <c r="Z161" s="101"/>
      <c r="AA161" s="101"/>
      <c r="AB161" s="101"/>
      <c r="AC161" s="101"/>
      <c r="AD161" s="94"/>
      <c r="AE161" s="94"/>
      <c r="AF161" s="91"/>
    </row>
    <row r="162" customFormat="false" ht="15" hidden="false" customHeight="true" outlineLevel="0" collapsed="false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52"/>
      <c r="T162" s="52"/>
      <c r="U162" s="101"/>
      <c r="V162" s="52"/>
      <c r="W162" s="101"/>
      <c r="X162" s="101"/>
      <c r="Y162" s="101"/>
      <c r="Z162" s="101"/>
      <c r="AA162" s="101"/>
      <c r="AB162" s="101"/>
      <c r="AC162" s="101"/>
      <c r="AD162" s="94"/>
      <c r="AE162" s="94"/>
      <c r="AF162" s="91"/>
    </row>
    <row r="163" customFormat="false" ht="15" hidden="false" customHeight="true" outlineLevel="0" collapsed="false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52"/>
      <c r="T163" s="52"/>
      <c r="U163" s="101"/>
      <c r="V163" s="52"/>
      <c r="W163" s="101"/>
      <c r="X163" s="101"/>
      <c r="Y163" s="101"/>
      <c r="Z163" s="101"/>
      <c r="AA163" s="101"/>
      <c r="AB163" s="101"/>
      <c r="AC163" s="101"/>
      <c r="AD163" s="94"/>
      <c r="AE163" s="94"/>
      <c r="AF163" s="91"/>
    </row>
    <row r="164" customFormat="false" ht="15" hidden="false" customHeight="true" outlineLevel="0" collapsed="false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52"/>
      <c r="T164" s="52"/>
      <c r="U164" s="101"/>
      <c r="V164" s="52"/>
      <c r="W164" s="101"/>
      <c r="X164" s="101"/>
      <c r="Y164" s="101"/>
      <c r="Z164" s="101"/>
      <c r="AA164" s="101"/>
      <c r="AB164" s="101"/>
      <c r="AC164" s="101"/>
      <c r="AD164" s="94"/>
      <c r="AE164" s="94"/>
      <c r="AF164" s="91"/>
    </row>
    <row r="165" customFormat="false" ht="15" hidden="false" customHeight="true" outlineLevel="0" collapsed="false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52"/>
      <c r="T165" s="52"/>
      <c r="U165" s="101"/>
      <c r="V165" s="52"/>
      <c r="W165" s="101"/>
      <c r="X165" s="101"/>
      <c r="Y165" s="101"/>
      <c r="Z165" s="101"/>
      <c r="AA165" s="101"/>
      <c r="AB165" s="101"/>
      <c r="AC165" s="101"/>
      <c r="AD165" s="94"/>
      <c r="AE165" s="94"/>
      <c r="AF165" s="91"/>
    </row>
    <row r="166" customFormat="false" ht="15" hidden="false" customHeight="true" outlineLevel="0" collapsed="false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52"/>
      <c r="T166" s="52"/>
      <c r="U166" s="101"/>
      <c r="V166" s="52"/>
      <c r="W166" s="101"/>
      <c r="X166" s="101"/>
      <c r="Y166" s="101"/>
      <c r="Z166" s="101"/>
      <c r="AA166" s="101"/>
      <c r="AB166" s="101"/>
      <c r="AC166" s="101"/>
      <c r="AD166" s="94"/>
      <c r="AE166" s="94"/>
      <c r="AF166" s="91"/>
    </row>
    <row r="167" customFormat="false" ht="15" hidden="false" customHeight="true" outlineLevel="0" collapsed="false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52"/>
      <c r="T167" s="52"/>
      <c r="U167" s="101"/>
      <c r="V167" s="52"/>
      <c r="W167" s="101"/>
      <c r="X167" s="101"/>
      <c r="Y167" s="101"/>
      <c r="Z167" s="101"/>
      <c r="AA167" s="101"/>
      <c r="AB167" s="101"/>
      <c r="AC167" s="101"/>
      <c r="AD167" s="94"/>
      <c r="AE167" s="94"/>
      <c r="AF167" s="91"/>
    </row>
    <row r="168" customFormat="false" ht="15" hidden="false" customHeight="true" outlineLevel="0" collapsed="false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52"/>
      <c r="T168" s="52"/>
      <c r="U168" s="101"/>
      <c r="V168" s="52"/>
      <c r="W168" s="101"/>
      <c r="X168" s="101"/>
      <c r="Y168" s="101"/>
      <c r="Z168" s="101"/>
      <c r="AA168" s="101"/>
      <c r="AB168" s="101"/>
      <c r="AC168" s="101"/>
      <c r="AD168" s="94"/>
      <c r="AE168" s="94"/>
      <c r="AF168" s="91"/>
    </row>
    <row r="169" customFormat="false" ht="15" hidden="false" customHeight="true" outlineLevel="0" collapsed="false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52"/>
      <c r="T169" s="52"/>
      <c r="U169" s="101"/>
      <c r="V169" s="52"/>
      <c r="W169" s="101"/>
      <c r="X169" s="101"/>
      <c r="Y169" s="101"/>
      <c r="Z169" s="101"/>
      <c r="AA169" s="101"/>
      <c r="AB169" s="101"/>
      <c r="AC169" s="101"/>
      <c r="AD169" s="94"/>
      <c r="AE169" s="94"/>
      <c r="AF169" s="91"/>
    </row>
    <row r="170" customFormat="false" ht="15" hidden="false" customHeight="true" outlineLevel="0" collapsed="false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52"/>
      <c r="T170" s="52"/>
      <c r="U170" s="101"/>
      <c r="V170" s="52"/>
      <c r="W170" s="101"/>
      <c r="X170" s="101"/>
      <c r="Y170" s="101"/>
      <c r="Z170" s="101"/>
      <c r="AA170" s="101"/>
      <c r="AB170" s="101"/>
      <c r="AC170" s="101"/>
      <c r="AD170" s="94"/>
      <c r="AE170" s="94"/>
      <c r="AF170" s="91"/>
    </row>
    <row r="171" customFormat="false" ht="15" hidden="false" customHeight="true" outlineLevel="0" collapsed="false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52"/>
      <c r="T171" s="52"/>
      <c r="U171" s="101"/>
      <c r="V171" s="52"/>
      <c r="W171" s="101"/>
      <c r="X171" s="101"/>
      <c r="Y171" s="101"/>
      <c r="Z171" s="101"/>
      <c r="AA171" s="101"/>
      <c r="AB171" s="101"/>
      <c r="AC171" s="101"/>
      <c r="AD171" s="94"/>
      <c r="AE171" s="94"/>
      <c r="AF171" s="91"/>
    </row>
    <row r="172" customFormat="false" ht="15" hidden="false" customHeight="true" outlineLevel="0" collapsed="false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52"/>
      <c r="T172" s="52"/>
      <c r="U172" s="101"/>
      <c r="V172" s="52"/>
      <c r="W172" s="101"/>
      <c r="X172" s="101"/>
      <c r="Y172" s="101"/>
      <c r="Z172" s="101"/>
      <c r="AA172" s="101"/>
      <c r="AB172" s="101"/>
      <c r="AC172" s="101"/>
      <c r="AD172" s="94"/>
      <c r="AE172" s="94"/>
      <c r="AF172" s="91"/>
    </row>
    <row r="173" customFormat="false" ht="15" hidden="false" customHeight="true" outlineLevel="0" collapsed="false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52"/>
      <c r="T173" s="52"/>
      <c r="U173" s="101"/>
      <c r="V173" s="52"/>
      <c r="W173" s="101"/>
      <c r="X173" s="101"/>
      <c r="Y173" s="101"/>
      <c r="Z173" s="101"/>
      <c r="AA173" s="101"/>
      <c r="AB173" s="101"/>
      <c r="AC173" s="101"/>
      <c r="AD173" s="94"/>
      <c r="AE173" s="94"/>
      <c r="AF173" s="91"/>
    </row>
    <row r="174" customFormat="false" ht="15" hidden="false" customHeight="true" outlineLevel="0" collapsed="false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52"/>
      <c r="T174" s="52"/>
      <c r="U174" s="101"/>
      <c r="V174" s="52"/>
      <c r="W174" s="101"/>
      <c r="X174" s="101"/>
      <c r="Y174" s="101"/>
      <c r="Z174" s="101"/>
      <c r="AA174" s="101"/>
      <c r="AB174" s="101"/>
      <c r="AC174" s="101"/>
      <c r="AD174" s="94"/>
      <c r="AE174" s="94"/>
      <c r="AF174" s="91"/>
    </row>
    <row r="175" customFormat="false" ht="15" hidden="false" customHeight="true" outlineLevel="0" collapsed="false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52"/>
      <c r="T175" s="52"/>
      <c r="U175" s="101"/>
      <c r="V175" s="52"/>
      <c r="W175" s="101"/>
      <c r="X175" s="101"/>
      <c r="Y175" s="101"/>
      <c r="Z175" s="101"/>
      <c r="AA175" s="101"/>
      <c r="AB175" s="101"/>
      <c r="AC175" s="101"/>
      <c r="AD175" s="94"/>
      <c r="AE175" s="94"/>
      <c r="AF175" s="91"/>
    </row>
    <row r="176" customFormat="false" ht="15" hidden="false" customHeight="true" outlineLevel="0" collapsed="false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52"/>
      <c r="T176" s="52"/>
      <c r="U176" s="101"/>
      <c r="V176" s="52"/>
      <c r="W176" s="101"/>
      <c r="X176" s="101"/>
      <c r="Y176" s="101"/>
      <c r="Z176" s="101"/>
      <c r="AA176" s="101"/>
      <c r="AB176" s="101"/>
      <c r="AC176" s="101"/>
      <c r="AD176" s="94"/>
      <c r="AE176" s="94"/>
      <c r="AF176" s="91"/>
    </row>
    <row r="177" customFormat="false" ht="15" hidden="false" customHeight="true" outlineLevel="0" collapsed="false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52"/>
      <c r="T177" s="52"/>
      <c r="U177" s="101"/>
      <c r="V177" s="52"/>
      <c r="W177" s="101"/>
      <c r="X177" s="101"/>
      <c r="Y177" s="101"/>
      <c r="Z177" s="101"/>
      <c r="AA177" s="101"/>
      <c r="AB177" s="101"/>
      <c r="AC177" s="101"/>
      <c r="AD177" s="94"/>
      <c r="AE177" s="94"/>
      <c r="AF177" s="91"/>
    </row>
    <row r="178" customFormat="false" ht="15" hidden="false" customHeight="true" outlineLevel="0" collapsed="false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52"/>
      <c r="T178" s="52"/>
      <c r="U178" s="101"/>
      <c r="V178" s="52"/>
      <c r="W178" s="101"/>
      <c r="X178" s="101"/>
      <c r="Y178" s="101"/>
      <c r="Z178" s="101"/>
      <c r="AA178" s="101"/>
      <c r="AB178" s="101"/>
      <c r="AC178" s="101"/>
      <c r="AD178" s="94"/>
      <c r="AE178" s="94"/>
      <c r="AF178" s="91"/>
    </row>
    <row r="179" customFormat="false" ht="15" hidden="false" customHeight="true" outlineLevel="0" collapsed="false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52"/>
      <c r="T179" s="52"/>
      <c r="U179" s="101"/>
      <c r="V179" s="52"/>
      <c r="W179" s="101"/>
      <c r="X179" s="101"/>
      <c r="Y179" s="101"/>
      <c r="Z179" s="101"/>
      <c r="AA179" s="101"/>
      <c r="AB179" s="101"/>
      <c r="AC179" s="101"/>
      <c r="AD179" s="94"/>
      <c r="AE179" s="94"/>
      <c r="AF179" s="91"/>
    </row>
    <row r="180" customFormat="false" ht="15" hidden="false" customHeight="true" outlineLevel="0" collapsed="false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52"/>
      <c r="T180" s="52"/>
      <c r="U180" s="101"/>
      <c r="V180" s="52"/>
      <c r="W180" s="101"/>
      <c r="X180" s="101"/>
      <c r="Y180" s="101"/>
      <c r="Z180" s="101"/>
      <c r="AA180" s="101"/>
      <c r="AB180" s="101"/>
      <c r="AC180" s="101"/>
      <c r="AD180" s="94"/>
      <c r="AE180" s="94"/>
      <c r="AF180" s="91"/>
    </row>
    <row r="181" customFormat="false" ht="15" hidden="false" customHeight="true" outlineLevel="0" collapsed="false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52"/>
      <c r="T181" s="52"/>
      <c r="U181" s="101"/>
      <c r="V181" s="52"/>
      <c r="W181" s="101"/>
      <c r="X181" s="101"/>
      <c r="Y181" s="101"/>
      <c r="Z181" s="101"/>
      <c r="AA181" s="101"/>
      <c r="AB181" s="101"/>
      <c r="AC181" s="101"/>
      <c r="AD181" s="94"/>
      <c r="AE181" s="94"/>
      <c r="AF181" s="91"/>
    </row>
    <row r="182" customFormat="false" ht="15" hidden="false" customHeight="true" outlineLevel="0" collapsed="false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52"/>
      <c r="T182" s="52"/>
      <c r="U182" s="101"/>
      <c r="V182" s="52"/>
      <c r="W182" s="101"/>
      <c r="X182" s="101"/>
      <c r="Y182" s="101"/>
      <c r="Z182" s="101"/>
      <c r="AA182" s="101"/>
      <c r="AB182" s="101"/>
      <c r="AC182" s="101"/>
      <c r="AD182" s="94"/>
      <c r="AE182" s="94"/>
      <c r="AF182" s="91"/>
    </row>
    <row r="183" customFormat="false" ht="15" hidden="false" customHeight="true" outlineLevel="0" collapsed="false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52"/>
      <c r="T183" s="52"/>
      <c r="U183" s="101"/>
      <c r="V183" s="52"/>
      <c r="W183" s="101"/>
      <c r="X183" s="101"/>
      <c r="Y183" s="101"/>
      <c r="Z183" s="101"/>
      <c r="AA183" s="101"/>
      <c r="AB183" s="101"/>
      <c r="AC183" s="101"/>
      <c r="AD183" s="94"/>
      <c r="AE183" s="94"/>
      <c r="AF183" s="91"/>
    </row>
    <row r="184" customFormat="false" ht="15" hidden="false" customHeight="true" outlineLevel="0" collapsed="false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52"/>
      <c r="T184" s="52"/>
      <c r="U184" s="101"/>
      <c r="V184" s="52"/>
      <c r="W184" s="101"/>
      <c r="X184" s="101"/>
      <c r="Y184" s="101"/>
      <c r="Z184" s="101"/>
      <c r="AA184" s="101"/>
      <c r="AB184" s="101"/>
      <c r="AC184" s="101"/>
      <c r="AD184" s="94"/>
      <c r="AE184" s="94"/>
      <c r="AF184" s="91"/>
    </row>
    <row r="185" customFormat="false" ht="15" hidden="false" customHeight="true" outlineLevel="0" collapsed="false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52"/>
      <c r="T185" s="52"/>
      <c r="U185" s="101"/>
      <c r="V185" s="52"/>
      <c r="W185" s="101"/>
      <c r="X185" s="101"/>
      <c r="Y185" s="101"/>
      <c r="Z185" s="101"/>
      <c r="AA185" s="101"/>
      <c r="AB185" s="101"/>
      <c r="AC185" s="101"/>
      <c r="AD185" s="94"/>
      <c r="AE185" s="94"/>
      <c r="AF185" s="91"/>
    </row>
    <row r="186" customFormat="false" ht="15" hidden="false" customHeight="true" outlineLevel="0" collapsed="false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52"/>
      <c r="T186" s="52"/>
      <c r="U186" s="101"/>
      <c r="V186" s="52"/>
      <c r="W186" s="101"/>
      <c r="X186" s="101"/>
      <c r="Y186" s="101"/>
      <c r="Z186" s="101"/>
      <c r="AA186" s="101"/>
      <c r="AB186" s="101"/>
      <c r="AC186" s="101"/>
      <c r="AD186" s="94"/>
      <c r="AE186" s="94"/>
      <c r="AF186" s="91"/>
    </row>
    <row r="187" customFormat="false" ht="15" hidden="false" customHeight="true" outlineLevel="0" collapsed="false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52"/>
      <c r="T187" s="52"/>
      <c r="U187" s="101"/>
      <c r="V187" s="52"/>
      <c r="W187" s="101"/>
      <c r="X187" s="101"/>
      <c r="Y187" s="101"/>
      <c r="Z187" s="101"/>
      <c r="AA187" s="101"/>
      <c r="AB187" s="101"/>
      <c r="AC187" s="101"/>
      <c r="AD187" s="94"/>
      <c r="AE187" s="94"/>
      <c r="AF187" s="91"/>
    </row>
    <row r="188" customFormat="false" ht="15" hidden="false" customHeight="true" outlineLevel="0" collapsed="false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52"/>
      <c r="T188" s="52"/>
      <c r="U188" s="101"/>
      <c r="V188" s="52"/>
      <c r="W188" s="101"/>
      <c r="X188" s="101"/>
      <c r="Y188" s="101"/>
      <c r="Z188" s="101"/>
      <c r="AA188" s="101"/>
      <c r="AB188" s="101"/>
      <c r="AC188" s="101"/>
      <c r="AD188" s="94"/>
      <c r="AE188" s="94"/>
      <c r="AF188" s="91"/>
    </row>
    <row r="189" customFormat="false" ht="15" hidden="false" customHeight="true" outlineLevel="0" collapsed="false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52"/>
      <c r="T189" s="52"/>
      <c r="U189" s="101"/>
      <c r="V189" s="52"/>
      <c r="W189" s="101"/>
      <c r="X189" s="101"/>
      <c r="Y189" s="101"/>
      <c r="Z189" s="101"/>
      <c r="AA189" s="101"/>
      <c r="AB189" s="101"/>
      <c r="AC189" s="101"/>
      <c r="AD189" s="94"/>
      <c r="AE189" s="94"/>
      <c r="AF189" s="91"/>
    </row>
    <row r="190" customFormat="false" ht="15" hidden="false" customHeight="true" outlineLevel="0" collapsed="false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52"/>
      <c r="T190" s="52"/>
      <c r="U190" s="101"/>
      <c r="V190" s="52"/>
      <c r="W190" s="101"/>
      <c r="X190" s="101"/>
      <c r="Y190" s="101"/>
      <c r="Z190" s="101"/>
      <c r="AA190" s="101"/>
      <c r="AB190" s="101"/>
      <c r="AC190" s="101"/>
      <c r="AD190" s="94"/>
      <c r="AE190" s="94"/>
      <c r="AF190" s="91"/>
    </row>
    <row r="191" customFormat="false" ht="15" hidden="false" customHeight="true" outlineLevel="0" collapsed="false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52"/>
      <c r="T191" s="52"/>
      <c r="U191" s="101"/>
      <c r="V191" s="52"/>
      <c r="W191" s="101"/>
      <c r="X191" s="101"/>
      <c r="Y191" s="101"/>
      <c r="Z191" s="101"/>
      <c r="AA191" s="101"/>
      <c r="AB191" s="101"/>
      <c r="AC191" s="101"/>
      <c r="AD191" s="94"/>
      <c r="AE191" s="94"/>
      <c r="AF191" s="91"/>
    </row>
    <row r="192" customFormat="false" ht="15" hidden="false" customHeight="true" outlineLevel="0" collapsed="false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52"/>
      <c r="T192" s="52"/>
      <c r="U192" s="101"/>
      <c r="V192" s="52"/>
      <c r="W192" s="101"/>
      <c r="X192" s="101"/>
      <c r="Y192" s="101"/>
      <c r="Z192" s="101"/>
      <c r="AA192" s="101"/>
      <c r="AB192" s="101"/>
      <c r="AC192" s="101"/>
      <c r="AD192" s="94"/>
      <c r="AE192" s="94"/>
      <c r="AF192" s="91"/>
    </row>
    <row r="193" customFormat="false" ht="15" hidden="false" customHeight="true" outlineLevel="0" collapsed="false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52"/>
      <c r="T193" s="52"/>
      <c r="U193" s="101"/>
      <c r="V193" s="52"/>
      <c r="W193" s="101"/>
      <c r="X193" s="101"/>
      <c r="Y193" s="101"/>
      <c r="Z193" s="101"/>
      <c r="AA193" s="101"/>
      <c r="AB193" s="101"/>
      <c r="AC193" s="101"/>
      <c r="AD193" s="94"/>
      <c r="AE193" s="94"/>
      <c r="AF193" s="91"/>
    </row>
    <row r="194" customFormat="false" ht="15" hidden="false" customHeight="true" outlineLevel="0" collapsed="false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52"/>
      <c r="T194" s="52"/>
      <c r="U194" s="101"/>
      <c r="V194" s="52"/>
      <c r="W194" s="101"/>
      <c r="X194" s="101"/>
      <c r="Y194" s="101"/>
      <c r="Z194" s="101"/>
      <c r="AA194" s="101"/>
      <c r="AB194" s="101"/>
      <c r="AC194" s="101"/>
      <c r="AD194" s="94"/>
      <c r="AE194" s="94"/>
      <c r="AF194" s="91"/>
    </row>
    <row r="195" customFormat="false" ht="15" hidden="false" customHeight="true" outlineLevel="0" collapsed="false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52"/>
      <c r="T195" s="52"/>
      <c r="U195" s="101"/>
      <c r="V195" s="52"/>
      <c r="W195" s="101"/>
      <c r="X195" s="101"/>
      <c r="Y195" s="101"/>
      <c r="Z195" s="101"/>
      <c r="AA195" s="101"/>
      <c r="AB195" s="101"/>
      <c r="AC195" s="101"/>
      <c r="AD195" s="94"/>
      <c r="AE195" s="94"/>
      <c r="AF195" s="91"/>
    </row>
    <row r="196" customFormat="false" ht="15" hidden="false" customHeight="true" outlineLevel="0" collapsed="false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52"/>
      <c r="T196" s="52"/>
      <c r="U196" s="101"/>
      <c r="V196" s="52"/>
      <c r="W196" s="101"/>
      <c r="X196" s="101"/>
      <c r="Y196" s="101"/>
      <c r="Z196" s="101"/>
      <c r="AA196" s="101"/>
      <c r="AB196" s="101"/>
      <c r="AC196" s="101"/>
      <c r="AD196" s="94"/>
      <c r="AE196" s="94"/>
      <c r="AF196" s="91"/>
    </row>
    <row r="197" customFormat="false" ht="15" hidden="false" customHeight="true" outlineLevel="0" collapsed="false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52"/>
      <c r="T197" s="52"/>
      <c r="U197" s="101"/>
      <c r="V197" s="52"/>
      <c r="W197" s="101"/>
      <c r="X197" s="101"/>
      <c r="Y197" s="101"/>
      <c r="Z197" s="101"/>
      <c r="AA197" s="101"/>
      <c r="AB197" s="101"/>
      <c r="AC197" s="101"/>
      <c r="AD197" s="94"/>
      <c r="AE197" s="94"/>
      <c r="AF197" s="91"/>
    </row>
    <row r="198" customFormat="false" ht="15" hidden="false" customHeight="true" outlineLevel="0" collapsed="false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52"/>
      <c r="T198" s="52"/>
      <c r="U198" s="101"/>
      <c r="V198" s="52"/>
      <c r="W198" s="101"/>
      <c r="X198" s="101"/>
      <c r="Y198" s="101"/>
      <c r="Z198" s="101"/>
      <c r="AA198" s="101"/>
      <c r="AB198" s="101"/>
      <c r="AC198" s="101"/>
      <c r="AD198" s="94"/>
      <c r="AE198" s="94"/>
      <c r="AF198" s="91"/>
    </row>
    <row r="199" customFormat="false" ht="15" hidden="false" customHeight="true" outlineLevel="0" collapsed="false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52"/>
      <c r="T199" s="52"/>
      <c r="U199" s="101"/>
      <c r="V199" s="52"/>
      <c r="W199" s="101"/>
      <c r="X199" s="101"/>
      <c r="Y199" s="101"/>
      <c r="Z199" s="101"/>
      <c r="AA199" s="101"/>
      <c r="AB199" s="101"/>
      <c r="AC199" s="101"/>
      <c r="AD199" s="94"/>
      <c r="AE199" s="94"/>
      <c r="AF199" s="91"/>
    </row>
    <row r="200" customFormat="false" ht="15" hidden="false" customHeight="true" outlineLevel="0" collapsed="false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52"/>
      <c r="T200" s="52"/>
      <c r="U200" s="101"/>
      <c r="V200" s="52"/>
      <c r="W200" s="101"/>
      <c r="X200" s="101"/>
      <c r="Y200" s="101"/>
      <c r="Z200" s="101"/>
      <c r="AA200" s="101"/>
      <c r="AB200" s="101"/>
      <c r="AC200" s="101"/>
      <c r="AD200" s="94"/>
      <c r="AE200" s="94"/>
      <c r="AF200" s="91"/>
    </row>
    <row r="201" customFormat="false" ht="15" hidden="false" customHeight="true" outlineLevel="0" collapsed="false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52"/>
      <c r="T201" s="52"/>
      <c r="U201" s="101"/>
      <c r="V201" s="52"/>
      <c r="W201" s="101"/>
      <c r="X201" s="101"/>
      <c r="Y201" s="101"/>
      <c r="Z201" s="101"/>
      <c r="AA201" s="101"/>
      <c r="AB201" s="101"/>
      <c r="AC201" s="101"/>
      <c r="AD201" s="94"/>
      <c r="AE201" s="94"/>
      <c r="AF201" s="91"/>
    </row>
    <row r="202" customFormat="false" ht="15" hidden="false" customHeight="true" outlineLevel="0" collapsed="false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52"/>
      <c r="T202" s="52"/>
      <c r="U202" s="101"/>
      <c r="V202" s="52"/>
      <c r="W202" s="101"/>
      <c r="X202" s="101"/>
      <c r="Y202" s="101"/>
      <c r="Z202" s="101"/>
      <c r="AA202" s="101"/>
      <c r="AB202" s="101"/>
      <c r="AC202" s="101"/>
      <c r="AD202" s="94"/>
      <c r="AE202" s="94"/>
      <c r="AF202" s="91"/>
    </row>
    <row r="203" customFormat="false" ht="15" hidden="false" customHeight="true" outlineLevel="0" collapsed="false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52"/>
      <c r="T203" s="52"/>
      <c r="U203" s="101"/>
      <c r="V203" s="52"/>
      <c r="W203" s="101"/>
      <c r="X203" s="101"/>
      <c r="Y203" s="101"/>
      <c r="Z203" s="101"/>
      <c r="AA203" s="101"/>
      <c r="AB203" s="101"/>
      <c r="AC203" s="101"/>
      <c r="AD203" s="94"/>
      <c r="AE203" s="94"/>
      <c r="AF203" s="91"/>
    </row>
    <row r="204" customFormat="false" ht="15" hidden="false" customHeight="true" outlineLevel="0" collapsed="false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52"/>
      <c r="T204" s="52"/>
      <c r="U204" s="101"/>
      <c r="V204" s="52"/>
      <c r="W204" s="101"/>
      <c r="X204" s="101"/>
      <c r="Y204" s="101"/>
      <c r="Z204" s="101"/>
      <c r="AA204" s="101"/>
      <c r="AB204" s="101"/>
      <c r="AC204" s="101"/>
      <c r="AD204" s="94"/>
      <c r="AE204" s="94"/>
      <c r="AF204" s="91"/>
    </row>
    <row r="205" customFormat="false" ht="15" hidden="false" customHeight="true" outlineLevel="0" collapsed="false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52"/>
      <c r="T205" s="52"/>
      <c r="U205" s="101"/>
      <c r="V205" s="52"/>
      <c r="W205" s="101"/>
      <c r="X205" s="101"/>
      <c r="Y205" s="101"/>
      <c r="Z205" s="101"/>
      <c r="AA205" s="101"/>
      <c r="AB205" s="101"/>
      <c r="AC205" s="101"/>
      <c r="AD205" s="94"/>
      <c r="AE205" s="94"/>
      <c r="AF205" s="91"/>
    </row>
    <row r="206" customFormat="false" ht="15" hidden="false" customHeight="true" outlineLevel="0" collapsed="false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52"/>
      <c r="T206" s="52"/>
      <c r="U206" s="101"/>
      <c r="V206" s="52"/>
      <c r="W206" s="101"/>
      <c r="X206" s="101"/>
      <c r="Y206" s="101"/>
      <c r="Z206" s="101"/>
      <c r="AA206" s="101"/>
      <c r="AB206" s="101"/>
      <c r="AC206" s="101"/>
      <c r="AD206" s="94"/>
      <c r="AE206" s="94"/>
      <c r="AF206" s="91"/>
    </row>
    <row r="207" customFormat="false" ht="15" hidden="false" customHeight="true" outlineLevel="0" collapsed="false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52"/>
      <c r="T207" s="52"/>
      <c r="U207" s="101"/>
      <c r="V207" s="52"/>
      <c r="W207" s="101"/>
      <c r="X207" s="101"/>
      <c r="Y207" s="101"/>
      <c r="Z207" s="101"/>
      <c r="AA207" s="101"/>
      <c r="AB207" s="101"/>
      <c r="AC207" s="101"/>
      <c r="AD207" s="94"/>
      <c r="AE207" s="94"/>
      <c r="AF207" s="91"/>
    </row>
    <row r="208" customFormat="false" ht="15" hidden="false" customHeight="true" outlineLevel="0" collapsed="false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52"/>
      <c r="T208" s="52"/>
      <c r="U208" s="101"/>
      <c r="V208" s="52"/>
      <c r="W208" s="101"/>
      <c r="X208" s="101"/>
      <c r="Y208" s="101"/>
      <c r="Z208" s="101"/>
      <c r="AA208" s="101"/>
      <c r="AB208" s="101"/>
      <c r="AC208" s="101"/>
      <c r="AD208" s="94"/>
      <c r="AE208" s="94"/>
      <c r="AF208" s="91"/>
    </row>
    <row r="209" customFormat="false" ht="15" hidden="false" customHeight="true" outlineLevel="0" collapsed="false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52"/>
      <c r="T209" s="52"/>
      <c r="U209" s="101"/>
      <c r="V209" s="52"/>
      <c r="W209" s="101"/>
      <c r="X209" s="101"/>
      <c r="Y209" s="101"/>
      <c r="Z209" s="101"/>
      <c r="AA209" s="101"/>
      <c r="AB209" s="101"/>
      <c r="AC209" s="101"/>
      <c r="AD209" s="94"/>
      <c r="AE209" s="94"/>
      <c r="AF209" s="91"/>
    </row>
    <row r="210" customFormat="false" ht="15" hidden="false" customHeight="true" outlineLevel="0" collapsed="false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52"/>
      <c r="T210" s="52"/>
      <c r="U210" s="101"/>
      <c r="V210" s="52"/>
      <c r="W210" s="101"/>
      <c r="X210" s="101"/>
      <c r="Y210" s="101"/>
      <c r="Z210" s="101"/>
      <c r="AA210" s="101"/>
      <c r="AB210" s="101"/>
      <c r="AC210" s="101"/>
      <c r="AD210" s="94"/>
      <c r="AE210" s="94"/>
      <c r="AF210" s="91"/>
    </row>
    <row r="211" customFormat="false" ht="15" hidden="false" customHeight="true" outlineLevel="0" collapsed="false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52"/>
      <c r="T211" s="52"/>
      <c r="U211" s="101"/>
      <c r="V211" s="52"/>
      <c r="W211" s="101"/>
      <c r="X211" s="101"/>
      <c r="Y211" s="101"/>
      <c r="Z211" s="101"/>
      <c r="AA211" s="101"/>
      <c r="AB211" s="101"/>
      <c r="AC211" s="101"/>
      <c r="AD211" s="94"/>
      <c r="AE211" s="94"/>
      <c r="AF211" s="91"/>
    </row>
    <row r="212" customFormat="false" ht="15" hidden="false" customHeight="true" outlineLevel="0" collapsed="false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52"/>
      <c r="T212" s="52"/>
      <c r="U212" s="101"/>
      <c r="V212" s="52"/>
      <c r="W212" s="101"/>
      <c r="X212" s="101"/>
      <c r="Y212" s="101"/>
      <c r="Z212" s="101"/>
      <c r="AA212" s="101"/>
      <c r="AB212" s="101"/>
      <c r="AC212" s="101"/>
      <c r="AD212" s="94"/>
      <c r="AE212" s="94"/>
      <c r="AF212" s="91"/>
    </row>
    <row r="213" customFormat="false" ht="15" hidden="false" customHeight="true" outlineLevel="0" collapsed="false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52"/>
      <c r="T213" s="52"/>
      <c r="U213" s="101"/>
      <c r="V213" s="52"/>
      <c r="W213" s="101"/>
      <c r="X213" s="101"/>
      <c r="Y213" s="101"/>
      <c r="Z213" s="101"/>
      <c r="AA213" s="101"/>
      <c r="AB213" s="101"/>
      <c r="AC213" s="101"/>
      <c r="AD213" s="94"/>
      <c r="AE213" s="94"/>
      <c r="AF213" s="91"/>
    </row>
    <row r="214" customFormat="false" ht="15" hidden="false" customHeight="true" outlineLevel="0" collapsed="false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52"/>
      <c r="T214" s="52"/>
      <c r="U214" s="101"/>
      <c r="V214" s="52"/>
      <c r="W214" s="101"/>
      <c r="X214" s="101"/>
      <c r="Y214" s="101"/>
      <c r="Z214" s="101"/>
      <c r="AA214" s="101"/>
      <c r="AB214" s="101"/>
      <c r="AC214" s="101"/>
      <c r="AD214" s="94"/>
      <c r="AE214" s="94"/>
      <c r="AF214" s="91"/>
    </row>
    <row r="215" customFormat="false" ht="15" hidden="false" customHeight="true" outlineLevel="0" collapsed="false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52"/>
      <c r="T215" s="52"/>
      <c r="U215" s="101"/>
      <c r="V215" s="52"/>
      <c r="W215" s="101"/>
      <c r="X215" s="101"/>
      <c r="Y215" s="101"/>
      <c r="Z215" s="101"/>
      <c r="AA215" s="101"/>
      <c r="AB215" s="101"/>
      <c r="AC215" s="101"/>
      <c r="AD215" s="94"/>
      <c r="AE215" s="94"/>
      <c r="AF215" s="91"/>
    </row>
    <row r="216" customFormat="false" ht="15" hidden="false" customHeight="true" outlineLevel="0" collapsed="false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52"/>
      <c r="T216" s="52"/>
      <c r="U216" s="101"/>
      <c r="V216" s="52"/>
      <c r="W216" s="101"/>
      <c r="X216" s="101"/>
      <c r="Y216" s="101"/>
      <c r="Z216" s="101"/>
      <c r="AA216" s="101"/>
      <c r="AB216" s="101"/>
      <c r="AC216" s="101"/>
      <c r="AD216" s="94"/>
      <c r="AE216" s="94"/>
      <c r="AF216" s="91"/>
    </row>
    <row r="217" customFormat="false" ht="15" hidden="false" customHeight="true" outlineLevel="0" collapsed="false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52"/>
      <c r="T217" s="52"/>
      <c r="U217" s="101"/>
      <c r="V217" s="52"/>
      <c r="W217" s="101"/>
      <c r="X217" s="101"/>
      <c r="Y217" s="101"/>
      <c r="Z217" s="101"/>
      <c r="AA217" s="101"/>
      <c r="AB217" s="101"/>
      <c r="AC217" s="101"/>
      <c r="AD217" s="94"/>
      <c r="AE217" s="94"/>
      <c r="AF217" s="91"/>
    </row>
    <row r="218" customFormat="false" ht="15" hidden="false" customHeight="true" outlineLevel="0" collapsed="false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52"/>
      <c r="T218" s="52"/>
      <c r="U218" s="101"/>
      <c r="V218" s="52"/>
      <c r="W218" s="101"/>
      <c r="X218" s="101"/>
      <c r="Y218" s="101"/>
      <c r="Z218" s="101"/>
      <c r="AA218" s="101"/>
      <c r="AB218" s="101"/>
      <c r="AC218" s="101"/>
      <c r="AD218" s="94"/>
      <c r="AE218" s="94"/>
      <c r="AF218" s="91"/>
    </row>
    <row r="219" customFormat="false" ht="15" hidden="false" customHeight="true" outlineLevel="0" collapsed="false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52"/>
      <c r="T219" s="52"/>
      <c r="U219" s="101"/>
      <c r="V219" s="52"/>
      <c r="W219" s="101"/>
      <c r="X219" s="101"/>
      <c r="Y219" s="101"/>
      <c r="Z219" s="101"/>
      <c r="AA219" s="101"/>
      <c r="AB219" s="101"/>
      <c r="AC219" s="101"/>
      <c r="AD219" s="94"/>
      <c r="AE219" s="94"/>
      <c r="AF219" s="91"/>
    </row>
    <row r="220" customFormat="false" ht="15" hidden="false" customHeight="true" outlineLevel="0" collapsed="false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52"/>
      <c r="T220" s="52"/>
      <c r="U220" s="101"/>
      <c r="V220" s="52"/>
      <c r="W220" s="101"/>
      <c r="X220" s="101"/>
      <c r="Y220" s="101"/>
      <c r="Z220" s="101"/>
      <c r="AA220" s="101"/>
      <c r="AB220" s="101"/>
      <c r="AC220" s="101"/>
      <c r="AD220" s="94"/>
      <c r="AE220" s="94"/>
      <c r="AF220" s="91"/>
    </row>
    <row r="221" customFormat="false" ht="15" hidden="false" customHeight="true" outlineLevel="0" collapsed="false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52"/>
      <c r="T221" s="52"/>
      <c r="U221" s="101"/>
      <c r="V221" s="52"/>
      <c r="W221" s="101"/>
      <c r="X221" s="101"/>
      <c r="Y221" s="101"/>
      <c r="Z221" s="101"/>
      <c r="AA221" s="101"/>
      <c r="AB221" s="101"/>
      <c r="AC221" s="101"/>
      <c r="AD221" s="94"/>
      <c r="AE221" s="94"/>
      <c r="AF221" s="91"/>
    </row>
    <row r="222" customFormat="false" ht="15" hidden="false" customHeight="true" outlineLevel="0" collapsed="false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52"/>
      <c r="T222" s="52"/>
      <c r="U222" s="101"/>
      <c r="V222" s="52"/>
      <c r="W222" s="101"/>
      <c r="X222" s="101"/>
      <c r="Y222" s="101"/>
      <c r="Z222" s="101"/>
      <c r="AA222" s="101"/>
      <c r="AB222" s="101"/>
      <c r="AC222" s="101"/>
      <c r="AD222" s="94"/>
      <c r="AE222" s="94"/>
      <c r="AF222" s="91"/>
    </row>
    <row r="223" customFormat="false" ht="15" hidden="false" customHeight="true" outlineLevel="0" collapsed="false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52"/>
      <c r="T223" s="52"/>
      <c r="U223" s="101"/>
      <c r="V223" s="52"/>
      <c r="W223" s="101"/>
      <c r="X223" s="101"/>
      <c r="Y223" s="101"/>
      <c r="Z223" s="101"/>
      <c r="AA223" s="101"/>
      <c r="AB223" s="101"/>
      <c r="AC223" s="101"/>
      <c r="AD223" s="94"/>
      <c r="AE223" s="94"/>
      <c r="AF223" s="91"/>
    </row>
    <row r="224" customFormat="false" ht="15" hidden="false" customHeight="true" outlineLevel="0" collapsed="false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52"/>
      <c r="T224" s="52"/>
      <c r="U224" s="101"/>
      <c r="V224" s="52"/>
      <c r="W224" s="101"/>
      <c r="X224" s="101"/>
      <c r="Y224" s="101"/>
      <c r="Z224" s="101"/>
      <c r="AA224" s="101"/>
      <c r="AB224" s="101"/>
      <c r="AC224" s="101"/>
      <c r="AD224" s="94"/>
      <c r="AE224" s="94"/>
      <c r="AF224" s="91"/>
    </row>
    <row r="225" customFormat="false" ht="15" hidden="false" customHeight="true" outlineLevel="0" collapsed="false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52"/>
      <c r="T225" s="52"/>
      <c r="U225" s="101"/>
      <c r="V225" s="52"/>
      <c r="W225" s="101"/>
      <c r="X225" s="101"/>
      <c r="Y225" s="101"/>
      <c r="Z225" s="101"/>
      <c r="AA225" s="101"/>
      <c r="AB225" s="101"/>
      <c r="AC225" s="101"/>
      <c r="AD225" s="94"/>
      <c r="AE225" s="94"/>
      <c r="AF225" s="91"/>
    </row>
    <row r="226" customFormat="false" ht="15" hidden="false" customHeight="true" outlineLevel="0" collapsed="false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52"/>
      <c r="T226" s="52"/>
      <c r="U226" s="101"/>
      <c r="V226" s="52"/>
      <c r="W226" s="101"/>
      <c r="X226" s="101"/>
      <c r="Y226" s="101"/>
      <c r="Z226" s="101"/>
      <c r="AA226" s="101"/>
      <c r="AB226" s="101"/>
      <c r="AC226" s="101"/>
      <c r="AD226" s="94"/>
      <c r="AE226" s="94"/>
      <c r="AF226" s="91"/>
    </row>
    <row r="227" customFormat="false" ht="15" hidden="false" customHeight="true" outlineLevel="0" collapsed="false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52"/>
      <c r="T227" s="52"/>
      <c r="U227" s="101"/>
      <c r="V227" s="52"/>
      <c r="W227" s="101"/>
      <c r="X227" s="101"/>
      <c r="Y227" s="101"/>
      <c r="Z227" s="101"/>
      <c r="AA227" s="101"/>
      <c r="AB227" s="101"/>
      <c r="AC227" s="101"/>
      <c r="AD227" s="94"/>
      <c r="AE227" s="94"/>
      <c r="AF227" s="91"/>
    </row>
    <row r="228" customFormat="false" ht="15" hidden="false" customHeight="true" outlineLevel="0" collapsed="false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52"/>
      <c r="T228" s="52"/>
      <c r="U228" s="101"/>
      <c r="V228" s="52"/>
      <c r="W228" s="101"/>
      <c r="X228" s="101"/>
      <c r="Y228" s="101"/>
      <c r="Z228" s="101"/>
      <c r="AA228" s="101"/>
      <c r="AB228" s="101"/>
      <c r="AC228" s="101"/>
      <c r="AD228" s="94"/>
      <c r="AE228" s="94"/>
      <c r="AF228" s="91"/>
    </row>
    <row r="229" customFormat="false" ht="15" hidden="false" customHeight="true" outlineLevel="0" collapsed="false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52"/>
      <c r="T229" s="52"/>
      <c r="U229" s="101"/>
      <c r="V229" s="52"/>
      <c r="W229" s="101"/>
      <c r="X229" s="101"/>
      <c r="Y229" s="101"/>
      <c r="Z229" s="101"/>
      <c r="AA229" s="101"/>
      <c r="AB229" s="101"/>
      <c r="AC229" s="101"/>
      <c r="AD229" s="94"/>
      <c r="AE229" s="94"/>
      <c r="AF229" s="91"/>
    </row>
    <row r="230" customFormat="false" ht="15" hidden="false" customHeight="true" outlineLevel="0" collapsed="false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52"/>
      <c r="T230" s="52"/>
      <c r="U230" s="101"/>
      <c r="V230" s="52"/>
      <c r="W230" s="101"/>
      <c r="X230" s="101"/>
      <c r="Y230" s="101"/>
      <c r="Z230" s="101"/>
      <c r="AA230" s="101"/>
      <c r="AB230" s="101"/>
      <c r="AC230" s="101"/>
      <c r="AD230" s="94"/>
      <c r="AE230" s="94"/>
      <c r="AF230" s="91"/>
    </row>
    <row r="231" customFormat="false" ht="15" hidden="false" customHeight="true" outlineLevel="0" collapsed="false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52"/>
      <c r="T231" s="52"/>
      <c r="U231" s="101"/>
      <c r="V231" s="52"/>
      <c r="W231" s="101"/>
      <c r="X231" s="101"/>
      <c r="Y231" s="101"/>
      <c r="Z231" s="101"/>
      <c r="AA231" s="101"/>
      <c r="AB231" s="101"/>
      <c r="AC231" s="101"/>
      <c r="AD231" s="94"/>
      <c r="AE231" s="94"/>
      <c r="AF231" s="91"/>
    </row>
    <row r="232" customFormat="false" ht="15" hidden="false" customHeight="true" outlineLevel="0" collapsed="false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52"/>
      <c r="T232" s="52"/>
      <c r="U232" s="101"/>
      <c r="V232" s="52"/>
      <c r="W232" s="101"/>
      <c r="X232" s="101"/>
      <c r="Y232" s="101"/>
      <c r="Z232" s="101"/>
      <c r="AA232" s="101"/>
      <c r="AB232" s="101"/>
      <c r="AC232" s="101"/>
      <c r="AD232" s="94"/>
      <c r="AE232" s="94"/>
      <c r="AF232" s="91"/>
    </row>
    <row r="233" customFormat="false" ht="15" hidden="false" customHeight="true" outlineLevel="0" collapsed="false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52"/>
      <c r="T233" s="52"/>
      <c r="U233" s="101"/>
      <c r="V233" s="52"/>
      <c r="W233" s="101"/>
      <c r="X233" s="101"/>
      <c r="Y233" s="101"/>
      <c r="Z233" s="101"/>
      <c r="AA233" s="101"/>
      <c r="AB233" s="101"/>
      <c r="AC233" s="101"/>
      <c r="AD233" s="94"/>
      <c r="AE233" s="94"/>
      <c r="AF233" s="91"/>
    </row>
    <row r="234" customFormat="false" ht="15" hidden="false" customHeight="true" outlineLevel="0" collapsed="false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52"/>
      <c r="T234" s="52"/>
      <c r="U234" s="101"/>
      <c r="V234" s="52"/>
      <c r="W234" s="101"/>
      <c r="X234" s="101"/>
      <c r="Y234" s="101"/>
      <c r="Z234" s="101"/>
      <c r="AA234" s="101"/>
      <c r="AB234" s="101"/>
      <c r="AC234" s="101"/>
      <c r="AD234" s="94"/>
      <c r="AE234" s="94"/>
      <c r="AF234" s="91"/>
    </row>
    <row r="235" customFormat="false" ht="15" hidden="false" customHeight="true" outlineLevel="0" collapsed="false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52"/>
      <c r="T235" s="52"/>
      <c r="U235" s="101"/>
      <c r="V235" s="52"/>
      <c r="W235" s="101"/>
      <c r="X235" s="101"/>
      <c r="Y235" s="101"/>
      <c r="Z235" s="101"/>
      <c r="AA235" s="101"/>
      <c r="AB235" s="101"/>
      <c r="AC235" s="101"/>
      <c r="AD235" s="94"/>
      <c r="AE235" s="94"/>
      <c r="AF235" s="91"/>
    </row>
    <row r="236" customFormat="false" ht="15" hidden="false" customHeight="true" outlineLevel="0" collapsed="false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52"/>
      <c r="T236" s="52"/>
      <c r="U236" s="101"/>
      <c r="V236" s="52"/>
      <c r="W236" s="101"/>
      <c r="X236" s="101"/>
      <c r="Y236" s="101"/>
      <c r="Z236" s="101"/>
      <c r="AA236" s="101"/>
      <c r="AB236" s="101"/>
      <c r="AC236" s="101"/>
      <c r="AD236" s="94"/>
      <c r="AE236" s="94"/>
      <c r="AF236" s="91"/>
    </row>
    <row r="237" customFormat="false" ht="15" hidden="false" customHeight="true" outlineLevel="0" collapsed="false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52"/>
      <c r="T237" s="52"/>
      <c r="U237" s="101"/>
      <c r="V237" s="52"/>
      <c r="W237" s="101"/>
      <c r="X237" s="101"/>
      <c r="Y237" s="101"/>
      <c r="Z237" s="101"/>
      <c r="AA237" s="101"/>
      <c r="AB237" s="101"/>
      <c r="AC237" s="101"/>
      <c r="AD237" s="94"/>
      <c r="AE237" s="94"/>
      <c r="AF237" s="91"/>
    </row>
    <row r="238" customFormat="false" ht="15" hidden="false" customHeight="true" outlineLevel="0" collapsed="false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52"/>
      <c r="T238" s="52"/>
      <c r="U238" s="101"/>
      <c r="V238" s="52"/>
      <c r="W238" s="101"/>
      <c r="X238" s="101"/>
      <c r="Y238" s="101"/>
      <c r="Z238" s="101"/>
      <c r="AA238" s="101"/>
      <c r="AB238" s="101"/>
      <c r="AC238" s="101"/>
      <c r="AD238" s="94"/>
      <c r="AE238" s="94"/>
      <c r="AF238" s="91"/>
    </row>
    <row r="239" customFormat="false" ht="15" hidden="false" customHeight="true" outlineLevel="0" collapsed="false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52"/>
      <c r="T239" s="52"/>
      <c r="U239" s="101"/>
      <c r="V239" s="52"/>
      <c r="W239" s="101"/>
      <c r="X239" s="101"/>
      <c r="Y239" s="101"/>
      <c r="Z239" s="101"/>
      <c r="AA239" s="101"/>
      <c r="AB239" s="101"/>
      <c r="AC239" s="101"/>
      <c r="AD239" s="94"/>
      <c r="AE239" s="94"/>
      <c r="AF239" s="91"/>
    </row>
    <row r="240" customFormat="false" ht="15" hidden="false" customHeight="true" outlineLevel="0" collapsed="false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52"/>
      <c r="T240" s="52"/>
      <c r="U240" s="101"/>
      <c r="V240" s="52"/>
      <c r="W240" s="101"/>
      <c r="X240" s="101"/>
      <c r="Y240" s="101"/>
      <c r="Z240" s="101"/>
      <c r="AA240" s="101"/>
      <c r="AB240" s="101"/>
      <c r="AC240" s="101"/>
      <c r="AD240" s="94"/>
      <c r="AE240" s="94"/>
      <c r="AF240" s="91"/>
    </row>
    <row r="241" customFormat="false" ht="15" hidden="false" customHeight="true" outlineLevel="0" collapsed="false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52"/>
      <c r="T241" s="52"/>
      <c r="U241" s="101"/>
      <c r="V241" s="52"/>
      <c r="W241" s="101"/>
      <c r="X241" s="101"/>
      <c r="Y241" s="101"/>
      <c r="Z241" s="101"/>
      <c r="AA241" s="101"/>
      <c r="AB241" s="101"/>
      <c r="AC241" s="101"/>
      <c r="AD241" s="94"/>
      <c r="AE241" s="94"/>
      <c r="AF241" s="91"/>
    </row>
    <row r="242" customFormat="false" ht="15" hidden="false" customHeight="true" outlineLevel="0" collapsed="false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52"/>
      <c r="T242" s="52"/>
      <c r="U242" s="101"/>
      <c r="V242" s="52"/>
      <c r="W242" s="101"/>
      <c r="X242" s="101"/>
      <c r="Y242" s="101"/>
      <c r="Z242" s="101"/>
      <c r="AA242" s="101"/>
      <c r="AB242" s="101"/>
      <c r="AC242" s="101"/>
      <c r="AD242" s="94"/>
      <c r="AE242" s="94"/>
      <c r="AF242" s="91"/>
    </row>
    <row r="243" customFormat="false" ht="15" hidden="false" customHeight="true" outlineLevel="0" collapsed="false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52"/>
      <c r="T243" s="52"/>
      <c r="U243" s="101"/>
      <c r="V243" s="52"/>
      <c r="W243" s="101"/>
      <c r="X243" s="101"/>
      <c r="Y243" s="101"/>
      <c r="Z243" s="101"/>
      <c r="AA243" s="101"/>
      <c r="AB243" s="101"/>
      <c r="AC243" s="101"/>
      <c r="AD243" s="94"/>
      <c r="AE243" s="94"/>
      <c r="AF243" s="91"/>
    </row>
    <row r="244" customFormat="false" ht="15" hidden="false" customHeight="true" outlineLevel="0" collapsed="false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52"/>
      <c r="T244" s="52"/>
      <c r="U244" s="101"/>
      <c r="V244" s="52"/>
      <c r="W244" s="101"/>
      <c r="X244" s="101"/>
      <c r="Y244" s="101"/>
      <c r="Z244" s="101"/>
      <c r="AA244" s="101"/>
      <c r="AB244" s="101"/>
      <c r="AC244" s="101"/>
      <c r="AD244" s="94"/>
      <c r="AE244" s="94"/>
      <c r="AF244" s="91"/>
    </row>
    <row r="245" customFormat="false" ht="15" hidden="false" customHeight="true" outlineLevel="0" collapsed="false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52"/>
      <c r="T245" s="52"/>
      <c r="U245" s="101"/>
      <c r="V245" s="52"/>
      <c r="W245" s="101"/>
      <c r="X245" s="101"/>
      <c r="Y245" s="101"/>
      <c r="Z245" s="101"/>
      <c r="AA245" s="101"/>
      <c r="AB245" s="101"/>
      <c r="AC245" s="101"/>
      <c r="AD245" s="94"/>
      <c r="AE245" s="94"/>
      <c r="AF245" s="91"/>
    </row>
    <row r="246" customFormat="false" ht="15" hidden="false" customHeight="true" outlineLevel="0" collapsed="false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52"/>
      <c r="T246" s="52"/>
      <c r="U246" s="101"/>
      <c r="V246" s="52"/>
      <c r="W246" s="101"/>
      <c r="X246" s="101"/>
      <c r="Y246" s="101"/>
      <c r="Z246" s="101"/>
      <c r="AA246" s="101"/>
      <c r="AB246" s="101"/>
      <c r="AC246" s="101"/>
      <c r="AD246" s="94"/>
      <c r="AE246" s="94"/>
      <c r="AF246" s="91"/>
    </row>
    <row r="247" customFormat="false" ht="15" hidden="false" customHeight="true" outlineLevel="0" collapsed="false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52"/>
      <c r="T247" s="52"/>
      <c r="U247" s="101"/>
      <c r="V247" s="52"/>
      <c r="W247" s="101"/>
      <c r="X247" s="101"/>
      <c r="Y247" s="101"/>
      <c r="Z247" s="101"/>
      <c r="AA247" s="101"/>
      <c r="AB247" s="101"/>
      <c r="AC247" s="101"/>
      <c r="AD247" s="94"/>
      <c r="AE247" s="94"/>
      <c r="AF247" s="91"/>
    </row>
    <row r="248" customFormat="false" ht="15" hidden="false" customHeight="true" outlineLevel="0" collapsed="false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52"/>
      <c r="T248" s="52"/>
      <c r="U248" s="101"/>
      <c r="V248" s="52"/>
      <c r="W248" s="101"/>
      <c r="X248" s="101"/>
      <c r="Y248" s="101"/>
      <c r="Z248" s="101"/>
      <c r="AA248" s="101"/>
      <c r="AB248" s="101"/>
      <c r="AC248" s="101"/>
      <c r="AD248" s="94"/>
      <c r="AE248" s="94"/>
      <c r="AF248" s="91"/>
    </row>
    <row r="249" customFormat="false" ht="15" hidden="false" customHeight="true" outlineLevel="0" collapsed="false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52"/>
      <c r="T249" s="52"/>
      <c r="U249" s="101"/>
      <c r="V249" s="52"/>
      <c r="W249" s="101"/>
      <c r="X249" s="101"/>
      <c r="Y249" s="101"/>
      <c r="Z249" s="101"/>
      <c r="AA249" s="101"/>
      <c r="AB249" s="101"/>
      <c r="AC249" s="101"/>
      <c r="AD249" s="94"/>
      <c r="AE249" s="94"/>
      <c r="AF249" s="91"/>
    </row>
    <row r="250" customFormat="false" ht="15" hidden="false" customHeight="true" outlineLevel="0" collapsed="false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52"/>
      <c r="T250" s="52"/>
      <c r="U250" s="101"/>
      <c r="V250" s="52"/>
      <c r="W250" s="101"/>
      <c r="X250" s="101"/>
      <c r="Y250" s="101"/>
      <c r="Z250" s="101"/>
      <c r="AA250" s="101"/>
      <c r="AB250" s="101"/>
      <c r="AC250" s="101"/>
      <c r="AD250" s="94"/>
      <c r="AE250" s="94"/>
      <c r="AF250" s="91"/>
    </row>
    <row r="251" customFormat="false" ht="15" hidden="false" customHeight="true" outlineLevel="0" collapsed="false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52"/>
      <c r="T251" s="52"/>
      <c r="U251" s="101"/>
      <c r="V251" s="52"/>
      <c r="W251" s="101"/>
      <c r="X251" s="101"/>
      <c r="Y251" s="101"/>
      <c r="Z251" s="101"/>
      <c r="AA251" s="101"/>
      <c r="AB251" s="101"/>
      <c r="AC251" s="101"/>
      <c r="AD251" s="94"/>
      <c r="AE251" s="94"/>
      <c r="AF251" s="91"/>
    </row>
    <row r="252" customFormat="false" ht="15" hidden="false" customHeight="true" outlineLevel="0" collapsed="false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52"/>
      <c r="T252" s="52"/>
      <c r="U252" s="101"/>
      <c r="V252" s="52"/>
      <c r="W252" s="101"/>
      <c r="X252" s="101"/>
      <c r="Y252" s="101"/>
      <c r="Z252" s="101"/>
      <c r="AA252" s="101"/>
      <c r="AB252" s="101"/>
      <c r="AC252" s="101"/>
      <c r="AD252" s="94"/>
      <c r="AE252" s="94"/>
      <c r="AF252" s="91"/>
    </row>
    <row r="253" customFormat="false" ht="15" hidden="false" customHeight="true" outlineLevel="0" collapsed="false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52"/>
      <c r="T253" s="52"/>
      <c r="U253" s="101"/>
      <c r="V253" s="52"/>
      <c r="W253" s="101"/>
      <c r="X253" s="101"/>
      <c r="Y253" s="101"/>
      <c r="Z253" s="101"/>
      <c r="AA253" s="101"/>
      <c r="AB253" s="101"/>
      <c r="AC253" s="101"/>
      <c r="AD253" s="94"/>
      <c r="AE253" s="94"/>
      <c r="AF253" s="91"/>
    </row>
    <row r="254" customFormat="false" ht="15" hidden="false" customHeight="true" outlineLevel="0" collapsed="false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52"/>
      <c r="T254" s="52"/>
      <c r="U254" s="101"/>
      <c r="V254" s="52"/>
      <c r="W254" s="101"/>
      <c r="X254" s="101"/>
      <c r="Y254" s="101"/>
      <c r="Z254" s="101"/>
      <c r="AA254" s="101"/>
      <c r="AB254" s="101"/>
      <c r="AC254" s="101"/>
      <c r="AD254" s="94"/>
      <c r="AE254" s="94"/>
      <c r="AF254" s="91"/>
    </row>
    <row r="255" customFormat="false" ht="15" hidden="false" customHeight="true" outlineLevel="0" collapsed="false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52"/>
      <c r="T255" s="52"/>
      <c r="U255" s="101"/>
      <c r="V255" s="52"/>
      <c r="W255" s="101"/>
      <c r="X255" s="101"/>
      <c r="Y255" s="101"/>
      <c r="Z255" s="101"/>
      <c r="AA255" s="101"/>
      <c r="AB255" s="101"/>
      <c r="AC255" s="101"/>
      <c r="AD255" s="94"/>
      <c r="AE255" s="94"/>
      <c r="AF255" s="91"/>
    </row>
    <row r="256" customFormat="false" ht="15" hidden="false" customHeight="true" outlineLevel="0" collapsed="false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52"/>
      <c r="T256" s="52"/>
      <c r="U256" s="101"/>
      <c r="V256" s="52"/>
      <c r="W256" s="101"/>
      <c r="X256" s="101"/>
      <c r="Y256" s="101"/>
      <c r="Z256" s="101"/>
      <c r="AA256" s="101"/>
      <c r="AB256" s="101"/>
      <c r="AC256" s="101"/>
      <c r="AD256" s="94"/>
      <c r="AE256" s="94"/>
      <c r="AF256" s="91"/>
    </row>
    <row r="257" customFormat="false" ht="15" hidden="false" customHeight="true" outlineLevel="0" collapsed="false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52"/>
      <c r="T257" s="52"/>
      <c r="U257" s="101"/>
      <c r="V257" s="52"/>
      <c r="W257" s="101"/>
      <c r="X257" s="101"/>
      <c r="Y257" s="101"/>
      <c r="Z257" s="101"/>
      <c r="AA257" s="101"/>
      <c r="AB257" s="101"/>
      <c r="AC257" s="101"/>
      <c r="AD257" s="94"/>
      <c r="AE257" s="94"/>
      <c r="AF257" s="91"/>
    </row>
    <row r="258" customFormat="false" ht="15" hidden="false" customHeight="true" outlineLevel="0" collapsed="false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52"/>
      <c r="T258" s="52"/>
      <c r="U258" s="101"/>
      <c r="V258" s="52"/>
      <c r="W258" s="101"/>
      <c r="X258" s="101"/>
      <c r="Y258" s="101"/>
      <c r="Z258" s="101"/>
      <c r="AA258" s="101"/>
      <c r="AB258" s="101"/>
      <c r="AC258" s="101"/>
      <c r="AD258" s="94"/>
      <c r="AE258" s="94"/>
      <c r="AF258" s="91"/>
    </row>
    <row r="259" customFormat="false" ht="15" hidden="false" customHeight="true" outlineLevel="0" collapsed="false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52"/>
      <c r="T259" s="52"/>
      <c r="U259" s="101"/>
      <c r="V259" s="52"/>
      <c r="W259" s="101"/>
      <c r="X259" s="101"/>
      <c r="Y259" s="101"/>
      <c r="Z259" s="101"/>
      <c r="AA259" s="101"/>
      <c r="AB259" s="101"/>
      <c r="AC259" s="101"/>
      <c r="AD259" s="94"/>
      <c r="AE259" s="94"/>
      <c r="AF259" s="91"/>
    </row>
    <row r="260" customFormat="false" ht="15" hidden="false" customHeight="true" outlineLevel="0" collapsed="false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52"/>
      <c r="T260" s="52"/>
      <c r="U260" s="101"/>
      <c r="V260" s="52"/>
      <c r="W260" s="101"/>
      <c r="X260" s="101"/>
      <c r="Y260" s="101"/>
      <c r="Z260" s="101"/>
      <c r="AA260" s="101"/>
      <c r="AB260" s="101"/>
      <c r="AC260" s="101"/>
      <c r="AD260" s="94"/>
      <c r="AE260" s="94"/>
      <c r="AF260" s="91"/>
    </row>
    <row r="261" customFormat="false" ht="15" hidden="false" customHeight="true" outlineLevel="0" collapsed="false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52"/>
      <c r="T261" s="52"/>
      <c r="U261" s="101"/>
      <c r="V261" s="52"/>
      <c r="W261" s="101"/>
      <c r="X261" s="101"/>
      <c r="Y261" s="101"/>
      <c r="Z261" s="101"/>
      <c r="AA261" s="101"/>
      <c r="AB261" s="101"/>
      <c r="AC261" s="101"/>
      <c r="AD261" s="94"/>
      <c r="AE261" s="94"/>
      <c r="AF261" s="91"/>
    </row>
    <row r="262" customFormat="false" ht="15" hidden="false" customHeight="true" outlineLevel="0" collapsed="false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52"/>
      <c r="T262" s="52"/>
      <c r="U262" s="101"/>
      <c r="V262" s="52"/>
      <c r="W262" s="101"/>
      <c r="X262" s="101"/>
      <c r="Y262" s="101"/>
      <c r="Z262" s="101"/>
      <c r="AA262" s="101"/>
      <c r="AB262" s="101"/>
      <c r="AC262" s="101"/>
      <c r="AD262" s="94"/>
      <c r="AE262" s="94"/>
      <c r="AF262" s="91"/>
    </row>
    <row r="263" customFormat="false" ht="15" hidden="false" customHeight="true" outlineLevel="0" collapsed="false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52"/>
      <c r="T263" s="52"/>
      <c r="U263" s="101"/>
      <c r="V263" s="52"/>
      <c r="W263" s="101"/>
      <c r="X263" s="101"/>
      <c r="Y263" s="101"/>
      <c r="Z263" s="101"/>
      <c r="AA263" s="101"/>
      <c r="AB263" s="101"/>
      <c r="AC263" s="101"/>
      <c r="AD263" s="94"/>
      <c r="AE263" s="94"/>
      <c r="AF263" s="91"/>
    </row>
    <row r="264" customFormat="false" ht="15" hidden="false" customHeight="true" outlineLevel="0" collapsed="false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52"/>
      <c r="T264" s="52"/>
      <c r="U264" s="101"/>
      <c r="V264" s="52"/>
      <c r="W264" s="101"/>
      <c r="X264" s="101"/>
      <c r="Y264" s="101"/>
      <c r="Z264" s="101"/>
      <c r="AA264" s="101"/>
      <c r="AB264" s="101"/>
      <c r="AC264" s="101"/>
      <c r="AD264" s="94"/>
      <c r="AE264" s="94"/>
      <c r="AF264" s="91"/>
    </row>
    <row r="265" customFormat="false" ht="15" hidden="false" customHeight="true" outlineLevel="0" collapsed="false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52"/>
      <c r="T265" s="52"/>
      <c r="U265" s="101"/>
      <c r="V265" s="52"/>
      <c r="W265" s="101"/>
      <c r="X265" s="101"/>
      <c r="Y265" s="101"/>
      <c r="Z265" s="101"/>
      <c r="AA265" s="101"/>
      <c r="AB265" s="101"/>
      <c r="AC265" s="101"/>
      <c r="AD265" s="94"/>
      <c r="AE265" s="94"/>
      <c r="AF265" s="91"/>
    </row>
    <row r="266" customFormat="false" ht="15" hidden="false" customHeight="true" outlineLevel="0" collapsed="false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52"/>
      <c r="T266" s="52"/>
      <c r="U266" s="101"/>
      <c r="V266" s="52"/>
      <c r="W266" s="101"/>
      <c r="X266" s="101"/>
      <c r="Y266" s="101"/>
      <c r="Z266" s="101"/>
      <c r="AA266" s="101"/>
      <c r="AB266" s="101"/>
      <c r="AC266" s="101"/>
      <c r="AD266" s="94"/>
      <c r="AE266" s="94"/>
      <c r="AF266" s="91"/>
    </row>
    <row r="267" customFormat="false" ht="15" hidden="false" customHeight="true" outlineLevel="0" collapsed="false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52"/>
      <c r="T267" s="52"/>
      <c r="U267" s="101"/>
      <c r="V267" s="52"/>
      <c r="W267" s="101"/>
      <c r="X267" s="101"/>
      <c r="Y267" s="101"/>
      <c r="Z267" s="101"/>
      <c r="AA267" s="101"/>
      <c r="AB267" s="101"/>
      <c r="AC267" s="101"/>
      <c r="AD267" s="94"/>
      <c r="AE267" s="94"/>
      <c r="AF267" s="91"/>
    </row>
    <row r="268" customFormat="false" ht="15" hidden="false" customHeight="true" outlineLevel="0" collapsed="false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52"/>
      <c r="T268" s="52"/>
      <c r="U268" s="101"/>
      <c r="V268" s="52"/>
      <c r="W268" s="101"/>
      <c r="X268" s="101"/>
      <c r="Y268" s="101"/>
      <c r="Z268" s="101"/>
      <c r="AA268" s="101"/>
      <c r="AB268" s="101"/>
      <c r="AC268" s="101"/>
      <c r="AD268" s="94"/>
      <c r="AE268" s="94"/>
      <c r="AF268" s="91"/>
    </row>
    <row r="269" customFormat="false" ht="15" hidden="false" customHeight="true" outlineLevel="0" collapsed="false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52"/>
      <c r="T269" s="52"/>
      <c r="U269" s="101"/>
      <c r="V269" s="52"/>
      <c r="W269" s="101"/>
      <c r="X269" s="101"/>
      <c r="Y269" s="101"/>
      <c r="Z269" s="101"/>
      <c r="AA269" s="101"/>
      <c r="AB269" s="101"/>
      <c r="AC269" s="101"/>
      <c r="AD269" s="94"/>
      <c r="AE269" s="94"/>
      <c r="AF269" s="91"/>
    </row>
    <row r="270" customFormat="false" ht="15" hidden="false" customHeight="true" outlineLevel="0" collapsed="false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52"/>
      <c r="T270" s="52"/>
      <c r="U270" s="101"/>
      <c r="V270" s="52"/>
      <c r="W270" s="101"/>
      <c r="X270" s="101"/>
      <c r="Y270" s="101"/>
      <c r="Z270" s="101"/>
      <c r="AA270" s="101"/>
      <c r="AB270" s="101"/>
      <c r="AC270" s="101"/>
      <c r="AD270" s="94"/>
      <c r="AE270" s="94"/>
      <c r="AF270" s="91"/>
    </row>
    <row r="271" customFormat="false" ht="15" hidden="false" customHeight="true" outlineLevel="0" collapsed="false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52"/>
      <c r="T271" s="52"/>
      <c r="U271" s="101"/>
      <c r="V271" s="52"/>
      <c r="W271" s="101"/>
      <c r="X271" s="101"/>
      <c r="Y271" s="101"/>
      <c r="Z271" s="101"/>
      <c r="AA271" s="101"/>
      <c r="AB271" s="101"/>
      <c r="AC271" s="101"/>
      <c r="AD271" s="94"/>
      <c r="AE271" s="94"/>
      <c r="AF271" s="91"/>
    </row>
    <row r="272" customFormat="false" ht="15" hidden="false" customHeight="true" outlineLevel="0" collapsed="false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52"/>
      <c r="T272" s="52"/>
      <c r="U272" s="101"/>
      <c r="V272" s="52"/>
      <c r="W272" s="101"/>
      <c r="X272" s="101"/>
      <c r="Y272" s="101"/>
      <c r="Z272" s="101"/>
      <c r="AA272" s="101"/>
      <c r="AB272" s="101"/>
      <c r="AC272" s="101"/>
      <c r="AD272" s="94"/>
      <c r="AE272" s="94"/>
      <c r="AF272" s="91"/>
    </row>
    <row r="273" customFormat="false" ht="15" hidden="false" customHeight="true" outlineLevel="0" collapsed="false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52"/>
      <c r="T273" s="52"/>
      <c r="U273" s="101"/>
      <c r="V273" s="52"/>
      <c r="W273" s="101"/>
      <c r="X273" s="101"/>
      <c r="Y273" s="101"/>
      <c r="Z273" s="101"/>
      <c r="AA273" s="101"/>
      <c r="AB273" s="101"/>
      <c r="AC273" s="101"/>
      <c r="AD273" s="94"/>
      <c r="AE273" s="94"/>
      <c r="AF273" s="91"/>
    </row>
    <row r="274" customFormat="false" ht="15" hidden="false" customHeight="true" outlineLevel="0" collapsed="false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52"/>
      <c r="T274" s="52"/>
      <c r="U274" s="101"/>
      <c r="V274" s="52"/>
      <c r="W274" s="101"/>
      <c r="X274" s="101"/>
      <c r="Y274" s="101"/>
      <c r="Z274" s="101"/>
      <c r="AA274" s="101"/>
      <c r="AB274" s="101"/>
      <c r="AC274" s="101"/>
      <c r="AD274" s="94"/>
      <c r="AE274" s="94"/>
      <c r="AF274" s="91"/>
    </row>
    <row r="275" customFormat="false" ht="15" hidden="false" customHeight="true" outlineLevel="0" collapsed="false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52"/>
      <c r="T275" s="52"/>
      <c r="U275" s="101"/>
      <c r="V275" s="52"/>
      <c r="W275" s="101"/>
      <c r="X275" s="101"/>
      <c r="Y275" s="101"/>
      <c r="Z275" s="101"/>
      <c r="AA275" s="101"/>
      <c r="AB275" s="101"/>
      <c r="AC275" s="101"/>
      <c r="AD275" s="94"/>
      <c r="AE275" s="94"/>
      <c r="AF275" s="91"/>
    </row>
    <row r="276" customFormat="false" ht="15" hidden="false" customHeight="true" outlineLevel="0" collapsed="false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52"/>
      <c r="T276" s="52"/>
      <c r="U276" s="101"/>
      <c r="V276" s="52"/>
      <c r="W276" s="101"/>
      <c r="X276" s="101"/>
      <c r="Y276" s="101"/>
      <c r="Z276" s="101"/>
      <c r="AA276" s="101"/>
      <c r="AB276" s="101"/>
      <c r="AC276" s="101"/>
      <c r="AD276" s="94"/>
      <c r="AE276" s="94"/>
      <c r="AF276" s="91"/>
    </row>
    <row r="277" customFormat="false" ht="15" hidden="false" customHeight="true" outlineLevel="0" collapsed="false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52"/>
      <c r="T277" s="52"/>
      <c r="U277" s="101"/>
      <c r="V277" s="52"/>
      <c r="W277" s="101"/>
      <c r="X277" s="101"/>
      <c r="Y277" s="101"/>
      <c r="Z277" s="101"/>
      <c r="AA277" s="101"/>
      <c r="AB277" s="101"/>
      <c r="AC277" s="101"/>
      <c r="AD277" s="94"/>
      <c r="AE277" s="94"/>
      <c r="AF277" s="91"/>
    </row>
    <row r="278" customFormat="false" ht="15" hidden="false" customHeight="true" outlineLevel="0" collapsed="false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52"/>
      <c r="T278" s="52"/>
      <c r="U278" s="101"/>
      <c r="V278" s="52"/>
      <c r="W278" s="101"/>
      <c r="X278" s="101"/>
      <c r="Y278" s="101"/>
      <c r="Z278" s="101"/>
      <c r="AA278" s="101"/>
      <c r="AB278" s="101"/>
      <c r="AC278" s="101"/>
      <c r="AD278" s="94"/>
      <c r="AE278" s="94"/>
      <c r="AF278" s="91"/>
    </row>
    <row r="279" customFormat="false" ht="15" hidden="false" customHeight="true" outlineLevel="0" collapsed="false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52"/>
      <c r="T279" s="52"/>
      <c r="U279" s="101"/>
      <c r="V279" s="52"/>
      <c r="W279" s="101"/>
      <c r="X279" s="101"/>
      <c r="Y279" s="101"/>
      <c r="Z279" s="101"/>
      <c r="AA279" s="101"/>
      <c r="AB279" s="101"/>
      <c r="AC279" s="101"/>
      <c r="AD279" s="94"/>
      <c r="AE279" s="94"/>
      <c r="AF279" s="91"/>
    </row>
    <row r="280" customFormat="false" ht="15" hidden="false" customHeight="true" outlineLevel="0" collapsed="false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52"/>
      <c r="T280" s="52"/>
      <c r="U280" s="101"/>
      <c r="V280" s="52"/>
      <c r="W280" s="101"/>
      <c r="X280" s="101"/>
      <c r="Y280" s="101"/>
      <c r="Z280" s="101"/>
      <c r="AA280" s="101"/>
      <c r="AB280" s="101"/>
      <c r="AC280" s="101"/>
      <c r="AD280" s="94"/>
      <c r="AE280" s="94"/>
      <c r="AF280" s="91"/>
    </row>
    <row r="281" customFormat="false" ht="15" hidden="false" customHeight="true" outlineLevel="0" collapsed="false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52"/>
      <c r="T281" s="52"/>
      <c r="U281" s="101"/>
      <c r="V281" s="52"/>
      <c r="W281" s="101"/>
      <c r="X281" s="101"/>
      <c r="Y281" s="101"/>
      <c r="Z281" s="101"/>
      <c r="AA281" s="101"/>
      <c r="AB281" s="101"/>
      <c r="AC281" s="101"/>
      <c r="AD281" s="94"/>
      <c r="AE281" s="94"/>
      <c r="AF281" s="91"/>
    </row>
    <row r="282" customFormat="false" ht="15" hidden="false" customHeight="true" outlineLevel="0" collapsed="false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52"/>
      <c r="T282" s="52"/>
      <c r="U282" s="101"/>
      <c r="V282" s="52"/>
      <c r="W282" s="101"/>
      <c r="X282" s="101"/>
      <c r="Y282" s="101"/>
      <c r="Z282" s="101"/>
      <c r="AA282" s="101"/>
      <c r="AB282" s="101"/>
      <c r="AC282" s="101"/>
      <c r="AD282" s="94"/>
      <c r="AE282" s="94"/>
      <c r="AF282" s="91"/>
    </row>
    <row r="283" customFormat="false" ht="15" hidden="false" customHeight="true" outlineLevel="0" collapsed="false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52"/>
      <c r="T283" s="52"/>
      <c r="U283" s="101"/>
      <c r="V283" s="52"/>
      <c r="W283" s="101"/>
      <c r="X283" s="101"/>
      <c r="Y283" s="101"/>
      <c r="Z283" s="101"/>
      <c r="AA283" s="101"/>
      <c r="AB283" s="101"/>
      <c r="AC283" s="101"/>
      <c r="AD283" s="94"/>
      <c r="AE283" s="94"/>
      <c r="AF283" s="91"/>
    </row>
    <row r="284" customFormat="false" ht="15" hidden="false" customHeight="true" outlineLevel="0" collapsed="false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52"/>
      <c r="T284" s="52"/>
      <c r="U284" s="101"/>
      <c r="V284" s="52"/>
      <c r="W284" s="101"/>
      <c r="X284" s="101"/>
      <c r="Y284" s="101"/>
      <c r="Z284" s="101"/>
      <c r="AA284" s="101"/>
      <c r="AB284" s="101"/>
      <c r="AC284" s="101"/>
      <c r="AD284" s="94"/>
      <c r="AE284" s="94"/>
      <c r="AF284" s="91"/>
    </row>
    <row r="285" customFormat="false" ht="15" hidden="false" customHeight="true" outlineLevel="0" collapsed="false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52"/>
      <c r="T285" s="52"/>
      <c r="U285" s="101"/>
      <c r="V285" s="52"/>
      <c r="W285" s="101"/>
      <c r="X285" s="101"/>
      <c r="Y285" s="101"/>
      <c r="Z285" s="101"/>
      <c r="AA285" s="101"/>
      <c r="AB285" s="101"/>
      <c r="AC285" s="101"/>
      <c r="AD285" s="94"/>
      <c r="AE285" s="94"/>
      <c r="AF285" s="91"/>
    </row>
    <row r="286" customFormat="false" ht="15" hidden="false" customHeight="true" outlineLevel="0" collapsed="false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52"/>
      <c r="T286" s="52"/>
      <c r="U286" s="101"/>
      <c r="V286" s="52"/>
      <c r="W286" s="101"/>
      <c r="X286" s="101"/>
      <c r="Y286" s="101"/>
      <c r="Z286" s="101"/>
      <c r="AA286" s="101"/>
      <c r="AB286" s="101"/>
      <c r="AC286" s="101"/>
      <c r="AD286" s="94"/>
      <c r="AE286" s="94"/>
      <c r="AF286" s="91"/>
    </row>
    <row r="287" customFormat="false" ht="15" hidden="false" customHeight="true" outlineLevel="0" collapsed="false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52"/>
      <c r="T287" s="52"/>
      <c r="U287" s="101"/>
      <c r="V287" s="52"/>
      <c r="W287" s="101"/>
      <c r="X287" s="101"/>
      <c r="Y287" s="101"/>
      <c r="Z287" s="101"/>
      <c r="AA287" s="101"/>
      <c r="AB287" s="101"/>
      <c r="AC287" s="101"/>
      <c r="AD287" s="94"/>
      <c r="AE287" s="94"/>
      <c r="AF287" s="91"/>
    </row>
    <row r="288" customFormat="false" ht="15" hidden="false" customHeight="true" outlineLevel="0" collapsed="false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52"/>
      <c r="T288" s="52"/>
      <c r="U288" s="101"/>
      <c r="V288" s="52"/>
      <c r="W288" s="101"/>
      <c r="X288" s="101"/>
      <c r="Y288" s="101"/>
      <c r="Z288" s="101"/>
      <c r="AA288" s="101"/>
      <c r="AB288" s="101"/>
      <c r="AC288" s="101"/>
      <c r="AD288" s="94"/>
      <c r="AE288" s="94"/>
      <c r="AF288" s="91"/>
    </row>
    <row r="289" customFormat="false" ht="15" hidden="false" customHeight="true" outlineLevel="0" collapsed="false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52"/>
      <c r="T289" s="52"/>
      <c r="U289" s="101"/>
      <c r="V289" s="52"/>
      <c r="W289" s="101"/>
      <c r="X289" s="101"/>
      <c r="Y289" s="101"/>
      <c r="Z289" s="101"/>
      <c r="AA289" s="101"/>
      <c r="AB289" s="101"/>
      <c r="AC289" s="101"/>
      <c r="AD289" s="94"/>
      <c r="AE289" s="94"/>
      <c r="AF289" s="91"/>
    </row>
    <row r="290" customFormat="false" ht="15" hidden="false" customHeight="true" outlineLevel="0" collapsed="false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52"/>
      <c r="T290" s="52"/>
      <c r="U290" s="101"/>
      <c r="V290" s="52"/>
      <c r="W290" s="101"/>
      <c r="X290" s="101"/>
      <c r="Y290" s="101"/>
      <c r="Z290" s="101"/>
      <c r="AA290" s="101"/>
      <c r="AB290" s="101"/>
      <c r="AC290" s="101"/>
      <c r="AD290" s="94"/>
      <c r="AE290" s="94"/>
      <c r="AF290" s="91"/>
    </row>
    <row r="291" customFormat="false" ht="15" hidden="false" customHeight="true" outlineLevel="0" collapsed="false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52"/>
      <c r="T291" s="52"/>
      <c r="U291" s="101"/>
      <c r="V291" s="52"/>
      <c r="W291" s="101"/>
      <c r="X291" s="101"/>
      <c r="Y291" s="101"/>
      <c r="Z291" s="101"/>
      <c r="AA291" s="101"/>
      <c r="AB291" s="101"/>
      <c r="AC291" s="101"/>
      <c r="AD291" s="94"/>
      <c r="AE291" s="94"/>
      <c r="AF291" s="91"/>
    </row>
    <row r="292" customFormat="false" ht="15" hidden="false" customHeight="true" outlineLevel="0" collapsed="false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52"/>
      <c r="T292" s="52"/>
      <c r="U292" s="101"/>
      <c r="V292" s="52"/>
      <c r="W292" s="101"/>
      <c r="X292" s="101"/>
      <c r="Y292" s="101"/>
      <c r="Z292" s="101"/>
      <c r="AA292" s="101"/>
      <c r="AB292" s="101"/>
      <c r="AC292" s="101"/>
      <c r="AD292" s="94"/>
      <c r="AE292" s="94"/>
      <c r="AF292" s="91"/>
    </row>
    <row r="293" customFormat="false" ht="15" hidden="false" customHeight="true" outlineLevel="0" collapsed="false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52"/>
      <c r="T293" s="52"/>
      <c r="U293" s="101"/>
      <c r="V293" s="52"/>
      <c r="W293" s="101"/>
      <c r="X293" s="101"/>
      <c r="Y293" s="101"/>
      <c r="Z293" s="101"/>
      <c r="AA293" s="101"/>
      <c r="AB293" s="101"/>
      <c r="AC293" s="101"/>
      <c r="AD293" s="94"/>
      <c r="AE293" s="94"/>
      <c r="AF293" s="91"/>
    </row>
    <row r="294" customFormat="false" ht="15" hidden="false" customHeight="true" outlineLevel="0" collapsed="false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52"/>
      <c r="T294" s="52"/>
      <c r="U294" s="101"/>
      <c r="V294" s="52"/>
      <c r="W294" s="101"/>
      <c r="X294" s="101"/>
      <c r="Y294" s="101"/>
      <c r="Z294" s="101"/>
      <c r="AA294" s="101"/>
      <c r="AB294" s="101"/>
      <c r="AC294" s="101"/>
      <c r="AD294" s="94"/>
      <c r="AE294" s="94"/>
      <c r="AF294" s="91"/>
    </row>
    <row r="295" customFormat="false" ht="15" hidden="false" customHeight="true" outlineLevel="0" collapsed="false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52"/>
      <c r="T295" s="52"/>
      <c r="U295" s="101"/>
      <c r="V295" s="52"/>
      <c r="W295" s="101"/>
      <c r="X295" s="101"/>
      <c r="Y295" s="101"/>
      <c r="Z295" s="101"/>
      <c r="AA295" s="101"/>
      <c r="AB295" s="101"/>
      <c r="AC295" s="101"/>
      <c r="AD295" s="94"/>
      <c r="AE295" s="94"/>
      <c r="AF295" s="91"/>
    </row>
    <row r="296" customFormat="false" ht="15" hidden="false" customHeight="true" outlineLevel="0" collapsed="false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52"/>
      <c r="T296" s="52"/>
      <c r="U296" s="101"/>
      <c r="V296" s="52"/>
      <c r="W296" s="101"/>
      <c r="X296" s="101"/>
      <c r="Y296" s="101"/>
      <c r="Z296" s="101"/>
      <c r="AA296" s="101"/>
      <c r="AB296" s="101"/>
      <c r="AC296" s="101"/>
      <c r="AD296" s="94"/>
      <c r="AE296" s="94"/>
      <c r="AF296" s="91"/>
    </row>
    <row r="297" customFormat="false" ht="15" hidden="false" customHeight="true" outlineLevel="0" collapsed="false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52"/>
      <c r="T297" s="52"/>
      <c r="U297" s="101"/>
      <c r="V297" s="52"/>
      <c r="W297" s="101"/>
      <c r="X297" s="101"/>
      <c r="Y297" s="101"/>
      <c r="Z297" s="101"/>
      <c r="AA297" s="101"/>
      <c r="AB297" s="101"/>
      <c r="AC297" s="101"/>
      <c r="AD297" s="94"/>
      <c r="AE297" s="94"/>
      <c r="AF297" s="91"/>
    </row>
    <row r="298" customFormat="false" ht="15" hidden="false" customHeight="true" outlineLevel="0" collapsed="false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52"/>
      <c r="T298" s="52"/>
      <c r="U298" s="101"/>
      <c r="V298" s="52"/>
      <c r="W298" s="101"/>
      <c r="X298" s="101"/>
      <c r="Y298" s="101"/>
      <c r="Z298" s="101"/>
      <c r="AA298" s="101"/>
      <c r="AB298" s="101"/>
      <c r="AC298" s="101"/>
      <c r="AD298" s="94"/>
      <c r="AE298" s="94"/>
      <c r="AF298" s="91"/>
    </row>
    <row r="299" customFormat="false" ht="15" hidden="false" customHeight="true" outlineLevel="0" collapsed="false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52"/>
      <c r="T299" s="52"/>
      <c r="U299" s="101"/>
      <c r="V299" s="52"/>
      <c r="W299" s="101"/>
      <c r="X299" s="101"/>
      <c r="Y299" s="101"/>
      <c r="Z299" s="101"/>
      <c r="AA299" s="101"/>
      <c r="AB299" s="101"/>
      <c r="AC299" s="101"/>
      <c r="AD299" s="94"/>
      <c r="AE299" s="94"/>
      <c r="AF299" s="91"/>
    </row>
    <row r="300" customFormat="false" ht="15" hidden="false" customHeight="true" outlineLevel="0" collapsed="false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52"/>
      <c r="T300" s="52"/>
      <c r="U300" s="101"/>
      <c r="V300" s="52"/>
      <c r="W300" s="101"/>
      <c r="X300" s="101"/>
      <c r="Y300" s="101"/>
      <c r="Z300" s="101"/>
      <c r="AA300" s="101"/>
      <c r="AB300" s="101"/>
      <c r="AC300" s="101"/>
      <c r="AD300" s="94"/>
      <c r="AE300" s="94"/>
      <c r="AF300" s="91"/>
    </row>
    <row r="301" customFormat="false" ht="15" hidden="false" customHeight="true" outlineLevel="0" collapsed="false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52"/>
      <c r="T301" s="52"/>
      <c r="U301" s="101"/>
      <c r="V301" s="52"/>
      <c r="W301" s="101"/>
      <c r="X301" s="101"/>
      <c r="Y301" s="101"/>
      <c r="Z301" s="101"/>
      <c r="AA301" s="101"/>
      <c r="AB301" s="101"/>
      <c r="AC301" s="101"/>
      <c r="AD301" s="94"/>
      <c r="AE301" s="94"/>
      <c r="AF301" s="91"/>
    </row>
    <row r="302" customFormat="false" ht="15" hidden="false" customHeight="true" outlineLevel="0" collapsed="false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52"/>
      <c r="T302" s="52"/>
      <c r="U302" s="101"/>
      <c r="V302" s="52"/>
      <c r="W302" s="101"/>
      <c r="X302" s="101"/>
      <c r="Y302" s="101"/>
      <c r="Z302" s="101"/>
      <c r="AA302" s="101"/>
      <c r="AB302" s="101"/>
      <c r="AC302" s="101"/>
      <c r="AD302" s="94"/>
      <c r="AE302" s="94"/>
      <c r="AF302" s="91"/>
    </row>
  </sheetData>
  <autoFilter ref="A1:AF302"/>
  <dataValidations count="5">
    <dataValidation allowBlank="true" errorStyle="stop" operator="between" showDropDown="false" showErrorMessage="false" showInputMessage="false" sqref="K3:R302 X3:X302 Z3:AA302" type="list">
      <formula1>"Sí,No"</formula1>
      <formula2>0</formula2>
    </dataValidation>
    <dataValidation allowBlank="true" errorStyle="stop" operator="between" showDropDown="false" showErrorMessage="false" showInputMessage="false" sqref="AB3:AB302" type="list">
      <formula1>"1,2,3,4,5"</formula1>
      <formula2>0</formula2>
    </dataValidation>
    <dataValidation allowBlank="true" errorStyle="stop" operator="between" showDropDown="false" showErrorMessage="false" showInputMessage="false" sqref="D3:D302" type="list">
      <formula1>99_Listas!$F$2:$F$22</formula1>
      <formula2>0</formula2>
    </dataValidation>
    <dataValidation allowBlank="true" errorStyle="stop" operator="between" showDropDown="false" showErrorMessage="false" showInputMessage="false" sqref="F3:F302" type="list">
      <formula1>99_Listas!$D$2:$D$16</formula1>
      <formula2>0</formula2>
    </dataValidation>
    <dataValidation allowBlank="true" errorStyle="stop" operator="between" showDropDown="false" showErrorMessage="false" showInputMessage="false" sqref="AF3:AF302" type="list">
      <formula1>"GPS en campo,Google Maps,Ubicación compartida por WhatsApp"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8"/>
    <col collapsed="false" customWidth="true" hidden="false" outlineLevel="0" max="3" min="3" style="1" width="16"/>
    <col collapsed="false" customWidth="true" hidden="false" outlineLevel="0" max="4" min="4" style="1" width="62"/>
  </cols>
  <sheetData>
    <row r="2" customFormat="false" ht="18" hidden="false" customHeight="true" outlineLevel="0" collapsed="false">
      <c r="B2" s="7" t="s">
        <v>3284</v>
      </c>
    </row>
    <row r="3" customFormat="false" ht="15" hidden="false" customHeight="true" outlineLevel="0" collapsed="false">
      <c r="B3" s="8" t="s">
        <v>3285</v>
      </c>
    </row>
    <row r="5" customFormat="false" ht="15" hidden="false" customHeight="true" outlineLevel="0" collapsed="false">
      <c r="B5" s="22" t="s">
        <v>3286</v>
      </c>
      <c r="C5" s="23"/>
    </row>
    <row r="6" customFormat="false" ht="15" hidden="false" customHeight="true" outlineLevel="0" collapsed="false">
      <c r="B6" s="102" t="s">
        <v>3287</v>
      </c>
      <c r="C6" s="103" t="n">
        <v>10</v>
      </c>
      <c r="D6" s="104" t="s">
        <v>3288</v>
      </c>
    </row>
    <row r="7" customFormat="false" ht="15" hidden="false" customHeight="true" outlineLevel="0" collapsed="false">
      <c r="B7" s="102" t="s">
        <v>3289</v>
      </c>
      <c r="C7" s="103" t="n">
        <v>1</v>
      </c>
    </row>
    <row r="8" customFormat="false" ht="15" hidden="false" customHeight="true" outlineLevel="0" collapsed="false">
      <c r="B8" s="102" t="s">
        <v>3290</v>
      </c>
      <c r="C8" s="105" t="n">
        <v>0.07</v>
      </c>
      <c r="D8" s="104" t="s">
        <v>3291</v>
      </c>
    </row>
    <row r="9" customFormat="false" ht="15" hidden="false" customHeight="true" outlineLevel="0" collapsed="false">
      <c r="B9" s="102" t="s">
        <v>3292</v>
      </c>
      <c r="C9" s="103" t="n">
        <v>4</v>
      </c>
    </row>
    <row r="10" customFormat="false" ht="15" hidden="false" customHeight="true" outlineLevel="0" collapsed="false">
      <c r="B10" s="102" t="s">
        <v>3293</v>
      </c>
      <c r="C10" s="103" t="n">
        <v>3.5</v>
      </c>
      <c r="D10" s="104" t="s">
        <v>3294</v>
      </c>
    </row>
    <row r="11" customFormat="false" ht="15" hidden="false" customHeight="true" outlineLevel="0" collapsed="false">
      <c r="B11" s="102" t="s">
        <v>3295</v>
      </c>
      <c r="C11" s="103" t="n">
        <v>0.5</v>
      </c>
    </row>
    <row r="12" customFormat="false" ht="15" hidden="false" customHeight="true" outlineLevel="0" collapsed="false">
      <c r="B12" s="102" t="s">
        <v>3296</v>
      </c>
      <c r="C12" s="106" t="n">
        <v>0.04</v>
      </c>
      <c r="D12" s="104" t="s">
        <v>3297</v>
      </c>
    </row>
    <row r="13" customFormat="false" ht="15" hidden="false" customHeight="true" outlineLevel="0" collapsed="false">
      <c r="B13" s="102" t="s">
        <v>3298</v>
      </c>
      <c r="C13" s="103" t="n">
        <v>0</v>
      </c>
    </row>
    <row r="14" customFormat="false" ht="15" hidden="false" customHeight="true" outlineLevel="0" collapsed="false">
      <c r="B14" s="102"/>
    </row>
    <row r="15" customFormat="false" ht="15" hidden="false" customHeight="true" outlineLevel="0" collapsed="false">
      <c r="B15" s="22" t="s">
        <v>3299</v>
      </c>
      <c r="C15" s="23"/>
    </row>
    <row r="16" customFormat="false" ht="15" hidden="false" customHeight="true" outlineLevel="0" collapsed="false">
      <c r="B16" s="102" t="s">
        <v>3300</v>
      </c>
      <c r="C16" s="107" t="n">
        <f aca="false">C6+C7</f>
        <v>11</v>
      </c>
    </row>
    <row r="17" customFormat="false" ht="15" hidden="false" customHeight="true" outlineLevel="0" collapsed="false">
      <c r="B17" s="102" t="s">
        <v>3301</v>
      </c>
      <c r="C17" s="107" t="n">
        <f aca="false">C9</f>
        <v>4</v>
      </c>
    </row>
    <row r="18" customFormat="false" ht="15" hidden="false" customHeight="true" outlineLevel="0" collapsed="false">
      <c r="B18" s="102" t="s">
        <v>3302</v>
      </c>
      <c r="C18" s="107" t="n">
        <f aca="false">C11</f>
        <v>0.5</v>
      </c>
    </row>
    <row r="19" customFormat="false" ht="21.75" hidden="false" customHeight="true" outlineLevel="0" collapsed="false">
      <c r="B19" s="24" t="s">
        <v>3303</v>
      </c>
      <c r="C19" s="108" t="n">
        <f aca="false">C16+C17+C18</f>
        <v>15.5</v>
      </c>
      <c r="D19" s="104" t="s">
        <v>3304</v>
      </c>
    </row>
    <row r="20" customFormat="false" ht="15" hidden="false" customHeight="true" outlineLevel="0" collapsed="false">
      <c r="B20" s="102"/>
    </row>
    <row r="21" customFormat="false" ht="15" hidden="false" customHeight="true" outlineLevel="0" collapsed="false">
      <c r="B21" s="22" t="s">
        <v>3305</v>
      </c>
      <c r="C21" s="23"/>
    </row>
    <row r="22" customFormat="false" ht="15" hidden="false" customHeight="true" outlineLevel="0" collapsed="false">
      <c r="B22" s="102" t="s">
        <v>3306</v>
      </c>
      <c r="C22" s="107" t="n">
        <f aca="false">ROUND(C6*C8,2)</f>
        <v>0.7</v>
      </c>
    </row>
    <row r="23" customFormat="false" ht="15" hidden="false" customHeight="true" outlineLevel="0" collapsed="false">
      <c r="B23" s="102" t="s">
        <v>3307</v>
      </c>
      <c r="C23" s="107" t="n">
        <f aca="false">C16-C22</f>
        <v>10.3</v>
      </c>
    </row>
    <row r="24" customFormat="false" ht="15" hidden="false" customHeight="true" outlineLevel="0" collapsed="false">
      <c r="B24" s="102" t="s">
        <v>3308</v>
      </c>
      <c r="C24" s="107" t="n">
        <f aca="false">C10</f>
        <v>3.5</v>
      </c>
    </row>
    <row r="25" customFormat="false" ht="15" hidden="false" customHeight="true" outlineLevel="0" collapsed="false">
      <c r="B25" s="102" t="s">
        <v>3309</v>
      </c>
      <c r="C25" s="107" t="n">
        <f aca="false">C19-C23-C24</f>
        <v>1.7</v>
      </c>
      <c r="D25" s="104" t="s">
        <v>3310</v>
      </c>
    </row>
    <row r="26" customFormat="false" ht="15" hidden="false" customHeight="true" outlineLevel="0" collapsed="false">
      <c r="B26" s="102"/>
    </row>
    <row r="27" customFormat="false" ht="15" hidden="false" customHeight="true" outlineLevel="0" collapsed="false">
      <c r="B27" s="22" t="s">
        <v>3311</v>
      </c>
      <c r="C27" s="23"/>
    </row>
    <row r="28" customFormat="false" ht="15" hidden="false" customHeight="true" outlineLevel="0" collapsed="false">
      <c r="B28" s="102" t="s">
        <v>3312</v>
      </c>
      <c r="C28" s="107" t="n">
        <f aca="false">ROUND(C19*C12+C13,2)</f>
        <v>0.62</v>
      </c>
    </row>
    <row r="29" customFormat="false" ht="15" hidden="false" customHeight="true" outlineLevel="0" collapsed="false">
      <c r="B29" s="24" t="s">
        <v>3313</v>
      </c>
      <c r="C29" s="108" t="n">
        <f aca="false">ROUND(C25-C28,2)</f>
        <v>1.08</v>
      </c>
      <c r="D29" s="104" t="s">
        <v>3314</v>
      </c>
    </row>
    <row r="30" customFormat="false" ht="15" hidden="false" customHeight="true" outlineLevel="0" collapsed="false">
      <c r="B30" s="102" t="s">
        <v>3315</v>
      </c>
      <c r="C30" s="109" t="n">
        <f aca="false">IFERROR(C29/C19,0)</f>
        <v>0.0696774193548387</v>
      </c>
    </row>
    <row r="31" customFormat="false" ht="21.75" hidden="false" customHeight="true" outlineLevel="0" collapsed="false">
      <c r="B31" s="102"/>
      <c r="D31" s="104" t="s">
        <v>3316</v>
      </c>
    </row>
    <row r="32" customFormat="false" ht="15" hidden="false" customHeight="true" outlineLevel="0" collapsed="false">
      <c r="B32" s="22" t="s">
        <v>3317</v>
      </c>
      <c r="C32" s="23"/>
    </row>
    <row r="33" customFormat="false" ht="15" hidden="false" customHeight="true" outlineLevel="0" collapsed="false">
      <c r="B33" s="102" t="s">
        <v>3318</v>
      </c>
      <c r="C33" s="103" t="n">
        <v>3000</v>
      </c>
      <c r="D33" s="104" t="s">
        <v>3319</v>
      </c>
    </row>
    <row r="34" customFormat="false" ht="15" hidden="false" customHeight="true" outlineLevel="0" collapsed="false">
      <c r="B34" s="24" t="s">
        <v>3320</v>
      </c>
      <c r="C34" s="110" t="n">
        <f aca="false">IFERROR(ROUNDUP(C33/C29,0),0)</f>
        <v>2778</v>
      </c>
    </row>
    <row r="35" customFormat="false" ht="15" hidden="false" customHeight="true" outlineLevel="0" collapsed="false">
      <c r="B35" s="24" t="s">
        <v>3321</v>
      </c>
      <c r="C35" s="110" t="n">
        <f aca="false">IFERROR(ROUNDUP(C34/30,0),0)</f>
        <v>93</v>
      </c>
      <c r="D35" s="104" t="s">
        <v>3322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8" min="3" style="1" width="17"/>
  </cols>
  <sheetData>
    <row r="2" customFormat="false" ht="18" hidden="false" customHeight="true" outlineLevel="0" collapsed="false">
      <c r="B2" s="7" t="s">
        <v>3323</v>
      </c>
    </row>
    <row r="4" customFormat="false" ht="31.5" hidden="false" customHeight="true" outlineLevel="0" collapsed="false">
      <c r="B4" s="13" t="s">
        <v>69</v>
      </c>
      <c r="C4" s="13" t="s">
        <v>3324</v>
      </c>
      <c r="D4" s="13" t="s">
        <v>73</v>
      </c>
      <c r="E4" s="13" t="s">
        <v>211</v>
      </c>
      <c r="F4" s="13" t="s">
        <v>212</v>
      </c>
      <c r="G4" s="13" t="s">
        <v>3325</v>
      </c>
      <c r="H4" s="13" t="s">
        <v>3326</v>
      </c>
    </row>
    <row r="5" customFormat="false" ht="15" hidden="false" customHeight="true" outlineLevel="0" collapsed="false">
      <c r="B5" s="50" t="s">
        <v>3327</v>
      </c>
      <c r="C5" s="111" t="n">
        <f aca="false">COUNTA(01_Desayunos!$C$2:$C$93)</f>
        <v>92</v>
      </c>
      <c r="D5" s="112" t="n">
        <f aca="false">ROUND(AVERAGE(01_Desayunos!$J$2:$J$93),2)</f>
        <v>10.3</v>
      </c>
      <c r="E5" s="112" t="n">
        <f aca="false">MIN(01_Desayunos!$H$2:$H$93)</f>
        <v>1</v>
      </c>
      <c r="F5" s="112" t="n">
        <f aca="false">MAX(01_Desayunos!$I$2:$I$93)</f>
        <v>70</v>
      </c>
      <c r="G5" s="112" t="n">
        <f aca="false">ROUND(AVERAGE(01_Desayunos!$O$2:$O$93),2)</f>
        <v>9.43</v>
      </c>
      <c r="H5" s="112" t="n">
        <f aca="false">ROUND(AVERAGE(01_Desayunos!$N$2:$N$93),2)</f>
        <v>0.87</v>
      </c>
    </row>
    <row r="6" customFormat="false" ht="15" hidden="false" customHeight="true" outlineLevel="0" collapsed="false">
      <c r="B6" s="50" t="s">
        <v>3328</v>
      </c>
      <c r="C6" s="111" t="n">
        <f aca="false">COUNTA(02_Almuerzos!$C$2:$C$172)</f>
        <v>171</v>
      </c>
      <c r="D6" s="112" t="n">
        <f aca="false">ROUND(AVERAGE(02_Almuerzos!$J$2:$J$172),2)</f>
        <v>14.05</v>
      </c>
      <c r="E6" s="112" t="n">
        <f aca="false">MIN(02_Almuerzos!$H$2:$H$172)</f>
        <v>1</v>
      </c>
      <c r="F6" s="112" t="n">
        <f aca="false">MAX(02_Almuerzos!$I$2:$I$172)</f>
        <v>56</v>
      </c>
      <c r="G6" s="112" t="n">
        <f aca="false">ROUND(AVERAGE(02_Almuerzos!$O$2:$O$172),2)</f>
        <v>12.76</v>
      </c>
      <c r="H6" s="112" t="n">
        <f aca="false">ROUND(AVERAGE(02_Almuerzos!$N$2:$N$172),2)</f>
        <v>1.28</v>
      </c>
    </row>
    <row r="7" customFormat="false" ht="15" hidden="false" customHeight="true" outlineLevel="0" collapsed="false">
      <c r="B7" s="50" t="s">
        <v>3329</v>
      </c>
      <c r="C7" s="111" t="n">
        <f aca="false">COUNTA(03_Cenas!$C$2:$C$113)</f>
        <v>112</v>
      </c>
      <c r="D7" s="112" t="n">
        <f aca="false">ROUND(AVERAGE(03_Cenas!$J$2:$J$113),2)</f>
        <v>21.9</v>
      </c>
      <c r="E7" s="112" t="n">
        <f aca="false">MIN(03_Cenas!$H$2:$H$113)</f>
        <v>4</v>
      </c>
      <c r="F7" s="112" t="n">
        <f aca="false">MAX(03_Cenas!$I$2:$I$113)</f>
        <v>100</v>
      </c>
      <c r="G7" s="112" t="n">
        <f aca="false">ROUND(AVERAGE(03_Cenas!$O$2:$O$113),2)</f>
        <v>19.59</v>
      </c>
      <c r="H7" s="112" t="n">
        <f aca="false">ROUND(AVERAGE(03_Cenas!$N$2:$N$113),2)</f>
        <v>2.31</v>
      </c>
    </row>
    <row r="8" customFormat="false" ht="15" hidden="false" customHeight="true" outlineLevel="0" collapsed="false">
      <c r="B8" s="50" t="s">
        <v>3330</v>
      </c>
      <c r="C8" s="111" t="n">
        <f aca="false">COUNTA(04_Especiales!$C$2:$C$97)</f>
        <v>96</v>
      </c>
      <c r="D8" s="112" t="n">
        <f aca="false">ROUND(AVERAGE(04_Especiales!$J$2:$J$97),2)</f>
        <v>111.34</v>
      </c>
      <c r="E8" s="112" t="n">
        <f aca="false">MIN(04_Especiales!$H$2:$H$97)</f>
        <v>5</v>
      </c>
      <c r="F8" s="112" t="n">
        <f aca="false">MAX(04_Especiales!$I$2:$I$97)</f>
        <v>2000</v>
      </c>
      <c r="G8" s="112" t="n">
        <f aca="false">ROUND(AVERAGE(04_Especiales!$O$2:$O$97),2)</f>
        <v>97.19</v>
      </c>
      <c r="H8" s="112" t="n">
        <f aca="false">ROUND(AVERAGE(04_Especiales!$N$2:$N$97),2)</f>
        <v>14.15</v>
      </c>
    </row>
    <row r="9" customFormat="false" ht="15" hidden="false" customHeight="true" outlineLevel="0" collapsed="false">
      <c r="B9" s="50" t="s">
        <v>3331</v>
      </c>
      <c r="C9" s="111" t="n">
        <f aca="false">COUNTA(05_Jugos_Aperitivos!$C$2:$C$107)</f>
        <v>106</v>
      </c>
      <c r="D9" s="112" t="n">
        <f aca="false">ROUND(AVERAGE(05_Jugos_Aperitivos!$J$2:$J$107),2)</f>
        <v>8.22</v>
      </c>
      <c r="E9" s="112" t="n">
        <f aca="false">MIN(05_Jugos_Aperitivos!$H$2:$H$107)</f>
        <v>1</v>
      </c>
      <c r="F9" s="112" t="n">
        <f aca="false">MAX(05_Jugos_Aperitivos!$I$2:$I$107)</f>
        <v>35</v>
      </c>
      <c r="G9" s="112" t="n">
        <f aca="false">ROUND(AVERAGE(05_Jugos_Aperitivos!$O$2:$O$107),2)</f>
        <v>7.56</v>
      </c>
      <c r="H9" s="112" t="n">
        <f aca="false">ROUND(AVERAGE(05_Jugos_Aperitivos!$N$2:$N$107),2)</f>
        <v>0.66</v>
      </c>
    </row>
    <row r="10" customFormat="false" ht="15" hidden="false" customHeight="true" outlineLevel="0" collapsed="false">
      <c r="B10" s="50" t="s">
        <v>3332</v>
      </c>
      <c r="C10" s="111" t="n">
        <f aca="false">COUNTA(06_Jugos_Desayuno_Rapido!$C$2:$C$99)</f>
        <v>98</v>
      </c>
      <c r="D10" s="112" t="n">
        <f aca="false">ROUND(AVERAGE(06_Jugos_Desayuno_Rapido!$J$2:$J$99),2)</f>
        <v>5.12</v>
      </c>
      <c r="E10" s="112" t="n">
        <f aca="false">MIN(06_Jugos_Desayuno_Rapido!$H$2:$H$99)</f>
        <v>1</v>
      </c>
      <c r="F10" s="112" t="n">
        <f aca="false">MAX(06_Jugos_Desayuno_Rapido!$I$2:$I$99)</f>
        <v>18</v>
      </c>
      <c r="G10" s="112" t="n">
        <f aca="false">ROUND(AVERAGE(06_Jugos_Desayuno_Rapido!$O$2:$O$99),2)</f>
        <v>4.75</v>
      </c>
      <c r="H10" s="112" t="n">
        <f aca="false">ROUND(AVERAGE(06_Jugos_Desayuno_Rapido!$N$2:$N$99),2)</f>
        <v>0.36</v>
      </c>
    </row>
    <row r="11" customFormat="false" ht="15" hidden="false" customHeight="true" outlineLevel="0" collapsed="false">
      <c r="B11" s="50" t="s">
        <v>3333</v>
      </c>
      <c r="C11" s="111" t="n">
        <f aca="false">COUNTA(07_Licorerias!$C$2:$C$113)</f>
        <v>112</v>
      </c>
      <c r="D11" s="112" t="n">
        <f aca="false">ROUND(AVERAGE(07_Licorerias!$J$2:$J$113),2)</f>
        <v>46.22</v>
      </c>
      <c r="E11" s="112" t="n">
        <f aca="false">MIN(07_Licorerias!$H$2:$H$113)</f>
        <v>3</v>
      </c>
      <c r="F11" s="112" t="n">
        <f aca="false">MAX(07_Licorerias!$I$2:$I$113)</f>
        <v>280</v>
      </c>
      <c r="G11" s="112" t="n">
        <f aca="false">ROUND(AVERAGE(07_Licorerias!$O$2:$O$113),2)</f>
        <v>41.17</v>
      </c>
      <c r="H11" s="112" t="n">
        <f aca="false">ROUND(AVERAGE(07_Licorerias!$N$2:$N$113),2)</f>
        <v>5.05</v>
      </c>
    </row>
    <row r="12" customFormat="false" ht="15" hidden="false" customHeight="true" outlineLevel="0" collapsed="false">
      <c r="B12" s="113" t="s">
        <v>3334</v>
      </c>
      <c r="C12" s="114" t="n">
        <f aca="false">SUM(C5:C11)</f>
        <v>787</v>
      </c>
    </row>
    <row r="14" customFormat="false" ht="15" hidden="false" customHeight="true" outlineLevel="0" collapsed="false">
      <c r="B14" s="8" t="s">
        <v>3335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4"/>
    <col collapsed="false" customWidth="true" hidden="false" outlineLevel="0" max="4" min="4" style="1" width="30"/>
    <col collapsed="false" customWidth="true" hidden="false" outlineLevel="0" max="5" min="5" style="1" width="36"/>
    <col collapsed="false" customWidth="true" hidden="false" outlineLevel="0" max="6" min="6" style="1" width="44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11" min="9" style="1" width="11"/>
    <col collapsed="false" customWidth="true" hidden="false" outlineLevel="0" max="12" min="12" style="1" width="12"/>
    <col collapsed="false" customWidth="true" hidden="false" outlineLevel="0" max="13" min="13" style="1" width="11"/>
    <col collapsed="false" customWidth="true" hidden="false" outlineLevel="0" max="14" min="14" style="1" width="12"/>
    <col collapsed="false" customWidth="true" hidden="false" outlineLevel="0" max="15" min="15" style="1" width="13"/>
    <col collapsed="false" customWidth="true" hidden="false" outlineLevel="0" max="16" min="16" style="1" width="8"/>
    <col collapsed="false" customWidth="true" hidden="false" outlineLevel="0" max="17" min="17" style="1" width="13"/>
    <col collapsed="false" customWidth="true" hidden="false" outlineLevel="0" max="18" min="18" style="1" width="20"/>
    <col collapsed="false" customWidth="true" hidden="false" outlineLevel="0" max="19" min="19" style="1" width="22"/>
    <col collapsed="false" customWidth="true" hidden="false" outlineLevel="0" max="20" min="20" style="1" width="40"/>
    <col collapsed="false" customWidth="true" hidden="false" outlineLevel="0" max="21" min="21" style="1" width="12"/>
    <col collapsed="false" customWidth="true" hidden="false" outlineLevel="0" max="22" min="22" style="1" width="10"/>
    <col collapsed="false" customWidth="true" hidden="false" outlineLevel="0" max="23" min="23" style="1" width="11"/>
  </cols>
  <sheetData>
    <row r="1" customFormat="false" ht="33.75" hidden="false" customHeight="true" outlineLevel="0" collapsed="false">
      <c r="A1" s="13" t="s">
        <v>68</v>
      </c>
      <c r="B1" s="13" t="s">
        <v>69</v>
      </c>
      <c r="C1" s="13" t="s">
        <v>70</v>
      </c>
      <c r="D1" s="13" t="s">
        <v>71</v>
      </c>
      <c r="E1" s="13" t="s">
        <v>208</v>
      </c>
      <c r="F1" s="13" t="s">
        <v>209</v>
      </c>
      <c r="G1" s="13" t="s">
        <v>3336</v>
      </c>
      <c r="H1" s="13" t="s">
        <v>72</v>
      </c>
      <c r="I1" s="13" t="s">
        <v>3337</v>
      </c>
      <c r="J1" s="13" t="s">
        <v>3338</v>
      </c>
      <c r="K1" s="13" t="s">
        <v>3339</v>
      </c>
      <c r="L1" s="13" t="s">
        <v>3340</v>
      </c>
      <c r="M1" s="13" t="s">
        <v>3341</v>
      </c>
      <c r="N1" s="13" t="s">
        <v>3342</v>
      </c>
      <c r="O1" s="13" t="s">
        <v>217</v>
      </c>
      <c r="P1" s="13" t="s">
        <v>3343</v>
      </c>
      <c r="Q1" s="13" t="s">
        <v>219</v>
      </c>
      <c r="R1" s="13" t="s">
        <v>220</v>
      </c>
      <c r="S1" s="13" t="s">
        <v>155</v>
      </c>
      <c r="T1" s="13" t="s">
        <v>3344</v>
      </c>
      <c r="U1" s="13" t="s">
        <v>3345</v>
      </c>
      <c r="V1" s="13" t="s">
        <v>3346</v>
      </c>
      <c r="W1" s="13" t="s">
        <v>3347</v>
      </c>
    </row>
    <row r="2" customFormat="false" ht="23.25" hidden="false" customHeight="true" outlineLevel="0" collapsed="false">
      <c r="A2" s="55" t="n">
        <v>1</v>
      </c>
      <c r="B2" s="55" t="s">
        <v>3327</v>
      </c>
      <c r="C2" s="55" t="str">
        <f aca="false">IF(01_Desayunos!B2="","",01_Desayunos!B2)</f>
        <v>Caldos de mañana</v>
      </c>
      <c r="D2" s="56" t="str">
        <f aca="false">IF(01_Desayunos!C2="","",01_Desayunos!C2)</f>
        <v>Caldo de gallina</v>
      </c>
      <c r="E2" s="56" t="str">
        <f aca="false">IF(01_Desayunos!D2="","",01_Desayunos!D2)</f>
        <v>Presa de gallina, fideo, papa, huevo</v>
      </c>
      <c r="F2" s="56" t="str">
        <f aca="false">IF(01_Desayunos!E2="","",01_Desayunos!E2)</f>
        <v>presa de gallina, fideo cabello de ángel, papa, huevo, cebolla china, kion, sal</v>
      </c>
      <c r="G2" s="55" t="str">
        <f aca="false">IF(01_Desayunos!F2="","",01_Desayunos!F2)</f>
        <v>Plato hondo</v>
      </c>
      <c r="H2" s="55" t="str">
        <f aca="false">IF(01_Desayunos!G2="","",01_Desayunos!G2)</f>
        <v>Económico</v>
      </c>
      <c r="I2" s="58" t="n">
        <f aca="false">IF(01_Desayunos!H2="","",01_Desayunos!H2)</f>
        <v>10</v>
      </c>
      <c r="J2" s="58" t="n">
        <f aca="false">IF(01_Desayunos!I2="","",01_Desayunos!I2)</f>
        <v>15</v>
      </c>
      <c r="K2" s="58" t="n">
        <f aca="false">IF(01_Desayunos!J2="","",01_Desayunos!J2)</f>
        <v>12.5</v>
      </c>
      <c r="L2" s="58" t="n">
        <f aca="false">IF(01_Desayunos!L2="","",01_Desayunos!L2)</f>
        <v>13.5</v>
      </c>
      <c r="M2" s="58" t="n">
        <f aca="false">IF(01_Desayunos!N2="","",01_Desayunos!N2)</f>
        <v>0.88</v>
      </c>
      <c r="N2" s="58" t="n">
        <f aca="false">IF(01_Desayunos!O2="","",01_Desayunos!O2)</f>
        <v>11.62</v>
      </c>
      <c r="O2" s="55" t="str">
        <f aca="false">IF(01_Desayunos!P2="","",01_Desayunos!P2)</f>
        <v>05:00-09:00</v>
      </c>
      <c r="P2" s="55" t="n">
        <f aca="false">IF(01_Desayunos!Q2="","",01_Desayunos!Q2)</f>
        <v>10</v>
      </c>
      <c r="Q2" s="55" t="str">
        <f aca="false">IF(01_Desayunos!R2="","",01_Desayunos!R2)</f>
        <v>Medio</v>
      </c>
      <c r="R2" s="55" t="str">
        <f aca="false">IF(01_Desayunos!S2="","",01_Desayunos!S2)</f>
        <v>Todo el año</v>
      </c>
      <c r="S2" s="55" t="str">
        <f aca="false">IF(01_Desayunos!T2="","",01_Desayunos!T2)</f>
        <v>Caldería, mercado</v>
      </c>
      <c r="T2" s="56" t="str">
        <f aca="false">IF(01_Desayunos!U2="","",01_Desayunos!U2)</f>
        <v>Producto rey del desayuno puneño; se vende desde la madrugada</v>
      </c>
      <c r="U2" s="55" t="n">
        <v>2</v>
      </c>
      <c r="V2" s="55" t="n">
        <f aca="false">IF(AND(OR(LEN(13_Buscador!$C$5)=0,ISNUMBER(SEARCH(13_Buscador!$C$5,$C2&amp;" "&amp;$D2&amp;" "&amp;$E2&amp;" "&amp;$F2&amp;" "&amp;$S2))),OR(13_Buscador!$C$6="Todas las listas",LEN(13_Buscador!$C$6)=0,13_Buscador!$C$6=$B2)),1,0)</f>
        <v>0</v>
      </c>
      <c r="W2" s="55" t="str">
        <f aca="false">IF(V2=1,SUM($V$2:V2),"")</f>
        <v/>
      </c>
    </row>
    <row r="3" customFormat="false" ht="23.25" hidden="false" customHeight="true" outlineLevel="0" collapsed="false">
      <c r="A3" s="55" t="n">
        <v>2</v>
      </c>
      <c r="B3" s="55" t="s">
        <v>3327</v>
      </c>
      <c r="C3" s="55" t="str">
        <f aca="false">IF(01_Desayunos!B3="","",01_Desayunos!B3)</f>
        <v>Caldos de mañana</v>
      </c>
      <c r="D3" s="56" t="str">
        <f aca="false">IF(01_Desayunos!C3="","",01_Desayunos!C3)</f>
        <v>Caldo de cabeza</v>
      </c>
      <c r="E3" s="56" t="str">
        <f aca="false">IF(01_Desayunos!D3="","",01_Desayunos!D3)</f>
        <v>Cabeza de cordero, papa, chuño</v>
      </c>
      <c r="F3" s="56" t="str">
        <f aca="false">IF(01_Desayunos!E3="","",01_Desayunos!E3)</f>
        <v>cabeza de cordero, papa, chuño, cebolla, hierbabuena, sal</v>
      </c>
      <c r="G3" s="55" t="str">
        <f aca="false">IF(01_Desayunos!F3="","",01_Desayunos!F3)</f>
        <v>Plato hondo</v>
      </c>
      <c r="H3" s="55" t="str">
        <f aca="false">IF(01_Desayunos!G3="","",01_Desayunos!G3)</f>
        <v>Estándar</v>
      </c>
      <c r="I3" s="58" t="n">
        <f aca="false">IF(01_Desayunos!H3="","",01_Desayunos!H3)</f>
        <v>12</v>
      </c>
      <c r="J3" s="58" t="n">
        <f aca="false">IF(01_Desayunos!I3="","",01_Desayunos!I3)</f>
        <v>18</v>
      </c>
      <c r="K3" s="58" t="n">
        <f aca="false">IF(01_Desayunos!J3="","",01_Desayunos!J3)</f>
        <v>15</v>
      </c>
      <c r="L3" s="58" t="n">
        <f aca="false">IF(01_Desayunos!L3="","",01_Desayunos!L3)</f>
        <v>16</v>
      </c>
      <c r="M3" s="58" t="n">
        <f aca="false">IF(01_Desayunos!N3="","",01_Desayunos!N3)</f>
        <v>1.35</v>
      </c>
      <c r="N3" s="58" t="n">
        <f aca="false">IF(01_Desayunos!O3="","",01_Desayunos!O3)</f>
        <v>13.65</v>
      </c>
      <c r="O3" s="55" t="str">
        <f aca="false">IF(01_Desayunos!P3="","",01_Desayunos!P3)</f>
        <v>05:00-09:00</v>
      </c>
      <c r="P3" s="55" t="n">
        <f aca="false">IF(01_Desayunos!Q3="","",01_Desayunos!Q3)</f>
        <v>10</v>
      </c>
      <c r="Q3" s="55" t="str">
        <f aca="false">IF(01_Desayunos!R3="","",01_Desayunos!R3)</f>
        <v>Medio</v>
      </c>
      <c r="R3" s="55" t="str">
        <f aca="false">IF(01_Desayunos!S3="","",01_Desayunos!S3)</f>
        <v>Todo el año</v>
      </c>
      <c r="S3" s="55" t="str">
        <f aca="false">IF(01_Desayunos!T3="","",01_Desayunos!T3)</f>
        <v>Caldería, mercado</v>
      </c>
      <c r="T3" s="56" t="str">
        <f aca="false">IF(01_Desayunos!U3="","",01_Desayunos!U3)</f>
        <v>Muy pedido los fines de semana</v>
      </c>
      <c r="U3" s="55" t="n">
        <v>3</v>
      </c>
      <c r="V3" s="55" t="n">
        <f aca="false">IF(AND(OR(LEN(13_Buscador!$C$5)=0,ISNUMBER(SEARCH(13_Buscador!$C$5,$C3&amp;" "&amp;$D3&amp;" "&amp;$E3&amp;" "&amp;$F3&amp;" "&amp;$S3))),OR(13_Buscador!$C$6="Todas las listas",LEN(13_Buscador!$C$6)=0,13_Buscador!$C$6=$B3)),1,0)</f>
        <v>0</v>
      </c>
      <c r="W3" s="55" t="str">
        <f aca="false">IF(V3=1,SUM($V$2:V3),"")</f>
        <v/>
      </c>
    </row>
    <row r="4" customFormat="false" ht="23.25" hidden="false" customHeight="true" outlineLevel="0" collapsed="false">
      <c r="A4" s="55" t="n">
        <v>3</v>
      </c>
      <c r="B4" s="55" t="s">
        <v>3327</v>
      </c>
      <c r="C4" s="55" t="str">
        <f aca="false">IF(01_Desayunos!B4="","",01_Desayunos!B4)</f>
        <v>Caldos de mañana</v>
      </c>
      <c r="D4" s="56" t="str">
        <f aca="false">IF(01_Desayunos!C4="","",01_Desayunos!C4)</f>
        <v>Caldo de cordero</v>
      </c>
      <c r="E4" s="56" t="str">
        <f aca="false">IF(01_Desayunos!D4="","",01_Desayunos!D4)</f>
        <v>Cordero, chuño, papa, verduras</v>
      </c>
      <c r="F4" s="56" t="str">
        <f aca="false">IF(01_Desayunos!E4="","",01_Desayunos!E4)</f>
        <v>carne de cordero, chuño, papa, zanahoria, cebolla, hierbabuena, sal</v>
      </c>
      <c r="G4" s="55" t="str">
        <f aca="false">IF(01_Desayunos!F4="","",01_Desayunos!F4)</f>
        <v>Plato hondo</v>
      </c>
      <c r="H4" s="55" t="str">
        <f aca="false">IF(01_Desayunos!G4="","",01_Desayunos!G4)</f>
        <v>Estándar</v>
      </c>
      <c r="I4" s="58" t="n">
        <f aca="false">IF(01_Desayunos!H4="","",01_Desayunos!H4)</f>
        <v>12</v>
      </c>
      <c r="J4" s="58" t="n">
        <f aca="false">IF(01_Desayunos!I4="","",01_Desayunos!I4)</f>
        <v>18</v>
      </c>
      <c r="K4" s="58" t="n">
        <f aca="false">IF(01_Desayunos!J4="","",01_Desayunos!J4)</f>
        <v>15</v>
      </c>
      <c r="L4" s="58" t="n">
        <f aca="false">IF(01_Desayunos!L4="","",01_Desayunos!L4)</f>
        <v>16</v>
      </c>
      <c r="M4" s="58" t="n">
        <f aca="false">IF(01_Desayunos!N4="","",01_Desayunos!N4)</f>
        <v>1.35</v>
      </c>
      <c r="N4" s="58" t="n">
        <f aca="false">IF(01_Desayunos!O4="","",01_Desayunos!O4)</f>
        <v>13.65</v>
      </c>
      <c r="O4" s="55" t="str">
        <f aca="false">IF(01_Desayunos!P4="","",01_Desayunos!P4)</f>
        <v>05:00-09:00</v>
      </c>
      <c r="P4" s="55" t="n">
        <f aca="false">IF(01_Desayunos!Q4="","",01_Desayunos!Q4)</f>
        <v>10</v>
      </c>
      <c r="Q4" s="55" t="str">
        <f aca="false">IF(01_Desayunos!R4="","",01_Desayunos!R4)</f>
        <v>Medio</v>
      </c>
      <c r="R4" s="55" t="str">
        <f aca="false">IF(01_Desayunos!S4="","",01_Desayunos!S4)</f>
        <v>Todo el año</v>
      </c>
      <c r="S4" s="55" t="str">
        <f aca="false">IF(01_Desayunos!T4="","",01_Desayunos!T4)</f>
        <v>Caldería, mercado</v>
      </c>
      <c r="T4" s="56" t="str">
        <f aca="false">IF(01_Desayunos!U4="","",01_Desayunos!U4)</f>
        <v/>
      </c>
      <c r="U4" s="55" t="n">
        <v>4</v>
      </c>
      <c r="V4" s="55" t="n">
        <f aca="false">IF(AND(OR(LEN(13_Buscador!$C$5)=0,ISNUMBER(SEARCH(13_Buscador!$C$5,$C4&amp;" "&amp;$D4&amp;" "&amp;$E4&amp;" "&amp;$F4&amp;" "&amp;$S4))),OR(13_Buscador!$C$6="Todas las listas",LEN(13_Buscador!$C$6)=0,13_Buscador!$C$6=$B4)),1,0)</f>
        <v>0</v>
      </c>
      <c r="W4" s="55" t="str">
        <f aca="false">IF(V4=1,SUM($V$2:V4),"")</f>
        <v/>
      </c>
    </row>
    <row r="5" customFormat="false" ht="15" hidden="false" customHeight="true" outlineLevel="0" collapsed="false">
      <c r="A5" s="55" t="n">
        <v>4</v>
      </c>
      <c r="B5" s="55" t="s">
        <v>3327</v>
      </c>
      <c r="C5" s="55" t="str">
        <f aca="false">IF(01_Desayunos!B5="","",01_Desayunos!B5)</f>
        <v>Caldos de mañana</v>
      </c>
      <c r="D5" s="56" t="str">
        <f aca="false">IF(01_Desayunos!C5="","",01_Desayunos!C5)</f>
        <v>Caldo de res</v>
      </c>
      <c r="E5" s="56" t="str">
        <f aca="false">IF(01_Desayunos!D5="","",01_Desayunos!D5)</f>
        <v>Trozo de res, papa, fideo</v>
      </c>
      <c r="F5" s="56" t="str">
        <f aca="false">IF(01_Desayunos!E5="","",01_Desayunos!E5)</f>
        <v>carne de res, papa, fideo, zanahoria, apio, cebolla, sal</v>
      </c>
      <c r="G5" s="55" t="str">
        <f aca="false">IF(01_Desayunos!F5="","",01_Desayunos!F5)</f>
        <v>Plato hondo</v>
      </c>
      <c r="H5" s="55" t="str">
        <f aca="false">IF(01_Desayunos!G5="","",01_Desayunos!G5)</f>
        <v>Estándar</v>
      </c>
      <c r="I5" s="58" t="n">
        <f aca="false">IF(01_Desayunos!H5="","",01_Desayunos!H5)</f>
        <v>10</v>
      </c>
      <c r="J5" s="58" t="n">
        <f aca="false">IF(01_Desayunos!I5="","",01_Desayunos!I5)</f>
        <v>16</v>
      </c>
      <c r="K5" s="58" t="n">
        <f aca="false">IF(01_Desayunos!J5="","",01_Desayunos!J5)</f>
        <v>13</v>
      </c>
      <c r="L5" s="58" t="n">
        <f aca="false">IF(01_Desayunos!L5="","",01_Desayunos!L5)</f>
        <v>14</v>
      </c>
      <c r="M5" s="58" t="n">
        <f aca="false">IF(01_Desayunos!N5="","",01_Desayunos!N5)</f>
        <v>1.17</v>
      </c>
      <c r="N5" s="58" t="n">
        <f aca="false">IF(01_Desayunos!O5="","",01_Desayunos!O5)</f>
        <v>11.83</v>
      </c>
      <c r="O5" s="55" t="str">
        <f aca="false">IF(01_Desayunos!P5="","",01_Desayunos!P5)</f>
        <v>05:00-09:00</v>
      </c>
      <c r="P5" s="55" t="n">
        <f aca="false">IF(01_Desayunos!Q5="","",01_Desayunos!Q5)</f>
        <v>10</v>
      </c>
      <c r="Q5" s="55" t="str">
        <f aca="false">IF(01_Desayunos!R5="","",01_Desayunos!R5)</f>
        <v>Medio</v>
      </c>
      <c r="R5" s="55" t="str">
        <f aca="false">IF(01_Desayunos!S5="","",01_Desayunos!S5)</f>
        <v>Todo el año</v>
      </c>
      <c r="S5" s="55" t="str">
        <f aca="false">IF(01_Desayunos!T5="","",01_Desayunos!T5)</f>
        <v>Caldería, mercado</v>
      </c>
      <c r="T5" s="56" t="str">
        <f aca="false">IF(01_Desayunos!U5="","",01_Desayunos!U5)</f>
        <v/>
      </c>
      <c r="U5" s="55" t="n">
        <v>5</v>
      </c>
      <c r="V5" s="55" t="n">
        <f aca="false">IF(AND(OR(LEN(13_Buscador!$C$5)=0,ISNUMBER(SEARCH(13_Buscador!$C$5,$C5&amp;" "&amp;$D5&amp;" "&amp;$E5&amp;" "&amp;$F5&amp;" "&amp;$S5))),OR(13_Buscador!$C$6="Todas las listas",LEN(13_Buscador!$C$6)=0,13_Buscador!$C$6=$B5)),1,0)</f>
        <v>0</v>
      </c>
      <c r="W5" s="55" t="str">
        <f aca="false">IF(V5=1,SUM($V$2:V5),"")</f>
        <v/>
      </c>
    </row>
    <row r="6" customFormat="false" ht="15" hidden="false" customHeight="true" outlineLevel="0" collapsed="false">
      <c r="A6" s="55" t="n">
        <v>5</v>
      </c>
      <c r="B6" s="55" t="s">
        <v>3327</v>
      </c>
      <c r="C6" s="55" t="str">
        <f aca="false">IF(01_Desayunos!B6="","",01_Desayunos!B6)</f>
        <v>Caldos de mañana</v>
      </c>
      <c r="D6" s="56" t="str">
        <f aca="false">IF(01_Desayunos!C6="","",01_Desayunos!C6)</f>
        <v>Caldo de patita</v>
      </c>
      <c r="E6" s="56" t="str">
        <f aca="false">IF(01_Desayunos!D6="","",01_Desayunos!D6)</f>
        <v>Patita de res o cordero</v>
      </c>
      <c r="F6" s="56" t="str">
        <f aca="false">IF(01_Desayunos!E6="","",01_Desayunos!E6)</f>
        <v>patita de res, mote, papa, hierbabuena, cebolla, sal</v>
      </c>
      <c r="G6" s="55" t="str">
        <f aca="false">IF(01_Desayunos!F6="","",01_Desayunos!F6)</f>
        <v>Plato hondo</v>
      </c>
      <c r="H6" s="55" t="str">
        <f aca="false">IF(01_Desayunos!G6="","",01_Desayunos!G6)</f>
        <v>Estándar</v>
      </c>
      <c r="I6" s="58" t="n">
        <f aca="false">IF(01_Desayunos!H6="","",01_Desayunos!H6)</f>
        <v>10</v>
      </c>
      <c r="J6" s="58" t="n">
        <f aca="false">IF(01_Desayunos!I6="","",01_Desayunos!I6)</f>
        <v>16</v>
      </c>
      <c r="K6" s="58" t="n">
        <f aca="false">IF(01_Desayunos!J6="","",01_Desayunos!J6)</f>
        <v>13</v>
      </c>
      <c r="L6" s="58" t="n">
        <f aca="false">IF(01_Desayunos!L6="","",01_Desayunos!L6)</f>
        <v>14</v>
      </c>
      <c r="M6" s="58" t="n">
        <f aca="false">IF(01_Desayunos!N6="","",01_Desayunos!N6)</f>
        <v>1.17</v>
      </c>
      <c r="N6" s="58" t="n">
        <f aca="false">IF(01_Desayunos!O6="","",01_Desayunos!O6)</f>
        <v>11.83</v>
      </c>
      <c r="O6" s="55" t="str">
        <f aca="false">IF(01_Desayunos!P6="","",01_Desayunos!P6)</f>
        <v>05:00-09:00</v>
      </c>
      <c r="P6" s="55" t="n">
        <f aca="false">IF(01_Desayunos!Q6="","",01_Desayunos!Q6)</f>
        <v>10</v>
      </c>
      <c r="Q6" s="55" t="str">
        <f aca="false">IF(01_Desayunos!R6="","",01_Desayunos!R6)</f>
        <v>Medio</v>
      </c>
      <c r="R6" s="55" t="str">
        <f aca="false">IF(01_Desayunos!S6="","",01_Desayunos!S6)</f>
        <v>Todo el año</v>
      </c>
      <c r="S6" s="55" t="str">
        <f aca="false">IF(01_Desayunos!T6="","",01_Desayunos!T6)</f>
        <v>Caldería, mercado</v>
      </c>
      <c r="T6" s="56" t="str">
        <f aca="false">IF(01_Desayunos!U6="","",01_Desayunos!U6)</f>
        <v/>
      </c>
      <c r="U6" s="55" t="n">
        <v>6</v>
      </c>
      <c r="V6" s="55" t="n">
        <f aca="false">IF(AND(OR(LEN(13_Buscador!$C$5)=0,ISNUMBER(SEARCH(13_Buscador!$C$5,$C6&amp;" "&amp;$D6&amp;" "&amp;$E6&amp;" "&amp;$F6&amp;" "&amp;$S6))),OR(13_Buscador!$C$6="Todas las listas",LEN(13_Buscador!$C$6)=0,13_Buscador!$C$6=$B6)),1,0)</f>
        <v>0</v>
      </c>
      <c r="W6" s="55" t="str">
        <f aca="false">IF(V6=1,SUM($V$2:V6),"")</f>
        <v/>
      </c>
    </row>
    <row r="7" customFormat="false" ht="23.25" hidden="false" customHeight="true" outlineLevel="0" collapsed="false">
      <c r="A7" s="55" t="n">
        <v>6</v>
      </c>
      <c r="B7" s="55" t="s">
        <v>3327</v>
      </c>
      <c r="C7" s="55" t="str">
        <f aca="false">IF(01_Desayunos!B7="","",01_Desayunos!B7)</f>
        <v>Caldos de mañana</v>
      </c>
      <c r="D7" s="56" t="str">
        <f aca="false">IF(01_Desayunos!C7="","",01_Desayunos!C7)</f>
        <v>Chairo de desayuno</v>
      </c>
      <c r="E7" s="56" t="str">
        <f aca="false">IF(01_Desayunos!D7="","",01_Desayunos!D7)</f>
        <v>Chuño, carne, verduras</v>
      </c>
      <c r="F7" s="56" t="str">
        <f aca="false">IF(01_Desayunos!E7="","",01_Desayunos!E7)</f>
        <v>chuño, carne de cordero o res, trigo, habas, zanahoria, papa, cebolla, hierbabuena</v>
      </c>
      <c r="G7" s="55" t="str">
        <f aca="false">IF(01_Desayunos!F7="","",01_Desayunos!F7)</f>
        <v>Plato hondo</v>
      </c>
      <c r="H7" s="55" t="str">
        <f aca="false">IF(01_Desayunos!G7="","",01_Desayunos!G7)</f>
        <v>Económico</v>
      </c>
      <c r="I7" s="58" t="n">
        <f aca="false">IF(01_Desayunos!H7="","",01_Desayunos!H7)</f>
        <v>10</v>
      </c>
      <c r="J7" s="58" t="n">
        <f aca="false">IF(01_Desayunos!I7="","",01_Desayunos!I7)</f>
        <v>16</v>
      </c>
      <c r="K7" s="58" t="n">
        <f aca="false">IF(01_Desayunos!J7="","",01_Desayunos!J7)</f>
        <v>13</v>
      </c>
      <c r="L7" s="58" t="n">
        <f aca="false">IF(01_Desayunos!L7="","",01_Desayunos!L7)</f>
        <v>14</v>
      </c>
      <c r="M7" s="58" t="n">
        <f aca="false">IF(01_Desayunos!N7="","",01_Desayunos!N7)</f>
        <v>0.91</v>
      </c>
      <c r="N7" s="58" t="n">
        <f aca="false">IF(01_Desayunos!O7="","",01_Desayunos!O7)</f>
        <v>12.09</v>
      </c>
      <c r="O7" s="55" t="str">
        <f aca="false">IF(01_Desayunos!P7="","",01_Desayunos!P7)</f>
        <v>06:00-10:00</v>
      </c>
      <c r="P7" s="55" t="n">
        <f aca="false">IF(01_Desayunos!Q7="","",01_Desayunos!Q7)</f>
        <v>10</v>
      </c>
      <c r="Q7" s="55" t="str">
        <f aca="false">IF(01_Desayunos!R7="","",01_Desayunos!R7)</f>
        <v>Medio</v>
      </c>
      <c r="R7" s="55" t="str">
        <f aca="false">IF(01_Desayunos!S7="","",01_Desayunos!S7)</f>
        <v>Mayor demanda en frío</v>
      </c>
      <c r="S7" s="55" t="str">
        <f aca="false">IF(01_Desayunos!T7="","",01_Desayunos!T7)</f>
        <v>Caldería, menú</v>
      </c>
      <c r="T7" s="56" t="str">
        <f aca="false">IF(01_Desayunos!U7="","",01_Desayunos!U7)</f>
        <v>Plato regional emblemático</v>
      </c>
      <c r="U7" s="55" t="n">
        <v>7</v>
      </c>
      <c r="V7" s="55" t="n">
        <f aca="false">IF(AND(OR(LEN(13_Buscador!$C$5)=0,ISNUMBER(SEARCH(13_Buscador!$C$5,$C7&amp;" "&amp;$D7&amp;" "&amp;$E7&amp;" "&amp;$F7&amp;" "&amp;$S7))),OR(13_Buscador!$C$6="Todas las listas",LEN(13_Buscador!$C$6)=0,13_Buscador!$C$6=$B7)),1,0)</f>
        <v>0</v>
      </c>
      <c r="W7" s="55" t="str">
        <f aca="false">IF(V7=1,SUM($V$2:V7),"")</f>
        <v/>
      </c>
    </row>
    <row r="8" customFormat="false" ht="15" hidden="false" customHeight="true" outlineLevel="0" collapsed="false">
      <c r="A8" s="55" t="n">
        <v>7</v>
      </c>
      <c r="B8" s="55" t="s">
        <v>3327</v>
      </c>
      <c r="C8" s="55" t="str">
        <f aca="false">IF(01_Desayunos!B8="","",01_Desayunos!B8)</f>
        <v>Caldos de mañana</v>
      </c>
      <c r="D8" s="56" t="str">
        <f aca="false">IF(01_Desayunos!C8="","",01_Desayunos!C8)</f>
        <v>Sopa de quinua</v>
      </c>
      <c r="E8" s="56" t="str">
        <f aca="false">IF(01_Desayunos!D8="","",01_Desayunos!D8)</f>
        <v>Quinua, verduras, carne</v>
      </c>
      <c r="F8" s="56" t="str">
        <f aca="false">IF(01_Desayunos!E8="","",01_Desayunos!E8)</f>
        <v>quinua, zanahoria, papa, carne, cebolla, apio, sal</v>
      </c>
      <c r="G8" s="55" t="str">
        <f aca="false">IF(01_Desayunos!F8="","",01_Desayunos!F8)</f>
        <v>Plato hondo</v>
      </c>
      <c r="H8" s="55" t="str">
        <f aca="false">IF(01_Desayunos!G8="","",01_Desayunos!G8)</f>
        <v>Económico</v>
      </c>
      <c r="I8" s="58" t="n">
        <f aca="false">IF(01_Desayunos!H8="","",01_Desayunos!H8)</f>
        <v>8</v>
      </c>
      <c r="J8" s="58" t="n">
        <f aca="false">IF(01_Desayunos!I8="","",01_Desayunos!I8)</f>
        <v>12</v>
      </c>
      <c r="K8" s="58" t="n">
        <f aca="false">IF(01_Desayunos!J8="","",01_Desayunos!J8)</f>
        <v>10</v>
      </c>
      <c r="L8" s="58" t="n">
        <f aca="false">IF(01_Desayunos!L8="","",01_Desayunos!L8)</f>
        <v>11</v>
      </c>
      <c r="M8" s="58" t="n">
        <f aca="false">IF(01_Desayunos!N8="","",01_Desayunos!N8)</f>
        <v>0.7</v>
      </c>
      <c r="N8" s="58" t="n">
        <f aca="false">IF(01_Desayunos!O8="","",01_Desayunos!O8)</f>
        <v>9.3</v>
      </c>
      <c r="O8" s="55" t="str">
        <f aca="false">IF(01_Desayunos!P8="","",01_Desayunos!P8)</f>
        <v>06:00-10:00</v>
      </c>
      <c r="P8" s="55" t="n">
        <f aca="false">IF(01_Desayunos!Q8="","",01_Desayunos!Q8)</f>
        <v>10</v>
      </c>
      <c r="Q8" s="55" t="str">
        <f aca="false">IF(01_Desayunos!R8="","",01_Desayunos!R8)</f>
        <v>Medio</v>
      </c>
      <c r="R8" s="55" t="str">
        <f aca="false">IF(01_Desayunos!S8="","",01_Desayunos!S8)</f>
        <v>Todo el año</v>
      </c>
      <c r="S8" s="55" t="str">
        <f aca="false">IF(01_Desayunos!T8="","",01_Desayunos!T8)</f>
        <v>Menú, vegetariano</v>
      </c>
      <c r="T8" s="56" t="str">
        <f aca="false">IF(01_Desayunos!U8="","",01_Desayunos!U8)</f>
        <v/>
      </c>
      <c r="U8" s="55" t="n">
        <v>8</v>
      </c>
      <c r="V8" s="55" t="n">
        <f aca="false">IF(AND(OR(LEN(13_Buscador!$C$5)=0,ISNUMBER(SEARCH(13_Buscador!$C$5,$C8&amp;" "&amp;$D8&amp;" "&amp;$E8&amp;" "&amp;$F8&amp;" "&amp;$S8))),OR(13_Buscador!$C$6="Todas las listas",LEN(13_Buscador!$C$6)=0,13_Buscador!$C$6=$B8)),1,0)</f>
        <v>0</v>
      </c>
      <c r="W8" s="55" t="str">
        <f aca="false">IF(V8=1,SUM($V$2:V8),"")</f>
        <v/>
      </c>
    </row>
    <row r="9" customFormat="false" ht="15" hidden="false" customHeight="true" outlineLevel="0" collapsed="false">
      <c r="A9" s="55" t="n">
        <v>8</v>
      </c>
      <c r="B9" s="55" t="s">
        <v>3327</v>
      </c>
      <c r="C9" s="55" t="str">
        <f aca="false">IF(01_Desayunos!B9="","",01_Desayunos!B9)</f>
        <v>Caldos de mañana</v>
      </c>
      <c r="D9" s="56" t="str">
        <f aca="false">IF(01_Desayunos!C9="","",01_Desayunos!C9)</f>
        <v>Kalapurca</v>
      </c>
      <c r="E9" s="56" t="str">
        <f aca="false">IF(01_Desayunos!D9="","",01_Desayunos!D9)</f>
        <v>Sopa con piedra caliente</v>
      </c>
      <c r="F9" s="56" t="str">
        <f aca="false">IF(01_Desayunos!E9="","",01_Desayunos!E9)</f>
        <v>maíz blanco, carne, papa, piedra caliente, cebolla, ají</v>
      </c>
      <c r="G9" s="55" t="str">
        <f aca="false">IF(01_Desayunos!F9="","",01_Desayunos!F9)</f>
        <v>Plato hondo</v>
      </c>
      <c r="H9" s="55" t="str">
        <f aca="false">IF(01_Desayunos!G9="","",01_Desayunos!G9)</f>
        <v>Estándar</v>
      </c>
      <c r="I9" s="58" t="n">
        <f aca="false">IF(01_Desayunos!H9="","",01_Desayunos!H9)</f>
        <v>12</v>
      </c>
      <c r="J9" s="58" t="n">
        <f aca="false">IF(01_Desayunos!I9="","",01_Desayunos!I9)</f>
        <v>20</v>
      </c>
      <c r="K9" s="58" t="n">
        <f aca="false">IF(01_Desayunos!J9="","",01_Desayunos!J9)</f>
        <v>16</v>
      </c>
      <c r="L9" s="58" t="n">
        <f aca="false">IF(01_Desayunos!L9="","",01_Desayunos!L9)</f>
        <v>17</v>
      </c>
      <c r="M9" s="58" t="n">
        <f aca="false">IF(01_Desayunos!N9="","",01_Desayunos!N9)</f>
        <v>1.44</v>
      </c>
      <c r="N9" s="58" t="n">
        <f aca="false">IF(01_Desayunos!O9="","",01_Desayunos!O9)</f>
        <v>14.56</v>
      </c>
      <c r="O9" s="55" t="str">
        <f aca="false">IF(01_Desayunos!P9="","",01_Desayunos!P9)</f>
        <v>06:00-10:00</v>
      </c>
      <c r="P9" s="55" t="n">
        <f aca="false">IF(01_Desayunos!Q9="","",01_Desayunos!Q9)</f>
        <v>15</v>
      </c>
      <c r="Q9" s="55" t="str">
        <f aca="false">IF(01_Desayunos!R9="","",01_Desayunos!R9)</f>
        <v>Bajo</v>
      </c>
      <c r="R9" s="55" t="str">
        <f aca="false">IF(01_Desayunos!S9="","",01_Desayunos!S9)</f>
        <v>Fiestas y feriados</v>
      </c>
      <c r="S9" s="55" t="str">
        <f aca="false">IF(01_Desayunos!T9="","",01_Desayunos!T9)</f>
        <v>Regional</v>
      </c>
      <c r="T9" s="56" t="str">
        <f aca="false">IF(01_Desayunos!U9="","",01_Desayunos!U9)</f>
        <v>Difícil de enviar: pierde la característica del plato</v>
      </c>
      <c r="U9" s="55" t="n">
        <v>9</v>
      </c>
      <c r="V9" s="55" t="n">
        <f aca="false">IF(AND(OR(LEN(13_Buscador!$C$5)=0,ISNUMBER(SEARCH(13_Buscador!$C$5,$C9&amp;" "&amp;$D9&amp;" "&amp;$E9&amp;" "&amp;$F9&amp;" "&amp;$S9))),OR(13_Buscador!$C$6="Todas las listas",LEN(13_Buscador!$C$6)=0,13_Buscador!$C$6=$B9)),1,0)</f>
        <v>0</v>
      </c>
      <c r="W9" s="55" t="str">
        <f aca="false">IF(V9=1,SUM($V$2:V9),"")</f>
        <v/>
      </c>
    </row>
    <row r="10" customFormat="false" ht="15" hidden="false" customHeight="true" outlineLevel="0" collapsed="false">
      <c r="A10" s="55" t="n">
        <v>9</v>
      </c>
      <c r="B10" s="55" t="s">
        <v>3327</v>
      </c>
      <c r="C10" s="55" t="str">
        <f aca="false">IF(01_Desayunos!B10="","",01_Desayunos!B10)</f>
        <v>Bebidas calientes</v>
      </c>
      <c r="D10" s="56" t="str">
        <f aca="false">IF(01_Desayunos!C10="","",01_Desayunos!C10)</f>
        <v>Mate de coca</v>
      </c>
      <c r="E10" s="56" t="str">
        <f aca="false">IF(01_Desayunos!D10="","",01_Desayunos!D10)</f>
        <v>Infusión de hoja de coca</v>
      </c>
      <c r="F10" s="56" t="str">
        <f aca="false">IF(01_Desayunos!E10="","",01_Desayunos!E10)</f>
        <v>hoja de coca, agua caliente</v>
      </c>
      <c r="G10" s="55" t="str">
        <f aca="false">IF(01_Desayunos!F10="","",01_Desayunos!F10)</f>
        <v>Taza</v>
      </c>
      <c r="H10" s="55" t="str">
        <f aca="false">IF(01_Desayunos!G10="","",01_Desayunos!G10)</f>
        <v>Económico</v>
      </c>
      <c r="I10" s="58" t="n">
        <f aca="false">IF(01_Desayunos!H10="","",01_Desayunos!H10)</f>
        <v>2</v>
      </c>
      <c r="J10" s="58" t="n">
        <f aca="false">IF(01_Desayunos!I10="","",01_Desayunos!I10)</f>
        <v>5</v>
      </c>
      <c r="K10" s="58" t="n">
        <f aca="false">IF(01_Desayunos!J10="","",01_Desayunos!J10)</f>
        <v>3.5</v>
      </c>
      <c r="L10" s="58" t="n">
        <f aca="false">IF(01_Desayunos!L10="","",01_Desayunos!L10)</f>
        <v>4.5</v>
      </c>
      <c r="M10" s="58" t="n">
        <f aca="false">IF(01_Desayunos!N10="","",01_Desayunos!N10)</f>
        <v>0.25</v>
      </c>
      <c r="N10" s="58" t="n">
        <f aca="false">IF(01_Desayunos!O10="","",01_Desayunos!O10)</f>
        <v>3.25</v>
      </c>
      <c r="O10" s="55" t="str">
        <f aca="false">IF(01_Desayunos!P10="","",01_Desayunos!P10)</f>
        <v>06:00-10:00</v>
      </c>
      <c r="P10" s="55" t="n">
        <f aca="false">IF(01_Desayunos!Q10="","",01_Desayunos!Q10)</f>
        <v>2</v>
      </c>
      <c r="Q10" s="55" t="str">
        <f aca="false">IF(01_Desayunos!R10="","",01_Desayunos!R10)</f>
        <v>Medio</v>
      </c>
      <c r="R10" s="55" t="str">
        <f aca="false">IF(01_Desayunos!S10="","",01_Desayunos!S10)</f>
        <v>Todo el año</v>
      </c>
      <c r="S10" s="55" t="str">
        <f aca="false">IF(01_Desayunos!T10="","",01_Desayunos!T10)</f>
        <v>Cafetería, hotel</v>
      </c>
      <c r="T10" s="56" t="str">
        <f aca="false">IF(01_Desayunos!U10="","",01_Desayunos!U10)</f>
        <v>Muy pedido por turistas</v>
      </c>
      <c r="U10" s="55" t="n">
        <v>10</v>
      </c>
      <c r="V10" s="55" t="n">
        <f aca="false">IF(AND(OR(LEN(13_Buscador!$C$5)=0,ISNUMBER(SEARCH(13_Buscador!$C$5,$C10&amp;" "&amp;$D10&amp;" "&amp;$E10&amp;" "&amp;$F10&amp;" "&amp;$S10))),OR(13_Buscador!$C$6="Todas las listas",LEN(13_Buscador!$C$6)=0,13_Buscador!$C$6=$B10)),1,0)</f>
        <v>0</v>
      </c>
      <c r="W10" s="55" t="str">
        <f aca="false">IF(V10=1,SUM($V$2:V10),"")</f>
        <v/>
      </c>
    </row>
    <row r="11" customFormat="false" ht="15" hidden="false" customHeight="true" outlineLevel="0" collapsed="false">
      <c r="A11" s="55" t="n">
        <v>10</v>
      </c>
      <c r="B11" s="55" t="s">
        <v>3327</v>
      </c>
      <c r="C11" s="55" t="str">
        <f aca="false">IF(01_Desayunos!B11="","",01_Desayunos!B11)</f>
        <v>Bebidas calientes</v>
      </c>
      <c r="D11" s="56" t="str">
        <f aca="false">IF(01_Desayunos!C11="","",01_Desayunos!C11)</f>
        <v>Mate de muña</v>
      </c>
      <c r="E11" s="56" t="str">
        <f aca="false">IF(01_Desayunos!D11="","",01_Desayunos!D11)</f>
        <v>Infusión de muña</v>
      </c>
      <c r="F11" s="56" t="str">
        <f aca="false">IF(01_Desayunos!E11="","",01_Desayunos!E11)</f>
        <v>muña, agua caliente</v>
      </c>
      <c r="G11" s="55" t="str">
        <f aca="false">IF(01_Desayunos!F11="","",01_Desayunos!F11)</f>
        <v>Taza</v>
      </c>
      <c r="H11" s="55" t="str">
        <f aca="false">IF(01_Desayunos!G11="","",01_Desayunos!G11)</f>
        <v>Económico</v>
      </c>
      <c r="I11" s="58" t="n">
        <f aca="false">IF(01_Desayunos!H11="","",01_Desayunos!H11)</f>
        <v>2</v>
      </c>
      <c r="J11" s="58" t="n">
        <f aca="false">IF(01_Desayunos!I11="","",01_Desayunos!I11)</f>
        <v>5</v>
      </c>
      <c r="K11" s="58" t="n">
        <f aca="false">IF(01_Desayunos!J11="","",01_Desayunos!J11)</f>
        <v>3.5</v>
      </c>
      <c r="L11" s="58" t="n">
        <f aca="false">IF(01_Desayunos!L11="","",01_Desayunos!L11)</f>
        <v>4.5</v>
      </c>
      <c r="M11" s="58" t="n">
        <f aca="false">IF(01_Desayunos!N11="","",01_Desayunos!N11)</f>
        <v>0.25</v>
      </c>
      <c r="N11" s="58" t="n">
        <f aca="false">IF(01_Desayunos!O11="","",01_Desayunos!O11)</f>
        <v>3.25</v>
      </c>
      <c r="O11" s="55" t="str">
        <f aca="false">IF(01_Desayunos!P11="","",01_Desayunos!P11)</f>
        <v>06:00-10:00</v>
      </c>
      <c r="P11" s="55" t="n">
        <f aca="false">IF(01_Desayunos!Q11="","",01_Desayunos!Q11)</f>
        <v>2</v>
      </c>
      <c r="Q11" s="55" t="str">
        <f aca="false">IF(01_Desayunos!R11="","",01_Desayunos!R11)</f>
        <v>Medio</v>
      </c>
      <c r="R11" s="55" t="str">
        <f aca="false">IF(01_Desayunos!S11="","",01_Desayunos!S11)</f>
        <v>Todo el año</v>
      </c>
      <c r="S11" s="55" t="str">
        <f aca="false">IF(01_Desayunos!T11="","",01_Desayunos!T11)</f>
        <v>Cafetería, hotel</v>
      </c>
      <c r="T11" s="56" t="str">
        <f aca="false">IF(01_Desayunos!U11="","",01_Desayunos!U11)</f>
        <v/>
      </c>
      <c r="U11" s="55" t="n">
        <v>11</v>
      </c>
      <c r="V11" s="55" t="n">
        <f aca="false">IF(AND(OR(LEN(13_Buscador!$C$5)=0,ISNUMBER(SEARCH(13_Buscador!$C$5,$C11&amp;" "&amp;$D11&amp;" "&amp;$E11&amp;" "&amp;$F11&amp;" "&amp;$S11))),OR(13_Buscador!$C$6="Todas las listas",LEN(13_Buscador!$C$6)=0,13_Buscador!$C$6=$B11)),1,0)</f>
        <v>0</v>
      </c>
      <c r="W11" s="55" t="str">
        <f aca="false">IF(V11=1,SUM($V$2:V11),"")</f>
        <v/>
      </c>
    </row>
    <row r="12" customFormat="false" ht="15" hidden="false" customHeight="true" outlineLevel="0" collapsed="false">
      <c r="A12" s="55" t="n">
        <v>11</v>
      </c>
      <c r="B12" s="55" t="s">
        <v>3327</v>
      </c>
      <c r="C12" s="55" t="str">
        <f aca="false">IF(01_Desayunos!B12="","",01_Desayunos!B12)</f>
        <v>Bebidas calientes</v>
      </c>
      <c r="D12" s="56" t="str">
        <f aca="false">IF(01_Desayunos!C12="","",01_Desayunos!C12)</f>
        <v>Café pasado</v>
      </c>
      <c r="E12" s="56" t="str">
        <f aca="false">IF(01_Desayunos!D12="","",01_Desayunos!D12)</f>
        <v>Café de filtro</v>
      </c>
      <c r="F12" s="56" t="str">
        <f aca="false">IF(01_Desayunos!E12="","",01_Desayunos!E12)</f>
        <v>café molido, agua caliente</v>
      </c>
      <c r="G12" s="55" t="str">
        <f aca="false">IF(01_Desayunos!F12="","",01_Desayunos!F12)</f>
        <v>Taza</v>
      </c>
      <c r="H12" s="55" t="str">
        <f aca="false">IF(01_Desayunos!G12="","",01_Desayunos!G12)</f>
        <v>Económico</v>
      </c>
      <c r="I12" s="58" t="n">
        <f aca="false">IF(01_Desayunos!H12="","",01_Desayunos!H12)</f>
        <v>3</v>
      </c>
      <c r="J12" s="58" t="n">
        <f aca="false">IF(01_Desayunos!I12="","",01_Desayunos!I12)</f>
        <v>8</v>
      </c>
      <c r="K12" s="58" t="n">
        <f aca="false">IF(01_Desayunos!J12="","",01_Desayunos!J12)</f>
        <v>5.5</v>
      </c>
      <c r="L12" s="58" t="n">
        <f aca="false">IF(01_Desayunos!L12="","",01_Desayunos!L12)</f>
        <v>6.5</v>
      </c>
      <c r="M12" s="58" t="n">
        <f aca="false">IF(01_Desayunos!N12="","",01_Desayunos!N12)</f>
        <v>0.39</v>
      </c>
      <c r="N12" s="58" t="n">
        <f aca="false">IF(01_Desayunos!O12="","",01_Desayunos!O12)</f>
        <v>5.11</v>
      </c>
      <c r="O12" s="55" t="str">
        <f aca="false">IF(01_Desayunos!P12="","",01_Desayunos!P12)</f>
        <v>06:00-11:00</v>
      </c>
      <c r="P12" s="55" t="n">
        <f aca="false">IF(01_Desayunos!Q12="","",01_Desayunos!Q12)</f>
        <v>3</v>
      </c>
      <c r="Q12" s="55" t="str">
        <f aca="false">IF(01_Desayunos!R12="","",01_Desayunos!R12)</f>
        <v>Alto</v>
      </c>
      <c r="R12" s="55" t="str">
        <f aca="false">IF(01_Desayunos!S12="","",01_Desayunos!S12)</f>
        <v>Todo el año</v>
      </c>
      <c r="S12" s="55" t="str">
        <f aca="false">IF(01_Desayunos!T12="","",01_Desayunos!T12)</f>
        <v>Cafetería</v>
      </c>
      <c r="T12" s="56" t="str">
        <f aca="false">IF(01_Desayunos!U12="","",01_Desayunos!U12)</f>
        <v/>
      </c>
      <c r="U12" s="55" t="n">
        <v>12</v>
      </c>
      <c r="V12" s="55" t="n">
        <f aca="false">IF(AND(OR(LEN(13_Buscador!$C$5)=0,ISNUMBER(SEARCH(13_Buscador!$C$5,$C12&amp;" "&amp;$D12&amp;" "&amp;$E12&amp;" "&amp;$F12&amp;" "&amp;$S12))),OR(13_Buscador!$C$6="Todas las listas",LEN(13_Buscador!$C$6)=0,13_Buscador!$C$6=$B12)),1,0)</f>
        <v>0</v>
      </c>
      <c r="W12" s="55" t="str">
        <f aca="false">IF(V12=1,SUM($V$2:V12),"")</f>
        <v/>
      </c>
    </row>
    <row r="13" customFormat="false" ht="15" hidden="false" customHeight="true" outlineLevel="0" collapsed="false">
      <c r="A13" s="55" t="n">
        <v>12</v>
      </c>
      <c r="B13" s="55" t="s">
        <v>3327</v>
      </c>
      <c r="C13" s="55" t="str">
        <f aca="false">IF(01_Desayunos!B13="","",01_Desayunos!B13)</f>
        <v>Bebidas calientes</v>
      </c>
      <c r="D13" s="56" t="str">
        <f aca="false">IF(01_Desayunos!C13="","",01_Desayunos!C13)</f>
        <v>Capuchino</v>
      </c>
      <c r="E13" s="56" t="str">
        <f aca="false">IF(01_Desayunos!D13="","",01_Desayunos!D13)</f>
        <v>Café con leche espumada</v>
      </c>
      <c r="F13" s="56" t="str">
        <f aca="false">IF(01_Desayunos!E13="","",01_Desayunos!E13)</f>
        <v>café espresso, leche, espuma de leche</v>
      </c>
      <c r="G13" s="55" t="str">
        <f aca="false">IF(01_Desayunos!F13="","",01_Desayunos!F13)</f>
        <v>Taza</v>
      </c>
      <c r="H13" s="55" t="str">
        <f aca="false">IF(01_Desayunos!G13="","",01_Desayunos!G13)</f>
        <v>Estándar</v>
      </c>
      <c r="I13" s="58" t="n">
        <f aca="false">IF(01_Desayunos!H13="","",01_Desayunos!H13)</f>
        <v>6</v>
      </c>
      <c r="J13" s="58" t="n">
        <f aca="false">IF(01_Desayunos!I13="","",01_Desayunos!I13)</f>
        <v>14</v>
      </c>
      <c r="K13" s="58" t="n">
        <f aca="false">IF(01_Desayunos!J13="","",01_Desayunos!J13)</f>
        <v>10</v>
      </c>
      <c r="L13" s="58" t="n">
        <f aca="false">IF(01_Desayunos!L13="","",01_Desayunos!L13)</f>
        <v>11</v>
      </c>
      <c r="M13" s="58" t="n">
        <f aca="false">IF(01_Desayunos!N13="","",01_Desayunos!N13)</f>
        <v>0.9</v>
      </c>
      <c r="N13" s="58" t="n">
        <f aca="false">IF(01_Desayunos!O13="","",01_Desayunos!O13)</f>
        <v>9.1</v>
      </c>
      <c r="O13" s="55" t="str">
        <f aca="false">IF(01_Desayunos!P13="","",01_Desayunos!P13)</f>
        <v>07:00-11:00</v>
      </c>
      <c r="P13" s="55" t="n">
        <f aca="false">IF(01_Desayunos!Q13="","",01_Desayunos!Q13)</f>
        <v>5</v>
      </c>
      <c r="Q13" s="55" t="str">
        <f aca="false">IF(01_Desayunos!R13="","",01_Desayunos!R13)</f>
        <v>Medio</v>
      </c>
      <c r="R13" s="55" t="str">
        <f aca="false">IF(01_Desayunos!S13="","",01_Desayunos!S13)</f>
        <v>Todo el año</v>
      </c>
      <c r="S13" s="55" t="str">
        <f aca="false">IF(01_Desayunos!T13="","",01_Desayunos!T13)</f>
        <v>Cafetería</v>
      </c>
      <c r="T13" s="56" t="str">
        <f aca="false">IF(01_Desayunos!U13="","",01_Desayunos!U13)</f>
        <v>Pierde calidad en traslado largo</v>
      </c>
      <c r="U13" s="55" t="n">
        <v>13</v>
      </c>
      <c r="V13" s="55" t="n">
        <f aca="false">IF(AND(OR(LEN(13_Buscador!$C$5)=0,ISNUMBER(SEARCH(13_Buscador!$C$5,$C13&amp;" "&amp;$D13&amp;" "&amp;$E13&amp;" "&amp;$F13&amp;" "&amp;$S13))),OR(13_Buscador!$C$6="Todas las listas",LEN(13_Buscador!$C$6)=0,13_Buscador!$C$6=$B13)),1,0)</f>
        <v>0</v>
      </c>
      <c r="W13" s="55" t="str">
        <f aca="false">IF(V13=1,SUM($V$2:V13),"")</f>
        <v/>
      </c>
    </row>
    <row r="14" customFormat="false" ht="15" hidden="false" customHeight="true" outlineLevel="0" collapsed="false">
      <c r="A14" s="55" t="n">
        <v>13</v>
      </c>
      <c r="B14" s="55" t="s">
        <v>3327</v>
      </c>
      <c r="C14" s="55" t="str">
        <f aca="false">IF(01_Desayunos!B14="","",01_Desayunos!B14)</f>
        <v>Bebidas calientes</v>
      </c>
      <c r="D14" s="56" t="str">
        <f aca="false">IF(01_Desayunos!C14="","",01_Desayunos!C14)</f>
        <v>Chocolate caliente</v>
      </c>
      <c r="E14" s="56" t="str">
        <f aca="false">IF(01_Desayunos!D14="","",01_Desayunos!D14)</f>
        <v>Con leche</v>
      </c>
      <c r="F14" s="56" t="str">
        <f aca="false">IF(01_Desayunos!E14="","",01_Desayunos!E14)</f>
        <v>chocolate en barra o cocoa, leche, azúcar, canela</v>
      </c>
      <c r="G14" s="55" t="str">
        <f aca="false">IF(01_Desayunos!F14="","",01_Desayunos!F14)</f>
        <v>Taza</v>
      </c>
      <c r="H14" s="55" t="str">
        <f aca="false">IF(01_Desayunos!G14="","",01_Desayunos!G14)</f>
        <v>Económico</v>
      </c>
      <c r="I14" s="58" t="n">
        <f aca="false">IF(01_Desayunos!H14="","",01_Desayunos!H14)</f>
        <v>4</v>
      </c>
      <c r="J14" s="58" t="n">
        <f aca="false">IF(01_Desayunos!I14="","",01_Desayunos!I14)</f>
        <v>10</v>
      </c>
      <c r="K14" s="58" t="n">
        <f aca="false">IF(01_Desayunos!J14="","",01_Desayunos!J14)</f>
        <v>7</v>
      </c>
      <c r="L14" s="58" t="n">
        <f aca="false">IF(01_Desayunos!L14="","",01_Desayunos!L14)</f>
        <v>8</v>
      </c>
      <c r="M14" s="58" t="n">
        <f aca="false">IF(01_Desayunos!N14="","",01_Desayunos!N14)</f>
        <v>0.49</v>
      </c>
      <c r="N14" s="58" t="n">
        <f aca="false">IF(01_Desayunos!O14="","",01_Desayunos!O14)</f>
        <v>6.51</v>
      </c>
      <c r="O14" s="55" t="str">
        <f aca="false">IF(01_Desayunos!P14="","",01_Desayunos!P14)</f>
        <v>06:00-10:00</v>
      </c>
      <c r="P14" s="55" t="n">
        <f aca="false">IF(01_Desayunos!Q14="","",01_Desayunos!Q14)</f>
        <v>5</v>
      </c>
      <c r="Q14" s="55" t="str">
        <f aca="false">IF(01_Desayunos!R14="","",01_Desayunos!R14)</f>
        <v>Alto</v>
      </c>
      <c r="R14" s="55" t="str">
        <f aca="false">IF(01_Desayunos!S14="","",01_Desayunos!S14)</f>
        <v>Mayor demanda en frío</v>
      </c>
      <c r="S14" s="55" t="str">
        <f aca="false">IF(01_Desayunos!T14="","",01_Desayunos!T14)</f>
        <v>Cafetería</v>
      </c>
      <c r="T14" s="56" t="str">
        <f aca="false">IF(01_Desayunos!U14="","",01_Desayunos!U14)</f>
        <v/>
      </c>
      <c r="U14" s="55" t="n">
        <v>14</v>
      </c>
      <c r="V14" s="55" t="n">
        <f aca="false">IF(AND(OR(LEN(13_Buscador!$C$5)=0,ISNUMBER(SEARCH(13_Buscador!$C$5,$C14&amp;" "&amp;$D14&amp;" "&amp;$E14&amp;" "&amp;$F14&amp;" "&amp;$S14))),OR(13_Buscador!$C$6="Todas las listas",LEN(13_Buscador!$C$6)=0,13_Buscador!$C$6=$B14)),1,0)</f>
        <v>0</v>
      </c>
      <c r="W14" s="55" t="str">
        <f aca="false">IF(V14=1,SUM($V$2:V14),"")</f>
        <v/>
      </c>
    </row>
    <row r="15" customFormat="false" ht="15" hidden="false" customHeight="true" outlineLevel="0" collapsed="false">
      <c r="A15" s="55" t="n">
        <v>14</v>
      </c>
      <c r="B15" s="55" t="s">
        <v>3327</v>
      </c>
      <c r="C15" s="55" t="str">
        <f aca="false">IF(01_Desayunos!B15="","",01_Desayunos!B15)</f>
        <v>Bebidas calientes</v>
      </c>
      <c r="D15" s="56" t="str">
        <f aca="false">IF(01_Desayunos!C15="","",01_Desayunos!C15)</f>
        <v>Leche con avena</v>
      </c>
      <c r="E15" s="56" t="str">
        <f aca="false">IF(01_Desayunos!D15="","",01_Desayunos!D15)</f>
        <v>Bebida espesa</v>
      </c>
      <c r="F15" s="56" t="str">
        <f aca="false">IF(01_Desayunos!E15="","",01_Desayunos!E15)</f>
        <v>avena, leche, manzana, canela, azúcar</v>
      </c>
      <c r="G15" s="55" t="str">
        <f aca="false">IF(01_Desayunos!F15="","",01_Desayunos!F15)</f>
        <v>Vaso 300 ml</v>
      </c>
      <c r="H15" s="55" t="str">
        <f aca="false">IF(01_Desayunos!G15="","",01_Desayunos!G15)</f>
        <v>Económico</v>
      </c>
      <c r="I15" s="58" t="n">
        <f aca="false">IF(01_Desayunos!H15="","",01_Desayunos!H15)</f>
        <v>3</v>
      </c>
      <c r="J15" s="58" t="n">
        <f aca="false">IF(01_Desayunos!I15="","",01_Desayunos!I15)</f>
        <v>6</v>
      </c>
      <c r="K15" s="58" t="n">
        <f aca="false">IF(01_Desayunos!J15="","",01_Desayunos!J15)</f>
        <v>4.5</v>
      </c>
      <c r="L15" s="58" t="n">
        <f aca="false">IF(01_Desayunos!L15="","",01_Desayunos!L15)</f>
        <v>5.5</v>
      </c>
      <c r="M15" s="58" t="n">
        <f aca="false">IF(01_Desayunos!N15="","",01_Desayunos!N15)</f>
        <v>0.32</v>
      </c>
      <c r="N15" s="58" t="n">
        <f aca="false">IF(01_Desayunos!O15="","",01_Desayunos!O15)</f>
        <v>4.18</v>
      </c>
      <c r="O15" s="55" t="str">
        <f aca="false">IF(01_Desayunos!P15="","",01_Desayunos!P15)</f>
        <v>05:00-09:00</v>
      </c>
      <c r="P15" s="55" t="n">
        <f aca="false">IF(01_Desayunos!Q15="","",01_Desayunos!Q15)</f>
        <v>3</v>
      </c>
      <c r="Q15" s="55" t="str">
        <f aca="false">IF(01_Desayunos!R15="","",01_Desayunos!R15)</f>
        <v>Alto</v>
      </c>
      <c r="R15" s="55" t="str">
        <f aca="false">IF(01_Desayunos!S15="","",01_Desayunos!S15)</f>
        <v>Todo el año</v>
      </c>
      <c r="S15" s="55" t="str">
        <f aca="false">IF(01_Desayunos!T15="","",01_Desayunos!T15)</f>
        <v>Mercado</v>
      </c>
      <c r="T15" s="56" t="str">
        <f aca="false">IF(01_Desayunos!U15="","",01_Desayunos!U15)</f>
        <v/>
      </c>
      <c r="U15" s="55" t="n">
        <v>15</v>
      </c>
      <c r="V15" s="55" t="n">
        <f aca="false">IF(AND(OR(LEN(13_Buscador!$C$5)=0,ISNUMBER(SEARCH(13_Buscador!$C$5,$C15&amp;" "&amp;$D15&amp;" "&amp;$E15&amp;" "&amp;$F15&amp;" "&amp;$S15))),OR(13_Buscador!$C$6="Todas las listas",LEN(13_Buscador!$C$6)=0,13_Buscador!$C$6=$B15)),1,0)</f>
        <v>0</v>
      </c>
      <c r="W15" s="55" t="str">
        <f aca="false">IF(V15=1,SUM($V$2:V15),"")</f>
        <v/>
      </c>
    </row>
    <row r="16" customFormat="false" ht="23.25" hidden="false" customHeight="true" outlineLevel="0" collapsed="false">
      <c r="A16" s="55" t="n">
        <v>15</v>
      </c>
      <c r="B16" s="55" t="s">
        <v>3327</v>
      </c>
      <c r="C16" s="55" t="str">
        <f aca="false">IF(01_Desayunos!B16="","",01_Desayunos!B16)</f>
        <v>Panes y sándwiches</v>
      </c>
      <c r="D16" s="56" t="str">
        <f aca="false">IF(01_Desayunos!C16="","",01_Desayunos!C16)</f>
        <v>Pan con chicharrón</v>
      </c>
      <c r="E16" s="56" t="str">
        <f aca="false">IF(01_Desayunos!D16="","",01_Desayunos!D16)</f>
        <v>Chicharrón de cerdo, camote frito, salsa criolla</v>
      </c>
      <c r="F16" s="56" t="str">
        <f aca="false">IF(01_Desayunos!E16="","",01_Desayunos!E16)</f>
        <v>pan, chicharrón de cerdo, camote frito, salsa criolla (cebolla, limón, ají)</v>
      </c>
      <c r="G16" s="55" t="str">
        <f aca="false">IF(01_Desayunos!F16="","",01_Desayunos!F16)</f>
        <v>1 unidad</v>
      </c>
      <c r="H16" s="55" t="str">
        <f aca="false">IF(01_Desayunos!G16="","",01_Desayunos!G16)</f>
        <v>Económico</v>
      </c>
      <c r="I16" s="58" t="n">
        <f aca="false">IF(01_Desayunos!H16="","",01_Desayunos!H16)</f>
        <v>5</v>
      </c>
      <c r="J16" s="58" t="n">
        <f aca="false">IF(01_Desayunos!I16="","",01_Desayunos!I16)</f>
        <v>10</v>
      </c>
      <c r="K16" s="58" t="n">
        <f aca="false">IF(01_Desayunos!J16="","",01_Desayunos!J16)</f>
        <v>7.5</v>
      </c>
      <c r="L16" s="58" t="n">
        <f aca="false">IF(01_Desayunos!L16="","",01_Desayunos!L16)</f>
        <v>8.5</v>
      </c>
      <c r="M16" s="58" t="n">
        <f aca="false">IF(01_Desayunos!N16="","",01_Desayunos!N16)</f>
        <v>0.53</v>
      </c>
      <c r="N16" s="58" t="n">
        <f aca="false">IF(01_Desayunos!O16="","",01_Desayunos!O16)</f>
        <v>6.97</v>
      </c>
      <c r="O16" s="55" t="str">
        <f aca="false">IF(01_Desayunos!P16="","",01_Desayunos!P16)</f>
        <v>06:00-10:00</v>
      </c>
      <c r="P16" s="55" t="n">
        <f aca="false">IF(01_Desayunos!Q16="","",01_Desayunos!Q16)</f>
        <v>5</v>
      </c>
      <c r="Q16" s="55" t="str">
        <f aca="false">IF(01_Desayunos!R16="","",01_Desayunos!R16)</f>
        <v>Alto</v>
      </c>
      <c r="R16" s="55" t="str">
        <f aca="false">IF(01_Desayunos!S16="","",01_Desayunos!S16)</f>
        <v>Todo el año</v>
      </c>
      <c r="S16" s="55" t="str">
        <f aca="false">IF(01_Desayunos!T16="","",01_Desayunos!T16)</f>
        <v>Panadería, mercado</v>
      </c>
      <c r="T16" s="56" t="str">
        <f aca="false">IF(01_Desayunos!U16="","",01_Desayunos!U16)</f>
        <v>Excelente para delivery: aguanta traslado</v>
      </c>
      <c r="U16" s="55" t="n">
        <v>16</v>
      </c>
      <c r="V16" s="55" t="n">
        <f aca="false">IF(AND(OR(LEN(13_Buscador!$C$5)=0,ISNUMBER(SEARCH(13_Buscador!$C$5,$C16&amp;" "&amp;$D16&amp;" "&amp;$E16&amp;" "&amp;$F16&amp;" "&amp;$S16))),OR(13_Buscador!$C$6="Todas las listas",LEN(13_Buscador!$C$6)=0,13_Buscador!$C$6=$B16)),1,0)</f>
        <v>0</v>
      </c>
      <c r="W16" s="55" t="str">
        <f aca="false">IF(V16=1,SUM($V$2:V16),"")</f>
        <v/>
      </c>
    </row>
    <row r="17" customFormat="false" ht="15" hidden="false" customHeight="true" outlineLevel="0" collapsed="false">
      <c r="A17" s="55" t="n">
        <v>16</v>
      </c>
      <c r="B17" s="55" t="s">
        <v>3327</v>
      </c>
      <c r="C17" s="55" t="str">
        <f aca="false">IF(01_Desayunos!B17="","",01_Desayunos!B17)</f>
        <v>Panes y sándwiches</v>
      </c>
      <c r="D17" s="56" t="str">
        <f aca="false">IF(01_Desayunos!C17="","",01_Desayunos!C17)</f>
        <v>Sándwich de palta</v>
      </c>
      <c r="E17" s="56" t="str">
        <f aca="false">IF(01_Desayunos!D17="","",01_Desayunos!D17)</f>
        <v>Palta, huevo, tomate</v>
      </c>
      <c r="F17" s="56" t="str">
        <f aca="false">IF(01_Desayunos!E17="","",01_Desayunos!E17)</f>
        <v>pan, palta, huevo, tomate, sal</v>
      </c>
      <c r="G17" s="55" t="str">
        <f aca="false">IF(01_Desayunos!F17="","",01_Desayunos!F17)</f>
        <v>1 unidad</v>
      </c>
      <c r="H17" s="55" t="str">
        <f aca="false">IF(01_Desayunos!G17="","",01_Desayunos!G17)</f>
        <v>Económico</v>
      </c>
      <c r="I17" s="58" t="n">
        <f aca="false">IF(01_Desayunos!H17="","",01_Desayunos!H17)</f>
        <v>4</v>
      </c>
      <c r="J17" s="58" t="n">
        <f aca="false">IF(01_Desayunos!I17="","",01_Desayunos!I17)</f>
        <v>8</v>
      </c>
      <c r="K17" s="58" t="n">
        <f aca="false">IF(01_Desayunos!J17="","",01_Desayunos!J17)</f>
        <v>6</v>
      </c>
      <c r="L17" s="58" t="n">
        <f aca="false">IF(01_Desayunos!L17="","",01_Desayunos!L17)</f>
        <v>7</v>
      </c>
      <c r="M17" s="58" t="n">
        <f aca="false">IF(01_Desayunos!N17="","",01_Desayunos!N17)</f>
        <v>0.42</v>
      </c>
      <c r="N17" s="58" t="n">
        <f aca="false">IF(01_Desayunos!O17="","",01_Desayunos!O17)</f>
        <v>5.58</v>
      </c>
      <c r="O17" s="55" t="str">
        <f aca="false">IF(01_Desayunos!P17="","",01_Desayunos!P17)</f>
        <v>06:00-10:00</v>
      </c>
      <c r="P17" s="55" t="n">
        <f aca="false">IF(01_Desayunos!Q17="","",01_Desayunos!Q17)</f>
        <v>5</v>
      </c>
      <c r="Q17" s="55" t="str">
        <f aca="false">IF(01_Desayunos!R17="","",01_Desayunos!R17)</f>
        <v>Alto</v>
      </c>
      <c r="R17" s="55" t="str">
        <f aca="false">IF(01_Desayunos!S17="","",01_Desayunos!S17)</f>
        <v>Todo el año</v>
      </c>
      <c r="S17" s="55" t="str">
        <f aca="false">IF(01_Desayunos!T17="","",01_Desayunos!T17)</f>
        <v>Cafetería, mercado</v>
      </c>
      <c r="T17" s="56" t="str">
        <f aca="false">IF(01_Desayunos!U17="","",01_Desayunos!U17)</f>
        <v/>
      </c>
      <c r="U17" s="55" t="n">
        <v>17</v>
      </c>
      <c r="V17" s="55" t="n">
        <f aca="false">IF(AND(OR(LEN(13_Buscador!$C$5)=0,ISNUMBER(SEARCH(13_Buscador!$C$5,$C17&amp;" "&amp;$D17&amp;" "&amp;$E17&amp;" "&amp;$F17&amp;" "&amp;$S17))),OR(13_Buscador!$C$6="Todas las listas",LEN(13_Buscador!$C$6)=0,13_Buscador!$C$6=$B17)),1,0)</f>
        <v>0</v>
      </c>
      <c r="W17" s="55" t="str">
        <f aca="false">IF(V17=1,SUM($V$2:V17),"")</f>
        <v/>
      </c>
    </row>
    <row r="18" customFormat="false" ht="15" hidden="false" customHeight="true" outlineLevel="0" collapsed="false">
      <c r="A18" s="55" t="n">
        <v>17</v>
      </c>
      <c r="B18" s="55" t="s">
        <v>3327</v>
      </c>
      <c r="C18" s="55" t="str">
        <f aca="false">IF(01_Desayunos!B18="","",01_Desayunos!B18)</f>
        <v>Panes y sándwiches</v>
      </c>
      <c r="D18" s="56" t="str">
        <f aca="false">IF(01_Desayunos!C18="","",01_Desayunos!C18)</f>
        <v>Sándwich de pollo</v>
      </c>
      <c r="E18" s="56" t="str">
        <f aca="false">IF(01_Desayunos!D18="","",01_Desayunos!D18)</f>
        <v>Pollo deshilachado, vegetales</v>
      </c>
      <c r="F18" s="56" t="str">
        <f aca="false">IF(01_Desayunos!E18="","",01_Desayunos!E18)</f>
        <v>pan, pollo deshilachado, lechuga, tomate, mayonesa</v>
      </c>
      <c r="G18" s="55" t="str">
        <f aca="false">IF(01_Desayunos!F18="","",01_Desayunos!F18)</f>
        <v>1 unidad</v>
      </c>
      <c r="H18" s="55" t="str">
        <f aca="false">IF(01_Desayunos!G18="","",01_Desayunos!G18)</f>
        <v>Económico</v>
      </c>
      <c r="I18" s="58" t="n">
        <f aca="false">IF(01_Desayunos!H18="","",01_Desayunos!H18)</f>
        <v>5</v>
      </c>
      <c r="J18" s="58" t="n">
        <f aca="false">IF(01_Desayunos!I18="","",01_Desayunos!I18)</f>
        <v>10</v>
      </c>
      <c r="K18" s="58" t="n">
        <f aca="false">IF(01_Desayunos!J18="","",01_Desayunos!J18)</f>
        <v>7.5</v>
      </c>
      <c r="L18" s="58" t="n">
        <f aca="false">IF(01_Desayunos!L18="","",01_Desayunos!L18)</f>
        <v>8.5</v>
      </c>
      <c r="M18" s="58" t="n">
        <f aca="false">IF(01_Desayunos!N18="","",01_Desayunos!N18)</f>
        <v>0.53</v>
      </c>
      <c r="N18" s="58" t="n">
        <f aca="false">IF(01_Desayunos!O18="","",01_Desayunos!O18)</f>
        <v>6.97</v>
      </c>
      <c r="O18" s="55" t="str">
        <f aca="false">IF(01_Desayunos!P18="","",01_Desayunos!P18)</f>
        <v>06:00-10:00</v>
      </c>
      <c r="P18" s="55" t="n">
        <f aca="false">IF(01_Desayunos!Q18="","",01_Desayunos!Q18)</f>
        <v>5</v>
      </c>
      <c r="Q18" s="55" t="str">
        <f aca="false">IF(01_Desayunos!R18="","",01_Desayunos!R18)</f>
        <v>Alto</v>
      </c>
      <c r="R18" s="55" t="str">
        <f aca="false">IF(01_Desayunos!S18="","",01_Desayunos!S18)</f>
        <v>Todo el año</v>
      </c>
      <c r="S18" s="55" t="str">
        <f aca="false">IF(01_Desayunos!T18="","",01_Desayunos!T18)</f>
        <v>Cafetería</v>
      </c>
      <c r="T18" s="56" t="str">
        <f aca="false">IF(01_Desayunos!U18="","",01_Desayunos!U18)</f>
        <v/>
      </c>
      <c r="U18" s="55" t="n">
        <v>18</v>
      </c>
      <c r="V18" s="55" t="n">
        <f aca="false">IF(AND(OR(LEN(13_Buscador!$C$5)=0,ISNUMBER(SEARCH(13_Buscador!$C$5,$C18&amp;" "&amp;$D18&amp;" "&amp;$E18&amp;" "&amp;$F18&amp;" "&amp;$S18))),OR(13_Buscador!$C$6="Todas las listas",LEN(13_Buscador!$C$6)=0,13_Buscador!$C$6=$B18)),1,0)</f>
        <v>1</v>
      </c>
      <c r="W18" s="55" t="n">
        <f aca="false">IF(V18=1,SUM($V$2:V18),"")</f>
        <v>1</v>
      </c>
    </row>
    <row r="19" customFormat="false" ht="15" hidden="false" customHeight="true" outlineLevel="0" collapsed="false">
      <c r="A19" s="55" t="n">
        <v>18</v>
      </c>
      <c r="B19" s="55" t="s">
        <v>3327</v>
      </c>
      <c r="C19" s="55" t="str">
        <f aca="false">IF(01_Desayunos!B19="","",01_Desayunos!B19)</f>
        <v>Panes y sándwiches</v>
      </c>
      <c r="D19" s="56" t="str">
        <f aca="false">IF(01_Desayunos!C19="","",01_Desayunos!C19)</f>
        <v>Sándwich mixto</v>
      </c>
      <c r="E19" s="56" t="str">
        <f aca="false">IF(01_Desayunos!D19="","",01_Desayunos!D19)</f>
        <v>Jamón y queso</v>
      </c>
      <c r="F19" s="56" t="str">
        <f aca="false">IF(01_Desayunos!E19="","",01_Desayunos!E19)</f>
        <v>pan, jamón, queso, mantequilla</v>
      </c>
      <c r="G19" s="55" t="str">
        <f aca="false">IF(01_Desayunos!F19="","",01_Desayunos!F19)</f>
        <v>1 unidad</v>
      </c>
      <c r="H19" s="55" t="str">
        <f aca="false">IF(01_Desayunos!G19="","",01_Desayunos!G19)</f>
        <v>Económico</v>
      </c>
      <c r="I19" s="58" t="n">
        <f aca="false">IF(01_Desayunos!H19="","",01_Desayunos!H19)</f>
        <v>4</v>
      </c>
      <c r="J19" s="58" t="n">
        <f aca="false">IF(01_Desayunos!I19="","",01_Desayunos!I19)</f>
        <v>9</v>
      </c>
      <c r="K19" s="58" t="n">
        <f aca="false">IF(01_Desayunos!J19="","",01_Desayunos!J19)</f>
        <v>6.5</v>
      </c>
      <c r="L19" s="58" t="n">
        <f aca="false">IF(01_Desayunos!L19="","",01_Desayunos!L19)</f>
        <v>7.5</v>
      </c>
      <c r="M19" s="58" t="n">
        <f aca="false">IF(01_Desayunos!N19="","",01_Desayunos!N19)</f>
        <v>0.46</v>
      </c>
      <c r="N19" s="58" t="n">
        <f aca="false">IF(01_Desayunos!O19="","",01_Desayunos!O19)</f>
        <v>6.04</v>
      </c>
      <c r="O19" s="55" t="str">
        <f aca="false">IF(01_Desayunos!P19="","",01_Desayunos!P19)</f>
        <v>06:00-10:00</v>
      </c>
      <c r="P19" s="55" t="n">
        <f aca="false">IF(01_Desayunos!Q19="","",01_Desayunos!Q19)</f>
        <v>4</v>
      </c>
      <c r="Q19" s="55" t="str">
        <f aca="false">IF(01_Desayunos!R19="","",01_Desayunos!R19)</f>
        <v>Alto</v>
      </c>
      <c r="R19" s="55" t="str">
        <f aca="false">IF(01_Desayunos!S19="","",01_Desayunos!S19)</f>
        <v>Todo el año</v>
      </c>
      <c r="S19" s="55" t="str">
        <f aca="false">IF(01_Desayunos!T19="","",01_Desayunos!T19)</f>
        <v>Cafetería</v>
      </c>
      <c r="T19" s="56" t="str">
        <f aca="false">IF(01_Desayunos!U19="","",01_Desayunos!U19)</f>
        <v/>
      </c>
      <c r="U19" s="55" t="n">
        <v>19</v>
      </c>
      <c r="V19" s="55" t="n">
        <f aca="false">IF(AND(OR(LEN(13_Buscador!$C$5)=0,ISNUMBER(SEARCH(13_Buscador!$C$5,$C19&amp;" "&amp;$D19&amp;" "&amp;$E19&amp;" "&amp;$F19&amp;" "&amp;$S19))),OR(13_Buscador!$C$6="Todas las listas",LEN(13_Buscador!$C$6)=0,13_Buscador!$C$6=$B19)),1,0)</f>
        <v>0</v>
      </c>
      <c r="W19" s="55" t="str">
        <f aca="false">IF(V19=1,SUM($V$2:V19),"")</f>
        <v/>
      </c>
    </row>
    <row r="20" customFormat="false" ht="15" hidden="false" customHeight="true" outlineLevel="0" collapsed="false">
      <c r="A20" s="55" t="n">
        <v>19</v>
      </c>
      <c r="B20" s="55" t="s">
        <v>3327</v>
      </c>
      <c r="C20" s="55" t="str">
        <f aca="false">IF(01_Desayunos!B20="","",01_Desayunos!B20)</f>
        <v>Panes y sándwiches</v>
      </c>
      <c r="D20" s="56" t="str">
        <f aca="false">IF(01_Desayunos!C20="","",01_Desayunos!C20)</f>
        <v>Pan con huevo</v>
      </c>
      <c r="E20" s="56" t="str">
        <f aca="false">IF(01_Desayunos!D20="","",01_Desayunos!D20)</f>
        <v>Huevo frito o revuelto</v>
      </c>
      <c r="F20" s="56" t="str">
        <f aca="false">IF(01_Desayunos!E20="","",01_Desayunos!E20)</f>
        <v>pan, huevo, sal, aceite</v>
      </c>
      <c r="G20" s="55" t="str">
        <f aca="false">IF(01_Desayunos!F20="","",01_Desayunos!F20)</f>
        <v>1 unidad</v>
      </c>
      <c r="H20" s="55" t="str">
        <f aca="false">IF(01_Desayunos!G20="","",01_Desayunos!G20)</f>
        <v>Económico</v>
      </c>
      <c r="I20" s="58" t="n">
        <f aca="false">IF(01_Desayunos!H20="","",01_Desayunos!H20)</f>
        <v>3</v>
      </c>
      <c r="J20" s="58" t="n">
        <f aca="false">IF(01_Desayunos!I20="","",01_Desayunos!I20)</f>
        <v>7</v>
      </c>
      <c r="K20" s="58" t="n">
        <f aca="false">IF(01_Desayunos!J20="","",01_Desayunos!J20)</f>
        <v>5</v>
      </c>
      <c r="L20" s="58" t="n">
        <f aca="false">IF(01_Desayunos!L20="","",01_Desayunos!L20)</f>
        <v>6</v>
      </c>
      <c r="M20" s="58" t="n">
        <f aca="false">IF(01_Desayunos!N20="","",01_Desayunos!N20)</f>
        <v>0.35</v>
      </c>
      <c r="N20" s="58" t="n">
        <f aca="false">IF(01_Desayunos!O20="","",01_Desayunos!O20)</f>
        <v>4.65</v>
      </c>
      <c r="O20" s="55" t="str">
        <f aca="false">IF(01_Desayunos!P20="","",01_Desayunos!P20)</f>
        <v>06:00-10:00</v>
      </c>
      <c r="P20" s="55" t="n">
        <f aca="false">IF(01_Desayunos!Q20="","",01_Desayunos!Q20)</f>
        <v>4</v>
      </c>
      <c r="Q20" s="55" t="str">
        <f aca="false">IF(01_Desayunos!R20="","",01_Desayunos!R20)</f>
        <v>Alto</v>
      </c>
      <c r="R20" s="55" t="str">
        <f aca="false">IF(01_Desayunos!S20="","",01_Desayunos!S20)</f>
        <v>Todo el año</v>
      </c>
      <c r="S20" s="55" t="str">
        <f aca="false">IF(01_Desayunos!T20="","",01_Desayunos!T20)</f>
        <v>Mercado</v>
      </c>
      <c r="T20" s="56" t="str">
        <f aca="false">IF(01_Desayunos!U20="","",01_Desayunos!U20)</f>
        <v/>
      </c>
      <c r="U20" s="55" t="n">
        <v>20</v>
      </c>
      <c r="V20" s="55" t="n">
        <f aca="false">IF(AND(OR(LEN(13_Buscador!$C$5)=0,ISNUMBER(SEARCH(13_Buscador!$C$5,$C20&amp;" "&amp;$D20&amp;" "&amp;$E20&amp;" "&amp;$F20&amp;" "&amp;$S20))),OR(13_Buscador!$C$6="Todas las listas",LEN(13_Buscador!$C$6)=0,13_Buscador!$C$6=$B20)),1,0)</f>
        <v>0</v>
      </c>
      <c r="W20" s="55" t="str">
        <f aca="false">IF(V20=1,SUM($V$2:V20),"")</f>
        <v/>
      </c>
    </row>
    <row r="21" customFormat="false" ht="15" hidden="false" customHeight="true" outlineLevel="0" collapsed="false">
      <c r="A21" s="55" t="n">
        <v>20</v>
      </c>
      <c r="B21" s="55" t="s">
        <v>3327</v>
      </c>
      <c r="C21" s="55" t="str">
        <f aca="false">IF(01_Desayunos!B21="","",01_Desayunos!B21)</f>
        <v>Panes y sándwiches</v>
      </c>
      <c r="D21" s="56" t="str">
        <f aca="false">IF(01_Desayunos!C21="","",01_Desayunos!C21)</f>
        <v>Tostadas con mermelada</v>
      </c>
      <c r="E21" s="56" t="str">
        <f aca="false">IF(01_Desayunos!D21="","",01_Desayunos!D21)</f>
        <v>Pan tostado, mantequilla, mermelada</v>
      </c>
      <c r="F21" s="56" t="str">
        <f aca="false">IF(01_Desayunos!E21="","",01_Desayunos!E21)</f>
        <v>pan tostado, mantequilla, mermelada</v>
      </c>
      <c r="G21" s="55" t="str">
        <f aca="false">IF(01_Desayunos!F21="","",01_Desayunos!F21)</f>
        <v>2 unidades</v>
      </c>
      <c r="H21" s="55" t="str">
        <f aca="false">IF(01_Desayunos!G21="","",01_Desayunos!G21)</f>
        <v>Económico</v>
      </c>
      <c r="I21" s="58" t="n">
        <f aca="false">IF(01_Desayunos!H21="","",01_Desayunos!H21)</f>
        <v>4</v>
      </c>
      <c r="J21" s="58" t="n">
        <f aca="false">IF(01_Desayunos!I21="","",01_Desayunos!I21)</f>
        <v>9</v>
      </c>
      <c r="K21" s="58" t="n">
        <f aca="false">IF(01_Desayunos!J21="","",01_Desayunos!J21)</f>
        <v>6.5</v>
      </c>
      <c r="L21" s="58" t="n">
        <f aca="false">IF(01_Desayunos!L21="","",01_Desayunos!L21)</f>
        <v>7.5</v>
      </c>
      <c r="M21" s="58" t="n">
        <f aca="false">IF(01_Desayunos!N21="","",01_Desayunos!N21)</f>
        <v>0.46</v>
      </c>
      <c r="N21" s="58" t="n">
        <f aca="false">IF(01_Desayunos!O21="","",01_Desayunos!O21)</f>
        <v>6.04</v>
      </c>
      <c r="O21" s="55" t="str">
        <f aca="false">IF(01_Desayunos!P21="","",01_Desayunos!P21)</f>
        <v>06:00-10:00</v>
      </c>
      <c r="P21" s="55" t="n">
        <f aca="false">IF(01_Desayunos!Q21="","",01_Desayunos!Q21)</f>
        <v>4</v>
      </c>
      <c r="Q21" s="55" t="str">
        <f aca="false">IF(01_Desayunos!R21="","",01_Desayunos!R21)</f>
        <v>Alto</v>
      </c>
      <c r="R21" s="55" t="str">
        <f aca="false">IF(01_Desayunos!S21="","",01_Desayunos!S21)</f>
        <v>Todo el año</v>
      </c>
      <c r="S21" s="55" t="str">
        <f aca="false">IF(01_Desayunos!T21="","",01_Desayunos!T21)</f>
        <v>Cafetería, hotel</v>
      </c>
      <c r="T21" s="56" t="str">
        <f aca="false">IF(01_Desayunos!U21="","",01_Desayunos!U21)</f>
        <v/>
      </c>
      <c r="U21" s="55" t="n">
        <v>21</v>
      </c>
      <c r="V21" s="55" t="n">
        <f aca="false">IF(AND(OR(LEN(13_Buscador!$C$5)=0,ISNUMBER(SEARCH(13_Buscador!$C$5,$C21&amp;" "&amp;$D21&amp;" "&amp;$E21&amp;" "&amp;$F21&amp;" "&amp;$S21))),OR(13_Buscador!$C$6="Todas las listas",LEN(13_Buscador!$C$6)=0,13_Buscador!$C$6=$B21)),1,0)</f>
        <v>0</v>
      </c>
      <c r="W21" s="55" t="str">
        <f aca="false">IF(V21=1,SUM($V$2:V21),"")</f>
        <v/>
      </c>
    </row>
    <row r="22" customFormat="false" ht="23.25" hidden="false" customHeight="true" outlineLevel="0" collapsed="false">
      <c r="A22" s="55" t="n">
        <v>21</v>
      </c>
      <c r="B22" s="55" t="s">
        <v>3327</v>
      </c>
      <c r="C22" s="55" t="str">
        <f aca="false">IF(01_Desayunos!B22="","",01_Desayunos!B22)</f>
        <v>Panes y sándwiches</v>
      </c>
      <c r="D22" s="56" t="str">
        <f aca="false">IF(01_Desayunos!C22="","",01_Desayunos!C22)</f>
        <v>Empanada de carne</v>
      </c>
      <c r="E22" s="56" t="str">
        <f aca="false">IF(01_Desayunos!D22="","",01_Desayunos!D22)</f>
        <v>Empanada horneada</v>
      </c>
      <c r="F22" s="56" t="str">
        <f aca="false">IF(01_Desayunos!E22="","",01_Desayunos!E22)</f>
        <v>masa de trigo, carne molida, cebolla, huevo, aceituna, pasas</v>
      </c>
      <c r="G22" s="55" t="str">
        <f aca="false">IF(01_Desayunos!F22="","",01_Desayunos!F22)</f>
        <v>1 unidad</v>
      </c>
      <c r="H22" s="55" t="str">
        <f aca="false">IF(01_Desayunos!G22="","",01_Desayunos!G22)</f>
        <v>Económico</v>
      </c>
      <c r="I22" s="58" t="n">
        <f aca="false">IF(01_Desayunos!H22="","",01_Desayunos!H22)</f>
        <v>3</v>
      </c>
      <c r="J22" s="58" t="n">
        <f aca="false">IF(01_Desayunos!I22="","",01_Desayunos!I22)</f>
        <v>7</v>
      </c>
      <c r="K22" s="58" t="n">
        <f aca="false">IF(01_Desayunos!J22="","",01_Desayunos!J22)</f>
        <v>5</v>
      </c>
      <c r="L22" s="58" t="n">
        <f aca="false">IF(01_Desayunos!L22="","",01_Desayunos!L22)</f>
        <v>6</v>
      </c>
      <c r="M22" s="58" t="n">
        <f aca="false">IF(01_Desayunos!N22="","",01_Desayunos!N22)</f>
        <v>0.35</v>
      </c>
      <c r="N22" s="58" t="n">
        <f aca="false">IF(01_Desayunos!O22="","",01_Desayunos!O22)</f>
        <v>4.65</v>
      </c>
      <c r="O22" s="55" t="str">
        <f aca="false">IF(01_Desayunos!P22="","",01_Desayunos!P22)</f>
        <v>06:00-11:00</v>
      </c>
      <c r="P22" s="55" t="n">
        <f aca="false">IF(01_Desayunos!Q22="","",01_Desayunos!Q22)</f>
        <v>3</v>
      </c>
      <c r="Q22" s="55" t="str">
        <f aca="false">IF(01_Desayunos!R22="","",01_Desayunos!R22)</f>
        <v>Alto</v>
      </c>
      <c r="R22" s="55" t="str">
        <f aca="false">IF(01_Desayunos!S22="","",01_Desayunos!S22)</f>
        <v>Todo el año</v>
      </c>
      <c r="S22" s="55" t="str">
        <f aca="false">IF(01_Desayunos!T22="","",01_Desayunos!T22)</f>
        <v>Panadería</v>
      </c>
      <c r="T22" s="56" t="str">
        <f aca="false">IF(01_Desayunos!U22="","",01_Desayunos!U22)</f>
        <v/>
      </c>
      <c r="U22" s="55" t="n">
        <v>22</v>
      </c>
      <c r="V22" s="55" t="n">
        <f aca="false">IF(AND(OR(LEN(13_Buscador!$C$5)=0,ISNUMBER(SEARCH(13_Buscador!$C$5,$C22&amp;" "&amp;$D22&amp;" "&amp;$E22&amp;" "&amp;$F22&amp;" "&amp;$S22))),OR(13_Buscador!$C$6="Todas las listas",LEN(13_Buscador!$C$6)=0,13_Buscador!$C$6=$B22)),1,0)</f>
        <v>0</v>
      </c>
      <c r="W22" s="55" t="str">
        <f aca="false">IF(V22=1,SUM($V$2:V22),"")</f>
        <v/>
      </c>
    </row>
    <row r="23" customFormat="false" ht="15" hidden="false" customHeight="true" outlineLevel="0" collapsed="false">
      <c r="A23" s="55" t="n">
        <v>22</v>
      </c>
      <c r="B23" s="55" t="s">
        <v>3327</v>
      </c>
      <c r="C23" s="55" t="str">
        <f aca="false">IF(01_Desayunos!B23="","",01_Desayunos!B23)</f>
        <v>Panes y sándwiches</v>
      </c>
      <c r="D23" s="56" t="str">
        <f aca="false">IF(01_Desayunos!C23="","",01_Desayunos!C23)</f>
        <v>Empanada de queso</v>
      </c>
      <c r="E23" s="56" t="str">
        <f aca="false">IF(01_Desayunos!D23="","",01_Desayunos!D23)</f>
        <v>Empanada horneada</v>
      </c>
      <c r="F23" s="56" t="str">
        <f aca="false">IF(01_Desayunos!E23="","",01_Desayunos!E23)</f>
        <v>masa de trigo, queso fresco</v>
      </c>
      <c r="G23" s="55" t="str">
        <f aca="false">IF(01_Desayunos!F23="","",01_Desayunos!F23)</f>
        <v>1 unidad</v>
      </c>
      <c r="H23" s="55" t="str">
        <f aca="false">IF(01_Desayunos!G23="","",01_Desayunos!G23)</f>
        <v>Económico</v>
      </c>
      <c r="I23" s="58" t="n">
        <f aca="false">IF(01_Desayunos!H23="","",01_Desayunos!H23)</f>
        <v>3</v>
      </c>
      <c r="J23" s="58" t="n">
        <f aca="false">IF(01_Desayunos!I23="","",01_Desayunos!I23)</f>
        <v>6</v>
      </c>
      <c r="K23" s="58" t="n">
        <f aca="false">IF(01_Desayunos!J23="","",01_Desayunos!J23)</f>
        <v>4.5</v>
      </c>
      <c r="L23" s="58" t="n">
        <f aca="false">IF(01_Desayunos!L23="","",01_Desayunos!L23)</f>
        <v>5.5</v>
      </c>
      <c r="M23" s="58" t="n">
        <f aca="false">IF(01_Desayunos!N23="","",01_Desayunos!N23)</f>
        <v>0.32</v>
      </c>
      <c r="N23" s="58" t="n">
        <f aca="false">IF(01_Desayunos!O23="","",01_Desayunos!O23)</f>
        <v>4.18</v>
      </c>
      <c r="O23" s="55" t="str">
        <f aca="false">IF(01_Desayunos!P23="","",01_Desayunos!P23)</f>
        <v>06:00-11:00</v>
      </c>
      <c r="P23" s="55" t="n">
        <f aca="false">IF(01_Desayunos!Q23="","",01_Desayunos!Q23)</f>
        <v>3</v>
      </c>
      <c r="Q23" s="55" t="str">
        <f aca="false">IF(01_Desayunos!R23="","",01_Desayunos!R23)</f>
        <v>Alto</v>
      </c>
      <c r="R23" s="55" t="str">
        <f aca="false">IF(01_Desayunos!S23="","",01_Desayunos!S23)</f>
        <v>Todo el año</v>
      </c>
      <c r="S23" s="55" t="str">
        <f aca="false">IF(01_Desayunos!T23="","",01_Desayunos!T23)</f>
        <v>Panadería</v>
      </c>
      <c r="T23" s="56" t="str">
        <f aca="false">IF(01_Desayunos!U23="","",01_Desayunos!U23)</f>
        <v/>
      </c>
      <c r="U23" s="55" t="n">
        <v>23</v>
      </c>
      <c r="V23" s="55" t="n">
        <f aca="false">IF(AND(OR(LEN(13_Buscador!$C$5)=0,ISNUMBER(SEARCH(13_Buscador!$C$5,$C23&amp;" "&amp;$D23&amp;" "&amp;$E23&amp;" "&amp;$F23&amp;" "&amp;$S23))),OR(13_Buscador!$C$6="Todas las listas",LEN(13_Buscador!$C$6)=0,13_Buscador!$C$6=$B23)),1,0)</f>
        <v>0</v>
      </c>
      <c r="W23" s="55" t="str">
        <f aca="false">IF(V23=1,SUM($V$2:V23),"")</f>
        <v/>
      </c>
    </row>
    <row r="24" customFormat="false" ht="23.25" hidden="false" customHeight="true" outlineLevel="0" collapsed="false">
      <c r="A24" s="55" t="n">
        <v>23</v>
      </c>
      <c r="B24" s="55" t="s">
        <v>3327</v>
      </c>
      <c r="C24" s="55" t="str">
        <f aca="false">IF(01_Desayunos!B24="","",01_Desayunos!B24)</f>
        <v>Desayunos completos</v>
      </c>
      <c r="D24" s="56" t="str">
        <f aca="false">IF(01_Desayunos!C24="","",01_Desayunos!C24)</f>
        <v>Desayuno americano</v>
      </c>
      <c r="E24" s="56" t="str">
        <f aca="false">IF(01_Desayunos!D24="","",01_Desayunos!D24)</f>
        <v>Café o jugo, pan, huevo, mantequilla, mermelada</v>
      </c>
      <c r="F24" s="56" t="str">
        <f aca="false">IF(01_Desayunos!E24="","",01_Desayunos!E24)</f>
        <v>café o jugo, pan, huevo, mantequilla, mermelada</v>
      </c>
      <c r="G24" s="55" t="str">
        <f aca="false">IF(01_Desayunos!F24="","",01_Desayunos!F24)</f>
        <v>Bandeja</v>
      </c>
      <c r="H24" s="55" t="str">
        <f aca="false">IF(01_Desayunos!G24="","",01_Desayunos!G24)</f>
        <v>Económico</v>
      </c>
      <c r="I24" s="58" t="n">
        <f aca="false">IF(01_Desayunos!H24="","",01_Desayunos!H24)</f>
        <v>8</v>
      </c>
      <c r="J24" s="58" t="n">
        <f aca="false">IF(01_Desayunos!I24="","",01_Desayunos!I24)</f>
        <v>15</v>
      </c>
      <c r="K24" s="58" t="n">
        <f aca="false">IF(01_Desayunos!J24="","",01_Desayunos!J24)</f>
        <v>11.5</v>
      </c>
      <c r="L24" s="58" t="n">
        <f aca="false">IF(01_Desayunos!L24="","",01_Desayunos!L24)</f>
        <v>12.5</v>
      </c>
      <c r="M24" s="58" t="n">
        <f aca="false">IF(01_Desayunos!N24="","",01_Desayunos!N24)</f>
        <v>0.81</v>
      </c>
      <c r="N24" s="58" t="n">
        <f aca="false">IF(01_Desayunos!O24="","",01_Desayunos!O24)</f>
        <v>10.69</v>
      </c>
      <c r="O24" s="55" t="str">
        <f aca="false">IF(01_Desayunos!P24="","",01_Desayunos!P24)</f>
        <v>07:00-10:00</v>
      </c>
      <c r="P24" s="55" t="n">
        <f aca="false">IF(01_Desayunos!Q24="","",01_Desayunos!Q24)</f>
        <v>12</v>
      </c>
      <c r="Q24" s="55" t="str">
        <f aca="false">IF(01_Desayunos!R24="","",01_Desayunos!R24)</f>
        <v>Alto</v>
      </c>
      <c r="R24" s="55" t="str">
        <f aca="false">IF(01_Desayunos!S24="","",01_Desayunos!S24)</f>
        <v>Todo el año</v>
      </c>
      <c r="S24" s="55" t="str">
        <f aca="false">IF(01_Desayunos!T24="","",01_Desayunos!T24)</f>
        <v>Cafetería, hotel</v>
      </c>
      <c r="T24" s="56" t="str">
        <f aca="false">IF(01_Desayunos!U24="","",01_Desayunos!U24)</f>
        <v>Buen candidato para combo en app</v>
      </c>
      <c r="U24" s="55" t="n">
        <v>24</v>
      </c>
      <c r="V24" s="55" t="n">
        <f aca="false">IF(AND(OR(LEN(13_Buscador!$C$5)=0,ISNUMBER(SEARCH(13_Buscador!$C$5,$C24&amp;" "&amp;$D24&amp;" "&amp;$E24&amp;" "&amp;$F24&amp;" "&amp;$S24))),OR(13_Buscador!$C$6="Todas las listas",LEN(13_Buscador!$C$6)=0,13_Buscador!$C$6=$B24)),1,0)</f>
        <v>0</v>
      </c>
      <c r="W24" s="55" t="str">
        <f aca="false">IF(V24=1,SUM($V$2:V24),"")</f>
        <v/>
      </c>
    </row>
    <row r="25" customFormat="false" ht="15" hidden="false" customHeight="true" outlineLevel="0" collapsed="false">
      <c r="A25" s="55" t="n">
        <v>24</v>
      </c>
      <c r="B25" s="55" t="s">
        <v>3327</v>
      </c>
      <c r="C25" s="55" t="str">
        <f aca="false">IF(01_Desayunos!B25="","",01_Desayunos!B25)</f>
        <v>Desayunos completos</v>
      </c>
      <c r="D25" s="56" t="str">
        <f aca="false">IF(01_Desayunos!C25="","",01_Desayunos!C25)</f>
        <v>Desayuno continental</v>
      </c>
      <c r="E25" s="56" t="str">
        <f aca="false">IF(01_Desayunos!D25="","",01_Desayunos!D25)</f>
        <v>Pan, mermelada, café, fruta</v>
      </c>
      <c r="F25" s="56" t="str">
        <f aca="false">IF(01_Desayunos!E25="","",01_Desayunos!E25)</f>
        <v>pan, mermelada, mantequilla, café, fruta</v>
      </c>
      <c r="G25" s="55" t="str">
        <f aca="false">IF(01_Desayunos!F25="","",01_Desayunos!F25)</f>
        <v>Bandeja</v>
      </c>
      <c r="H25" s="55" t="str">
        <f aca="false">IF(01_Desayunos!G25="","",01_Desayunos!G25)</f>
        <v>Económico</v>
      </c>
      <c r="I25" s="58" t="n">
        <f aca="false">IF(01_Desayunos!H25="","",01_Desayunos!H25)</f>
        <v>7</v>
      </c>
      <c r="J25" s="58" t="n">
        <f aca="false">IF(01_Desayunos!I25="","",01_Desayunos!I25)</f>
        <v>14</v>
      </c>
      <c r="K25" s="58" t="n">
        <f aca="false">IF(01_Desayunos!J25="","",01_Desayunos!J25)</f>
        <v>10.5</v>
      </c>
      <c r="L25" s="58" t="n">
        <f aca="false">IF(01_Desayunos!L25="","",01_Desayunos!L25)</f>
        <v>11.5</v>
      </c>
      <c r="M25" s="58" t="n">
        <f aca="false">IF(01_Desayunos!N25="","",01_Desayunos!N25)</f>
        <v>0.74</v>
      </c>
      <c r="N25" s="58" t="n">
        <f aca="false">IF(01_Desayunos!O25="","",01_Desayunos!O25)</f>
        <v>9.76</v>
      </c>
      <c r="O25" s="55" t="str">
        <f aca="false">IF(01_Desayunos!P25="","",01_Desayunos!P25)</f>
        <v>07:00-10:00</v>
      </c>
      <c r="P25" s="55" t="n">
        <f aca="false">IF(01_Desayunos!Q25="","",01_Desayunos!Q25)</f>
        <v>8</v>
      </c>
      <c r="Q25" s="55" t="str">
        <f aca="false">IF(01_Desayunos!R25="","",01_Desayunos!R25)</f>
        <v>Alto</v>
      </c>
      <c r="R25" s="55" t="str">
        <f aca="false">IF(01_Desayunos!S25="","",01_Desayunos!S25)</f>
        <v>Todo el año</v>
      </c>
      <c r="S25" s="55" t="str">
        <f aca="false">IF(01_Desayunos!T25="","",01_Desayunos!T25)</f>
        <v>Hotel, cafetería</v>
      </c>
      <c r="T25" s="56" t="str">
        <f aca="false">IF(01_Desayunos!U25="","",01_Desayunos!U25)</f>
        <v/>
      </c>
      <c r="U25" s="55" t="n">
        <v>25</v>
      </c>
      <c r="V25" s="55" t="n">
        <f aca="false">IF(AND(OR(LEN(13_Buscador!$C$5)=0,ISNUMBER(SEARCH(13_Buscador!$C$5,$C25&amp;" "&amp;$D25&amp;" "&amp;$E25&amp;" "&amp;$F25&amp;" "&amp;$S25))),OR(13_Buscador!$C$6="Todas las listas",LEN(13_Buscador!$C$6)=0,13_Buscador!$C$6=$B25)),1,0)</f>
        <v>0</v>
      </c>
      <c r="W25" s="55" t="str">
        <f aca="false">IF(V25=1,SUM($V$2:V25),"")</f>
        <v/>
      </c>
    </row>
    <row r="26" customFormat="false" ht="15" hidden="false" customHeight="true" outlineLevel="0" collapsed="false">
      <c r="A26" s="55" t="n">
        <v>25</v>
      </c>
      <c r="B26" s="55" t="s">
        <v>3327</v>
      </c>
      <c r="C26" s="55" t="str">
        <f aca="false">IF(01_Desayunos!B26="","",01_Desayunos!B26)</f>
        <v>Desayunos completos</v>
      </c>
      <c r="D26" s="56" t="str">
        <f aca="false">IF(01_Desayunos!C26="","",01_Desayunos!C26)</f>
        <v>Desayuno andino</v>
      </c>
      <c r="E26" s="56" t="str">
        <f aca="false">IF(01_Desayunos!D26="","",01_Desayunos!D26)</f>
        <v>Quinua, queso, pan, mate</v>
      </c>
      <c r="F26" s="56" t="str">
        <f aca="false">IF(01_Desayunos!E26="","",01_Desayunos!E26)</f>
        <v>quinua, queso fresco, pan, mate de coca, huevo</v>
      </c>
      <c r="G26" s="55" t="str">
        <f aca="false">IF(01_Desayunos!F26="","",01_Desayunos!F26)</f>
        <v>Bandeja</v>
      </c>
      <c r="H26" s="55" t="str">
        <f aca="false">IF(01_Desayunos!G26="","",01_Desayunos!G26)</f>
        <v>Estándar</v>
      </c>
      <c r="I26" s="58" t="n">
        <f aca="false">IF(01_Desayunos!H26="","",01_Desayunos!H26)</f>
        <v>10</v>
      </c>
      <c r="J26" s="58" t="n">
        <f aca="false">IF(01_Desayunos!I26="","",01_Desayunos!I26)</f>
        <v>18</v>
      </c>
      <c r="K26" s="58" t="n">
        <f aca="false">IF(01_Desayunos!J26="","",01_Desayunos!J26)</f>
        <v>14</v>
      </c>
      <c r="L26" s="58" t="n">
        <f aca="false">IF(01_Desayunos!L26="","",01_Desayunos!L26)</f>
        <v>15</v>
      </c>
      <c r="M26" s="58" t="n">
        <f aca="false">IF(01_Desayunos!N26="","",01_Desayunos!N26)</f>
        <v>1.26</v>
      </c>
      <c r="N26" s="58" t="n">
        <f aca="false">IF(01_Desayunos!O26="","",01_Desayunos!O26)</f>
        <v>12.74</v>
      </c>
      <c r="O26" s="55" t="str">
        <f aca="false">IF(01_Desayunos!P26="","",01_Desayunos!P26)</f>
        <v>07:00-10:00</v>
      </c>
      <c r="P26" s="55" t="n">
        <f aca="false">IF(01_Desayunos!Q26="","",01_Desayunos!Q26)</f>
        <v>12</v>
      </c>
      <c r="Q26" s="55" t="str">
        <f aca="false">IF(01_Desayunos!R26="","",01_Desayunos!R26)</f>
        <v>Alto</v>
      </c>
      <c r="R26" s="55" t="str">
        <f aca="false">IF(01_Desayunos!S26="","",01_Desayunos!S26)</f>
        <v>Todo el año</v>
      </c>
      <c r="S26" s="55" t="str">
        <f aca="false">IF(01_Desayunos!T26="","",01_Desayunos!T26)</f>
        <v>Cafetería turística</v>
      </c>
      <c r="T26" s="56" t="str">
        <f aca="false">IF(01_Desayunos!U26="","",01_Desayunos!U26)</f>
        <v>Diferenciador para turistas</v>
      </c>
      <c r="U26" s="55" t="n">
        <v>26</v>
      </c>
      <c r="V26" s="55" t="n">
        <f aca="false">IF(AND(OR(LEN(13_Buscador!$C$5)=0,ISNUMBER(SEARCH(13_Buscador!$C$5,$C26&amp;" "&amp;$D26&amp;" "&amp;$E26&amp;" "&amp;$F26&amp;" "&amp;$S26))),OR(13_Buscador!$C$6="Todas las listas",LEN(13_Buscador!$C$6)=0,13_Buscador!$C$6=$B26)),1,0)</f>
        <v>0</v>
      </c>
      <c r="W26" s="55" t="str">
        <f aca="false">IF(V26=1,SUM($V$2:V26),"")</f>
        <v/>
      </c>
    </row>
    <row r="27" customFormat="false" ht="15" hidden="false" customHeight="true" outlineLevel="0" collapsed="false">
      <c r="A27" s="55" t="n">
        <v>26</v>
      </c>
      <c r="B27" s="55" t="s">
        <v>3327</v>
      </c>
      <c r="C27" s="55" t="str">
        <f aca="false">IF(01_Desayunos!B27="","",01_Desayunos!B27)</f>
        <v>Desayunos completos</v>
      </c>
      <c r="D27" s="56" t="str">
        <f aca="false">IF(01_Desayunos!C27="","",01_Desayunos!C27)</f>
        <v>Desayuno criollo</v>
      </c>
      <c r="E27" s="56" t="str">
        <f aca="false">IF(01_Desayunos!D27="","",01_Desayunos!D27)</f>
        <v>Caldo + segundo ligero + bebida</v>
      </c>
      <c r="F27" s="56" t="str">
        <f aca="false">IF(01_Desayunos!E27="","",01_Desayunos!E27)</f>
        <v>pan, bebida caliente o jugo, huevo o relleno, fruta</v>
      </c>
      <c r="G27" s="55" t="str">
        <f aca="false">IF(01_Desayunos!F27="","",01_Desayunos!F27)</f>
        <v>Bandeja</v>
      </c>
      <c r="H27" s="55" t="str">
        <f aca="false">IF(01_Desayunos!G27="","",01_Desayunos!G27)</f>
        <v>Estándar</v>
      </c>
      <c r="I27" s="58" t="n">
        <f aca="false">IF(01_Desayunos!H27="","",01_Desayunos!H27)</f>
        <v>10</v>
      </c>
      <c r="J27" s="58" t="n">
        <f aca="false">IF(01_Desayunos!I27="","",01_Desayunos!I27)</f>
        <v>16</v>
      </c>
      <c r="K27" s="58" t="n">
        <f aca="false">IF(01_Desayunos!J27="","",01_Desayunos!J27)</f>
        <v>13</v>
      </c>
      <c r="L27" s="58" t="n">
        <f aca="false">IF(01_Desayunos!L27="","",01_Desayunos!L27)</f>
        <v>14</v>
      </c>
      <c r="M27" s="58" t="n">
        <f aca="false">IF(01_Desayunos!N27="","",01_Desayunos!N27)</f>
        <v>1.17</v>
      </c>
      <c r="N27" s="58" t="n">
        <f aca="false">IF(01_Desayunos!O27="","",01_Desayunos!O27)</f>
        <v>11.83</v>
      </c>
      <c r="O27" s="55" t="str">
        <f aca="false">IF(01_Desayunos!P27="","",01_Desayunos!P27)</f>
        <v>06:00-10:00</v>
      </c>
      <c r="P27" s="55" t="n">
        <f aca="false">IF(01_Desayunos!Q27="","",01_Desayunos!Q27)</f>
        <v>12</v>
      </c>
      <c r="Q27" s="55" t="str">
        <f aca="false">IF(01_Desayunos!R27="","",01_Desayunos!R27)</f>
        <v>Medio</v>
      </c>
      <c r="R27" s="55" t="str">
        <f aca="false">IF(01_Desayunos!S27="","",01_Desayunos!S27)</f>
        <v>Todo el año</v>
      </c>
      <c r="S27" s="55" t="str">
        <f aca="false">IF(01_Desayunos!T27="","",01_Desayunos!T27)</f>
        <v>Menú</v>
      </c>
      <c r="T27" s="56" t="str">
        <f aca="false">IF(01_Desayunos!U27="","",01_Desayunos!U27)</f>
        <v>Versión matutina del menú</v>
      </c>
      <c r="U27" s="55" t="n">
        <v>27</v>
      </c>
      <c r="V27" s="55" t="n">
        <f aca="false">IF(AND(OR(LEN(13_Buscador!$C$5)=0,ISNUMBER(SEARCH(13_Buscador!$C$5,$C27&amp;" "&amp;$D27&amp;" "&amp;$E27&amp;" "&amp;$F27&amp;" "&amp;$S27))),OR(13_Buscador!$C$6="Todas las listas",LEN(13_Buscador!$C$6)=0,13_Buscador!$C$6=$B27)),1,0)</f>
        <v>0</v>
      </c>
      <c r="W27" s="55" t="str">
        <f aca="false">IF(V27=1,SUM($V$2:V27),"")</f>
        <v/>
      </c>
    </row>
    <row r="28" customFormat="false" ht="15" hidden="false" customHeight="true" outlineLevel="0" collapsed="false">
      <c r="A28" s="55" t="n">
        <v>27</v>
      </c>
      <c r="B28" s="55" t="s">
        <v>3327</v>
      </c>
      <c r="C28" s="55" t="str">
        <f aca="false">IF(01_Desayunos!B28="","",01_Desayunos!B28)</f>
        <v>Desayunos completos</v>
      </c>
      <c r="D28" s="56" t="str">
        <f aca="false">IF(01_Desayunos!C28="","",01_Desayunos!C28)</f>
        <v>Huevos revueltos con pan</v>
      </c>
      <c r="E28" s="56" t="str">
        <f aca="false">IF(01_Desayunos!D28="","",01_Desayunos!D28)</f>
        <v>Huevos, pan, café</v>
      </c>
      <c r="F28" s="56" t="str">
        <f aca="false">IF(01_Desayunos!E28="","",01_Desayunos!E28)</f>
        <v>huevo, aceite o mantequilla, sal</v>
      </c>
      <c r="G28" s="55" t="str">
        <f aca="false">IF(01_Desayunos!F28="","",01_Desayunos!F28)</f>
        <v>Plato</v>
      </c>
      <c r="H28" s="55" t="str">
        <f aca="false">IF(01_Desayunos!G28="","",01_Desayunos!G28)</f>
        <v>Económico</v>
      </c>
      <c r="I28" s="58" t="n">
        <f aca="false">IF(01_Desayunos!H28="","",01_Desayunos!H28)</f>
        <v>6</v>
      </c>
      <c r="J28" s="58" t="n">
        <f aca="false">IF(01_Desayunos!I28="","",01_Desayunos!I28)</f>
        <v>12</v>
      </c>
      <c r="K28" s="58" t="n">
        <f aca="false">IF(01_Desayunos!J28="","",01_Desayunos!J28)</f>
        <v>9</v>
      </c>
      <c r="L28" s="58" t="n">
        <f aca="false">IF(01_Desayunos!L28="","",01_Desayunos!L28)</f>
        <v>10</v>
      </c>
      <c r="M28" s="58" t="n">
        <f aca="false">IF(01_Desayunos!N28="","",01_Desayunos!N28)</f>
        <v>0.63</v>
      </c>
      <c r="N28" s="58" t="n">
        <f aca="false">IF(01_Desayunos!O28="","",01_Desayunos!O28)</f>
        <v>8.37</v>
      </c>
      <c r="O28" s="55" t="str">
        <f aca="false">IF(01_Desayunos!P28="","",01_Desayunos!P28)</f>
        <v>07:00-10:00</v>
      </c>
      <c r="P28" s="55" t="n">
        <f aca="false">IF(01_Desayunos!Q28="","",01_Desayunos!Q28)</f>
        <v>8</v>
      </c>
      <c r="Q28" s="55" t="str">
        <f aca="false">IF(01_Desayunos!R28="","",01_Desayunos!R28)</f>
        <v>Alto</v>
      </c>
      <c r="R28" s="55" t="str">
        <f aca="false">IF(01_Desayunos!S28="","",01_Desayunos!S28)</f>
        <v>Todo el año</v>
      </c>
      <c r="S28" s="55" t="str">
        <f aca="false">IF(01_Desayunos!T28="","",01_Desayunos!T28)</f>
        <v>Cafetería</v>
      </c>
      <c r="T28" s="56" t="str">
        <f aca="false">IF(01_Desayunos!U28="","",01_Desayunos!U28)</f>
        <v/>
      </c>
      <c r="U28" s="55" t="n">
        <v>28</v>
      </c>
      <c r="V28" s="55" t="n">
        <f aca="false">IF(AND(OR(LEN(13_Buscador!$C$5)=0,ISNUMBER(SEARCH(13_Buscador!$C$5,$C28&amp;" "&amp;$D28&amp;" "&amp;$E28&amp;" "&amp;$F28&amp;" "&amp;$S28))),OR(13_Buscador!$C$6="Todas las listas",LEN(13_Buscador!$C$6)=0,13_Buscador!$C$6=$B28)),1,0)</f>
        <v>0</v>
      </c>
      <c r="W28" s="55" t="str">
        <f aca="false">IF(V28=1,SUM($V$2:V28),"")</f>
        <v/>
      </c>
    </row>
    <row r="29" customFormat="false" ht="15" hidden="false" customHeight="true" outlineLevel="0" collapsed="false">
      <c r="A29" s="55" t="n">
        <v>28</v>
      </c>
      <c r="B29" s="55" t="s">
        <v>3327</v>
      </c>
      <c r="C29" s="55" t="str">
        <f aca="false">IF(01_Desayunos!B29="","",01_Desayunos!B29)</f>
        <v>Desayunos completos</v>
      </c>
      <c r="D29" s="56" t="str">
        <f aca="false">IF(01_Desayunos!C29="","",01_Desayunos!C29)</f>
        <v>Tortilla de verduras desayuno</v>
      </c>
      <c r="E29" s="56" t="str">
        <f aca="false">IF(01_Desayunos!D29="","",01_Desayunos!D29)</f>
        <v>Huevo con verduras</v>
      </c>
      <c r="F29" s="56" t="str">
        <f aca="false">IF(01_Desayunos!E29="","",01_Desayunos!E29)</f>
        <v>huevo, zanahoria, vainita, cebolla, sal, arroz</v>
      </c>
      <c r="G29" s="55" t="str">
        <f aca="false">IF(01_Desayunos!F29="","",01_Desayunos!F29)</f>
        <v>Plato</v>
      </c>
      <c r="H29" s="55" t="str">
        <f aca="false">IF(01_Desayunos!G29="","",01_Desayunos!G29)</f>
        <v>Económico</v>
      </c>
      <c r="I29" s="58" t="n">
        <f aca="false">IF(01_Desayunos!H29="","",01_Desayunos!H29)</f>
        <v>6</v>
      </c>
      <c r="J29" s="58" t="n">
        <f aca="false">IF(01_Desayunos!I29="","",01_Desayunos!I29)</f>
        <v>12</v>
      </c>
      <c r="K29" s="58" t="n">
        <f aca="false">IF(01_Desayunos!J29="","",01_Desayunos!J29)</f>
        <v>9</v>
      </c>
      <c r="L29" s="58" t="n">
        <f aca="false">IF(01_Desayunos!L29="","",01_Desayunos!L29)</f>
        <v>10</v>
      </c>
      <c r="M29" s="58" t="n">
        <f aca="false">IF(01_Desayunos!N29="","",01_Desayunos!N29)</f>
        <v>0.63</v>
      </c>
      <c r="N29" s="58" t="n">
        <f aca="false">IF(01_Desayunos!O29="","",01_Desayunos!O29)</f>
        <v>8.37</v>
      </c>
      <c r="O29" s="55" t="str">
        <f aca="false">IF(01_Desayunos!P29="","",01_Desayunos!P29)</f>
        <v>07:00-10:00</v>
      </c>
      <c r="P29" s="55" t="n">
        <f aca="false">IF(01_Desayunos!Q29="","",01_Desayunos!Q29)</f>
        <v>8</v>
      </c>
      <c r="Q29" s="55" t="str">
        <f aca="false">IF(01_Desayunos!R29="","",01_Desayunos!R29)</f>
        <v>Alto</v>
      </c>
      <c r="R29" s="55" t="str">
        <f aca="false">IF(01_Desayunos!S29="","",01_Desayunos!S29)</f>
        <v>Todo el año</v>
      </c>
      <c r="S29" s="55" t="str">
        <f aca="false">IF(01_Desayunos!T29="","",01_Desayunos!T29)</f>
        <v>Menú, vegetariano</v>
      </c>
      <c r="T29" s="56" t="str">
        <f aca="false">IF(01_Desayunos!U29="","",01_Desayunos!U29)</f>
        <v/>
      </c>
      <c r="U29" s="55" t="n">
        <v>29</v>
      </c>
      <c r="V29" s="55" t="n">
        <f aca="false">IF(AND(OR(LEN(13_Buscador!$C$5)=0,ISNUMBER(SEARCH(13_Buscador!$C$5,$C29&amp;" "&amp;$D29&amp;" "&amp;$E29&amp;" "&amp;$F29&amp;" "&amp;$S29))),OR(13_Buscador!$C$6="Todas las listas",LEN(13_Buscador!$C$6)=0,13_Buscador!$C$6=$B29)),1,0)</f>
        <v>0</v>
      </c>
      <c r="W29" s="55" t="str">
        <f aca="false">IF(V29=1,SUM($V$2:V29),"")</f>
        <v/>
      </c>
    </row>
    <row r="30" customFormat="false" ht="23.25" hidden="false" customHeight="true" outlineLevel="0" collapsed="false">
      <c r="A30" s="55" t="n">
        <v>29</v>
      </c>
      <c r="B30" s="55" t="s">
        <v>3327</v>
      </c>
      <c r="C30" s="55" t="str">
        <f aca="false">IF(01_Desayunos!B30="","",01_Desayunos!B30)</f>
        <v>Panes y sándwiches</v>
      </c>
      <c r="D30" s="56" t="str">
        <f aca="false">IF(01_Desayunos!C30="","",01_Desayunos!C30)</f>
        <v>Pastel de choclo / humita</v>
      </c>
      <c r="E30" s="56" t="str">
        <f aca="false">IF(01_Desayunos!D30="","",01_Desayunos!D30)</f>
        <v>Humita dulce o salada</v>
      </c>
      <c r="F30" s="56" t="str">
        <f aca="false">IF(01_Desayunos!E30="","",01_Desayunos!E30)</f>
        <v>choclo molido, queso o azúcar, manteca, panca de maíz</v>
      </c>
      <c r="G30" s="55" t="str">
        <f aca="false">IF(01_Desayunos!F30="","",01_Desayunos!F30)</f>
        <v>1 unidad</v>
      </c>
      <c r="H30" s="55" t="str">
        <f aca="false">IF(01_Desayunos!G30="","",01_Desayunos!G30)</f>
        <v>Económico</v>
      </c>
      <c r="I30" s="58" t="n">
        <f aca="false">IF(01_Desayunos!H30="","",01_Desayunos!H30)</f>
        <v>3</v>
      </c>
      <c r="J30" s="58" t="n">
        <f aca="false">IF(01_Desayunos!I30="","",01_Desayunos!I30)</f>
        <v>7</v>
      </c>
      <c r="K30" s="58" t="n">
        <f aca="false">IF(01_Desayunos!J30="","",01_Desayunos!J30)</f>
        <v>5</v>
      </c>
      <c r="L30" s="58" t="n">
        <f aca="false">IF(01_Desayunos!L30="","",01_Desayunos!L30)</f>
        <v>6</v>
      </c>
      <c r="M30" s="58" t="n">
        <f aca="false">IF(01_Desayunos!N30="","",01_Desayunos!N30)</f>
        <v>0.35</v>
      </c>
      <c r="N30" s="58" t="n">
        <f aca="false">IF(01_Desayunos!O30="","",01_Desayunos!O30)</f>
        <v>4.65</v>
      </c>
      <c r="O30" s="55" t="str">
        <f aca="false">IF(01_Desayunos!P30="","",01_Desayunos!P30)</f>
        <v>06:00-10:00</v>
      </c>
      <c r="P30" s="55" t="n">
        <f aca="false">IF(01_Desayunos!Q30="","",01_Desayunos!Q30)</f>
        <v>3</v>
      </c>
      <c r="Q30" s="55" t="str">
        <f aca="false">IF(01_Desayunos!R30="","",01_Desayunos!R30)</f>
        <v>Alto</v>
      </c>
      <c r="R30" s="55" t="str">
        <f aca="false">IF(01_Desayunos!S30="","",01_Desayunos!S30)</f>
        <v>Todo el año</v>
      </c>
      <c r="S30" s="55" t="str">
        <f aca="false">IF(01_Desayunos!T30="","",01_Desayunos!T30)</f>
        <v>Mercado</v>
      </c>
      <c r="T30" s="56" t="str">
        <f aca="false">IF(01_Desayunos!U30="","",01_Desayunos!U30)</f>
        <v/>
      </c>
      <c r="U30" s="55" t="n">
        <v>30</v>
      </c>
      <c r="V30" s="55" t="n">
        <f aca="false">IF(AND(OR(LEN(13_Buscador!$C$5)=0,ISNUMBER(SEARCH(13_Buscador!$C$5,$C30&amp;" "&amp;$D30&amp;" "&amp;$E30&amp;" "&amp;$F30&amp;" "&amp;$S30))),OR(13_Buscador!$C$6="Todas las listas",LEN(13_Buscador!$C$6)=0,13_Buscador!$C$6=$B30)),1,0)</f>
        <v>0</v>
      </c>
      <c r="W30" s="55" t="str">
        <f aca="false">IF(V30=1,SUM($V$2:V30),"")</f>
        <v/>
      </c>
    </row>
    <row r="31" customFormat="false" ht="15" hidden="false" customHeight="true" outlineLevel="0" collapsed="false">
      <c r="A31" s="55" t="n">
        <v>30</v>
      </c>
      <c r="B31" s="55" t="s">
        <v>3327</v>
      </c>
      <c r="C31" s="55" t="str">
        <f aca="false">IF(01_Desayunos!B31="","",01_Desayunos!B31)</f>
        <v>Panes y sándwiches</v>
      </c>
      <c r="D31" s="56" t="str">
        <f aca="false">IF(01_Desayunos!C31="","",01_Desayunos!C31)</f>
        <v>Quispiño</v>
      </c>
      <c r="E31" s="56" t="str">
        <f aca="false">IF(01_Desayunos!D31="","",01_Desayunos!D31)</f>
        <v>Panecillo de quinua</v>
      </c>
      <c r="F31" s="56" t="str">
        <f aca="false">IF(01_Desayunos!E31="","",01_Desayunos!E31)</f>
        <v>harina de quinua, agua, sal, cal o ceniza</v>
      </c>
      <c r="G31" s="55" t="str">
        <f aca="false">IF(01_Desayunos!F31="","",01_Desayunos!F31)</f>
        <v>2 unidades</v>
      </c>
      <c r="H31" s="55" t="str">
        <f aca="false">IF(01_Desayunos!G31="","",01_Desayunos!G31)</f>
        <v>Económico</v>
      </c>
      <c r="I31" s="58" t="n">
        <f aca="false">IF(01_Desayunos!H31="","",01_Desayunos!H31)</f>
        <v>2</v>
      </c>
      <c r="J31" s="58" t="n">
        <f aca="false">IF(01_Desayunos!I31="","",01_Desayunos!I31)</f>
        <v>5</v>
      </c>
      <c r="K31" s="58" t="n">
        <f aca="false">IF(01_Desayunos!J31="","",01_Desayunos!J31)</f>
        <v>3.5</v>
      </c>
      <c r="L31" s="58" t="n">
        <f aca="false">IF(01_Desayunos!L31="","",01_Desayunos!L31)</f>
        <v>4.5</v>
      </c>
      <c r="M31" s="58" t="n">
        <f aca="false">IF(01_Desayunos!N31="","",01_Desayunos!N31)</f>
        <v>0.25</v>
      </c>
      <c r="N31" s="58" t="n">
        <f aca="false">IF(01_Desayunos!O31="","",01_Desayunos!O31)</f>
        <v>3.25</v>
      </c>
      <c r="O31" s="55" t="str">
        <f aca="false">IF(01_Desayunos!P31="","",01_Desayunos!P31)</f>
        <v>06:00-10:00</v>
      </c>
      <c r="P31" s="55" t="n">
        <f aca="false">IF(01_Desayunos!Q31="","",01_Desayunos!Q31)</f>
        <v>2</v>
      </c>
      <c r="Q31" s="55" t="str">
        <f aca="false">IF(01_Desayunos!R31="","",01_Desayunos!R31)</f>
        <v>Alto</v>
      </c>
      <c r="R31" s="55" t="str">
        <f aca="false">IF(01_Desayunos!S31="","",01_Desayunos!S31)</f>
        <v>Todo el año</v>
      </c>
      <c r="S31" s="55" t="str">
        <f aca="false">IF(01_Desayunos!T31="","",01_Desayunos!T31)</f>
        <v>Mercado, regional</v>
      </c>
      <c r="T31" s="56" t="str">
        <f aca="false">IF(01_Desayunos!U31="","",01_Desayunos!U31)</f>
        <v>Producto identitario de Puno</v>
      </c>
      <c r="U31" s="55" t="n">
        <v>31</v>
      </c>
      <c r="V31" s="55" t="n">
        <f aca="false">IF(AND(OR(LEN(13_Buscador!$C$5)=0,ISNUMBER(SEARCH(13_Buscador!$C$5,$C31&amp;" "&amp;$D31&amp;" "&amp;$E31&amp;" "&amp;$F31&amp;" "&amp;$S31))),OR(13_Buscador!$C$6="Todas las listas",LEN(13_Buscador!$C$6)=0,13_Buscador!$C$6=$B31)),1,0)</f>
        <v>0</v>
      </c>
      <c r="W31" s="55" t="str">
        <f aca="false">IF(V31=1,SUM($V$2:V31),"")</f>
        <v/>
      </c>
    </row>
    <row r="32" customFormat="false" ht="15" hidden="false" customHeight="true" outlineLevel="0" collapsed="false">
      <c r="A32" s="55" t="n">
        <v>31</v>
      </c>
      <c r="B32" s="55" t="s">
        <v>3327</v>
      </c>
      <c r="C32" s="55" t="str">
        <f aca="false">IF(01_Desayunos!B32="","",01_Desayunos!B32)</f>
        <v>Panes y sándwiches</v>
      </c>
      <c r="D32" s="56" t="str">
        <f aca="false">IF(01_Desayunos!C32="","",01_Desayunos!C32)</f>
        <v>Pan de tres puntas / marraqueta</v>
      </c>
      <c r="E32" s="56" t="str">
        <f aca="false">IF(01_Desayunos!D32="","",01_Desayunos!D32)</f>
        <v>Pan local</v>
      </c>
      <c r="F32" s="56" t="str">
        <f aca="false">IF(01_Desayunos!E32="","",01_Desayunos!E32)</f>
        <v>harina de trigo, levadura, manteca, sal o azúcar</v>
      </c>
      <c r="G32" s="55" t="str">
        <f aca="false">IF(01_Desayunos!F32="","",01_Desayunos!F32)</f>
        <v>3 unidades</v>
      </c>
      <c r="H32" s="55" t="str">
        <f aca="false">IF(01_Desayunos!G32="","",01_Desayunos!G32)</f>
        <v>Económico</v>
      </c>
      <c r="I32" s="58" t="n">
        <f aca="false">IF(01_Desayunos!H32="","",01_Desayunos!H32)</f>
        <v>1</v>
      </c>
      <c r="J32" s="58" t="n">
        <f aca="false">IF(01_Desayunos!I32="","",01_Desayunos!I32)</f>
        <v>3</v>
      </c>
      <c r="K32" s="58" t="n">
        <f aca="false">IF(01_Desayunos!J32="","",01_Desayunos!J32)</f>
        <v>2</v>
      </c>
      <c r="L32" s="58" t="n">
        <f aca="false">IF(01_Desayunos!L32="","",01_Desayunos!L32)</f>
        <v>3</v>
      </c>
      <c r="M32" s="58" t="n">
        <f aca="false">IF(01_Desayunos!N32="","",01_Desayunos!N32)</f>
        <v>0.14</v>
      </c>
      <c r="N32" s="58" t="n">
        <f aca="false">IF(01_Desayunos!O32="","",01_Desayunos!O32)</f>
        <v>1.86</v>
      </c>
      <c r="O32" s="55" t="str">
        <f aca="false">IF(01_Desayunos!P32="","",01_Desayunos!P32)</f>
        <v>05:00-10:00</v>
      </c>
      <c r="P32" s="55" t="n">
        <f aca="false">IF(01_Desayunos!Q32="","",01_Desayunos!Q32)</f>
        <v>1</v>
      </c>
      <c r="Q32" s="55" t="str">
        <f aca="false">IF(01_Desayunos!R32="","",01_Desayunos!R32)</f>
        <v>Alto</v>
      </c>
      <c r="R32" s="55" t="str">
        <f aca="false">IF(01_Desayunos!S32="","",01_Desayunos!S32)</f>
        <v>Todo el año</v>
      </c>
      <c r="S32" s="55" t="str">
        <f aca="false">IF(01_Desayunos!T32="","",01_Desayunos!T32)</f>
        <v>Panadería</v>
      </c>
      <c r="T32" s="56" t="str">
        <f aca="false">IF(01_Desayunos!U32="","",01_Desayunos!U32)</f>
        <v>Complemento de bajo costo para subir ticket</v>
      </c>
      <c r="U32" s="55" t="n">
        <v>32</v>
      </c>
      <c r="V32" s="55" t="n">
        <f aca="false">IF(AND(OR(LEN(13_Buscador!$C$5)=0,ISNUMBER(SEARCH(13_Buscador!$C$5,$C32&amp;" "&amp;$D32&amp;" "&amp;$E32&amp;" "&amp;$F32&amp;" "&amp;$S32))),OR(13_Buscador!$C$6="Todas las listas",LEN(13_Buscador!$C$6)=0,13_Buscador!$C$6=$B32)),1,0)</f>
        <v>0</v>
      </c>
      <c r="W32" s="55" t="str">
        <f aca="false">IF(V32=1,SUM($V$2:V32),"")</f>
        <v/>
      </c>
    </row>
    <row r="33" customFormat="false" ht="23.25" hidden="false" customHeight="true" outlineLevel="0" collapsed="false">
      <c r="A33" s="55" t="n">
        <v>32</v>
      </c>
      <c r="B33" s="55" t="s">
        <v>3327</v>
      </c>
      <c r="C33" s="55" t="str">
        <f aca="false">IF(01_Desayunos!B33="","",01_Desayunos!B33)</f>
        <v>Caldos de mañana</v>
      </c>
      <c r="D33" s="56" t="str">
        <f aca="false">IF(01_Desayunos!C33="","",01_Desayunos!C33)</f>
        <v>Caldo de pollo con fideo</v>
      </c>
      <c r="E33" s="56" t="str">
        <f aca="false">IF(01_Desayunos!D33="","",01_Desayunos!D33)</f>
        <v>Presa de pollo, fideo, papa</v>
      </c>
      <c r="F33" s="56" t="str">
        <f aca="false">IF(01_Desayunos!E33="","",01_Desayunos!E33)</f>
        <v>presa de pollo, fideo, papa, zanahoria, cebolla china, sal</v>
      </c>
      <c r="G33" s="55" t="str">
        <f aca="false">IF(01_Desayunos!F33="","",01_Desayunos!F33)</f>
        <v>Plato hondo</v>
      </c>
      <c r="H33" s="55" t="str">
        <f aca="false">IF(01_Desayunos!G33="","",01_Desayunos!G33)</f>
        <v>Económico</v>
      </c>
      <c r="I33" s="58" t="n">
        <f aca="false">IF(01_Desayunos!H33="","",01_Desayunos!H33)</f>
        <v>8</v>
      </c>
      <c r="J33" s="58" t="n">
        <f aca="false">IF(01_Desayunos!I33="","",01_Desayunos!I33)</f>
        <v>13</v>
      </c>
      <c r="K33" s="58" t="n">
        <f aca="false">IF(01_Desayunos!J33="","",01_Desayunos!J33)</f>
        <v>10.5</v>
      </c>
      <c r="L33" s="58" t="n">
        <f aca="false">IF(01_Desayunos!L33="","",01_Desayunos!L33)</f>
        <v>11.5</v>
      </c>
      <c r="M33" s="58" t="n">
        <f aca="false">IF(01_Desayunos!N33="","",01_Desayunos!N33)</f>
        <v>0.74</v>
      </c>
      <c r="N33" s="58" t="n">
        <f aca="false">IF(01_Desayunos!O33="","",01_Desayunos!O33)</f>
        <v>9.76</v>
      </c>
      <c r="O33" s="55" t="str">
        <f aca="false">IF(01_Desayunos!P33="","",01_Desayunos!P33)</f>
        <v>05:00-09:00</v>
      </c>
      <c r="P33" s="55" t="n">
        <f aca="false">IF(01_Desayunos!Q33="","",01_Desayunos!Q33)</f>
        <v>10</v>
      </c>
      <c r="Q33" s="55" t="str">
        <f aca="false">IF(01_Desayunos!R33="","",01_Desayunos!R33)</f>
        <v>Medio</v>
      </c>
      <c r="R33" s="55" t="str">
        <f aca="false">IF(01_Desayunos!S33="","",01_Desayunos!S33)</f>
        <v>Todo el año</v>
      </c>
      <c r="S33" s="55" t="str">
        <f aca="false">IF(01_Desayunos!T33="","",01_Desayunos!T33)</f>
        <v>Caldería</v>
      </c>
      <c r="T33" s="56" t="str">
        <f aca="false">IF(01_Desayunos!U33="","",01_Desayunos!U33)</f>
        <v>Versión más barata del caldo de gallina</v>
      </c>
      <c r="U33" s="55" t="n">
        <v>33</v>
      </c>
      <c r="V33" s="55" t="n">
        <f aca="false">IF(AND(OR(LEN(13_Buscador!$C$5)=0,ISNUMBER(SEARCH(13_Buscador!$C$5,$C33&amp;" "&amp;$D33&amp;" "&amp;$E33&amp;" "&amp;$F33&amp;" "&amp;$S33))),OR(13_Buscador!$C$6="Todas las listas",LEN(13_Buscador!$C$6)=0,13_Buscador!$C$6=$B33)),1,0)</f>
        <v>1</v>
      </c>
      <c r="W33" s="55" t="n">
        <f aca="false">IF(V33=1,SUM($V$2:V33),"")</f>
        <v>2</v>
      </c>
    </row>
    <row r="34" customFormat="false" ht="15" hidden="false" customHeight="true" outlineLevel="0" collapsed="false">
      <c r="A34" s="55" t="n">
        <v>33</v>
      </c>
      <c r="B34" s="55" t="s">
        <v>3327</v>
      </c>
      <c r="C34" s="55" t="str">
        <f aca="false">IF(01_Desayunos!B34="","",01_Desayunos!B34)</f>
        <v>Caldos de mañana</v>
      </c>
      <c r="D34" s="56" t="str">
        <f aca="false">IF(01_Desayunos!C34="","",01_Desayunos!C34)</f>
        <v>Caldo de menudencia</v>
      </c>
      <c r="E34" s="56" t="str">
        <f aca="false">IF(01_Desayunos!D34="","",01_Desayunos!D34)</f>
        <v>Menudencias de pollo</v>
      </c>
      <c r="F34" s="56" t="str">
        <f aca="false">IF(01_Desayunos!E34="","",01_Desayunos!E34)</f>
        <v>menudencia de pollo, fideo, papa, cebolla china, sal</v>
      </c>
      <c r="G34" s="55" t="str">
        <f aca="false">IF(01_Desayunos!F34="","",01_Desayunos!F34)</f>
        <v>Plato hondo</v>
      </c>
      <c r="H34" s="55" t="str">
        <f aca="false">IF(01_Desayunos!G34="","",01_Desayunos!G34)</f>
        <v>Económico</v>
      </c>
      <c r="I34" s="58" t="n">
        <f aca="false">IF(01_Desayunos!H34="","",01_Desayunos!H34)</f>
        <v>7</v>
      </c>
      <c r="J34" s="58" t="n">
        <f aca="false">IF(01_Desayunos!I34="","",01_Desayunos!I34)</f>
        <v>12</v>
      </c>
      <c r="K34" s="58" t="n">
        <f aca="false">IF(01_Desayunos!J34="","",01_Desayunos!J34)</f>
        <v>9.5</v>
      </c>
      <c r="L34" s="58" t="n">
        <f aca="false">IF(01_Desayunos!L34="","",01_Desayunos!L34)</f>
        <v>10.5</v>
      </c>
      <c r="M34" s="58" t="n">
        <f aca="false">IF(01_Desayunos!N34="","",01_Desayunos!N34)</f>
        <v>0.67</v>
      </c>
      <c r="N34" s="58" t="n">
        <f aca="false">IF(01_Desayunos!O34="","",01_Desayunos!O34)</f>
        <v>8.83</v>
      </c>
      <c r="O34" s="55" t="str">
        <f aca="false">IF(01_Desayunos!P34="","",01_Desayunos!P34)</f>
        <v>05:00-09:00</v>
      </c>
      <c r="P34" s="55" t="n">
        <f aca="false">IF(01_Desayunos!Q34="","",01_Desayunos!Q34)</f>
        <v>10</v>
      </c>
      <c r="Q34" s="55" t="str">
        <f aca="false">IF(01_Desayunos!R34="","",01_Desayunos!R34)</f>
        <v>Medio</v>
      </c>
      <c r="R34" s="55" t="str">
        <f aca="false">IF(01_Desayunos!S34="","",01_Desayunos!S34)</f>
        <v>Todo el año</v>
      </c>
      <c r="S34" s="55" t="str">
        <f aca="false">IF(01_Desayunos!T34="","",01_Desayunos!T34)</f>
        <v>Caldería, mercado</v>
      </c>
      <c r="T34" s="56" t="str">
        <f aca="false">IF(01_Desayunos!U34="","",01_Desayunos!U34)</f>
        <v/>
      </c>
      <c r="U34" s="55" t="n">
        <v>34</v>
      </c>
      <c r="V34" s="55" t="n">
        <f aca="false">IF(AND(OR(LEN(13_Buscador!$C$5)=0,ISNUMBER(SEARCH(13_Buscador!$C$5,$C34&amp;" "&amp;$D34&amp;" "&amp;$E34&amp;" "&amp;$F34&amp;" "&amp;$S34))),OR(13_Buscador!$C$6="Todas las listas",LEN(13_Buscador!$C$6)=0,13_Buscador!$C$6=$B34)),1,0)</f>
        <v>1</v>
      </c>
      <c r="W34" s="55" t="n">
        <f aca="false">IF(V34=1,SUM($V$2:V34),"")</f>
        <v>3</v>
      </c>
    </row>
    <row r="35" customFormat="false" ht="15" hidden="false" customHeight="true" outlineLevel="0" collapsed="false">
      <c r="A35" s="55" t="n">
        <v>34</v>
      </c>
      <c r="B35" s="55" t="s">
        <v>3327</v>
      </c>
      <c r="C35" s="55" t="str">
        <f aca="false">IF(01_Desayunos!B35="","",01_Desayunos!B35)</f>
        <v>Caldos de mañana</v>
      </c>
      <c r="D35" s="56" t="str">
        <f aca="false">IF(01_Desayunos!C35="","",01_Desayunos!C35)</f>
        <v>Caldo de chuño</v>
      </c>
      <c r="E35" s="56" t="str">
        <f aca="false">IF(01_Desayunos!D35="","",01_Desayunos!D35)</f>
        <v>Chuño, carne, queso</v>
      </c>
      <c r="F35" s="56" t="str">
        <f aca="false">IF(01_Desayunos!E35="","",01_Desayunos!E35)</f>
        <v>chuño, carne, queso fresco, huevo, cebolla, sal</v>
      </c>
      <c r="G35" s="55" t="str">
        <f aca="false">IF(01_Desayunos!F35="","",01_Desayunos!F35)</f>
        <v>Plato hondo</v>
      </c>
      <c r="H35" s="55" t="str">
        <f aca="false">IF(01_Desayunos!G35="","",01_Desayunos!G35)</f>
        <v>Económico</v>
      </c>
      <c r="I35" s="58" t="n">
        <f aca="false">IF(01_Desayunos!H35="","",01_Desayunos!H35)</f>
        <v>8</v>
      </c>
      <c r="J35" s="58" t="n">
        <f aca="false">IF(01_Desayunos!I35="","",01_Desayunos!I35)</f>
        <v>14</v>
      </c>
      <c r="K35" s="58" t="n">
        <f aca="false">IF(01_Desayunos!J35="","",01_Desayunos!J35)</f>
        <v>11</v>
      </c>
      <c r="L35" s="58" t="n">
        <f aca="false">IF(01_Desayunos!L35="","",01_Desayunos!L35)</f>
        <v>12</v>
      </c>
      <c r="M35" s="58" t="n">
        <f aca="false">IF(01_Desayunos!N35="","",01_Desayunos!N35)</f>
        <v>0.77</v>
      </c>
      <c r="N35" s="58" t="n">
        <f aca="false">IF(01_Desayunos!O35="","",01_Desayunos!O35)</f>
        <v>10.23</v>
      </c>
      <c r="O35" s="55" t="str">
        <f aca="false">IF(01_Desayunos!P35="","",01_Desayunos!P35)</f>
        <v>05:00-09:00</v>
      </c>
      <c r="P35" s="55" t="n">
        <f aca="false">IF(01_Desayunos!Q35="","",01_Desayunos!Q35)</f>
        <v>12</v>
      </c>
      <c r="Q35" s="55" t="str">
        <f aca="false">IF(01_Desayunos!R35="","",01_Desayunos!R35)</f>
        <v>Medio</v>
      </c>
      <c r="R35" s="55" t="str">
        <f aca="false">IF(01_Desayunos!S35="","",01_Desayunos!S35)</f>
        <v>Mayor demanda en frío</v>
      </c>
      <c r="S35" s="55" t="str">
        <f aca="false">IF(01_Desayunos!T35="","",01_Desayunos!T35)</f>
        <v>Caldería, regional</v>
      </c>
      <c r="T35" s="56" t="str">
        <f aca="false">IF(01_Desayunos!U35="","",01_Desayunos!U35)</f>
        <v/>
      </c>
      <c r="U35" s="55" t="n">
        <v>35</v>
      </c>
      <c r="V35" s="55" t="n">
        <f aca="false">IF(AND(OR(LEN(13_Buscador!$C$5)=0,ISNUMBER(SEARCH(13_Buscador!$C$5,$C35&amp;" "&amp;$D35&amp;" "&amp;$E35&amp;" "&amp;$F35&amp;" "&amp;$S35))),OR(13_Buscador!$C$6="Todas las listas",LEN(13_Buscador!$C$6)=0,13_Buscador!$C$6=$B35)),1,0)</f>
        <v>0</v>
      </c>
      <c r="W35" s="55" t="str">
        <f aca="false">IF(V35=1,SUM($V$2:V35),"")</f>
        <v/>
      </c>
    </row>
    <row r="36" customFormat="false" ht="15" hidden="false" customHeight="true" outlineLevel="0" collapsed="false">
      <c r="A36" s="55" t="n">
        <v>35</v>
      </c>
      <c r="B36" s="55" t="s">
        <v>3327</v>
      </c>
      <c r="C36" s="55" t="str">
        <f aca="false">IF(01_Desayunos!B36="","",01_Desayunos!B36)</f>
        <v>Caldos de mañana</v>
      </c>
      <c r="D36" s="56" t="str">
        <f aca="false">IF(01_Desayunos!C36="","",01_Desayunos!C36)</f>
        <v>Caldo de lisas</v>
      </c>
      <c r="E36" s="56" t="str">
        <f aca="false">IF(01_Desayunos!D36="","",01_Desayunos!D36)</f>
        <v>Pescado del lago en caldo</v>
      </c>
      <c r="F36" s="56" t="str">
        <f aca="false">IF(01_Desayunos!E36="","",01_Desayunos!E36)</f>
        <v>lisas del lago, papa, chuño, cebolla, hierbabuena, sal</v>
      </c>
      <c r="G36" s="55" t="str">
        <f aca="false">IF(01_Desayunos!F36="","",01_Desayunos!F36)</f>
        <v>Plato hondo</v>
      </c>
      <c r="H36" s="55" t="str">
        <f aca="false">IF(01_Desayunos!G36="","",01_Desayunos!G36)</f>
        <v>Estándar</v>
      </c>
      <c r="I36" s="58" t="n">
        <f aca="false">IF(01_Desayunos!H36="","",01_Desayunos!H36)</f>
        <v>10</v>
      </c>
      <c r="J36" s="58" t="n">
        <f aca="false">IF(01_Desayunos!I36="","",01_Desayunos!I36)</f>
        <v>16</v>
      </c>
      <c r="K36" s="58" t="n">
        <f aca="false">IF(01_Desayunos!J36="","",01_Desayunos!J36)</f>
        <v>13</v>
      </c>
      <c r="L36" s="58" t="n">
        <f aca="false">IF(01_Desayunos!L36="","",01_Desayunos!L36)</f>
        <v>14</v>
      </c>
      <c r="M36" s="58" t="n">
        <f aca="false">IF(01_Desayunos!N36="","",01_Desayunos!N36)</f>
        <v>1.17</v>
      </c>
      <c r="N36" s="58" t="n">
        <f aca="false">IF(01_Desayunos!O36="","",01_Desayunos!O36)</f>
        <v>11.83</v>
      </c>
      <c r="O36" s="55" t="str">
        <f aca="false">IF(01_Desayunos!P36="","",01_Desayunos!P36)</f>
        <v>06:00-10:00</v>
      </c>
      <c r="P36" s="55" t="n">
        <f aca="false">IF(01_Desayunos!Q36="","",01_Desayunos!Q36)</f>
        <v>12</v>
      </c>
      <c r="Q36" s="55" t="str">
        <f aca="false">IF(01_Desayunos!R36="","",01_Desayunos!R36)</f>
        <v>Medio</v>
      </c>
      <c r="R36" s="55" t="str">
        <f aca="false">IF(01_Desayunos!S36="","",01_Desayunos!S36)</f>
        <v>Todo el año</v>
      </c>
      <c r="S36" s="55" t="str">
        <f aca="false">IF(01_Desayunos!T36="","",01_Desayunos!T36)</f>
        <v>Caldería, regional</v>
      </c>
      <c r="T36" s="56" t="str">
        <f aca="false">IF(01_Desayunos!U36="","",01_Desayunos!U36)</f>
        <v>Pescado del Titicaca</v>
      </c>
      <c r="U36" s="55" t="n">
        <v>36</v>
      </c>
      <c r="V36" s="55" t="n">
        <f aca="false">IF(AND(OR(LEN(13_Buscador!$C$5)=0,ISNUMBER(SEARCH(13_Buscador!$C$5,$C36&amp;" "&amp;$D36&amp;" "&amp;$E36&amp;" "&amp;$F36&amp;" "&amp;$S36))),OR(13_Buscador!$C$6="Todas las listas",LEN(13_Buscador!$C$6)=0,13_Buscador!$C$6=$B36)),1,0)</f>
        <v>0</v>
      </c>
      <c r="W36" s="55" t="str">
        <f aca="false">IF(V36=1,SUM($V$2:V36),"")</f>
        <v/>
      </c>
    </row>
    <row r="37" customFormat="false" ht="15" hidden="false" customHeight="true" outlineLevel="0" collapsed="false">
      <c r="A37" s="55" t="n">
        <v>36</v>
      </c>
      <c r="B37" s="55" t="s">
        <v>3327</v>
      </c>
      <c r="C37" s="55" t="str">
        <f aca="false">IF(01_Desayunos!B37="","",01_Desayunos!B37)</f>
        <v>Caldos de mañana</v>
      </c>
      <c r="D37" s="56" t="str">
        <f aca="false">IF(01_Desayunos!C37="","",01_Desayunos!C37)</f>
        <v>Caldo de mondongo</v>
      </c>
      <c r="E37" s="56" t="str">
        <f aca="false">IF(01_Desayunos!D37="","",01_Desayunos!D37)</f>
        <v>Mondongo con mote</v>
      </c>
      <c r="F37" s="56" t="str">
        <f aca="false">IF(01_Desayunos!E37="","",01_Desayunos!E37)</f>
        <v>mondongo, mote, papa, cebolla, hierbabuena, sal</v>
      </c>
      <c r="G37" s="55" t="str">
        <f aca="false">IF(01_Desayunos!F37="","",01_Desayunos!F37)</f>
        <v>Plato hondo</v>
      </c>
      <c r="H37" s="55" t="str">
        <f aca="false">IF(01_Desayunos!G37="","",01_Desayunos!G37)</f>
        <v>Estándar</v>
      </c>
      <c r="I37" s="58" t="n">
        <f aca="false">IF(01_Desayunos!H37="","",01_Desayunos!H37)</f>
        <v>10</v>
      </c>
      <c r="J37" s="58" t="n">
        <f aca="false">IF(01_Desayunos!I37="","",01_Desayunos!I37)</f>
        <v>16</v>
      </c>
      <c r="K37" s="58" t="n">
        <f aca="false">IF(01_Desayunos!J37="","",01_Desayunos!J37)</f>
        <v>13</v>
      </c>
      <c r="L37" s="58" t="n">
        <f aca="false">IF(01_Desayunos!L37="","",01_Desayunos!L37)</f>
        <v>14</v>
      </c>
      <c r="M37" s="58" t="n">
        <f aca="false">IF(01_Desayunos!N37="","",01_Desayunos!N37)</f>
        <v>1.17</v>
      </c>
      <c r="N37" s="58" t="n">
        <f aca="false">IF(01_Desayunos!O37="","",01_Desayunos!O37)</f>
        <v>11.83</v>
      </c>
      <c r="O37" s="55" t="str">
        <f aca="false">IF(01_Desayunos!P37="","",01_Desayunos!P37)</f>
        <v>05:00-09:00</v>
      </c>
      <c r="P37" s="55" t="n">
        <f aca="false">IF(01_Desayunos!Q37="","",01_Desayunos!Q37)</f>
        <v>12</v>
      </c>
      <c r="Q37" s="55" t="str">
        <f aca="false">IF(01_Desayunos!R37="","",01_Desayunos!R37)</f>
        <v>Medio</v>
      </c>
      <c r="R37" s="55" t="str">
        <f aca="false">IF(01_Desayunos!S37="","",01_Desayunos!S37)</f>
        <v>Fin de semana</v>
      </c>
      <c r="S37" s="55" t="str">
        <f aca="false">IF(01_Desayunos!T37="","",01_Desayunos!T37)</f>
        <v>Caldería</v>
      </c>
      <c r="T37" s="56" t="str">
        <f aca="false">IF(01_Desayunos!U37="","",01_Desayunos!U37)</f>
        <v/>
      </c>
      <c r="U37" s="55" t="n">
        <v>37</v>
      </c>
      <c r="V37" s="55" t="n">
        <f aca="false">IF(AND(OR(LEN(13_Buscador!$C$5)=0,ISNUMBER(SEARCH(13_Buscador!$C$5,$C37&amp;" "&amp;$D37&amp;" "&amp;$E37&amp;" "&amp;$F37&amp;" "&amp;$S37))),OR(13_Buscador!$C$6="Todas las listas",LEN(13_Buscador!$C$6)=0,13_Buscador!$C$6=$B37)),1,0)</f>
        <v>0</v>
      </c>
      <c r="W37" s="55" t="str">
        <f aca="false">IF(V37=1,SUM($V$2:V37),"")</f>
        <v/>
      </c>
    </row>
    <row r="38" customFormat="false" ht="15" hidden="false" customHeight="true" outlineLevel="0" collapsed="false">
      <c r="A38" s="55" t="n">
        <v>37</v>
      </c>
      <c r="B38" s="55" t="s">
        <v>3327</v>
      </c>
      <c r="C38" s="55" t="str">
        <f aca="false">IF(01_Desayunos!B38="","",01_Desayunos!B38)</f>
        <v>Caldos de mañana</v>
      </c>
      <c r="D38" s="56" t="str">
        <f aca="false">IF(01_Desayunos!C38="","",01_Desayunos!C38)</f>
        <v>Jugo de carne / sustancia</v>
      </c>
      <c r="E38" s="56" t="str">
        <f aca="false">IF(01_Desayunos!D38="","",01_Desayunos!D38)</f>
        <v>Caldo concentrado de res</v>
      </c>
      <c r="F38" s="56" t="str">
        <f aca="false">IF(01_Desayunos!E38="","",01_Desayunos!E38)</f>
        <v>carne de res, huevo, cebolla, sal</v>
      </c>
      <c r="G38" s="55" t="str">
        <f aca="false">IF(01_Desayunos!F38="","",01_Desayunos!F38)</f>
        <v>Plato hondo</v>
      </c>
      <c r="H38" s="55" t="str">
        <f aca="false">IF(01_Desayunos!G38="","",01_Desayunos!G38)</f>
        <v>Estándar</v>
      </c>
      <c r="I38" s="58" t="n">
        <f aca="false">IF(01_Desayunos!H38="","",01_Desayunos!H38)</f>
        <v>10</v>
      </c>
      <c r="J38" s="58" t="n">
        <f aca="false">IF(01_Desayunos!I38="","",01_Desayunos!I38)</f>
        <v>18</v>
      </c>
      <c r="K38" s="58" t="n">
        <f aca="false">IF(01_Desayunos!J38="","",01_Desayunos!J38)</f>
        <v>14</v>
      </c>
      <c r="L38" s="58" t="n">
        <f aca="false">IF(01_Desayunos!L38="","",01_Desayunos!L38)</f>
        <v>15</v>
      </c>
      <c r="M38" s="58" t="n">
        <f aca="false">IF(01_Desayunos!N38="","",01_Desayunos!N38)</f>
        <v>1.26</v>
      </c>
      <c r="N38" s="58" t="n">
        <f aca="false">IF(01_Desayunos!O38="","",01_Desayunos!O38)</f>
        <v>12.74</v>
      </c>
      <c r="O38" s="55" t="str">
        <f aca="false">IF(01_Desayunos!P38="","",01_Desayunos!P38)</f>
        <v>05:00-09:00</v>
      </c>
      <c r="P38" s="55" t="n">
        <f aca="false">IF(01_Desayunos!Q38="","",01_Desayunos!Q38)</f>
        <v>12</v>
      </c>
      <c r="Q38" s="55" t="str">
        <f aca="false">IF(01_Desayunos!R38="","",01_Desayunos!R38)</f>
        <v>Medio</v>
      </c>
      <c r="R38" s="55" t="str">
        <f aca="false">IF(01_Desayunos!S38="","",01_Desayunos!S38)</f>
        <v>Todo el año</v>
      </c>
      <c r="S38" s="55" t="str">
        <f aca="false">IF(01_Desayunos!T38="","",01_Desayunos!T38)</f>
        <v>Caldería</v>
      </c>
      <c r="T38" s="56" t="str">
        <f aca="false">IF(01_Desayunos!U38="","",01_Desayunos!U38)</f>
        <v>Percibido como reconstituyente</v>
      </c>
      <c r="U38" s="55" t="n">
        <v>38</v>
      </c>
      <c r="V38" s="55" t="n">
        <f aca="false">IF(AND(OR(LEN(13_Buscador!$C$5)=0,ISNUMBER(SEARCH(13_Buscador!$C$5,$C38&amp;" "&amp;$D38&amp;" "&amp;$E38&amp;" "&amp;$F38&amp;" "&amp;$S38))),OR(13_Buscador!$C$6="Todas las listas",LEN(13_Buscador!$C$6)=0,13_Buscador!$C$6=$B38)),1,0)</f>
        <v>0</v>
      </c>
      <c r="W38" s="55" t="str">
        <f aca="false">IF(V38=1,SUM($V$2:V38),"")</f>
        <v/>
      </c>
    </row>
    <row r="39" customFormat="false" ht="15" hidden="false" customHeight="true" outlineLevel="0" collapsed="false">
      <c r="A39" s="55" t="n">
        <v>38</v>
      </c>
      <c r="B39" s="55" t="s">
        <v>3327</v>
      </c>
      <c r="C39" s="55" t="str">
        <f aca="false">IF(01_Desayunos!B39="","",01_Desayunos!B39)</f>
        <v>Desayunos completos</v>
      </c>
      <c r="D39" s="56" t="str">
        <f aca="false">IF(01_Desayunos!C39="","",01_Desayunos!C39)</f>
        <v>Desayuno buffet hotel</v>
      </c>
      <c r="E39" s="56" t="str">
        <f aca="false">IF(01_Desayunos!D39="","",01_Desayunos!D39)</f>
        <v>Buffet libre de mañana</v>
      </c>
      <c r="F39" s="56" t="str">
        <f aca="false">IF(01_Desayunos!E39="","",01_Desayunos!E39)</f>
        <v>surtido de platos del servicio contratado</v>
      </c>
      <c r="G39" s="55" t="str">
        <f aca="false">IF(01_Desayunos!F39="","",01_Desayunos!F39)</f>
        <v>Por persona</v>
      </c>
      <c r="H39" s="55" t="str">
        <f aca="false">IF(01_Desayunos!G39="","",01_Desayunos!G39)</f>
        <v>Premium</v>
      </c>
      <c r="I39" s="58" t="n">
        <f aca="false">IF(01_Desayunos!H39="","",01_Desayunos!H39)</f>
        <v>25</v>
      </c>
      <c r="J39" s="58" t="n">
        <f aca="false">IF(01_Desayunos!I39="","",01_Desayunos!I39)</f>
        <v>55</v>
      </c>
      <c r="K39" s="58" t="n">
        <f aca="false">IF(01_Desayunos!J39="","",01_Desayunos!J39)</f>
        <v>40</v>
      </c>
      <c r="L39" s="58" t="n">
        <f aca="false">IF(01_Desayunos!L39="","",01_Desayunos!L39)</f>
        <v>41</v>
      </c>
      <c r="M39" s="58" t="n">
        <f aca="false">IF(01_Desayunos!N39="","",01_Desayunos!N39)</f>
        <v>5.2</v>
      </c>
      <c r="N39" s="58" t="n">
        <f aca="false">IF(01_Desayunos!O39="","",01_Desayunos!O39)</f>
        <v>34.8</v>
      </c>
      <c r="O39" s="55" t="str">
        <f aca="false">IF(01_Desayunos!P39="","",01_Desayunos!P39)</f>
        <v>06:00-10:00</v>
      </c>
      <c r="P39" s="55" t="n">
        <f aca="false">IF(01_Desayunos!Q39="","",01_Desayunos!Q39)</f>
        <v>0</v>
      </c>
      <c r="Q39" s="55" t="str">
        <f aca="false">IF(01_Desayunos!R39="","",01_Desayunos!R39)</f>
        <v>Bajo</v>
      </c>
      <c r="R39" s="55" t="str">
        <f aca="false">IF(01_Desayunos!S39="","",01_Desayunos!S39)</f>
        <v>Temporada alta jun-ago</v>
      </c>
      <c r="S39" s="55" t="str">
        <f aca="false">IF(01_Desayunos!T39="","",01_Desayunos!T39)</f>
        <v>Hotel</v>
      </c>
      <c r="T39" s="56" t="str">
        <f aca="false">IF(01_Desayunos!U39="","",01_Desayunos!U39)</f>
        <v>No aplica a delivery</v>
      </c>
      <c r="U39" s="55" t="n">
        <v>39</v>
      </c>
      <c r="V39" s="55" t="n">
        <f aca="false">IF(AND(OR(LEN(13_Buscador!$C$5)=0,ISNUMBER(SEARCH(13_Buscador!$C$5,$C39&amp;" "&amp;$D39&amp;" "&amp;$E39&amp;" "&amp;$F39&amp;" "&amp;$S39))),OR(13_Buscador!$C$6="Todas las listas",LEN(13_Buscador!$C$6)=0,13_Buscador!$C$6=$B39)),1,0)</f>
        <v>0</v>
      </c>
      <c r="W39" s="55" t="str">
        <f aca="false">IF(V39=1,SUM($V$2:V39),"")</f>
        <v/>
      </c>
    </row>
    <row r="40" customFormat="false" ht="15" hidden="false" customHeight="true" outlineLevel="0" collapsed="false">
      <c r="A40" s="55" t="n">
        <v>39</v>
      </c>
      <c r="B40" s="55" t="s">
        <v>3327</v>
      </c>
      <c r="C40" s="55" t="str">
        <f aca="false">IF(01_Desayunos!B40="","",01_Desayunos!B40)</f>
        <v>Desayunos completos</v>
      </c>
      <c r="D40" s="56" t="str">
        <f aca="false">IF(01_Desayunos!C40="","",01_Desayunos!C40)</f>
        <v>Desayuno ejecutivo</v>
      </c>
      <c r="E40" s="56" t="str">
        <f aca="false">IF(01_Desayunos!D40="","",01_Desayunos!D40)</f>
        <v>Jugo, café, sándwich, fruta</v>
      </c>
      <c r="F40" s="56" t="str">
        <f aca="false">IF(01_Desayunos!E40="","",01_Desayunos!E40)</f>
        <v>pan, bebida caliente o jugo, huevo o relleno, fruta</v>
      </c>
      <c r="G40" s="55" t="str">
        <f aca="false">IF(01_Desayunos!F40="","",01_Desayunos!F40)</f>
        <v>Bandeja</v>
      </c>
      <c r="H40" s="55" t="str">
        <f aca="false">IF(01_Desayunos!G40="","",01_Desayunos!G40)</f>
        <v>Estándar</v>
      </c>
      <c r="I40" s="58" t="n">
        <f aca="false">IF(01_Desayunos!H40="","",01_Desayunos!H40)</f>
        <v>12</v>
      </c>
      <c r="J40" s="58" t="n">
        <f aca="false">IF(01_Desayunos!I40="","",01_Desayunos!I40)</f>
        <v>22</v>
      </c>
      <c r="K40" s="58" t="n">
        <f aca="false">IF(01_Desayunos!J40="","",01_Desayunos!J40)</f>
        <v>17</v>
      </c>
      <c r="L40" s="58" t="n">
        <f aca="false">IF(01_Desayunos!L40="","",01_Desayunos!L40)</f>
        <v>18</v>
      </c>
      <c r="M40" s="58" t="n">
        <f aca="false">IF(01_Desayunos!N40="","",01_Desayunos!N40)</f>
        <v>1.53</v>
      </c>
      <c r="N40" s="58" t="n">
        <f aca="false">IF(01_Desayunos!O40="","",01_Desayunos!O40)</f>
        <v>15.47</v>
      </c>
      <c r="O40" s="55" t="str">
        <f aca="false">IF(01_Desayunos!P40="","",01_Desayunos!P40)</f>
        <v>07:00-10:00</v>
      </c>
      <c r="P40" s="55" t="n">
        <f aca="false">IF(01_Desayunos!Q40="","",01_Desayunos!Q40)</f>
        <v>12</v>
      </c>
      <c r="Q40" s="55" t="str">
        <f aca="false">IF(01_Desayunos!R40="","",01_Desayunos!R40)</f>
        <v>Alto</v>
      </c>
      <c r="R40" s="55" t="str">
        <f aca="false">IF(01_Desayunos!S40="","",01_Desayunos!S40)</f>
        <v>Todo el año</v>
      </c>
      <c r="S40" s="55" t="str">
        <f aca="false">IF(01_Desayunos!T40="","",01_Desayunos!T40)</f>
        <v>Cafetería</v>
      </c>
      <c r="T40" s="56" t="str">
        <f aca="false">IF(01_Desayunos!U40="","",01_Desayunos!U40)</f>
        <v>Buen producto para oficinas</v>
      </c>
      <c r="U40" s="55" t="n">
        <v>40</v>
      </c>
      <c r="V40" s="55" t="n">
        <f aca="false">IF(AND(OR(LEN(13_Buscador!$C$5)=0,ISNUMBER(SEARCH(13_Buscador!$C$5,$C40&amp;" "&amp;$D40&amp;" "&amp;$E40&amp;" "&amp;$F40&amp;" "&amp;$S40))),OR(13_Buscador!$C$6="Todas las listas",LEN(13_Buscador!$C$6)=0,13_Buscador!$C$6=$B40)),1,0)</f>
        <v>0</v>
      </c>
      <c r="W40" s="55" t="str">
        <f aca="false">IF(V40=1,SUM($V$2:V40),"")</f>
        <v/>
      </c>
    </row>
    <row r="41" customFormat="false" ht="15" hidden="false" customHeight="true" outlineLevel="0" collapsed="false">
      <c r="A41" s="55" t="n">
        <v>40</v>
      </c>
      <c r="B41" s="55" t="s">
        <v>3327</v>
      </c>
      <c r="C41" s="55" t="str">
        <f aca="false">IF(01_Desayunos!B41="","",01_Desayunos!B41)</f>
        <v>Desayunos completos</v>
      </c>
      <c r="D41" s="56" t="str">
        <f aca="false">IF(01_Desayunos!C41="","",01_Desayunos!C41)</f>
        <v>Desayuno familiar para 4</v>
      </c>
      <c r="E41" s="56" t="str">
        <f aca="false">IF(01_Desayunos!D41="","",01_Desayunos!D41)</f>
        <v>4 desayunos completos</v>
      </c>
      <c r="F41" s="56" t="str">
        <f aca="false">IF(01_Desayunos!E41="","",01_Desayunos!E41)</f>
        <v>pan, bebida caliente o jugo, huevo o relleno, fruta</v>
      </c>
      <c r="G41" s="55" t="str">
        <f aca="false">IF(01_Desayunos!F41="","",01_Desayunos!F41)</f>
        <v>Pedido</v>
      </c>
      <c r="H41" s="55" t="str">
        <f aca="false">IF(01_Desayunos!G41="","",01_Desayunos!G41)</f>
        <v>Medio</v>
      </c>
      <c r="I41" s="58" t="n">
        <f aca="false">IF(01_Desayunos!H41="","",01_Desayunos!H41)</f>
        <v>40</v>
      </c>
      <c r="J41" s="58" t="n">
        <f aca="false">IF(01_Desayunos!I41="","",01_Desayunos!I41)</f>
        <v>70</v>
      </c>
      <c r="K41" s="58" t="n">
        <f aca="false">IF(01_Desayunos!J41="","",01_Desayunos!J41)</f>
        <v>55</v>
      </c>
      <c r="L41" s="58" t="n">
        <f aca="false">IF(01_Desayunos!L41="","",01_Desayunos!L41)</f>
        <v>56</v>
      </c>
      <c r="M41" s="58" t="n">
        <f aca="false">IF(01_Desayunos!N41="","",01_Desayunos!N41)</f>
        <v>6.05</v>
      </c>
      <c r="N41" s="58" t="n">
        <f aca="false">IF(01_Desayunos!O41="","",01_Desayunos!O41)</f>
        <v>48.95</v>
      </c>
      <c r="O41" s="55" t="str">
        <f aca="false">IF(01_Desayunos!P41="","",01_Desayunos!P41)</f>
        <v>07:00-11:00</v>
      </c>
      <c r="P41" s="55" t="n">
        <f aca="false">IF(01_Desayunos!Q41="","",01_Desayunos!Q41)</f>
        <v>30</v>
      </c>
      <c r="Q41" s="55" t="str">
        <f aca="false">IF(01_Desayunos!R41="","",01_Desayunos!R41)</f>
        <v>Alto</v>
      </c>
      <c r="R41" s="55" t="str">
        <f aca="false">IF(01_Desayunos!S41="","",01_Desayunos!S41)</f>
        <v>Fin de semana</v>
      </c>
      <c r="S41" s="55" t="str">
        <f aca="false">IF(01_Desayunos!T41="","",01_Desayunos!T41)</f>
        <v>Cafetería, restaurante</v>
      </c>
      <c r="T41" s="56" t="str">
        <f aca="false">IF(01_Desayunos!U41="","",01_Desayunos!U41)</f>
        <v>Ticket alto de domingo</v>
      </c>
      <c r="U41" s="55" t="n">
        <v>41</v>
      </c>
      <c r="V41" s="55" t="n">
        <f aca="false">IF(AND(OR(LEN(13_Buscador!$C$5)=0,ISNUMBER(SEARCH(13_Buscador!$C$5,$C41&amp;" "&amp;$D41&amp;" "&amp;$E41&amp;" "&amp;$F41&amp;" "&amp;$S41))),OR(13_Buscador!$C$6="Todas las listas",LEN(13_Buscador!$C$6)=0,13_Buscador!$C$6=$B41)),1,0)</f>
        <v>0</v>
      </c>
      <c r="W41" s="55" t="str">
        <f aca="false">IF(V41=1,SUM($V$2:V41),"")</f>
        <v/>
      </c>
    </row>
    <row r="42" customFormat="false" ht="15" hidden="false" customHeight="true" outlineLevel="0" collapsed="false">
      <c r="A42" s="55" t="n">
        <v>41</v>
      </c>
      <c r="B42" s="55" t="s">
        <v>3327</v>
      </c>
      <c r="C42" s="55" t="str">
        <f aca="false">IF(01_Desayunos!B42="","",01_Desayunos!B42)</f>
        <v>Desayunos completos</v>
      </c>
      <c r="D42" s="56" t="str">
        <f aca="false">IF(01_Desayunos!C42="","",01_Desayunos!C42)</f>
        <v>Desayuno fitness</v>
      </c>
      <c r="E42" s="56" t="str">
        <f aca="false">IF(01_Desayunos!D42="","",01_Desayunos!D42)</f>
        <v>Claras, avena, fruta</v>
      </c>
      <c r="F42" s="56" t="str">
        <f aca="false">IF(01_Desayunos!E42="","",01_Desayunos!E42)</f>
        <v>pan, bebida caliente o jugo, huevo o relleno, fruta</v>
      </c>
      <c r="G42" s="55" t="str">
        <f aca="false">IF(01_Desayunos!F42="","",01_Desayunos!F42)</f>
        <v>Bandeja</v>
      </c>
      <c r="H42" s="55" t="str">
        <f aca="false">IF(01_Desayunos!G42="","",01_Desayunos!G42)</f>
        <v>Medio</v>
      </c>
      <c r="I42" s="58" t="n">
        <f aca="false">IF(01_Desayunos!H42="","",01_Desayunos!H42)</f>
        <v>14</v>
      </c>
      <c r="J42" s="58" t="n">
        <f aca="false">IF(01_Desayunos!I42="","",01_Desayunos!I42)</f>
        <v>25</v>
      </c>
      <c r="K42" s="58" t="n">
        <f aca="false">IF(01_Desayunos!J42="","",01_Desayunos!J42)</f>
        <v>19.5</v>
      </c>
      <c r="L42" s="58" t="n">
        <f aca="false">IF(01_Desayunos!L42="","",01_Desayunos!L42)</f>
        <v>20.5</v>
      </c>
      <c r="M42" s="58" t="n">
        <f aca="false">IF(01_Desayunos!N42="","",01_Desayunos!N42)</f>
        <v>2.15</v>
      </c>
      <c r="N42" s="58" t="n">
        <f aca="false">IF(01_Desayunos!O42="","",01_Desayunos!O42)</f>
        <v>17.35</v>
      </c>
      <c r="O42" s="55" t="str">
        <f aca="false">IF(01_Desayunos!P42="","",01_Desayunos!P42)</f>
        <v>06:00-10:00</v>
      </c>
      <c r="P42" s="55" t="n">
        <f aca="false">IF(01_Desayunos!Q42="","",01_Desayunos!Q42)</f>
        <v>12</v>
      </c>
      <c r="Q42" s="55" t="str">
        <f aca="false">IF(01_Desayunos!R42="","",01_Desayunos!R42)</f>
        <v>Alto</v>
      </c>
      <c r="R42" s="55" t="str">
        <f aca="false">IF(01_Desayunos!S42="","",01_Desayunos!S42)</f>
        <v>Todo el año</v>
      </c>
      <c r="S42" s="55" t="str">
        <f aca="false">IF(01_Desayunos!T42="","",01_Desayunos!T42)</f>
        <v>Saludable</v>
      </c>
      <c r="T42" s="56" t="str">
        <f aca="false">IF(01_Desayunos!U42="","",01_Desayunos!U42)</f>
        <v>Nicho de gimnasios</v>
      </c>
      <c r="U42" s="55" t="n">
        <v>42</v>
      </c>
      <c r="V42" s="55" t="n">
        <f aca="false">IF(AND(OR(LEN(13_Buscador!$C$5)=0,ISNUMBER(SEARCH(13_Buscador!$C$5,$C42&amp;" "&amp;$D42&amp;" "&amp;$E42&amp;" "&amp;$F42&amp;" "&amp;$S42))),OR(13_Buscador!$C$6="Todas las listas",LEN(13_Buscador!$C$6)=0,13_Buscador!$C$6=$B42)),1,0)</f>
        <v>0</v>
      </c>
      <c r="W42" s="55" t="str">
        <f aca="false">IF(V42=1,SUM($V$2:V42),"")</f>
        <v/>
      </c>
    </row>
    <row r="43" customFormat="false" ht="15" hidden="false" customHeight="true" outlineLevel="0" collapsed="false">
      <c r="A43" s="55" t="n">
        <v>42</v>
      </c>
      <c r="B43" s="55" t="s">
        <v>3327</v>
      </c>
      <c r="C43" s="55" t="str">
        <f aca="false">IF(01_Desayunos!B43="","",01_Desayunos!B43)</f>
        <v>Desayunos completos</v>
      </c>
      <c r="D43" s="56" t="str">
        <f aca="false">IF(01_Desayunos!C43="","",01_Desayunos!C43)</f>
        <v>Panqueques con miel</v>
      </c>
      <c r="E43" s="56" t="str">
        <f aca="false">IF(01_Desayunos!D43="","",01_Desayunos!D43)</f>
        <v>Panqueques, fruta, miel</v>
      </c>
      <c r="F43" s="56" t="str">
        <f aca="false">IF(01_Desayunos!E43="","",01_Desayunos!E43)</f>
        <v>harina, huevo, leche, azúcar, miel, mantequilla</v>
      </c>
      <c r="G43" s="55" t="str">
        <f aca="false">IF(01_Desayunos!F43="","",01_Desayunos!F43)</f>
        <v>Plato</v>
      </c>
      <c r="H43" s="55" t="str">
        <f aca="false">IF(01_Desayunos!G43="","",01_Desayunos!G43)</f>
        <v>Estándar</v>
      </c>
      <c r="I43" s="58" t="n">
        <f aca="false">IF(01_Desayunos!H43="","",01_Desayunos!H43)</f>
        <v>10</v>
      </c>
      <c r="J43" s="58" t="n">
        <f aca="false">IF(01_Desayunos!I43="","",01_Desayunos!I43)</f>
        <v>20</v>
      </c>
      <c r="K43" s="58" t="n">
        <f aca="false">IF(01_Desayunos!J43="","",01_Desayunos!J43)</f>
        <v>15</v>
      </c>
      <c r="L43" s="58" t="n">
        <f aca="false">IF(01_Desayunos!L43="","",01_Desayunos!L43)</f>
        <v>16</v>
      </c>
      <c r="M43" s="58" t="n">
        <f aca="false">IF(01_Desayunos!N43="","",01_Desayunos!N43)</f>
        <v>1.35</v>
      </c>
      <c r="N43" s="58" t="n">
        <f aca="false">IF(01_Desayunos!O43="","",01_Desayunos!O43)</f>
        <v>13.65</v>
      </c>
      <c r="O43" s="55" t="str">
        <f aca="false">IF(01_Desayunos!P43="","",01_Desayunos!P43)</f>
        <v>07:00-11:00</v>
      </c>
      <c r="P43" s="55" t="n">
        <f aca="false">IF(01_Desayunos!Q43="","",01_Desayunos!Q43)</f>
        <v>12</v>
      </c>
      <c r="Q43" s="55" t="str">
        <f aca="false">IF(01_Desayunos!R43="","",01_Desayunos!R43)</f>
        <v>Alto</v>
      </c>
      <c r="R43" s="55" t="str">
        <f aca="false">IF(01_Desayunos!S43="","",01_Desayunos!S43)</f>
        <v>Todo el año</v>
      </c>
      <c r="S43" s="55" t="str">
        <f aca="false">IF(01_Desayunos!T43="","",01_Desayunos!T43)</f>
        <v>Cafetería</v>
      </c>
      <c r="T43" s="56" t="str">
        <f aca="false">IF(01_Desayunos!U43="","",01_Desayunos!U43)</f>
        <v/>
      </c>
      <c r="U43" s="55" t="n">
        <v>43</v>
      </c>
      <c r="V43" s="55" t="n">
        <f aca="false">IF(AND(OR(LEN(13_Buscador!$C$5)=0,ISNUMBER(SEARCH(13_Buscador!$C$5,$C43&amp;" "&amp;$D43&amp;" "&amp;$E43&amp;" "&amp;$F43&amp;" "&amp;$S43))),OR(13_Buscador!$C$6="Todas las listas",LEN(13_Buscador!$C$6)=0,13_Buscador!$C$6=$B43)),1,0)</f>
        <v>0</v>
      </c>
      <c r="W43" s="55" t="str">
        <f aca="false">IF(V43=1,SUM($V$2:V43),"")</f>
        <v/>
      </c>
    </row>
    <row r="44" customFormat="false" ht="15" hidden="false" customHeight="true" outlineLevel="0" collapsed="false">
      <c r="A44" s="55" t="n">
        <v>43</v>
      </c>
      <c r="B44" s="55" t="s">
        <v>3327</v>
      </c>
      <c r="C44" s="55" t="str">
        <f aca="false">IF(01_Desayunos!B44="","",01_Desayunos!B44)</f>
        <v>Desayunos completos</v>
      </c>
      <c r="D44" s="56" t="str">
        <f aca="false">IF(01_Desayunos!C44="","",01_Desayunos!C44)</f>
        <v>Waffles con fruta</v>
      </c>
      <c r="E44" s="56" t="str">
        <f aca="false">IF(01_Desayunos!D44="","",01_Desayunos!D44)</f>
        <v>Waffle, crema, fruta</v>
      </c>
      <c r="F44" s="56" t="str">
        <f aca="false">IF(01_Desayunos!E44="","",01_Desayunos!E44)</f>
        <v>harina, huevo, leche, azúcar, miel, mantequilla</v>
      </c>
      <c r="G44" s="55" t="str">
        <f aca="false">IF(01_Desayunos!F44="","",01_Desayunos!F44)</f>
        <v>Plato</v>
      </c>
      <c r="H44" s="55" t="str">
        <f aca="false">IF(01_Desayunos!G44="","",01_Desayunos!G44)</f>
        <v>Estándar</v>
      </c>
      <c r="I44" s="58" t="n">
        <f aca="false">IF(01_Desayunos!H44="","",01_Desayunos!H44)</f>
        <v>12</v>
      </c>
      <c r="J44" s="58" t="n">
        <f aca="false">IF(01_Desayunos!I44="","",01_Desayunos!I44)</f>
        <v>22</v>
      </c>
      <c r="K44" s="58" t="n">
        <f aca="false">IF(01_Desayunos!J44="","",01_Desayunos!J44)</f>
        <v>17</v>
      </c>
      <c r="L44" s="58" t="n">
        <f aca="false">IF(01_Desayunos!L44="","",01_Desayunos!L44)</f>
        <v>18</v>
      </c>
      <c r="M44" s="58" t="n">
        <f aca="false">IF(01_Desayunos!N44="","",01_Desayunos!N44)</f>
        <v>1.53</v>
      </c>
      <c r="N44" s="58" t="n">
        <f aca="false">IF(01_Desayunos!O44="","",01_Desayunos!O44)</f>
        <v>15.47</v>
      </c>
      <c r="O44" s="55" t="str">
        <f aca="false">IF(01_Desayunos!P44="","",01_Desayunos!P44)</f>
        <v>07:00-11:00</v>
      </c>
      <c r="P44" s="55" t="n">
        <f aca="false">IF(01_Desayunos!Q44="","",01_Desayunos!Q44)</f>
        <v>12</v>
      </c>
      <c r="Q44" s="55" t="str">
        <f aca="false">IF(01_Desayunos!R44="","",01_Desayunos!R44)</f>
        <v>Medio</v>
      </c>
      <c r="R44" s="55" t="str">
        <f aca="false">IF(01_Desayunos!S44="","",01_Desayunos!S44)</f>
        <v>Todo el año</v>
      </c>
      <c r="S44" s="55" t="str">
        <f aca="false">IF(01_Desayunos!T44="","",01_Desayunos!T44)</f>
        <v>Cafetería</v>
      </c>
      <c r="T44" s="56" t="str">
        <f aca="false">IF(01_Desayunos!U44="","",01_Desayunos!U44)</f>
        <v>Pierde textura si se demora</v>
      </c>
      <c r="U44" s="55" t="n">
        <v>44</v>
      </c>
      <c r="V44" s="55" t="n">
        <f aca="false">IF(AND(OR(LEN(13_Buscador!$C$5)=0,ISNUMBER(SEARCH(13_Buscador!$C$5,$C44&amp;" "&amp;$D44&amp;" "&amp;$E44&amp;" "&amp;$F44&amp;" "&amp;$S44))),OR(13_Buscador!$C$6="Todas las listas",LEN(13_Buscador!$C$6)=0,13_Buscador!$C$6=$B44)),1,0)</f>
        <v>0</v>
      </c>
      <c r="W44" s="55" t="str">
        <f aca="false">IF(V44=1,SUM($V$2:V44),"")</f>
        <v/>
      </c>
    </row>
    <row r="45" customFormat="false" ht="15" hidden="false" customHeight="true" outlineLevel="0" collapsed="false">
      <c r="A45" s="55" t="n">
        <v>44</v>
      </c>
      <c r="B45" s="55" t="s">
        <v>3327</v>
      </c>
      <c r="C45" s="55" t="str">
        <f aca="false">IF(01_Desayunos!B45="","",01_Desayunos!B45)</f>
        <v>Desayunos completos</v>
      </c>
      <c r="D45" s="56" t="str">
        <f aca="false">IF(01_Desayunos!C45="","",01_Desayunos!C45)</f>
        <v>Huevos benedictinos</v>
      </c>
      <c r="E45" s="56" t="str">
        <f aca="false">IF(01_Desayunos!D45="","",01_Desayunos!D45)</f>
        <v>Huevos pochados sobre pan</v>
      </c>
      <c r="F45" s="56" t="str">
        <f aca="false">IF(01_Desayunos!E45="","",01_Desayunos!E45)</f>
        <v>huevo pochado, pan, salsa holandesa, jamón</v>
      </c>
      <c r="G45" s="55" t="str">
        <f aca="false">IF(01_Desayunos!F45="","",01_Desayunos!F45)</f>
        <v>Plato</v>
      </c>
      <c r="H45" s="55" t="str">
        <f aca="false">IF(01_Desayunos!G45="","",01_Desayunos!G45)</f>
        <v>Medio</v>
      </c>
      <c r="I45" s="58" t="n">
        <f aca="false">IF(01_Desayunos!H45="","",01_Desayunos!H45)</f>
        <v>18</v>
      </c>
      <c r="J45" s="58" t="n">
        <f aca="false">IF(01_Desayunos!I45="","",01_Desayunos!I45)</f>
        <v>32</v>
      </c>
      <c r="K45" s="58" t="n">
        <f aca="false">IF(01_Desayunos!J45="","",01_Desayunos!J45)</f>
        <v>25</v>
      </c>
      <c r="L45" s="58" t="n">
        <f aca="false">IF(01_Desayunos!L45="","",01_Desayunos!L45)</f>
        <v>26</v>
      </c>
      <c r="M45" s="58" t="n">
        <f aca="false">IF(01_Desayunos!N45="","",01_Desayunos!N45)</f>
        <v>2.75</v>
      </c>
      <c r="N45" s="58" t="n">
        <f aca="false">IF(01_Desayunos!O45="","",01_Desayunos!O45)</f>
        <v>22.25</v>
      </c>
      <c r="O45" s="55" t="str">
        <f aca="false">IF(01_Desayunos!P45="","",01_Desayunos!P45)</f>
        <v>07:00-11:00</v>
      </c>
      <c r="P45" s="55" t="n">
        <f aca="false">IF(01_Desayunos!Q45="","",01_Desayunos!Q45)</f>
        <v>15</v>
      </c>
      <c r="Q45" s="55" t="str">
        <f aca="false">IF(01_Desayunos!R45="","",01_Desayunos!R45)</f>
        <v>Medio</v>
      </c>
      <c r="R45" s="55" t="str">
        <f aca="false">IF(01_Desayunos!S45="","",01_Desayunos!S45)</f>
        <v>Todo el año</v>
      </c>
      <c r="S45" s="55" t="str">
        <f aca="false">IF(01_Desayunos!T45="","",01_Desayunos!T45)</f>
        <v>Cafetería turística</v>
      </c>
      <c r="T45" s="56" t="str">
        <f aca="false">IF(01_Desayunos!U45="","",01_Desayunos!U45)</f>
        <v/>
      </c>
      <c r="U45" s="55" t="n">
        <v>45</v>
      </c>
      <c r="V45" s="55" t="n">
        <f aca="false">IF(AND(OR(LEN(13_Buscador!$C$5)=0,ISNUMBER(SEARCH(13_Buscador!$C$5,$C45&amp;" "&amp;$D45&amp;" "&amp;$E45&amp;" "&amp;$F45&amp;" "&amp;$S45))),OR(13_Buscador!$C$6="Todas las listas",LEN(13_Buscador!$C$6)=0,13_Buscador!$C$6=$B45)),1,0)</f>
        <v>0</v>
      </c>
      <c r="W45" s="55" t="str">
        <f aca="false">IF(V45=1,SUM($V$2:V45),"")</f>
        <v/>
      </c>
    </row>
    <row r="46" customFormat="false" ht="15" hidden="false" customHeight="true" outlineLevel="0" collapsed="false">
      <c r="A46" s="55" t="n">
        <v>45</v>
      </c>
      <c r="B46" s="55" t="s">
        <v>3327</v>
      </c>
      <c r="C46" s="55" t="str">
        <f aca="false">IF(01_Desayunos!B46="","",01_Desayunos!B46)</f>
        <v>Desayunos completos</v>
      </c>
      <c r="D46" s="56" t="str">
        <f aca="false">IF(01_Desayunos!C46="","",01_Desayunos!C46)</f>
        <v>Omelette de queso y verduras</v>
      </c>
      <c r="E46" s="56" t="str">
        <f aca="false">IF(01_Desayunos!D46="","",01_Desayunos!D46)</f>
        <v>Tortilla rellena</v>
      </c>
      <c r="F46" s="56" t="str">
        <f aca="false">IF(01_Desayunos!E46="","",01_Desayunos!E46)</f>
        <v>huevo, aceite o mantequilla, sal</v>
      </c>
      <c r="G46" s="55" t="str">
        <f aca="false">IF(01_Desayunos!F46="","",01_Desayunos!F46)</f>
        <v>Plato</v>
      </c>
      <c r="H46" s="55" t="str">
        <f aca="false">IF(01_Desayunos!G46="","",01_Desayunos!G46)</f>
        <v>Estándar</v>
      </c>
      <c r="I46" s="58" t="n">
        <f aca="false">IF(01_Desayunos!H46="","",01_Desayunos!H46)</f>
        <v>10</v>
      </c>
      <c r="J46" s="58" t="n">
        <f aca="false">IF(01_Desayunos!I46="","",01_Desayunos!I46)</f>
        <v>18</v>
      </c>
      <c r="K46" s="58" t="n">
        <f aca="false">IF(01_Desayunos!J46="","",01_Desayunos!J46)</f>
        <v>14</v>
      </c>
      <c r="L46" s="58" t="n">
        <f aca="false">IF(01_Desayunos!L46="","",01_Desayunos!L46)</f>
        <v>15</v>
      </c>
      <c r="M46" s="58" t="n">
        <f aca="false">IF(01_Desayunos!N46="","",01_Desayunos!N46)</f>
        <v>1.26</v>
      </c>
      <c r="N46" s="58" t="n">
        <f aca="false">IF(01_Desayunos!O46="","",01_Desayunos!O46)</f>
        <v>12.74</v>
      </c>
      <c r="O46" s="55" t="str">
        <f aca="false">IF(01_Desayunos!P46="","",01_Desayunos!P46)</f>
        <v>07:00-11:00</v>
      </c>
      <c r="P46" s="55" t="n">
        <f aca="false">IF(01_Desayunos!Q46="","",01_Desayunos!Q46)</f>
        <v>10</v>
      </c>
      <c r="Q46" s="55" t="str">
        <f aca="false">IF(01_Desayunos!R46="","",01_Desayunos!R46)</f>
        <v>Alto</v>
      </c>
      <c r="R46" s="55" t="str">
        <f aca="false">IF(01_Desayunos!S46="","",01_Desayunos!S46)</f>
        <v>Todo el año</v>
      </c>
      <c r="S46" s="55" t="str">
        <f aca="false">IF(01_Desayunos!T46="","",01_Desayunos!T46)</f>
        <v>Cafetería</v>
      </c>
      <c r="T46" s="56" t="str">
        <f aca="false">IF(01_Desayunos!U46="","",01_Desayunos!U46)</f>
        <v/>
      </c>
      <c r="U46" s="55" t="n">
        <v>46</v>
      </c>
      <c r="V46" s="55" t="n">
        <f aca="false">IF(AND(OR(LEN(13_Buscador!$C$5)=0,ISNUMBER(SEARCH(13_Buscador!$C$5,$C46&amp;" "&amp;$D46&amp;" "&amp;$E46&amp;" "&amp;$F46&amp;" "&amp;$S46))),OR(13_Buscador!$C$6="Todas las listas",LEN(13_Buscador!$C$6)=0,13_Buscador!$C$6=$B46)),1,0)</f>
        <v>0</v>
      </c>
      <c r="W46" s="55" t="str">
        <f aca="false">IF(V46=1,SUM($V$2:V46),"")</f>
        <v/>
      </c>
    </row>
    <row r="47" customFormat="false" ht="15" hidden="false" customHeight="true" outlineLevel="0" collapsed="false">
      <c r="A47" s="55" t="n">
        <v>46</v>
      </c>
      <c r="B47" s="55" t="s">
        <v>3327</v>
      </c>
      <c r="C47" s="55" t="str">
        <f aca="false">IF(01_Desayunos!B47="","",01_Desayunos!B47)</f>
        <v>Desayunos completos</v>
      </c>
      <c r="D47" s="56" t="str">
        <f aca="false">IF(01_Desayunos!C47="","",01_Desayunos!C47)</f>
        <v>Yogurt con granola y fruta</v>
      </c>
      <c r="E47" s="56" t="str">
        <f aca="false">IF(01_Desayunos!D47="","",01_Desayunos!D47)</f>
        <v>Vaso con granola</v>
      </c>
      <c r="F47" s="56" t="str">
        <f aca="false">IF(01_Desayunos!E47="","",01_Desayunos!E47)</f>
        <v>yogurt natural, granola, fruta de estación, miel</v>
      </c>
      <c r="G47" s="55" t="str">
        <f aca="false">IF(01_Desayunos!F47="","",01_Desayunos!F47)</f>
        <v>Vaso</v>
      </c>
      <c r="H47" s="55" t="str">
        <f aca="false">IF(01_Desayunos!G47="","",01_Desayunos!G47)</f>
        <v>Económico</v>
      </c>
      <c r="I47" s="58" t="n">
        <f aca="false">IF(01_Desayunos!H47="","",01_Desayunos!H47)</f>
        <v>6</v>
      </c>
      <c r="J47" s="58" t="n">
        <f aca="false">IF(01_Desayunos!I47="","",01_Desayunos!I47)</f>
        <v>14</v>
      </c>
      <c r="K47" s="58" t="n">
        <f aca="false">IF(01_Desayunos!J47="","",01_Desayunos!J47)</f>
        <v>10</v>
      </c>
      <c r="L47" s="58" t="n">
        <f aca="false">IF(01_Desayunos!L47="","",01_Desayunos!L47)</f>
        <v>11</v>
      </c>
      <c r="M47" s="58" t="n">
        <f aca="false">IF(01_Desayunos!N47="","",01_Desayunos!N47)</f>
        <v>0.7</v>
      </c>
      <c r="N47" s="58" t="n">
        <f aca="false">IF(01_Desayunos!O47="","",01_Desayunos!O47)</f>
        <v>9.3</v>
      </c>
      <c r="O47" s="55" t="str">
        <f aca="false">IF(01_Desayunos!P47="","",01_Desayunos!P47)</f>
        <v>06:00-11:00</v>
      </c>
      <c r="P47" s="55" t="n">
        <f aca="false">IF(01_Desayunos!Q47="","",01_Desayunos!Q47)</f>
        <v>4</v>
      </c>
      <c r="Q47" s="55" t="str">
        <f aca="false">IF(01_Desayunos!R47="","",01_Desayunos!R47)</f>
        <v>Alto</v>
      </c>
      <c r="R47" s="55" t="str">
        <f aca="false">IF(01_Desayunos!S47="","",01_Desayunos!S47)</f>
        <v>Todo el año</v>
      </c>
      <c r="S47" s="55" t="str">
        <f aca="false">IF(01_Desayunos!T47="","",01_Desayunos!T47)</f>
        <v>Cafetería, saludable</v>
      </c>
      <c r="T47" s="56" t="str">
        <f aca="false">IF(01_Desayunos!U47="","",01_Desayunos!U47)</f>
        <v/>
      </c>
      <c r="U47" s="55" t="n">
        <v>47</v>
      </c>
      <c r="V47" s="55" t="n">
        <f aca="false">IF(AND(OR(LEN(13_Buscador!$C$5)=0,ISNUMBER(SEARCH(13_Buscador!$C$5,$C47&amp;" "&amp;$D47&amp;" "&amp;$E47&amp;" "&amp;$F47&amp;" "&amp;$S47))),OR(13_Buscador!$C$6="Todas las listas",LEN(13_Buscador!$C$6)=0,13_Buscador!$C$6=$B47)),1,0)</f>
        <v>0</v>
      </c>
      <c r="W47" s="55" t="str">
        <f aca="false">IF(V47=1,SUM($V$2:V47),"")</f>
        <v/>
      </c>
    </row>
    <row r="48" customFormat="false" ht="15" hidden="false" customHeight="true" outlineLevel="0" collapsed="false">
      <c r="A48" s="55" t="n">
        <v>47</v>
      </c>
      <c r="B48" s="55" t="s">
        <v>3327</v>
      </c>
      <c r="C48" s="55" t="str">
        <f aca="false">IF(01_Desayunos!B48="","",01_Desayunos!B48)</f>
        <v>Desayunos completos</v>
      </c>
      <c r="D48" s="56" t="str">
        <f aca="false">IF(01_Desayunos!C48="","",01_Desayunos!C48)</f>
        <v>Avena con manzana</v>
      </c>
      <c r="E48" s="56" t="str">
        <f aca="false">IF(01_Desayunos!D48="","",01_Desayunos!D48)</f>
        <v>Bebida espesa caliente</v>
      </c>
      <c r="F48" s="56" t="str">
        <f aca="false">IF(01_Desayunos!E48="","",01_Desayunos!E48)</f>
        <v>avena, leche, manzana, canela, azúcar</v>
      </c>
      <c r="G48" s="55" t="str">
        <f aca="false">IF(01_Desayunos!F48="","",01_Desayunos!F48)</f>
        <v>Vaso 500 ml</v>
      </c>
      <c r="H48" s="55" t="str">
        <f aca="false">IF(01_Desayunos!G48="","",01_Desayunos!G48)</f>
        <v>Económico</v>
      </c>
      <c r="I48" s="58" t="n">
        <f aca="false">IF(01_Desayunos!H48="","",01_Desayunos!H48)</f>
        <v>3</v>
      </c>
      <c r="J48" s="58" t="n">
        <f aca="false">IF(01_Desayunos!I48="","",01_Desayunos!I48)</f>
        <v>7</v>
      </c>
      <c r="K48" s="58" t="n">
        <f aca="false">IF(01_Desayunos!J48="","",01_Desayunos!J48)</f>
        <v>5</v>
      </c>
      <c r="L48" s="58" t="n">
        <f aca="false">IF(01_Desayunos!L48="","",01_Desayunos!L48)</f>
        <v>6</v>
      </c>
      <c r="M48" s="58" t="n">
        <f aca="false">IF(01_Desayunos!N48="","",01_Desayunos!N48)</f>
        <v>0.35</v>
      </c>
      <c r="N48" s="58" t="n">
        <f aca="false">IF(01_Desayunos!O48="","",01_Desayunos!O48)</f>
        <v>4.65</v>
      </c>
      <c r="O48" s="55" t="str">
        <f aca="false">IF(01_Desayunos!P48="","",01_Desayunos!P48)</f>
        <v>05:00-10:00</v>
      </c>
      <c r="P48" s="55" t="n">
        <f aca="false">IF(01_Desayunos!Q48="","",01_Desayunos!Q48)</f>
        <v>4</v>
      </c>
      <c r="Q48" s="55" t="str">
        <f aca="false">IF(01_Desayunos!R48="","",01_Desayunos!R48)</f>
        <v>Alto</v>
      </c>
      <c r="R48" s="55" t="str">
        <f aca="false">IF(01_Desayunos!S48="","",01_Desayunos!S48)</f>
        <v>Mayor demanda en frío</v>
      </c>
      <c r="S48" s="55" t="str">
        <f aca="false">IF(01_Desayunos!T48="","",01_Desayunos!T48)</f>
        <v>Cafetería, mercado</v>
      </c>
      <c r="T48" s="56" t="str">
        <f aca="false">IF(01_Desayunos!U48="","",01_Desayunos!U48)</f>
        <v/>
      </c>
      <c r="U48" s="55" t="n">
        <v>48</v>
      </c>
      <c r="V48" s="55" t="n">
        <f aca="false">IF(AND(OR(LEN(13_Buscador!$C$5)=0,ISNUMBER(SEARCH(13_Buscador!$C$5,$C48&amp;" "&amp;$D48&amp;" "&amp;$E48&amp;" "&amp;$F48&amp;" "&amp;$S48))),OR(13_Buscador!$C$6="Todas las listas",LEN(13_Buscador!$C$6)=0,13_Buscador!$C$6=$B48)),1,0)</f>
        <v>0</v>
      </c>
      <c r="W48" s="55" t="str">
        <f aca="false">IF(V48=1,SUM($V$2:V48),"")</f>
        <v/>
      </c>
    </row>
    <row r="49" customFormat="false" ht="15" hidden="false" customHeight="true" outlineLevel="0" collapsed="false">
      <c r="A49" s="55" t="n">
        <v>48</v>
      </c>
      <c r="B49" s="55" t="s">
        <v>3327</v>
      </c>
      <c r="C49" s="55" t="str">
        <f aca="false">IF(01_Desayunos!B49="","",01_Desayunos!B49)</f>
        <v>Panes y sándwiches</v>
      </c>
      <c r="D49" s="56" t="str">
        <f aca="false">IF(01_Desayunos!C49="","",01_Desayunos!C49)</f>
        <v>Sándwich de pollo deshilachado</v>
      </c>
      <c r="E49" s="56" t="str">
        <f aca="false">IF(01_Desayunos!D49="","",01_Desayunos!D49)</f>
        <v>Pollo, lechuga, mayonesa</v>
      </c>
      <c r="F49" s="56" t="str">
        <f aca="false">IF(01_Desayunos!E49="","",01_Desayunos!E49)</f>
        <v>pan, pollo deshilachado, lechuga, tomate, mayonesa</v>
      </c>
      <c r="G49" s="55" t="str">
        <f aca="false">IF(01_Desayunos!F49="","",01_Desayunos!F49)</f>
        <v>1 unidad</v>
      </c>
      <c r="H49" s="55" t="str">
        <f aca="false">IF(01_Desayunos!G49="","",01_Desayunos!G49)</f>
        <v>Económico</v>
      </c>
      <c r="I49" s="58" t="n">
        <f aca="false">IF(01_Desayunos!H49="","",01_Desayunos!H49)</f>
        <v>6</v>
      </c>
      <c r="J49" s="58" t="n">
        <f aca="false">IF(01_Desayunos!I49="","",01_Desayunos!I49)</f>
        <v>12</v>
      </c>
      <c r="K49" s="58" t="n">
        <f aca="false">IF(01_Desayunos!J49="","",01_Desayunos!J49)</f>
        <v>9</v>
      </c>
      <c r="L49" s="58" t="n">
        <f aca="false">IF(01_Desayunos!L49="","",01_Desayunos!L49)</f>
        <v>10</v>
      </c>
      <c r="M49" s="58" t="n">
        <f aca="false">IF(01_Desayunos!N49="","",01_Desayunos!N49)</f>
        <v>0.63</v>
      </c>
      <c r="N49" s="58" t="n">
        <f aca="false">IF(01_Desayunos!O49="","",01_Desayunos!O49)</f>
        <v>8.37</v>
      </c>
      <c r="O49" s="55" t="str">
        <f aca="false">IF(01_Desayunos!P49="","",01_Desayunos!P49)</f>
        <v>06:00-11:00</v>
      </c>
      <c r="P49" s="55" t="n">
        <f aca="false">IF(01_Desayunos!Q49="","",01_Desayunos!Q49)</f>
        <v>6</v>
      </c>
      <c r="Q49" s="55" t="str">
        <f aca="false">IF(01_Desayunos!R49="","",01_Desayunos!R49)</f>
        <v>Alto</v>
      </c>
      <c r="R49" s="55" t="str">
        <f aca="false">IF(01_Desayunos!S49="","",01_Desayunos!S49)</f>
        <v>Todo el año</v>
      </c>
      <c r="S49" s="55" t="str">
        <f aca="false">IF(01_Desayunos!T49="","",01_Desayunos!T49)</f>
        <v>Cafetería</v>
      </c>
      <c r="T49" s="56" t="str">
        <f aca="false">IF(01_Desayunos!U49="","",01_Desayunos!U49)</f>
        <v/>
      </c>
      <c r="U49" s="55" t="n">
        <v>49</v>
      </c>
      <c r="V49" s="55" t="n">
        <f aca="false">IF(AND(OR(LEN(13_Buscador!$C$5)=0,ISNUMBER(SEARCH(13_Buscador!$C$5,$C49&amp;" "&amp;$D49&amp;" "&amp;$E49&amp;" "&amp;$F49&amp;" "&amp;$S49))),OR(13_Buscador!$C$6="Todas las listas",LEN(13_Buscador!$C$6)=0,13_Buscador!$C$6=$B49)),1,0)</f>
        <v>1</v>
      </c>
      <c r="W49" s="55" t="n">
        <f aca="false">IF(V49=1,SUM($V$2:V49),"")</f>
        <v>4</v>
      </c>
    </row>
    <row r="50" customFormat="false" ht="15" hidden="false" customHeight="true" outlineLevel="0" collapsed="false">
      <c r="A50" s="55" t="n">
        <v>49</v>
      </c>
      <c r="B50" s="55" t="s">
        <v>3327</v>
      </c>
      <c r="C50" s="55" t="str">
        <f aca="false">IF(01_Desayunos!B50="","",01_Desayunos!B50)</f>
        <v>Panes y sándwiches</v>
      </c>
      <c r="D50" s="56" t="str">
        <f aca="false">IF(01_Desayunos!C50="","",01_Desayunos!C50)</f>
        <v>Sándwich de lomito ahumado</v>
      </c>
      <c r="E50" s="56" t="str">
        <f aca="false">IF(01_Desayunos!D50="","",01_Desayunos!D50)</f>
        <v>Lomo ahumado, queso</v>
      </c>
      <c r="F50" s="56" t="str">
        <f aca="false">IF(01_Desayunos!E50="","",01_Desayunos!E50)</f>
        <v>pan, lomo ahumado, queso, lechuga, tomate</v>
      </c>
      <c r="G50" s="55" t="str">
        <f aca="false">IF(01_Desayunos!F50="","",01_Desayunos!F50)</f>
        <v>1 unidad</v>
      </c>
      <c r="H50" s="55" t="str">
        <f aca="false">IF(01_Desayunos!G50="","",01_Desayunos!G50)</f>
        <v>Estándar</v>
      </c>
      <c r="I50" s="58" t="n">
        <f aca="false">IF(01_Desayunos!H50="","",01_Desayunos!H50)</f>
        <v>8</v>
      </c>
      <c r="J50" s="58" t="n">
        <f aca="false">IF(01_Desayunos!I50="","",01_Desayunos!I50)</f>
        <v>16</v>
      </c>
      <c r="K50" s="58" t="n">
        <f aca="false">IF(01_Desayunos!J50="","",01_Desayunos!J50)</f>
        <v>12</v>
      </c>
      <c r="L50" s="58" t="n">
        <f aca="false">IF(01_Desayunos!L50="","",01_Desayunos!L50)</f>
        <v>13</v>
      </c>
      <c r="M50" s="58" t="n">
        <f aca="false">IF(01_Desayunos!N50="","",01_Desayunos!N50)</f>
        <v>1.08</v>
      </c>
      <c r="N50" s="58" t="n">
        <f aca="false">IF(01_Desayunos!O50="","",01_Desayunos!O50)</f>
        <v>10.92</v>
      </c>
      <c r="O50" s="55" t="str">
        <f aca="false">IF(01_Desayunos!P50="","",01_Desayunos!P50)</f>
        <v>06:00-11:00</v>
      </c>
      <c r="P50" s="55" t="n">
        <f aca="false">IF(01_Desayunos!Q50="","",01_Desayunos!Q50)</f>
        <v>8</v>
      </c>
      <c r="Q50" s="55" t="str">
        <f aca="false">IF(01_Desayunos!R50="","",01_Desayunos!R50)</f>
        <v>Alto</v>
      </c>
      <c r="R50" s="55" t="str">
        <f aca="false">IF(01_Desayunos!S50="","",01_Desayunos!S50)</f>
        <v>Todo el año</v>
      </c>
      <c r="S50" s="55" t="str">
        <f aca="false">IF(01_Desayunos!T50="","",01_Desayunos!T50)</f>
        <v>Cafetería</v>
      </c>
      <c r="T50" s="56" t="str">
        <f aca="false">IF(01_Desayunos!U50="","",01_Desayunos!U50)</f>
        <v/>
      </c>
      <c r="U50" s="55" t="n">
        <v>50</v>
      </c>
      <c r="V50" s="55" t="n">
        <f aca="false">IF(AND(OR(LEN(13_Buscador!$C$5)=0,ISNUMBER(SEARCH(13_Buscador!$C$5,$C50&amp;" "&amp;$D50&amp;" "&amp;$E50&amp;" "&amp;$F50&amp;" "&amp;$S50))),OR(13_Buscador!$C$6="Todas las listas",LEN(13_Buscador!$C$6)=0,13_Buscador!$C$6=$B50)),1,0)</f>
        <v>0</v>
      </c>
      <c r="W50" s="55" t="str">
        <f aca="false">IF(V50=1,SUM($V$2:V50),"")</f>
        <v/>
      </c>
    </row>
    <row r="51" customFormat="false" ht="15" hidden="false" customHeight="true" outlineLevel="0" collapsed="false">
      <c r="A51" s="55" t="n">
        <v>50</v>
      </c>
      <c r="B51" s="55" t="s">
        <v>3327</v>
      </c>
      <c r="C51" s="55" t="str">
        <f aca="false">IF(01_Desayunos!B51="","",01_Desayunos!B51)</f>
        <v>Panes y sándwiches</v>
      </c>
      <c r="D51" s="56" t="str">
        <f aca="false">IF(01_Desayunos!C51="","",01_Desayunos!C51)</f>
        <v>Croissant relleno</v>
      </c>
      <c r="E51" s="56" t="str">
        <f aca="false">IF(01_Desayunos!D51="","",01_Desayunos!D51)</f>
        <v>Croissant con jamón y queso</v>
      </c>
      <c r="F51" s="56" t="str">
        <f aca="false">IF(01_Desayunos!E51="","",01_Desayunos!E51)</f>
        <v>masa de croissant, jamón, queso</v>
      </c>
      <c r="G51" s="55" t="str">
        <f aca="false">IF(01_Desayunos!F51="","",01_Desayunos!F51)</f>
        <v>1 unidad</v>
      </c>
      <c r="H51" s="55" t="str">
        <f aca="false">IF(01_Desayunos!G51="","",01_Desayunos!G51)</f>
        <v>Estándar</v>
      </c>
      <c r="I51" s="58" t="n">
        <f aca="false">IF(01_Desayunos!H51="","",01_Desayunos!H51)</f>
        <v>6</v>
      </c>
      <c r="J51" s="58" t="n">
        <f aca="false">IF(01_Desayunos!I51="","",01_Desayunos!I51)</f>
        <v>14</v>
      </c>
      <c r="K51" s="58" t="n">
        <f aca="false">IF(01_Desayunos!J51="","",01_Desayunos!J51)</f>
        <v>10</v>
      </c>
      <c r="L51" s="58" t="n">
        <f aca="false">IF(01_Desayunos!L51="","",01_Desayunos!L51)</f>
        <v>11</v>
      </c>
      <c r="M51" s="58" t="n">
        <f aca="false">IF(01_Desayunos!N51="","",01_Desayunos!N51)</f>
        <v>0.9</v>
      </c>
      <c r="N51" s="58" t="n">
        <f aca="false">IF(01_Desayunos!O51="","",01_Desayunos!O51)</f>
        <v>9.1</v>
      </c>
      <c r="O51" s="55" t="str">
        <f aca="false">IF(01_Desayunos!P51="","",01_Desayunos!P51)</f>
        <v>07:00-11:00</v>
      </c>
      <c r="P51" s="55" t="n">
        <f aca="false">IF(01_Desayunos!Q51="","",01_Desayunos!Q51)</f>
        <v>5</v>
      </c>
      <c r="Q51" s="55" t="str">
        <f aca="false">IF(01_Desayunos!R51="","",01_Desayunos!R51)</f>
        <v>Alto</v>
      </c>
      <c r="R51" s="55" t="str">
        <f aca="false">IF(01_Desayunos!S51="","",01_Desayunos!S51)</f>
        <v>Todo el año</v>
      </c>
      <c r="S51" s="55" t="str">
        <f aca="false">IF(01_Desayunos!T51="","",01_Desayunos!T51)</f>
        <v>Panadería, cafetería</v>
      </c>
      <c r="T51" s="56" t="str">
        <f aca="false">IF(01_Desayunos!U51="","",01_Desayunos!U51)</f>
        <v/>
      </c>
      <c r="U51" s="55" t="n">
        <v>51</v>
      </c>
      <c r="V51" s="55" t="n">
        <f aca="false">IF(AND(OR(LEN(13_Buscador!$C$5)=0,ISNUMBER(SEARCH(13_Buscador!$C$5,$C51&amp;" "&amp;$D51&amp;" "&amp;$E51&amp;" "&amp;$F51&amp;" "&amp;$S51))),OR(13_Buscador!$C$6="Todas las listas",LEN(13_Buscador!$C$6)=0,13_Buscador!$C$6=$B51)),1,0)</f>
        <v>0</v>
      </c>
      <c r="W51" s="55" t="str">
        <f aca="false">IF(V51=1,SUM($V$2:V51),"")</f>
        <v/>
      </c>
    </row>
    <row r="52" customFormat="false" ht="15" hidden="false" customHeight="true" outlineLevel="0" collapsed="false">
      <c r="A52" s="55" t="n">
        <v>51</v>
      </c>
      <c r="B52" s="55" t="s">
        <v>3327</v>
      </c>
      <c r="C52" s="55" t="str">
        <f aca="false">IF(01_Desayunos!B52="","",01_Desayunos!B52)</f>
        <v>Panes y sándwiches</v>
      </c>
      <c r="D52" s="56" t="str">
        <f aca="false">IF(01_Desayunos!C52="","",01_Desayunos!C52)</f>
        <v>Pan con queso frito</v>
      </c>
      <c r="E52" s="56" t="str">
        <f aca="false">IF(01_Desayunos!D52="","",01_Desayunos!D52)</f>
        <v>Queso frito local</v>
      </c>
      <c r="F52" s="56" t="str">
        <f aca="false">IF(01_Desayunos!E52="","",01_Desayunos!E52)</f>
        <v>pan, queso fresco frito, sal</v>
      </c>
      <c r="G52" s="55" t="str">
        <f aca="false">IF(01_Desayunos!F52="","",01_Desayunos!F52)</f>
        <v>1 unidad</v>
      </c>
      <c r="H52" s="55" t="str">
        <f aca="false">IF(01_Desayunos!G52="","",01_Desayunos!G52)</f>
        <v>Económico</v>
      </c>
      <c r="I52" s="58" t="n">
        <f aca="false">IF(01_Desayunos!H52="","",01_Desayunos!H52)</f>
        <v>4</v>
      </c>
      <c r="J52" s="58" t="n">
        <f aca="false">IF(01_Desayunos!I52="","",01_Desayunos!I52)</f>
        <v>9</v>
      </c>
      <c r="K52" s="58" t="n">
        <f aca="false">IF(01_Desayunos!J52="","",01_Desayunos!J52)</f>
        <v>6.5</v>
      </c>
      <c r="L52" s="58" t="n">
        <f aca="false">IF(01_Desayunos!L52="","",01_Desayunos!L52)</f>
        <v>7.5</v>
      </c>
      <c r="M52" s="58" t="n">
        <f aca="false">IF(01_Desayunos!N52="","",01_Desayunos!N52)</f>
        <v>0.46</v>
      </c>
      <c r="N52" s="58" t="n">
        <f aca="false">IF(01_Desayunos!O52="","",01_Desayunos!O52)</f>
        <v>6.04</v>
      </c>
      <c r="O52" s="55" t="str">
        <f aca="false">IF(01_Desayunos!P52="","",01_Desayunos!P52)</f>
        <v>06:00-10:00</v>
      </c>
      <c r="P52" s="55" t="n">
        <f aca="false">IF(01_Desayunos!Q52="","",01_Desayunos!Q52)</f>
        <v>5</v>
      </c>
      <c r="Q52" s="55" t="str">
        <f aca="false">IF(01_Desayunos!R52="","",01_Desayunos!R52)</f>
        <v>Alto</v>
      </c>
      <c r="R52" s="55" t="str">
        <f aca="false">IF(01_Desayunos!S52="","",01_Desayunos!S52)</f>
        <v>Todo el año</v>
      </c>
      <c r="S52" s="55" t="str">
        <f aca="false">IF(01_Desayunos!T52="","",01_Desayunos!T52)</f>
        <v>Mercado, panadería</v>
      </c>
      <c r="T52" s="56" t="str">
        <f aca="false">IF(01_Desayunos!U52="","",01_Desayunos!U52)</f>
        <v>Queso de la zona, identidad local</v>
      </c>
      <c r="U52" s="55" t="n">
        <v>52</v>
      </c>
      <c r="V52" s="55" t="n">
        <f aca="false">IF(AND(OR(LEN(13_Buscador!$C$5)=0,ISNUMBER(SEARCH(13_Buscador!$C$5,$C52&amp;" "&amp;$D52&amp;" "&amp;$E52&amp;" "&amp;$F52&amp;" "&amp;$S52))),OR(13_Buscador!$C$6="Todas las listas",LEN(13_Buscador!$C$6)=0,13_Buscador!$C$6=$B52)),1,0)</f>
        <v>0</v>
      </c>
      <c r="W52" s="55" t="str">
        <f aca="false">IF(V52=1,SUM($V$2:V52),"")</f>
        <v/>
      </c>
    </row>
    <row r="53" customFormat="false" ht="15" hidden="false" customHeight="true" outlineLevel="0" collapsed="false">
      <c r="A53" s="55" t="n">
        <v>52</v>
      </c>
      <c r="B53" s="55" t="s">
        <v>3327</v>
      </c>
      <c r="C53" s="55" t="str">
        <f aca="false">IF(01_Desayunos!B53="","",01_Desayunos!B53)</f>
        <v>Panes y sándwiches</v>
      </c>
      <c r="D53" s="56" t="str">
        <f aca="false">IF(01_Desayunos!C53="","",01_Desayunos!C53)</f>
        <v>Pan con aceituna y queso</v>
      </c>
      <c r="E53" s="56" t="str">
        <f aca="false">IF(01_Desayunos!D53="","",01_Desayunos!D53)</f>
        <v>Desayuno simple</v>
      </c>
      <c r="F53" s="56" t="str">
        <f aca="false">IF(01_Desayunos!E53="","",01_Desayunos!E53)</f>
        <v>pan, aceituna, queso fresco</v>
      </c>
      <c r="G53" s="55" t="str">
        <f aca="false">IF(01_Desayunos!F53="","",01_Desayunos!F53)</f>
        <v>1 unidad</v>
      </c>
      <c r="H53" s="55" t="str">
        <f aca="false">IF(01_Desayunos!G53="","",01_Desayunos!G53)</f>
        <v>Económico</v>
      </c>
      <c r="I53" s="58" t="n">
        <f aca="false">IF(01_Desayunos!H53="","",01_Desayunos!H53)</f>
        <v>3</v>
      </c>
      <c r="J53" s="58" t="n">
        <f aca="false">IF(01_Desayunos!I53="","",01_Desayunos!I53)</f>
        <v>7</v>
      </c>
      <c r="K53" s="58" t="n">
        <f aca="false">IF(01_Desayunos!J53="","",01_Desayunos!J53)</f>
        <v>5</v>
      </c>
      <c r="L53" s="58" t="n">
        <f aca="false">IF(01_Desayunos!L53="","",01_Desayunos!L53)</f>
        <v>6</v>
      </c>
      <c r="M53" s="58" t="n">
        <f aca="false">IF(01_Desayunos!N53="","",01_Desayunos!N53)</f>
        <v>0.35</v>
      </c>
      <c r="N53" s="58" t="n">
        <f aca="false">IF(01_Desayunos!O53="","",01_Desayunos!O53)</f>
        <v>4.65</v>
      </c>
      <c r="O53" s="55" t="str">
        <f aca="false">IF(01_Desayunos!P53="","",01_Desayunos!P53)</f>
        <v>06:00-10:00</v>
      </c>
      <c r="P53" s="55" t="n">
        <f aca="false">IF(01_Desayunos!Q53="","",01_Desayunos!Q53)</f>
        <v>4</v>
      </c>
      <c r="Q53" s="55" t="str">
        <f aca="false">IF(01_Desayunos!R53="","",01_Desayunos!R53)</f>
        <v>Alto</v>
      </c>
      <c r="R53" s="55" t="str">
        <f aca="false">IF(01_Desayunos!S53="","",01_Desayunos!S53)</f>
        <v>Todo el año</v>
      </c>
      <c r="S53" s="55" t="str">
        <f aca="false">IF(01_Desayunos!T53="","",01_Desayunos!T53)</f>
        <v>Mercado</v>
      </c>
      <c r="T53" s="56" t="str">
        <f aca="false">IF(01_Desayunos!U53="","",01_Desayunos!U53)</f>
        <v/>
      </c>
      <c r="U53" s="55" t="n">
        <v>53</v>
      </c>
      <c r="V53" s="55" t="n">
        <f aca="false">IF(AND(OR(LEN(13_Buscador!$C$5)=0,ISNUMBER(SEARCH(13_Buscador!$C$5,$C53&amp;" "&amp;$D53&amp;" "&amp;$E53&amp;" "&amp;$F53&amp;" "&amp;$S53))),OR(13_Buscador!$C$6="Todas las listas",LEN(13_Buscador!$C$6)=0,13_Buscador!$C$6=$B53)),1,0)</f>
        <v>0</v>
      </c>
      <c r="W53" s="55" t="str">
        <f aca="false">IF(V53=1,SUM($V$2:V53),"")</f>
        <v/>
      </c>
    </row>
    <row r="54" customFormat="false" ht="15" hidden="false" customHeight="true" outlineLevel="0" collapsed="false">
      <c r="A54" s="55" t="n">
        <v>53</v>
      </c>
      <c r="B54" s="55" t="s">
        <v>3327</v>
      </c>
      <c r="C54" s="55" t="str">
        <f aca="false">IF(01_Desayunos!B54="","",01_Desayunos!B54)</f>
        <v>Bebidas calientes</v>
      </c>
      <c r="D54" s="56" t="str">
        <f aca="false">IF(01_Desayunos!C54="","",01_Desayunos!C54)</f>
        <v>Café americano</v>
      </c>
      <c r="E54" s="56" t="str">
        <f aca="false">IF(01_Desayunos!D54="","",01_Desayunos!D54)</f>
        <v>Café filtrado</v>
      </c>
      <c r="F54" s="56" t="str">
        <f aca="false">IF(01_Desayunos!E54="","",01_Desayunos!E54)</f>
        <v>café molido, agua caliente</v>
      </c>
      <c r="G54" s="55" t="str">
        <f aca="false">IF(01_Desayunos!F54="","",01_Desayunos!F54)</f>
        <v>Taza</v>
      </c>
      <c r="H54" s="55" t="str">
        <f aca="false">IF(01_Desayunos!G54="","",01_Desayunos!G54)</f>
        <v>Económico</v>
      </c>
      <c r="I54" s="58" t="n">
        <f aca="false">IF(01_Desayunos!H54="","",01_Desayunos!H54)</f>
        <v>4</v>
      </c>
      <c r="J54" s="58" t="n">
        <f aca="false">IF(01_Desayunos!I54="","",01_Desayunos!I54)</f>
        <v>10</v>
      </c>
      <c r="K54" s="58" t="n">
        <f aca="false">IF(01_Desayunos!J54="","",01_Desayunos!J54)</f>
        <v>7</v>
      </c>
      <c r="L54" s="58" t="n">
        <f aca="false">IF(01_Desayunos!L54="","",01_Desayunos!L54)</f>
        <v>8</v>
      </c>
      <c r="M54" s="58" t="n">
        <f aca="false">IF(01_Desayunos!N54="","",01_Desayunos!N54)</f>
        <v>0.49</v>
      </c>
      <c r="N54" s="58" t="n">
        <f aca="false">IF(01_Desayunos!O54="","",01_Desayunos!O54)</f>
        <v>6.51</v>
      </c>
      <c r="O54" s="55" t="str">
        <f aca="false">IF(01_Desayunos!P54="","",01_Desayunos!P54)</f>
        <v>06:00-11:00</v>
      </c>
      <c r="P54" s="55" t="n">
        <f aca="false">IF(01_Desayunos!Q54="","",01_Desayunos!Q54)</f>
        <v>3</v>
      </c>
      <c r="Q54" s="55" t="str">
        <f aca="false">IF(01_Desayunos!R54="","",01_Desayunos!R54)</f>
        <v>Alto</v>
      </c>
      <c r="R54" s="55" t="str">
        <f aca="false">IF(01_Desayunos!S54="","",01_Desayunos!S54)</f>
        <v>Todo el año</v>
      </c>
      <c r="S54" s="55" t="str">
        <f aca="false">IF(01_Desayunos!T54="","",01_Desayunos!T54)</f>
        <v>Cafetería</v>
      </c>
      <c r="T54" s="56" t="str">
        <f aca="false">IF(01_Desayunos!U54="","",01_Desayunos!U54)</f>
        <v/>
      </c>
      <c r="U54" s="55" t="n">
        <v>54</v>
      </c>
      <c r="V54" s="55" t="n">
        <f aca="false">IF(AND(OR(LEN(13_Buscador!$C$5)=0,ISNUMBER(SEARCH(13_Buscador!$C$5,$C54&amp;" "&amp;$D54&amp;" "&amp;$E54&amp;" "&amp;$F54&amp;" "&amp;$S54))),OR(13_Buscador!$C$6="Todas las listas",LEN(13_Buscador!$C$6)=0,13_Buscador!$C$6=$B54)),1,0)</f>
        <v>0</v>
      </c>
      <c r="W54" s="55" t="str">
        <f aca="false">IF(V54=1,SUM($V$2:V54),"")</f>
        <v/>
      </c>
    </row>
    <row r="55" customFormat="false" ht="15" hidden="false" customHeight="true" outlineLevel="0" collapsed="false">
      <c r="A55" s="55" t="n">
        <v>54</v>
      </c>
      <c r="B55" s="55" t="s">
        <v>3327</v>
      </c>
      <c r="C55" s="55" t="str">
        <f aca="false">IF(01_Desayunos!B55="","",01_Desayunos!B55)</f>
        <v>Bebidas calientes</v>
      </c>
      <c r="D55" s="56" t="str">
        <f aca="false">IF(01_Desayunos!C55="","",01_Desayunos!C55)</f>
        <v>Café con leche</v>
      </c>
      <c r="E55" s="56" t="str">
        <f aca="false">IF(01_Desayunos!D55="","",01_Desayunos!D55)</f>
        <v>Café con leche caliente</v>
      </c>
      <c r="F55" s="56" t="str">
        <f aca="false">IF(01_Desayunos!E55="","",01_Desayunos!E55)</f>
        <v>café molido, agua caliente</v>
      </c>
      <c r="G55" s="55" t="str">
        <f aca="false">IF(01_Desayunos!F55="","",01_Desayunos!F55)</f>
        <v>Taza</v>
      </c>
      <c r="H55" s="55" t="str">
        <f aca="false">IF(01_Desayunos!G55="","",01_Desayunos!G55)</f>
        <v>Económico</v>
      </c>
      <c r="I55" s="58" t="n">
        <f aca="false">IF(01_Desayunos!H55="","",01_Desayunos!H55)</f>
        <v>4</v>
      </c>
      <c r="J55" s="58" t="n">
        <f aca="false">IF(01_Desayunos!I55="","",01_Desayunos!I55)</f>
        <v>10</v>
      </c>
      <c r="K55" s="58" t="n">
        <f aca="false">IF(01_Desayunos!J55="","",01_Desayunos!J55)</f>
        <v>7</v>
      </c>
      <c r="L55" s="58" t="n">
        <f aca="false">IF(01_Desayunos!L55="","",01_Desayunos!L55)</f>
        <v>8</v>
      </c>
      <c r="M55" s="58" t="n">
        <f aca="false">IF(01_Desayunos!N55="","",01_Desayunos!N55)</f>
        <v>0.49</v>
      </c>
      <c r="N55" s="58" t="n">
        <f aca="false">IF(01_Desayunos!O55="","",01_Desayunos!O55)</f>
        <v>6.51</v>
      </c>
      <c r="O55" s="55" t="str">
        <f aca="false">IF(01_Desayunos!P55="","",01_Desayunos!P55)</f>
        <v>06:00-11:00</v>
      </c>
      <c r="P55" s="55" t="n">
        <f aca="false">IF(01_Desayunos!Q55="","",01_Desayunos!Q55)</f>
        <v>4</v>
      </c>
      <c r="Q55" s="55" t="str">
        <f aca="false">IF(01_Desayunos!R55="","",01_Desayunos!R55)</f>
        <v>Alto</v>
      </c>
      <c r="R55" s="55" t="str">
        <f aca="false">IF(01_Desayunos!S55="","",01_Desayunos!S55)</f>
        <v>Todo el año</v>
      </c>
      <c r="S55" s="55" t="str">
        <f aca="false">IF(01_Desayunos!T55="","",01_Desayunos!T55)</f>
        <v>Cafetería</v>
      </c>
      <c r="T55" s="56" t="str">
        <f aca="false">IF(01_Desayunos!U55="","",01_Desayunos!U55)</f>
        <v/>
      </c>
      <c r="U55" s="55" t="n">
        <v>55</v>
      </c>
      <c r="V55" s="55" t="n">
        <f aca="false">IF(AND(OR(LEN(13_Buscador!$C$5)=0,ISNUMBER(SEARCH(13_Buscador!$C$5,$C55&amp;" "&amp;$D55&amp;" "&amp;$E55&amp;" "&amp;$F55&amp;" "&amp;$S55))),OR(13_Buscador!$C$6="Todas las listas",LEN(13_Buscador!$C$6)=0,13_Buscador!$C$6=$B55)),1,0)</f>
        <v>0</v>
      </c>
      <c r="W55" s="55" t="str">
        <f aca="false">IF(V55=1,SUM($V$2:V55),"")</f>
        <v/>
      </c>
    </row>
    <row r="56" customFormat="false" ht="15" hidden="false" customHeight="true" outlineLevel="0" collapsed="false">
      <c r="A56" s="55" t="n">
        <v>55</v>
      </c>
      <c r="B56" s="55" t="s">
        <v>3327</v>
      </c>
      <c r="C56" s="55" t="str">
        <f aca="false">IF(01_Desayunos!B56="","",01_Desayunos!B56)</f>
        <v>Bebidas calientes</v>
      </c>
      <c r="D56" s="56" t="str">
        <f aca="false">IF(01_Desayunos!C56="","",01_Desayunos!C56)</f>
        <v>Latte / mocaccino</v>
      </c>
      <c r="E56" s="56" t="str">
        <f aca="false">IF(01_Desayunos!D56="","",01_Desayunos!D56)</f>
        <v>Café especial</v>
      </c>
      <c r="F56" s="56" t="str">
        <f aca="false">IF(01_Desayunos!E56="","",01_Desayunos!E56)</f>
        <v>café espresso, leche, espuma de leche</v>
      </c>
      <c r="G56" s="55" t="str">
        <f aca="false">IF(01_Desayunos!F56="","",01_Desayunos!F56)</f>
        <v>Taza</v>
      </c>
      <c r="H56" s="55" t="str">
        <f aca="false">IF(01_Desayunos!G56="","",01_Desayunos!G56)</f>
        <v>Estándar</v>
      </c>
      <c r="I56" s="58" t="n">
        <f aca="false">IF(01_Desayunos!H56="","",01_Desayunos!H56)</f>
        <v>8</v>
      </c>
      <c r="J56" s="58" t="n">
        <f aca="false">IF(01_Desayunos!I56="","",01_Desayunos!I56)</f>
        <v>16</v>
      </c>
      <c r="K56" s="58" t="n">
        <f aca="false">IF(01_Desayunos!J56="","",01_Desayunos!J56)</f>
        <v>12</v>
      </c>
      <c r="L56" s="58" t="n">
        <f aca="false">IF(01_Desayunos!L56="","",01_Desayunos!L56)</f>
        <v>13</v>
      </c>
      <c r="M56" s="58" t="n">
        <f aca="false">IF(01_Desayunos!N56="","",01_Desayunos!N56)</f>
        <v>1.08</v>
      </c>
      <c r="N56" s="58" t="n">
        <f aca="false">IF(01_Desayunos!O56="","",01_Desayunos!O56)</f>
        <v>10.92</v>
      </c>
      <c r="O56" s="55" t="str">
        <f aca="false">IF(01_Desayunos!P56="","",01_Desayunos!P56)</f>
        <v>07:00-11:00</v>
      </c>
      <c r="P56" s="55" t="n">
        <f aca="false">IF(01_Desayunos!Q56="","",01_Desayunos!Q56)</f>
        <v>6</v>
      </c>
      <c r="Q56" s="55" t="str">
        <f aca="false">IF(01_Desayunos!R56="","",01_Desayunos!R56)</f>
        <v>Medio</v>
      </c>
      <c r="R56" s="55" t="str">
        <f aca="false">IF(01_Desayunos!S56="","",01_Desayunos!S56)</f>
        <v>Todo el año</v>
      </c>
      <c r="S56" s="55" t="str">
        <f aca="false">IF(01_Desayunos!T56="","",01_Desayunos!T56)</f>
        <v>Cafetería</v>
      </c>
      <c r="T56" s="56" t="str">
        <f aca="false">IF(01_Desayunos!U56="","",01_Desayunos!U56)</f>
        <v>Pierde espuma en traslado</v>
      </c>
      <c r="U56" s="55" t="n">
        <v>56</v>
      </c>
      <c r="V56" s="55" t="n">
        <f aca="false">IF(AND(OR(LEN(13_Buscador!$C$5)=0,ISNUMBER(SEARCH(13_Buscador!$C$5,$C56&amp;" "&amp;$D56&amp;" "&amp;$E56&amp;" "&amp;$F56&amp;" "&amp;$S56))),OR(13_Buscador!$C$6="Todas las listas",LEN(13_Buscador!$C$6)=0,13_Buscador!$C$6=$B56)),1,0)</f>
        <v>0</v>
      </c>
      <c r="W56" s="55" t="str">
        <f aca="false">IF(V56=1,SUM($V$2:V56),"")</f>
        <v/>
      </c>
    </row>
    <row r="57" customFormat="false" ht="15" hidden="false" customHeight="true" outlineLevel="0" collapsed="false">
      <c r="A57" s="55" t="n">
        <v>56</v>
      </c>
      <c r="B57" s="55" t="s">
        <v>3327</v>
      </c>
      <c r="C57" s="55" t="str">
        <f aca="false">IF(01_Desayunos!B57="","",01_Desayunos!B57)</f>
        <v>Bebidas calientes</v>
      </c>
      <c r="D57" s="56" t="str">
        <f aca="false">IF(01_Desayunos!C57="","",01_Desayunos!C57)</f>
        <v>Té de manzanilla / anís</v>
      </c>
      <c r="E57" s="56" t="str">
        <f aca="false">IF(01_Desayunos!D57="","",01_Desayunos!D57)</f>
        <v>Infusión</v>
      </c>
      <c r="F57" s="56" t="str">
        <f aca="false">IF(01_Desayunos!E57="","",01_Desayunos!E57)</f>
        <v>hierba aromática, agua caliente, azúcar</v>
      </c>
      <c r="G57" s="55" t="str">
        <f aca="false">IF(01_Desayunos!F57="","",01_Desayunos!F57)</f>
        <v>Taza</v>
      </c>
      <c r="H57" s="55" t="str">
        <f aca="false">IF(01_Desayunos!G57="","",01_Desayunos!G57)</f>
        <v>Económico</v>
      </c>
      <c r="I57" s="58" t="n">
        <f aca="false">IF(01_Desayunos!H57="","",01_Desayunos!H57)</f>
        <v>2</v>
      </c>
      <c r="J57" s="58" t="n">
        <f aca="false">IF(01_Desayunos!I57="","",01_Desayunos!I57)</f>
        <v>5</v>
      </c>
      <c r="K57" s="58" t="n">
        <f aca="false">IF(01_Desayunos!J57="","",01_Desayunos!J57)</f>
        <v>3.5</v>
      </c>
      <c r="L57" s="58" t="n">
        <f aca="false">IF(01_Desayunos!L57="","",01_Desayunos!L57)</f>
        <v>4.5</v>
      </c>
      <c r="M57" s="58" t="n">
        <f aca="false">IF(01_Desayunos!N57="","",01_Desayunos!N57)</f>
        <v>0.25</v>
      </c>
      <c r="N57" s="58" t="n">
        <f aca="false">IF(01_Desayunos!O57="","",01_Desayunos!O57)</f>
        <v>3.25</v>
      </c>
      <c r="O57" s="55" t="str">
        <f aca="false">IF(01_Desayunos!P57="","",01_Desayunos!P57)</f>
        <v>06:00-11:00</v>
      </c>
      <c r="P57" s="55" t="n">
        <f aca="false">IF(01_Desayunos!Q57="","",01_Desayunos!Q57)</f>
        <v>2</v>
      </c>
      <c r="Q57" s="55" t="str">
        <f aca="false">IF(01_Desayunos!R57="","",01_Desayunos!R57)</f>
        <v>Alto</v>
      </c>
      <c r="R57" s="55" t="str">
        <f aca="false">IF(01_Desayunos!S57="","",01_Desayunos!S57)</f>
        <v>Todo el año</v>
      </c>
      <c r="S57" s="55" t="str">
        <f aca="false">IF(01_Desayunos!T57="","",01_Desayunos!T57)</f>
        <v>Cafetería, mercado</v>
      </c>
      <c r="T57" s="56" t="str">
        <f aca="false">IF(01_Desayunos!U57="","",01_Desayunos!U57)</f>
        <v/>
      </c>
      <c r="U57" s="55" t="n">
        <v>57</v>
      </c>
      <c r="V57" s="55" t="n">
        <f aca="false">IF(AND(OR(LEN(13_Buscador!$C$5)=0,ISNUMBER(SEARCH(13_Buscador!$C$5,$C57&amp;" "&amp;$D57&amp;" "&amp;$E57&amp;" "&amp;$F57&amp;" "&amp;$S57))),OR(13_Buscador!$C$6="Todas las listas",LEN(13_Buscador!$C$6)=0,13_Buscador!$C$6=$B57)),1,0)</f>
        <v>0</v>
      </c>
      <c r="W57" s="55" t="str">
        <f aca="false">IF(V57=1,SUM($V$2:V57),"")</f>
        <v/>
      </c>
    </row>
    <row r="58" customFormat="false" ht="15" hidden="false" customHeight="true" outlineLevel="0" collapsed="false">
      <c r="A58" s="55" t="n">
        <v>57</v>
      </c>
      <c r="B58" s="55" t="s">
        <v>3327</v>
      </c>
      <c r="C58" s="55" t="str">
        <f aca="false">IF(01_Desayunos!B58="","",01_Desayunos!B58)</f>
        <v>Bebidas calientes</v>
      </c>
      <c r="D58" s="56" t="str">
        <f aca="false">IF(01_Desayunos!C58="","",01_Desayunos!C58)</f>
        <v>Submarino</v>
      </c>
      <c r="E58" s="56" t="str">
        <f aca="false">IF(01_Desayunos!D58="","",01_Desayunos!D58)</f>
        <v>Leche caliente con chocolate</v>
      </c>
      <c r="F58" s="56" t="str">
        <f aca="false">IF(01_Desayunos!E58="","",01_Desayunos!E58)</f>
        <v>chocolate en barra o cocoa, leche, azúcar, canela</v>
      </c>
      <c r="G58" s="55" t="str">
        <f aca="false">IF(01_Desayunos!F58="","",01_Desayunos!F58)</f>
        <v>Taza</v>
      </c>
      <c r="H58" s="55" t="str">
        <f aca="false">IF(01_Desayunos!G58="","",01_Desayunos!G58)</f>
        <v>Económico</v>
      </c>
      <c r="I58" s="58" t="n">
        <f aca="false">IF(01_Desayunos!H58="","",01_Desayunos!H58)</f>
        <v>5</v>
      </c>
      <c r="J58" s="58" t="n">
        <f aca="false">IF(01_Desayunos!I58="","",01_Desayunos!I58)</f>
        <v>10</v>
      </c>
      <c r="K58" s="58" t="n">
        <f aca="false">IF(01_Desayunos!J58="","",01_Desayunos!J58)</f>
        <v>7.5</v>
      </c>
      <c r="L58" s="58" t="n">
        <f aca="false">IF(01_Desayunos!L58="","",01_Desayunos!L58)</f>
        <v>8.5</v>
      </c>
      <c r="M58" s="58" t="n">
        <f aca="false">IF(01_Desayunos!N58="","",01_Desayunos!N58)</f>
        <v>0.53</v>
      </c>
      <c r="N58" s="58" t="n">
        <f aca="false">IF(01_Desayunos!O58="","",01_Desayunos!O58)</f>
        <v>6.97</v>
      </c>
      <c r="O58" s="55" t="str">
        <f aca="false">IF(01_Desayunos!P58="","",01_Desayunos!P58)</f>
        <v>06:00-10:00</v>
      </c>
      <c r="P58" s="55" t="n">
        <f aca="false">IF(01_Desayunos!Q58="","",01_Desayunos!Q58)</f>
        <v>5</v>
      </c>
      <c r="Q58" s="55" t="str">
        <f aca="false">IF(01_Desayunos!R58="","",01_Desayunos!R58)</f>
        <v>Alto</v>
      </c>
      <c r="R58" s="55" t="str">
        <f aca="false">IF(01_Desayunos!S58="","",01_Desayunos!S58)</f>
        <v>Mayor demanda en frío</v>
      </c>
      <c r="S58" s="55" t="str">
        <f aca="false">IF(01_Desayunos!T58="","",01_Desayunos!T58)</f>
        <v>Cafetería</v>
      </c>
      <c r="T58" s="56" t="str">
        <f aca="false">IF(01_Desayunos!U58="","",01_Desayunos!U58)</f>
        <v/>
      </c>
      <c r="U58" s="55" t="n">
        <v>58</v>
      </c>
      <c r="V58" s="55" t="n">
        <f aca="false">IF(AND(OR(LEN(13_Buscador!$C$5)=0,ISNUMBER(SEARCH(13_Buscador!$C$5,$C58&amp;" "&amp;$D58&amp;" "&amp;$E58&amp;" "&amp;$F58&amp;" "&amp;$S58))),OR(13_Buscador!$C$6="Todas las listas",LEN(13_Buscador!$C$6)=0,13_Buscador!$C$6=$B58)),1,0)</f>
        <v>0</v>
      </c>
      <c r="W58" s="55" t="str">
        <f aca="false">IF(V58=1,SUM($V$2:V58),"")</f>
        <v/>
      </c>
    </row>
    <row r="59" customFormat="false" ht="15" hidden="false" customHeight="true" outlineLevel="0" collapsed="false">
      <c r="A59" s="55" t="n">
        <v>58</v>
      </c>
      <c r="B59" s="55" t="s">
        <v>3327</v>
      </c>
      <c r="C59" s="55" t="str">
        <f aca="false">IF(01_Desayunos!B59="","",01_Desayunos!B59)</f>
        <v>Caldos de mañana</v>
      </c>
      <c r="D59" s="56" t="str">
        <f aca="false">IF(01_Desayunos!C59="","",01_Desayunos!C59)</f>
        <v>Caldo de huevo</v>
      </c>
      <c r="E59" s="56" t="str">
        <f aca="false">IF(01_Desayunos!D59="","",01_Desayunos!D59)</f>
        <v>Caldo claro con huevo escalfado</v>
      </c>
      <c r="F59" s="56" t="str">
        <f aca="false">IF(01_Desayunos!E59="","",01_Desayunos!E59)</f>
        <v>huevo, papa, cebolla china, orégano, sal</v>
      </c>
      <c r="G59" s="55" t="str">
        <f aca="false">IF(01_Desayunos!F59="","",01_Desayunos!F59)</f>
        <v>Plato hondo</v>
      </c>
      <c r="H59" s="55" t="str">
        <f aca="false">IF(01_Desayunos!G59="","",01_Desayunos!G59)</f>
        <v>Económico</v>
      </c>
      <c r="I59" s="58" t="n">
        <f aca="false">IF(01_Desayunos!H59="","",01_Desayunos!H59)</f>
        <v>6</v>
      </c>
      <c r="J59" s="58" t="n">
        <f aca="false">IF(01_Desayunos!I59="","",01_Desayunos!I59)</f>
        <v>11</v>
      </c>
      <c r="K59" s="58" t="n">
        <f aca="false">IF(01_Desayunos!J59="","",01_Desayunos!J59)</f>
        <v>8.5</v>
      </c>
      <c r="L59" s="58" t="n">
        <f aca="false">IF(01_Desayunos!L59="","",01_Desayunos!L59)</f>
        <v>9.5</v>
      </c>
      <c r="M59" s="58" t="n">
        <f aca="false">IF(01_Desayunos!N59="","",01_Desayunos!N59)</f>
        <v>0.6</v>
      </c>
      <c r="N59" s="58" t="n">
        <f aca="false">IF(01_Desayunos!O59="","",01_Desayunos!O59)</f>
        <v>7.9</v>
      </c>
      <c r="O59" s="55" t="str">
        <f aca="false">IF(01_Desayunos!P59="","",01_Desayunos!P59)</f>
        <v>05:00-09:00</v>
      </c>
      <c r="P59" s="55" t="n">
        <f aca="false">IF(01_Desayunos!Q59="","",01_Desayunos!Q59)</f>
        <v>8</v>
      </c>
      <c r="Q59" s="55" t="str">
        <f aca="false">IF(01_Desayunos!R59="","",01_Desayunos!R59)</f>
        <v>Medio</v>
      </c>
      <c r="R59" s="55" t="str">
        <f aca="false">IF(01_Desayunos!S59="","",01_Desayunos!S59)</f>
        <v>Todo el año</v>
      </c>
      <c r="S59" s="55" t="str">
        <f aca="false">IF(01_Desayunos!T59="","",01_Desayunos!T59)</f>
        <v>Caldería</v>
      </c>
      <c r="T59" s="56" t="str">
        <f aca="false">IF(01_Desayunos!U59="","",01_Desayunos!U59)</f>
        <v>El más barato de la caldería</v>
      </c>
      <c r="U59" s="55" t="n">
        <v>59</v>
      </c>
      <c r="V59" s="55" t="n">
        <f aca="false">IF(AND(OR(LEN(13_Buscador!$C$5)=0,ISNUMBER(SEARCH(13_Buscador!$C$5,$C59&amp;" "&amp;$D59&amp;" "&amp;$E59&amp;" "&amp;$F59&amp;" "&amp;$S59))),OR(13_Buscador!$C$6="Todas las listas",LEN(13_Buscador!$C$6)=0,13_Buscador!$C$6=$B59)),1,0)</f>
        <v>0</v>
      </c>
      <c r="W59" s="55" t="str">
        <f aca="false">IF(V59=1,SUM($V$2:V59),"")</f>
        <v/>
      </c>
    </row>
    <row r="60" customFormat="false" ht="15" hidden="false" customHeight="true" outlineLevel="0" collapsed="false">
      <c r="A60" s="55" t="n">
        <v>59</v>
      </c>
      <c r="B60" s="55" t="s">
        <v>3327</v>
      </c>
      <c r="C60" s="55" t="str">
        <f aca="false">IF(01_Desayunos!B60="","",01_Desayunos!B60)</f>
        <v>Caldos de mañana</v>
      </c>
      <c r="D60" s="56" t="str">
        <f aca="false">IF(01_Desayunos!C60="","",01_Desayunos!C60)</f>
        <v>Sopa de fideo con leche</v>
      </c>
      <c r="E60" s="56" t="str">
        <f aca="false">IF(01_Desayunos!D60="","",01_Desayunos!D60)</f>
        <v>Fideo, leche, huevo</v>
      </c>
      <c r="F60" s="56" t="str">
        <f aca="false">IF(01_Desayunos!E60="","",01_Desayunos!E60)</f>
        <v>fideo, leche, huevo, sal</v>
      </c>
      <c r="G60" s="55" t="str">
        <f aca="false">IF(01_Desayunos!F60="","",01_Desayunos!F60)</f>
        <v>Plato hondo</v>
      </c>
      <c r="H60" s="55" t="str">
        <f aca="false">IF(01_Desayunos!G60="","",01_Desayunos!G60)</f>
        <v>Económico</v>
      </c>
      <c r="I60" s="58" t="n">
        <f aca="false">IF(01_Desayunos!H60="","",01_Desayunos!H60)</f>
        <v>6</v>
      </c>
      <c r="J60" s="58" t="n">
        <f aca="false">IF(01_Desayunos!I60="","",01_Desayunos!I60)</f>
        <v>11</v>
      </c>
      <c r="K60" s="58" t="n">
        <f aca="false">IF(01_Desayunos!J60="","",01_Desayunos!J60)</f>
        <v>8.5</v>
      </c>
      <c r="L60" s="58" t="n">
        <f aca="false">IF(01_Desayunos!L60="","",01_Desayunos!L60)</f>
        <v>9.5</v>
      </c>
      <c r="M60" s="58" t="n">
        <f aca="false">IF(01_Desayunos!N60="","",01_Desayunos!N60)</f>
        <v>0.6</v>
      </c>
      <c r="N60" s="58" t="n">
        <f aca="false">IF(01_Desayunos!O60="","",01_Desayunos!O60)</f>
        <v>7.9</v>
      </c>
      <c r="O60" s="55" t="str">
        <f aca="false">IF(01_Desayunos!P60="","",01_Desayunos!P60)</f>
        <v>05:00-09:00</v>
      </c>
      <c r="P60" s="55" t="n">
        <f aca="false">IF(01_Desayunos!Q60="","",01_Desayunos!Q60)</f>
        <v>8</v>
      </c>
      <c r="Q60" s="55" t="str">
        <f aca="false">IF(01_Desayunos!R60="","",01_Desayunos!R60)</f>
        <v>Medio</v>
      </c>
      <c r="R60" s="55" t="str">
        <f aca="false">IF(01_Desayunos!S60="","",01_Desayunos!S60)</f>
        <v>Todo el año</v>
      </c>
      <c r="S60" s="55" t="str">
        <f aca="false">IF(01_Desayunos!T60="","",01_Desayunos!T60)</f>
        <v>Caldería, menú</v>
      </c>
      <c r="T60" s="56" t="str">
        <f aca="false">IF(01_Desayunos!U60="","",01_Desayunos!U60)</f>
        <v/>
      </c>
      <c r="U60" s="55" t="n">
        <v>60</v>
      </c>
      <c r="V60" s="55" t="n">
        <f aca="false">IF(AND(OR(LEN(13_Buscador!$C$5)=0,ISNUMBER(SEARCH(13_Buscador!$C$5,$C60&amp;" "&amp;$D60&amp;" "&amp;$E60&amp;" "&amp;$F60&amp;" "&amp;$S60))),OR(13_Buscador!$C$6="Todas las listas",LEN(13_Buscador!$C$6)=0,13_Buscador!$C$6=$B60)),1,0)</f>
        <v>0</v>
      </c>
      <c r="W60" s="55" t="str">
        <f aca="false">IF(V60=1,SUM($V$2:V60),"")</f>
        <v/>
      </c>
    </row>
    <row r="61" customFormat="false" ht="15" hidden="false" customHeight="true" outlineLevel="0" collapsed="false">
      <c r="A61" s="55" t="n">
        <v>60</v>
      </c>
      <c r="B61" s="55" t="s">
        <v>3327</v>
      </c>
      <c r="C61" s="55" t="str">
        <f aca="false">IF(01_Desayunos!B61="","",01_Desayunos!B61)</f>
        <v>Caldos de mañana</v>
      </c>
      <c r="D61" s="56" t="str">
        <f aca="false">IF(01_Desayunos!C61="","",01_Desayunos!C61)</f>
        <v>Caldo de pata con mote</v>
      </c>
      <c r="E61" s="56" t="str">
        <f aca="false">IF(01_Desayunos!D61="","",01_Desayunos!D61)</f>
        <v>Pata de res, mote, hierbabuena</v>
      </c>
      <c r="F61" s="56" t="str">
        <f aca="false">IF(01_Desayunos!E61="","",01_Desayunos!E61)</f>
        <v>patita de res, mote, papa, hierbabuena, cebolla, sal</v>
      </c>
      <c r="G61" s="55" t="str">
        <f aca="false">IF(01_Desayunos!F61="","",01_Desayunos!F61)</f>
        <v>Plato hondo</v>
      </c>
      <c r="H61" s="55" t="str">
        <f aca="false">IF(01_Desayunos!G61="","",01_Desayunos!G61)</f>
        <v>Estándar</v>
      </c>
      <c r="I61" s="58" t="n">
        <f aca="false">IF(01_Desayunos!H61="","",01_Desayunos!H61)</f>
        <v>11</v>
      </c>
      <c r="J61" s="58" t="n">
        <f aca="false">IF(01_Desayunos!I61="","",01_Desayunos!I61)</f>
        <v>18</v>
      </c>
      <c r="K61" s="58" t="n">
        <f aca="false">IF(01_Desayunos!J61="","",01_Desayunos!J61)</f>
        <v>14.5</v>
      </c>
      <c r="L61" s="58" t="n">
        <f aca="false">IF(01_Desayunos!L61="","",01_Desayunos!L61)</f>
        <v>15.5</v>
      </c>
      <c r="M61" s="58" t="n">
        <f aca="false">IF(01_Desayunos!N61="","",01_Desayunos!N61)</f>
        <v>1.31</v>
      </c>
      <c r="N61" s="58" t="n">
        <f aca="false">IF(01_Desayunos!O61="","",01_Desayunos!O61)</f>
        <v>13.19</v>
      </c>
      <c r="O61" s="55" t="str">
        <f aca="false">IF(01_Desayunos!P61="","",01_Desayunos!P61)</f>
        <v>05:00-09:00</v>
      </c>
      <c r="P61" s="55" t="n">
        <f aca="false">IF(01_Desayunos!Q61="","",01_Desayunos!Q61)</f>
        <v>12</v>
      </c>
      <c r="Q61" s="55" t="str">
        <f aca="false">IF(01_Desayunos!R61="","",01_Desayunos!R61)</f>
        <v>Medio</v>
      </c>
      <c r="R61" s="55" t="str">
        <f aca="false">IF(01_Desayunos!S61="","",01_Desayunos!S61)</f>
        <v>Fin de semana</v>
      </c>
      <c r="S61" s="55" t="str">
        <f aca="false">IF(01_Desayunos!T61="","",01_Desayunos!T61)</f>
        <v>Caldería</v>
      </c>
      <c r="T61" s="56" t="str">
        <f aca="false">IF(01_Desayunos!U61="","",01_Desayunos!U61)</f>
        <v/>
      </c>
      <c r="U61" s="55" t="n">
        <v>61</v>
      </c>
      <c r="V61" s="55" t="n">
        <f aca="false">IF(AND(OR(LEN(13_Buscador!$C$5)=0,ISNUMBER(SEARCH(13_Buscador!$C$5,$C61&amp;" "&amp;$D61&amp;" "&amp;$E61&amp;" "&amp;$F61&amp;" "&amp;$S61))),OR(13_Buscador!$C$6="Todas las listas",LEN(13_Buscador!$C$6)=0,13_Buscador!$C$6=$B61)),1,0)</f>
        <v>0</v>
      </c>
      <c r="W61" s="55" t="str">
        <f aca="false">IF(V61=1,SUM($V$2:V61),"")</f>
        <v/>
      </c>
    </row>
    <row r="62" customFormat="false" ht="23.25" hidden="false" customHeight="true" outlineLevel="0" collapsed="false">
      <c r="A62" s="55" t="n">
        <v>61</v>
      </c>
      <c r="B62" s="55" t="s">
        <v>3327</v>
      </c>
      <c r="C62" s="55" t="str">
        <f aca="false">IF(01_Desayunos!B62="","",01_Desayunos!B62)</f>
        <v>Caldos de mañana</v>
      </c>
      <c r="D62" s="56" t="str">
        <f aca="false">IF(01_Desayunos!C62="","",01_Desayunos!C62)</f>
        <v>Caldo de cordero con chuño</v>
      </c>
      <c r="E62" s="56" t="str">
        <f aca="false">IF(01_Desayunos!D62="","",01_Desayunos!D62)</f>
        <v>Versión reforzada</v>
      </c>
      <c r="F62" s="56" t="str">
        <f aca="false">IF(01_Desayunos!E62="","",01_Desayunos!E62)</f>
        <v>carne de cordero, chuño, papa, zanahoria, cebolla, hierbabuena, sal</v>
      </c>
      <c r="G62" s="55" t="str">
        <f aca="false">IF(01_Desayunos!F62="","",01_Desayunos!F62)</f>
        <v>Plato hondo</v>
      </c>
      <c r="H62" s="55" t="str">
        <f aca="false">IF(01_Desayunos!G62="","",01_Desayunos!G62)</f>
        <v>Estándar</v>
      </c>
      <c r="I62" s="58" t="n">
        <f aca="false">IF(01_Desayunos!H62="","",01_Desayunos!H62)</f>
        <v>13</v>
      </c>
      <c r="J62" s="58" t="n">
        <f aca="false">IF(01_Desayunos!I62="","",01_Desayunos!I62)</f>
        <v>20</v>
      </c>
      <c r="K62" s="58" t="n">
        <f aca="false">IF(01_Desayunos!J62="","",01_Desayunos!J62)</f>
        <v>16.5</v>
      </c>
      <c r="L62" s="58" t="n">
        <f aca="false">IF(01_Desayunos!L62="","",01_Desayunos!L62)</f>
        <v>17.5</v>
      </c>
      <c r="M62" s="58" t="n">
        <f aca="false">IF(01_Desayunos!N62="","",01_Desayunos!N62)</f>
        <v>1.49</v>
      </c>
      <c r="N62" s="58" t="n">
        <f aca="false">IF(01_Desayunos!O62="","",01_Desayunos!O62)</f>
        <v>15.01</v>
      </c>
      <c r="O62" s="55" t="str">
        <f aca="false">IF(01_Desayunos!P62="","",01_Desayunos!P62)</f>
        <v>05:00-09:00</v>
      </c>
      <c r="P62" s="55" t="n">
        <f aca="false">IF(01_Desayunos!Q62="","",01_Desayunos!Q62)</f>
        <v>12</v>
      </c>
      <c r="Q62" s="55" t="str">
        <f aca="false">IF(01_Desayunos!R62="","",01_Desayunos!R62)</f>
        <v>Medio</v>
      </c>
      <c r="R62" s="55" t="str">
        <f aca="false">IF(01_Desayunos!S62="","",01_Desayunos!S62)</f>
        <v>Mayor demanda en frío</v>
      </c>
      <c r="S62" s="55" t="str">
        <f aca="false">IF(01_Desayunos!T62="","",01_Desayunos!T62)</f>
        <v>Caldería</v>
      </c>
      <c r="T62" s="56" t="str">
        <f aca="false">IF(01_Desayunos!U62="","",01_Desayunos!U62)</f>
        <v/>
      </c>
      <c r="U62" s="55" t="n">
        <v>62</v>
      </c>
      <c r="V62" s="55" t="n">
        <f aca="false">IF(AND(OR(LEN(13_Buscador!$C$5)=0,ISNUMBER(SEARCH(13_Buscador!$C$5,$C62&amp;" "&amp;$D62&amp;" "&amp;$E62&amp;" "&amp;$F62&amp;" "&amp;$S62))),OR(13_Buscador!$C$6="Todas las listas",LEN(13_Buscador!$C$6)=0,13_Buscador!$C$6=$B62)),1,0)</f>
        <v>0</v>
      </c>
      <c r="W62" s="55" t="str">
        <f aca="false">IF(V62=1,SUM($V$2:V62),"")</f>
        <v/>
      </c>
    </row>
    <row r="63" customFormat="false" ht="15" hidden="false" customHeight="true" outlineLevel="0" collapsed="false">
      <c r="A63" s="55" t="n">
        <v>62</v>
      </c>
      <c r="B63" s="55" t="s">
        <v>3327</v>
      </c>
      <c r="C63" s="55" t="str">
        <f aca="false">IF(01_Desayunos!B63="","",01_Desayunos!B63)</f>
        <v>Caldos de mañana</v>
      </c>
      <c r="D63" s="56" t="str">
        <f aca="false">IF(01_Desayunos!C63="","",01_Desayunos!C63)</f>
        <v>Caldo de trucha</v>
      </c>
      <c r="E63" s="56" t="str">
        <f aca="false">IF(01_Desayunos!D63="","",01_Desayunos!D63)</f>
        <v>Trucha del lago en caldo</v>
      </c>
      <c r="F63" s="56" t="str">
        <f aca="false">IF(01_Desayunos!E63="","",01_Desayunos!E63)</f>
        <v>trucha, papa, chuño, cebolla, hierbabuena, sal</v>
      </c>
      <c r="G63" s="55" t="str">
        <f aca="false">IF(01_Desayunos!F63="","",01_Desayunos!F63)</f>
        <v>Plato hondo</v>
      </c>
      <c r="H63" s="55" t="str">
        <f aca="false">IF(01_Desayunos!G63="","",01_Desayunos!G63)</f>
        <v>Estándar</v>
      </c>
      <c r="I63" s="58" t="n">
        <f aca="false">IF(01_Desayunos!H63="","",01_Desayunos!H63)</f>
        <v>10</v>
      </c>
      <c r="J63" s="58" t="n">
        <f aca="false">IF(01_Desayunos!I63="","",01_Desayunos!I63)</f>
        <v>18</v>
      </c>
      <c r="K63" s="58" t="n">
        <f aca="false">IF(01_Desayunos!J63="","",01_Desayunos!J63)</f>
        <v>14</v>
      </c>
      <c r="L63" s="58" t="n">
        <f aca="false">IF(01_Desayunos!L63="","",01_Desayunos!L63)</f>
        <v>15</v>
      </c>
      <c r="M63" s="58" t="n">
        <f aca="false">IF(01_Desayunos!N63="","",01_Desayunos!N63)</f>
        <v>1.26</v>
      </c>
      <c r="N63" s="58" t="n">
        <f aca="false">IF(01_Desayunos!O63="","",01_Desayunos!O63)</f>
        <v>12.74</v>
      </c>
      <c r="O63" s="55" t="str">
        <f aca="false">IF(01_Desayunos!P63="","",01_Desayunos!P63)</f>
        <v>06:00-10:00</v>
      </c>
      <c r="P63" s="55" t="n">
        <f aca="false">IF(01_Desayunos!Q63="","",01_Desayunos!Q63)</f>
        <v>12</v>
      </c>
      <c r="Q63" s="55" t="str">
        <f aca="false">IF(01_Desayunos!R63="","",01_Desayunos!R63)</f>
        <v>Medio</v>
      </c>
      <c r="R63" s="55" t="str">
        <f aca="false">IF(01_Desayunos!S63="","",01_Desayunos!S63)</f>
        <v>Todo el año</v>
      </c>
      <c r="S63" s="55" t="str">
        <f aca="false">IF(01_Desayunos!T63="","",01_Desayunos!T63)</f>
        <v>Caldería, regional</v>
      </c>
      <c r="T63" s="56" t="str">
        <f aca="false">IF(01_Desayunos!U63="","",01_Desayunos!U63)</f>
        <v/>
      </c>
      <c r="U63" s="55" t="n">
        <v>63</v>
      </c>
      <c r="V63" s="55" t="n">
        <f aca="false">IF(AND(OR(LEN(13_Buscador!$C$5)=0,ISNUMBER(SEARCH(13_Buscador!$C$5,$C63&amp;" "&amp;$D63&amp;" "&amp;$E63&amp;" "&amp;$F63&amp;" "&amp;$S63))),OR(13_Buscador!$C$6="Todas las listas",LEN(13_Buscador!$C$6)=0,13_Buscador!$C$6=$B63)),1,0)</f>
        <v>0</v>
      </c>
      <c r="W63" s="55" t="str">
        <f aca="false">IF(V63=1,SUM($V$2:V63),"")</f>
        <v/>
      </c>
    </row>
    <row r="64" customFormat="false" ht="15" hidden="false" customHeight="true" outlineLevel="0" collapsed="false">
      <c r="A64" s="55" t="n">
        <v>63</v>
      </c>
      <c r="B64" s="55" t="s">
        <v>3327</v>
      </c>
      <c r="C64" s="55" t="str">
        <f aca="false">IF(01_Desayunos!B64="","",01_Desayunos!B64)</f>
        <v>Caldos de mañana</v>
      </c>
      <c r="D64" s="56" t="str">
        <f aca="false">IF(01_Desayunos!C64="","",01_Desayunos!C64)</f>
        <v>Sopa de quinua con leche</v>
      </c>
      <c r="E64" s="56" t="str">
        <f aca="false">IF(01_Desayunos!D64="","",01_Desayunos!D64)</f>
        <v>Quinua, leche, queso</v>
      </c>
      <c r="F64" s="56" t="str">
        <f aca="false">IF(01_Desayunos!E64="","",01_Desayunos!E64)</f>
        <v>quinua, zanahoria, papa, carne, cebolla, apio, sal</v>
      </c>
      <c r="G64" s="55" t="str">
        <f aca="false">IF(01_Desayunos!F64="","",01_Desayunos!F64)</f>
        <v>Plato hondo</v>
      </c>
      <c r="H64" s="55" t="str">
        <f aca="false">IF(01_Desayunos!G64="","",01_Desayunos!G64)</f>
        <v>Económico</v>
      </c>
      <c r="I64" s="58" t="n">
        <f aca="false">IF(01_Desayunos!H64="","",01_Desayunos!H64)</f>
        <v>7</v>
      </c>
      <c r="J64" s="58" t="n">
        <f aca="false">IF(01_Desayunos!I64="","",01_Desayunos!I64)</f>
        <v>13</v>
      </c>
      <c r="K64" s="58" t="n">
        <f aca="false">IF(01_Desayunos!J64="","",01_Desayunos!J64)</f>
        <v>10</v>
      </c>
      <c r="L64" s="58" t="n">
        <f aca="false">IF(01_Desayunos!L64="","",01_Desayunos!L64)</f>
        <v>11</v>
      </c>
      <c r="M64" s="58" t="n">
        <f aca="false">IF(01_Desayunos!N64="","",01_Desayunos!N64)</f>
        <v>0.7</v>
      </c>
      <c r="N64" s="58" t="n">
        <f aca="false">IF(01_Desayunos!O64="","",01_Desayunos!O64)</f>
        <v>9.3</v>
      </c>
      <c r="O64" s="55" t="str">
        <f aca="false">IF(01_Desayunos!P64="","",01_Desayunos!P64)</f>
        <v>06:00-10:00</v>
      </c>
      <c r="P64" s="55" t="n">
        <f aca="false">IF(01_Desayunos!Q64="","",01_Desayunos!Q64)</f>
        <v>10</v>
      </c>
      <c r="Q64" s="55" t="str">
        <f aca="false">IF(01_Desayunos!R64="","",01_Desayunos!R64)</f>
        <v>Medio</v>
      </c>
      <c r="R64" s="55" t="str">
        <f aca="false">IF(01_Desayunos!S64="","",01_Desayunos!S64)</f>
        <v>Todo el año</v>
      </c>
      <c r="S64" s="55" t="str">
        <f aca="false">IF(01_Desayunos!T64="","",01_Desayunos!T64)</f>
        <v>Menú, regional</v>
      </c>
      <c r="T64" s="56" t="str">
        <f aca="false">IF(01_Desayunos!U64="","",01_Desayunos!U64)</f>
        <v/>
      </c>
      <c r="U64" s="55" t="n">
        <v>64</v>
      </c>
      <c r="V64" s="55" t="n">
        <f aca="false">IF(AND(OR(LEN(13_Buscador!$C$5)=0,ISNUMBER(SEARCH(13_Buscador!$C$5,$C64&amp;" "&amp;$D64&amp;" "&amp;$E64&amp;" "&amp;$F64&amp;" "&amp;$S64))),OR(13_Buscador!$C$6="Todas las listas",LEN(13_Buscador!$C$6)=0,13_Buscador!$C$6=$B64)),1,0)</f>
        <v>0</v>
      </c>
      <c r="W64" s="55" t="str">
        <f aca="false">IF(V64=1,SUM($V$2:V64),"")</f>
        <v/>
      </c>
    </row>
    <row r="65" customFormat="false" ht="15" hidden="false" customHeight="true" outlineLevel="0" collapsed="false">
      <c r="A65" s="55" t="n">
        <v>64</v>
      </c>
      <c r="B65" s="55" t="s">
        <v>3327</v>
      </c>
      <c r="C65" s="55" t="str">
        <f aca="false">IF(01_Desayunos!B65="","",01_Desayunos!B65)</f>
        <v>Desayunos completos</v>
      </c>
      <c r="D65" s="56" t="str">
        <f aca="false">IF(01_Desayunos!C65="","",01_Desayunos!C65)</f>
        <v>Desayuno de trabajador</v>
      </c>
      <c r="E65" s="56" t="str">
        <f aca="false">IF(01_Desayunos!D65="","",01_Desayunos!D65)</f>
        <v>Caldo + segundo ligero + pan</v>
      </c>
      <c r="F65" s="56" t="str">
        <f aca="false">IF(01_Desayunos!E65="","",01_Desayunos!E65)</f>
        <v>pan, bebida caliente o jugo, huevo o relleno, fruta</v>
      </c>
      <c r="G65" s="55" t="str">
        <f aca="false">IF(01_Desayunos!F65="","",01_Desayunos!F65)</f>
        <v>Bandeja</v>
      </c>
      <c r="H65" s="55" t="str">
        <f aca="false">IF(01_Desayunos!G65="","",01_Desayunos!G65)</f>
        <v>Económico</v>
      </c>
      <c r="I65" s="58" t="n">
        <f aca="false">IF(01_Desayunos!H65="","",01_Desayunos!H65)</f>
        <v>9</v>
      </c>
      <c r="J65" s="58" t="n">
        <f aca="false">IF(01_Desayunos!I65="","",01_Desayunos!I65)</f>
        <v>15</v>
      </c>
      <c r="K65" s="58" t="n">
        <f aca="false">IF(01_Desayunos!J65="","",01_Desayunos!J65)</f>
        <v>12</v>
      </c>
      <c r="L65" s="58" t="n">
        <f aca="false">IF(01_Desayunos!L65="","",01_Desayunos!L65)</f>
        <v>13</v>
      </c>
      <c r="M65" s="58" t="n">
        <f aca="false">IF(01_Desayunos!N65="","",01_Desayunos!N65)</f>
        <v>0.84</v>
      </c>
      <c r="N65" s="58" t="n">
        <f aca="false">IF(01_Desayunos!O65="","",01_Desayunos!O65)</f>
        <v>11.16</v>
      </c>
      <c r="O65" s="55" t="str">
        <f aca="false">IF(01_Desayunos!P65="","",01_Desayunos!P65)</f>
        <v>05:00-08:00</v>
      </c>
      <c r="P65" s="55" t="n">
        <f aca="false">IF(01_Desayunos!Q65="","",01_Desayunos!Q65)</f>
        <v>12</v>
      </c>
      <c r="Q65" s="55" t="str">
        <f aca="false">IF(01_Desayunos!R65="","",01_Desayunos!R65)</f>
        <v>Alto</v>
      </c>
      <c r="R65" s="55" t="str">
        <f aca="false">IF(01_Desayunos!S65="","",01_Desayunos!S65)</f>
        <v>Todo el año</v>
      </c>
      <c r="S65" s="55" t="str">
        <f aca="false">IF(01_Desayunos!T65="","",01_Desayunos!T65)</f>
        <v>Menú popular</v>
      </c>
      <c r="T65" s="56" t="str">
        <f aca="false">IF(01_Desayunos!U65="","",01_Desayunos!U65)</f>
        <v>Cliente madrugador de mercado y obra</v>
      </c>
      <c r="U65" s="55" t="n">
        <v>65</v>
      </c>
      <c r="V65" s="55" t="n">
        <f aca="false">IF(AND(OR(LEN(13_Buscador!$C$5)=0,ISNUMBER(SEARCH(13_Buscador!$C$5,$C65&amp;" "&amp;$D65&amp;" "&amp;$E65&amp;" "&amp;$F65&amp;" "&amp;$S65))),OR(13_Buscador!$C$6="Todas las listas",LEN(13_Buscador!$C$6)=0,13_Buscador!$C$6=$B65)),1,0)</f>
        <v>0</v>
      </c>
      <c r="W65" s="55" t="str">
        <f aca="false">IF(V65=1,SUM($V$2:V65),"")</f>
        <v/>
      </c>
    </row>
    <row r="66" customFormat="false" ht="15" hidden="false" customHeight="true" outlineLevel="0" collapsed="false">
      <c r="A66" s="55" t="n">
        <v>65</v>
      </c>
      <c r="B66" s="55" t="s">
        <v>3327</v>
      </c>
      <c r="C66" s="55" t="str">
        <f aca="false">IF(01_Desayunos!B66="","",01_Desayunos!B66)</f>
        <v>Desayunos completos</v>
      </c>
      <c r="D66" s="56" t="str">
        <f aca="false">IF(01_Desayunos!C66="","",01_Desayunos!C66)</f>
        <v>Desayuno turístico</v>
      </c>
      <c r="E66" s="56" t="str">
        <f aca="false">IF(01_Desayunos!D66="","",01_Desayunos!D66)</f>
        <v>Pan, jugo, café, fruta, huevo</v>
      </c>
      <c r="F66" s="56" t="str">
        <f aca="false">IF(01_Desayunos!E66="","",01_Desayunos!E66)</f>
        <v>pan, bebida caliente o jugo, huevo o relleno, fruta</v>
      </c>
      <c r="G66" s="55" t="str">
        <f aca="false">IF(01_Desayunos!F66="","",01_Desayunos!F66)</f>
        <v>Bandeja</v>
      </c>
      <c r="H66" s="55" t="str">
        <f aca="false">IF(01_Desayunos!G66="","",01_Desayunos!G66)</f>
        <v>Estándar</v>
      </c>
      <c r="I66" s="58" t="n">
        <f aca="false">IF(01_Desayunos!H66="","",01_Desayunos!H66)</f>
        <v>14</v>
      </c>
      <c r="J66" s="58" t="n">
        <f aca="false">IF(01_Desayunos!I66="","",01_Desayunos!I66)</f>
        <v>26</v>
      </c>
      <c r="K66" s="58" t="n">
        <f aca="false">IF(01_Desayunos!J66="","",01_Desayunos!J66)</f>
        <v>20</v>
      </c>
      <c r="L66" s="58" t="n">
        <f aca="false">IF(01_Desayunos!L66="","",01_Desayunos!L66)</f>
        <v>21</v>
      </c>
      <c r="M66" s="58" t="n">
        <f aca="false">IF(01_Desayunos!N66="","",01_Desayunos!N66)</f>
        <v>1.8</v>
      </c>
      <c r="N66" s="58" t="n">
        <f aca="false">IF(01_Desayunos!O66="","",01_Desayunos!O66)</f>
        <v>18.2</v>
      </c>
      <c r="O66" s="55" t="str">
        <f aca="false">IF(01_Desayunos!P66="","",01_Desayunos!P66)</f>
        <v>06:00-10:00</v>
      </c>
      <c r="P66" s="55" t="n">
        <f aca="false">IF(01_Desayunos!Q66="","",01_Desayunos!Q66)</f>
        <v>12</v>
      </c>
      <c r="Q66" s="55" t="str">
        <f aca="false">IF(01_Desayunos!R66="","",01_Desayunos!R66)</f>
        <v>Alto</v>
      </c>
      <c r="R66" s="55" t="str">
        <f aca="false">IF(01_Desayunos!S66="","",01_Desayunos!S66)</f>
        <v>Temporada alta jun-ago</v>
      </c>
      <c r="S66" s="55" t="str">
        <f aca="false">IF(01_Desayunos!T66="","",01_Desayunos!T66)</f>
        <v>Hotel, cafetería</v>
      </c>
      <c r="T66" s="56" t="str">
        <f aca="false">IF(01_Desayunos!U66="","",01_Desayunos!U66)</f>
        <v/>
      </c>
      <c r="U66" s="55" t="n">
        <v>66</v>
      </c>
      <c r="V66" s="55" t="n">
        <f aca="false">IF(AND(OR(LEN(13_Buscador!$C$5)=0,ISNUMBER(SEARCH(13_Buscador!$C$5,$C66&amp;" "&amp;$D66&amp;" "&amp;$E66&amp;" "&amp;$F66&amp;" "&amp;$S66))),OR(13_Buscador!$C$6="Todas las listas",LEN(13_Buscador!$C$6)=0,13_Buscador!$C$6=$B66)),1,0)</f>
        <v>0</v>
      </c>
      <c r="W66" s="55" t="str">
        <f aca="false">IF(V66=1,SUM($V$2:V66),"")</f>
        <v/>
      </c>
    </row>
    <row r="67" customFormat="false" ht="23.25" hidden="false" customHeight="true" outlineLevel="0" collapsed="false">
      <c r="A67" s="55" t="n">
        <v>66</v>
      </c>
      <c r="B67" s="55" t="s">
        <v>3327</v>
      </c>
      <c r="C67" s="55" t="str">
        <f aca="false">IF(01_Desayunos!B67="","",01_Desayunos!B67)</f>
        <v>Desayunos completos</v>
      </c>
      <c r="D67" s="56" t="str">
        <f aca="false">IF(01_Desayunos!C67="","",01_Desayunos!C67)</f>
        <v>Combo desayuno para 2</v>
      </c>
      <c r="E67" s="56" t="str">
        <f aca="false">IF(01_Desayunos!D67="","",01_Desayunos!D67)</f>
        <v>Dos desayunos completos</v>
      </c>
      <c r="F67" s="56" t="str">
        <f aca="false">IF(01_Desayunos!E67="","",01_Desayunos!E67)</f>
        <v>preparación del menú contratado en la cantidad solicitada</v>
      </c>
      <c r="G67" s="55" t="str">
        <f aca="false">IF(01_Desayunos!F67="","",01_Desayunos!F67)</f>
        <v>Pedido</v>
      </c>
      <c r="H67" s="55" t="str">
        <f aca="false">IF(01_Desayunos!G67="","",01_Desayunos!G67)</f>
        <v>Estándar</v>
      </c>
      <c r="I67" s="58" t="n">
        <f aca="false">IF(01_Desayunos!H67="","",01_Desayunos!H67)</f>
        <v>20</v>
      </c>
      <c r="J67" s="58" t="n">
        <f aca="false">IF(01_Desayunos!I67="","",01_Desayunos!I67)</f>
        <v>38</v>
      </c>
      <c r="K67" s="58" t="n">
        <f aca="false">IF(01_Desayunos!J67="","",01_Desayunos!J67)</f>
        <v>29</v>
      </c>
      <c r="L67" s="58" t="n">
        <f aca="false">IF(01_Desayunos!L67="","",01_Desayunos!L67)</f>
        <v>30</v>
      </c>
      <c r="M67" s="58" t="n">
        <f aca="false">IF(01_Desayunos!N67="","",01_Desayunos!N67)</f>
        <v>2.61</v>
      </c>
      <c r="N67" s="58" t="n">
        <f aca="false">IF(01_Desayunos!O67="","",01_Desayunos!O67)</f>
        <v>26.39</v>
      </c>
      <c r="O67" s="55" t="str">
        <f aca="false">IF(01_Desayunos!P67="","",01_Desayunos!P67)</f>
        <v>06:00-11:00</v>
      </c>
      <c r="P67" s="55" t="n">
        <f aca="false">IF(01_Desayunos!Q67="","",01_Desayunos!Q67)</f>
        <v>18</v>
      </c>
      <c r="Q67" s="55" t="str">
        <f aca="false">IF(01_Desayunos!R67="","",01_Desayunos!R67)</f>
        <v>Alto</v>
      </c>
      <c r="R67" s="55" t="str">
        <f aca="false">IF(01_Desayunos!S67="","",01_Desayunos!S67)</f>
        <v>Todo el año</v>
      </c>
      <c r="S67" s="55" t="str">
        <f aca="false">IF(01_Desayunos!T67="","",01_Desayunos!T67)</f>
        <v>Cafetería</v>
      </c>
      <c r="T67" s="56" t="str">
        <f aca="false">IF(01_Desayunos!U67="","",01_Desayunos!U67)</f>
        <v/>
      </c>
      <c r="U67" s="55" t="n">
        <v>67</v>
      </c>
      <c r="V67" s="55" t="n">
        <f aca="false">IF(AND(OR(LEN(13_Buscador!$C$5)=0,ISNUMBER(SEARCH(13_Buscador!$C$5,$C67&amp;" "&amp;$D67&amp;" "&amp;$E67&amp;" "&amp;$F67&amp;" "&amp;$S67))),OR(13_Buscador!$C$6="Todas las listas",LEN(13_Buscador!$C$6)=0,13_Buscador!$C$6=$B67)),1,0)</f>
        <v>0</v>
      </c>
      <c r="W67" s="55" t="str">
        <f aca="false">IF(V67=1,SUM($V$2:V67),"")</f>
        <v/>
      </c>
    </row>
    <row r="68" customFormat="false" ht="15" hidden="false" customHeight="true" outlineLevel="0" collapsed="false">
      <c r="A68" s="55" t="n">
        <v>67</v>
      </c>
      <c r="B68" s="55" t="s">
        <v>3327</v>
      </c>
      <c r="C68" s="55" t="str">
        <f aca="false">IF(01_Desayunos!B68="","",01_Desayunos!B68)</f>
        <v>Desayunos completos</v>
      </c>
      <c r="D68" s="56" t="str">
        <f aca="false">IF(01_Desayunos!C68="","",01_Desayunos!C68)</f>
        <v>Huevos fritos con arroz</v>
      </c>
      <c r="E68" s="56" t="str">
        <f aca="false">IF(01_Desayunos!D68="","",01_Desayunos!D68)</f>
        <v>Huevos, arroz, plátano</v>
      </c>
      <c r="F68" s="56" t="str">
        <f aca="false">IF(01_Desayunos!E68="","",01_Desayunos!E68)</f>
        <v>huevo, aceite o mantequilla, sal</v>
      </c>
      <c r="G68" s="55" t="str">
        <f aca="false">IF(01_Desayunos!F68="","",01_Desayunos!F68)</f>
        <v>Plato</v>
      </c>
      <c r="H68" s="55" t="str">
        <f aca="false">IF(01_Desayunos!G68="","",01_Desayunos!G68)</f>
        <v>Económico</v>
      </c>
      <c r="I68" s="58" t="n">
        <f aca="false">IF(01_Desayunos!H68="","",01_Desayunos!H68)</f>
        <v>6</v>
      </c>
      <c r="J68" s="58" t="n">
        <f aca="false">IF(01_Desayunos!I68="","",01_Desayunos!I68)</f>
        <v>12</v>
      </c>
      <c r="K68" s="58" t="n">
        <f aca="false">IF(01_Desayunos!J68="","",01_Desayunos!J68)</f>
        <v>9</v>
      </c>
      <c r="L68" s="58" t="n">
        <f aca="false">IF(01_Desayunos!L68="","",01_Desayunos!L68)</f>
        <v>10</v>
      </c>
      <c r="M68" s="58" t="n">
        <f aca="false">IF(01_Desayunos!N68="","",01_Desayunos!N68)</f>
        <v>0.63</v>
      </c>
      <c r="N68" s="58" t="n">
        <f aca="false">IF(01_Desayunos!O68="","",01_Desayunos!O68)</f>
        <v>8.37</v>
      </c>
      <c r="O68" s="55" t="str">
        <f aca="false">IF(01_Desayunos!P68="","",01_Desayunos!P68)</f>
        <v>06:00-10:00</v>
      </c>
      <c r="P68" s="55" t="n">
        <f aca="false">IF(01_Desayunos!Q68="","",01_Desayunos!Q68)</f>
        <v>8</v>
      </c>
      <c r="Q68" s="55" t="str">
        <f aca="false">IF(01_Desayunos!R68="","",01_Desayunos!R68)</f>
        <v>Alto</v>
      </c>
      <c r="R68" s="55" t="str">
        <f aca="false">IF(01_Desayunos!S68="","",01_Desayunos!S68)</f>
        <v>Todo el año</v>
      </c>
      <c r="S68" s="55" t="str">
        <f aca="false">IF(01_Desayunos!T68="","",01_Desayunos!T68)</f>
        <v>Menú</v>
      </c>
      <c r="T68" s="56" t="str">
        <f aca="false">IF(01_Desayunos!U68="","",01_Desayunos!U68)</f>
        <v/>
      </c>
      <c r="U68" s="55" t="n">
        <v>68</v>
      </c>
      <c r="V68" s="55" t="n">
        <f aca="false">IF(AND(OR(LEN(13_Buscador!$C$5)=0,ISNUMBER(SEARCH(13_Buscador!$C$5,$C68&amp;" "&amp;$D68&amp;" "&amp;$E68&amp;" "&amp;$F68&amp;" "&amp;$S68))),OR(13_Buscador!$C$6="Todas las listas",LEN(13_Buscador!$C$6)=0,13_Buscador!$C$6=$B68)),1,0)</f>
        <v>0</v>
      </c>
      <c r="W68" s="55" t="str">
        <f aca="false">IF(V68=1,SUM($V$2:V68),"")</f>
        <v/>
      </c>
    </row>
    <row r="69" customFormat="false" ht="15" hidden="false" customHeight="true" outlineLevel="0" collapsed="false">
      <c r="A69" s="55" t="n">
        <v>68</v>
      </c>
      <c r="B69" s="55" t="s">
        <v>3327</v>
      </c>
      <c r="C69" s="55" t="str">
        <f aca="false">IF(01_Desayunos!B69="","",01_Desayunos!B69)</f>
        <v>Desayunos completos</v>
      </c>
      <c r="D69" s="56" t="str">
        <f aca="false">IF(01_Desayunos!C69="","",01_Desayunos!C69)</f>
        <v>Huevos a la copa</v>
      </c>
      <c r="E69" s="56" t="str">
        <f aca="false">IF(01_Desayunos!D69="","",01_Desayunos!D69)</f>
        <v>Huevos pasados</v>
      </c>
      <c r="F69" s="56" t="str">
        <f aca="false">IF(01_Desayunos!E69="","",01_Desayunos!E69)</f>
        <v>huevo, aceite o mantequilla, sal</v>
      </c>
      <c r="G69" s="55" t="str">
        <f aca="false">IF(01_Desayunos!F69="","",01_Desayunos!F69)</f>
        <v>Porción</v>
      </c>
      <c r="H69" s="55" t="str">
        <f aca="false">IF(01_Desayunos!G69="","",01_Desayunos!G69)</f>
        <v>Económico</v>
      </c>
      <c r="I69" s="58" t="n">
        <f aca="false">IF(01_Desayunos!H69="","",01_Desayunos!H69)</f>
        <v>4</v>
      </c>
      <c r="J69" s="58" t="n">
        <f aca="false">IF(01_Desayunos!I69="","",01_Desayunos!I69)</f>
        <v>9</v>
      </c>
      <c r="K69" s="58" t="n">
        <f aca="false">IF(01_Desayunos!J69="","",01_Desayunos!J69)</f>
        <v>6.5</v>
      </c>
      <c r="L69" s="58" t="n">
        <f aca="false">IF(01_Desayunos!L69="","",01_Desayunos!L69)</f>
        <v>7.5</v>
      </c>
      <c r="M69" s="58" t="n">
        <f aca="false">IF(01_Desayunos!N69="","",01_Desayunos!N69)</f>
        <v>0.46</v>
      </c>
      <c r="N69" s="58" t="n">
        <f aca="false">IF(01_Desayunos!O69="","",01_Desayunos!O69)</f>
        <v>6.04</v>
      </c>
      <c r="O69" s="55" t="str">
        <f aca="false">IF(01_Desayunos!P69="","",01_Desayunos!P69)</f>
        <v>06:00-10:00</v>
      </c>
      <c r="P69" s="55" t="n">
        <f aca="false">IF(01_Desayunos!Q69="","",01_Desayunos!Q69)</f>
        <v>6</v>
      </c>
      <c r="Q69" s="55" t="str">
        <f aca="false">IF(01_Desayunos!R69="","",01_Desayunos!R69)</f>
        <v>Medio</v>
      </c>
      <c r="R69" s="55" t="str">
        <f aca="false">IF(01_Desayunos!S69="","",01_Desayunos!S69)</f>
        <v>Todo el año</v>
      </c>
      <c r="S69" s="55" t="str">
        <f aca="false">IF(01_Desayunos!T69="","",01_Desayunos!T69)</f>
        <v>Cafetería</v>
      </c>
      <c r="T69" s="56" t="str">
        <f aca="false">IF(01_Desayunos!U69="","",01_Desayunos!U69)</f>
        <v/>
      </c>
      <c r="U69" s="55" t="n">
        <v>69</v>
      </c>
      <c r="V69" s="55" t="n">
        <f aca="false">IF(AND(OR(LEN(13_Buscador!$C$5)=0,ISNUMBER(SEARCH(13_Buscador!$C$5,$C69&amp;" "&amp;$D69&amp;" "&amp;$E69&amp;" "&amp;$F69&amp;" "&amp;$S69))),OR(13_Buscador!$C$6="Todas las listas",LEN(13_Buscador!$C$6)=0,13_Buscador!$C$6=$B69)),1,0)</f>
        <v>0</v>
      </c>
      <c r="W69" s="55" t="str">
        <f aca="false">IF(V69=1,SUM($V$2:V69),"")</f>
        <v/>
      </c>
    </row>
    <row r="70" customFormat="false" ht="15" hidden="false" customHeight="true" outlineLevel="0" collapsed="false">
      <c r="A70" s="55" t="n">
        <v>69</v>
      </c>
      <c r="B70" s="55" t="s">
        <v>3327</v>
      </c>
      <c r="C70" s="55" t="str">
        <f aca="false">IF(01_Desayunos!B70="","",01_Desayunos!B70)</f>
        <v>Desayunos completos</v>
      </c>
      <c r="D70" s="56" t="str">
        <f aca="false">IF(01_Desayunos!C70="","",01_Desayunos!C70)</f>
        <v>Tortilla de quinua</v>
      </c>
      <c r="E70" s="56" t="str">
        <f aca="false">IF(01_Desayunos!D70="","",01_Desayunos!D70)</f>
        <v>Tortilla con quinua y verduras</v>
      </c>
      <c r="F70" s="56" t="str">
        <f aca="false">IF(01_Desayunos!E70="","",01_Desayunos!E70)</f>
        <v>huevo, harina o quinua, verduras, sal</v>
      </c>
      <c r="G70" s="55" t="str">
        <f aca="false">IF(01_Desayunos!F70="","",01_Desayunos!F70)</f>
        <v>Plato</v>
      </c>
      <c r="H70" s="55" t="str">
        <f aca="false">IF(01_Desayunos!G70="","",01_Desayunos!G70)</f>
        <v>Económico</v>
      </c>
      <c r="I70" s="58" t="n">
        <f aca="false">IF(01_Desayunos!H70="","",01_Desayunos!H70)</f>
        <v>7</v>
      </c>
      <c r="J70" s="58" t="n">
        <f aca="false">IF(01_Desayunos!I70="","",01_Desayunos!I70)</f>
        <v>13</v>
      </c>
      <c r="K70" s="58" t="n">
        <f aca="false">IF(01_Desayunos!J70="","",01_Desayunos!J70)</f>
        <v>10</v>
      </c>
      <c r="L70" s="58" t="n">
        <f aca="false">IF(01_Desayunos!L70="","",01_Desayunos!L70)</f>
        <v>11</v>
      </c>
      <c r="M70" s="58" t="n">
        <f aca="false">IF(01_Desayunos!N70="","",01_Desayunos!N70)</f>
        <v>0.7</v>
      </c>
      <c r="N70" s="58" t="n">
        <f aca="false">IF(01_Desayunos!O70="","",01_Desayunos!O70)</f>
        <v>9.3</v>
      </c>
      <c r="O70" s="55" t="str">
        <f aca="false">IF(01_Desayunos!P70="","",01_Desayunos!P70)</f>
        <v>06:00-10:00</v>
      </c>
      <c r="P70" s="55" t="n">
        <f aca="false">IF(01_Desayunos!Q70="","",01_Desayunos!Q70)</f>
        <v>10</v>
      </c>
      <c r="Q70" s="55" t="str">
        <f aca="false">IF(01_Desayunos!R70="","",01_Desayunos!R70)</f>
        <v>Alto</v>
      </c>
      <c r="R70" s="55" t="str">
        <f aca="false">IF(01_Desayunos!S70="","",01_Desayunos!S70)</f>
        <v>Todo el año</v>
      </c>
      <c r="S70" s="55" t="str">
        <f aca="false">IF(01_Desayunos!T70="","",01_Desayunos!T70)</f>
        <v>Vegetariano, regional</v>
      </c>
      <c r="T70" s="56" t="str">
        <f aca="false">IF(01_Desayunos!U70="","",01_Desayunos!U70)</f>
        <v>Diferenciador andino</v>
      </c>
      <c r="U70" s="55" t="n">
        <v>70</v>
      </c>
      <c r="V70" s="55" t="n">
        <f aca="false">IF(AND(OR(LEN(13_Buscador!$C$5)=0,ISNUMBER(SEARCH(13_Buscador!$C$5,$C70&amp;" "&amp;$D70&amp;" "&amp;$E70&amp;" "&amp;$F70&amp;" "&amp;$S70))),OR(13_Buscador!$C$6="Todas las listas",LEN(13_Buscador!$C$6)=0,13_Buscador!$C$6=$B70)),1,0)</f>
        <v>0</v>
      </c>
      <c r="W70" s="55" t="str">
        <f aca="false">IF(V70=1,SUM($V$2:V70),"")</f>
        <v/>
      </c>
    </row>
    <row r="71" customFormat="false" ht="15" hidden="false" customHeight="true" outlineLevel="0" collapsed="false">
      <c r="A71" s="55" t="n">
        <v>70</v>
      </c>
      <c r="B71" s="55" t="s">
        <v>3327</v>
      </c>
      <c r="C71" s="55" t="str">
        <f aca="false">IF(01_Desayunos!B71="","",01_Desayunos!B71)</f>
        <v>Desayunos completos</v>
      </c>
      <c r="D71" s="56" t="str">
        <f aca="false">IF(01_Desayunos!C71="","",01_Desayunos!C71)</f>
        <v>Pastel de papa</v>
      </c>
      <c r="E71" s="56" t="str">
        <f aca="false">IF(01_Desayunos!D71="","",01_Desayunos!D71)</f>
        <v>Papa al horno con queso</v>
      </c>
      <c r="F71" s="56" t="str">
        <f aca="false">IF(01_Desayunos!E71="","",01_Desayunos!E71)</f>
        <v>papa, queso, leche, huevo, mantequilla</v>
      </c>
      <c r="G71" s="55" t="str">
        <f aca="false">IF(01_Desayunos!F71="","",01_Desayunos!F71)</f>
        <v>Porción</v>
      </c>
      <c r="H71" s="55" t="str">
        <f aca="false">IF(01_Desayunos!G71="","",01_Desayunos!G71)</f>
        <v>Económico</v>
      </c>
      <c r="I71" s="58" t="n">
        <f aca="false">IF(01_Desayunos!H71="","",01_Desayunos!H71)</f>
        <v>6</v>
      </c>
      <c r="J71" s="58" t="n">
        <f aca="false">IF(01_Desayunos!I71="","",01_Desayunos!I71)</f>
        <v>12</v>
      </c>
      <c r="K71" s="58" t="n">
        <f aca="false">IF(01_Desayunos!J71="","",01_Desayunos!J71)</f>
        <v>9</v>
      </c>
      <c r="L71" s="58" t="n">
        <f aca="false">IF(01_Desayunos!L71="","",01_Desayunos!L71)</f>
        <v>10</v>
      </c>
      <c r="M71" s="58" t="n">
        <f aca="false">IF(01_Desayunos!N71="","",01_Desayunos!N71)</f>
        <v>0.63</v>
      </c>
      <c r="N71" s="58" t="n">
        <f aca="false">IF(01_Desayunos!O71="","",01_Desayunos!O71)</f>
        <v>8.37</v>
      </c>
      <c r="O71" s="55" t="str">
        <f aca="false">IF(01_Desayunos!P71="","",01_Desayunos!P71)</f>
        <v>06:00-11:00</v>
      </c>
      <c r="P71" s="55" t="n">
        <f aca="false">IF(01_Desayunos!Q71="","",01_Desayunos!Q71)</f>
        <v>8</v>
      </c>
      <c r="Q71" s="55" t="str">
        <f aca="false">IF(01_Desayunos!R71="","",01_Desayunos!R71)</f>
        <v>Alto</v>
      </c>
      <c r="R71" s="55" t="str">
        <f aca="false">IF(01_Desayunos!S71="","",01_Desayunos!S71)</f>
        <v>Todo el año</v>
      </c>
      <c r="S71" s="55" t="str">
        <f aca="false">IF(01_Desayunos!T71="","",01_Desayunos!T71)</f>
        <v>Panadería, menú</v>
      </c>
      <c r="T71" s="56" t="str">
        <f aca="false">IF(01_Desayunos!U71="","",01_Desayunos!U71)</f>
        <v/>
      </c>
      <c r="U71" s="55" t="n">
        <v>71</v>
      </c>
      <c r="V71" s="55" t="n">
        <f aca="false">IF(AND(OR(LEN(13_Buscador!$C$5)=0,ISNUMBER(SEARCH(13_Buscador!$C$5,$C71&amp;" "&amp;$D71&amp;" "&amp;$E71&amp;" "&amp;$F71&amp;" "&amp;$S71))),OR(13_Buscador!$C$6="Todas las listas",LEN(13_Buscador!$C$6)=0,13_Buscador!$C$6=$B71)),1,0)</f>
        <v>0</v>
      </c>
      <c r="W71" s="55" t="str">
        <f aca="false">IF(V71=1,SUM($V$2:V71),"")</f>
        <v/>
      </c>
    </row>
    <row r="72" customFormat="false" ht="15" hidden="false" customHeight="true" outlineLevel="0" collapsed="false">
      <c r="A72" s="55" t="n">
        <v>71</v>
      </c>
      <c r="B72" s="55" t="s">
        <v>3327</v>
      </c>
      <c r="C72" s="55" t="str">
        <f aca="false">IF(01_Desayunos!B72="","",01_Desayunos!B72)</f>
        <v>Desayunos completos</v>
      </c>
      <c r="D72" s="56" t="str">
        <f aca="false">IF(01_Desayunos!C72="","",01_Desayunos!C72)</f>
        <v>Ensalada de frutas con yogurt</v>
      </c>
      <c r="E72" s="56" t="str">
        <f aca="false">IF(01_Desayunos!D72="","",01_Desayunos!D72)</f>
        <v>Fruta picada, yogurt, granola</v>
      </c>
      <c r="F72" s="56" t="str">
        <f aca="false">IF(01_Desayunos!E72="","",01_Desayunos!E72)</f>
        <v>yogurt natural, granola, fruta de estación, miel</v>
      </c>
      <c r="G72" s="55" t="str">
        <f aca="false">IF(01_Desayunos!F72="","",01_Desayunos!F72)</f>
        <v>Vaso grande</v>
      </c>
      <c r="H72" s="55" t="str">
        <f aca="false">IF(01_Desayunos!G72="","",01_Desayunos!G72)</f>
        <v>Económico</v>
      </c>
      <c r="I72" s="58" t="n">
        <f aca="false">IF(01_Desayunos!H72="","",01_Desayunos!H72)</f>
        <v>7</v>
      </c>
      <c r="J72" s="58" t="n">
        <f aca="false">IF(01_Desayunos!I72="","",01_Desayunos!I72)</f>
        <v>14</v>
      </c>
      <c r="K72" s="58" t="n">
        <f aca="false">IF(01_Desayunos!J72="","",01_Desayunos!J72)</f>
        <v>10.5</v>
      </c>
      <c r="L72" s="58" t="n">
        <f aca="false">IF(01_Desayunos!L72="","",01_Desayunos!L72)</f>
        <v>11.5</v>
      </c>
      <c r="M72" s="58" t="n">
        <f aca="false">IF(01_Desayunos!N72="","",01_Desayunos!N72)</f>
        <v>0.74</v>
      </c>
      <c r="N72" s="58" t="n">
        <f aca="false">IF(01_Desayunos!O72="","",01_Desayunos!O72)</f>
        <v>9.76</v>
      </c>
      <c r="O72" s="55" t="str">
        <f aca="false">IF(01_Desayunos!P72="","",01_Desayunos!P72)</f>
        <v>06:00-11:00</v>
      </c>
      <c r="P72" s="55" t="n">
        <f aca="false">IF(01_Desayunos!Q72="","",01_Desayunos!Q72)</f>
        <v>5</v>
      </c>
      <c r="Q72" s="55" t="str">
        <f aca="false">IF(01_Desayunos!R72="","",01_Desayunos!R72)</f>
        <v>Alto</v>
      </c>
      <c r="R72" s="55" t="str">
        <f aca="false">IF(01_Desayunos!S72="","",01_Desayunos!S72)</f>
        <v>Todo el año</v>
      </c>
      <c r="S72" s="55" t="str">
        <f aca="false">IF(01_Desayunos!T72="","",01_Desayunos!T72)</f>
        <v>Juguería, cafetería</v>
      </c>
      <c r="T72" s="56" t="str">
        <f aca="false">IF(01_Desayunos!U72="","",01_Desayunos!U72)</f>
        <v/>
      </c>
      <c r="U72" s="55" t="n">
        <v>72</v>
      </c>
      <c r="V72" s="55" t="n">
        <f aca="false">IF(AND(OR(LEN(13_Buscador!$C$5)=0,ISNUMBER(SEARCH(13_Buscador!$C$5,$C72&amp;" "&amp;$D72&amp;" "&amp;$E72&amp;" "&amp;$F72&amp;" "&amp;$S72))),OR(13_Buscador!$C$6="Todas las listas",LEN(13_Buscador!$C$6)=0,13_Buscador!$C$6=$B72)),1,0)</f>
        <v>0</v>
      </c>
      <c r="W72" s="55" t="str">
        <f aca="false">IF(V72=1,SUM($V$2:V72),"")</f>
        <v/>
      </c>
    </row>
    <row r="73" customFormat="false" ht="15" hidden="false" customHeight="true" outlineLevel="0" collapsed="false">
      <c r="A73" s="55" t="n">
        <v>72</v>
      </c>
      <c r="B73" s="55" t="s">
        <v>3327</v>
      </c>
      <c r="C73" s="55" t="str">
        <f aca="false">IF(01_Desayunos!B73="","",01_Desayunos!B73)</f>
        <v>Desayunos completos</v>
      </c>
      <c r="D73" s="56" t="str">
        <f aca="false">IF(01_Desayunos!C73="","",01_Desayunos!C73)</f>
        <v>Plato de fruta con miel</v>
      </c>
      <c r="E73" s="56" t="str">
        <f aca="false">IF(01_Desayunos!D73="","",01_Desayunos!D73)</f>
        <v>Fruta de estación</v>
      </c>
      <c r="F73" s="56" t="str">
        <f aca="false">IF(01_Desayunos!E73="","",01_Desayunos!E73)</f>
        <v>fruta de estación, miel o yogurt</v>
      </c>
      <c r="G73" s="55" t="str">
        <f aca="false">IF(01_Desayunos!F73="","",01_Desayunos!F73)</f>
        <v>Plato</v>
      </c>
      <c r="H73" s="55" t="str">
        <f aca="false">IF(01_Desayunos!G73="","",01_Desayunos!G73)</f>
        <v>Económico</v>
      </c>
      <c r="I73" s="58" t="n">
        <f aca="false">IF(01_Desayunos!H73="","",01_Desayunos!H73)</f>
        <v>6</v>
      </c>
      <c r="J73" s="58" t="n">
        <f aca="false">IF(01_Desayunos!I73="","",01_Desayunos!I73)</f>
        <v>12</v>
      </c>
      <c r="K73" s="58" t="n">
        <f aca="false">IF(01_Desayunos!J73="","",01_Desayunos!J73)</f>
        <v>9</v>
      </c>
      <c r="L73" s="58" t="n">
        <f aca="false">IF(01_Desayunos!L73="","",01_Desayunos!L73)</f>
        <v>10</v>
      </c>
      <c r="M73" s="58" t="n">
        <f aca="false">IF(01_Desayunos!N73="","",01_Desayunos!N73)</f>
        <v>0.63</v>
      </c>
      <c r="N73" s="58" t="n">
        <f aca="false">IF(01_Desayunos!O73="","",01_Desayunos!O73)</f>
        <v>8.37</v>
      </c>
      <c r="O73" s="55" t="str">
        <f aca="false">IF(01_Desayunos!P73="","",01_Desayunos!P73)</f>
        <v>06:00-11:00</v>
      </c>
      <c r="P73" s="55" t="n">
        <f aca="false">IF(01_Desayunos!Q73="","",01_Desayunos!Q73)</f>
        <v>5</v>
      </c>
      <c r="Q73" s="55" t="str">
        <f aca="false">IF(01_Desayunos!R73="","",01_Desayunos!R73)</f>
        <v>Alto</v>
      </c>
      <c r="R73" s="55" t="str">
        <f aca="false">IF(01_Desayunos!S73="","",01_Desayunos!S73)</f>
        <v>Todo el año</v>
      </c>
      <c r="S73" s="55" t="str">
        <f aca="false">IF(01_Desayunos!T73="","",01_Desayunos!T73)</f>
        <v>Cafetería, saludable</v>
      </c>
      <c r="T73" s="56" t="str">
        <f aca="false">IF(01_Desayunos!U73="","",01_Desayunos!U73)</f>
        <v/>
      </c>
      <c r="U73" s="55" t="n">
        <v>73</v>
      </c>
      <c r="V73" s="55" t="n">
        <f aca="false">IF(AND(OR(LEN(13_Buscador!$C$5)=0,ISNUMBER(SEARCH(13_Buscador!$C$5,$C73&amp;" "&amp;$D73&amp;" "&amp;$E73&amp;" "&amp;$F73&amp;" "&amp;$S73))),OR(13_Buscador!$C$6="Todas las listas",LEN(13_Buscador!$C$6)=0,13_Buscador!$C$6=$B73)),1,0)</f>
        <v>0</v>
      </c>
      <c r="W73" s="55" t="str">
        <f aca="false">IF(V73=1,SUM($V$2:V73),"")</f>
        <v/>
      </c>
    </row>
    <row r="74" customFormat="false" ht="15" hidden="false" customHeight="true" outlineLevel="0" collapsed="false">
      <c r="A74" s="55" t="n">
        <v>73</v>
      </c>
      <c r="B74" s="55" t="s">
        <v>3327</v>
      </c>
      <c r="C74" s="55" t="str">
        <f aca="false">IF(01_Desayunos!B74="","",01_Desayunos!B74)</f>
        <v>Desayunos completos</v>
      </c>
      <c r="D74" s="56" t="str">
        <f aca="false">IF(01_Desayunos!C74="","",01_Desayunos!C74)</f>
        <v>Papaya con yogurt</v>
      </c>
      <c r="E74" s="56" t="str">
        <f aca="false">IF(01_Desayunos!D74="","",01_Desayunos!D74)</f>
        <v>Fruta con yogurt natural</v>
      </c>
      <c r="F74" s="56" t="str">
        <f aca="false">IF(01_Desayunos!E74="","",01_Desayunos!E74)</f>
        <v>yogurt natural, granola, fruta de estación, miel</v>
      </c>
      <c r="G74" s="55" t="str">
        <f aca="false">IF(01_Desayunos!F74="","",01_Desayunos!F74)</f>
        <v>Vaso</v>
      </c>
      <c r="H74" s="55" t="str">
        <f aca="false">IF(01_Desayunos!G74="","",01_Desayunos!G74)</f>
        <v>Económico</v>
      </c>
      <c r="I74" s="58" t="n">
        <f aca="false">IF(01_Desayunos!H74="","",01_Desayunos!H74)</f>
        <v>5</v>
      </c>
      <c r="J74" s="58" t="n">
        <f aca="false">IF(01_Desayunos!I74="","",01_Desayunos!I74)</f>
        <v>11</v>
      </c>
      <c r="K74" s="58" t="n">
        <f aca="false">IF(01_Desayunos!J74="","",01_Desayunos!J74)</f>
        <v>8</v>
      </c>
      <c r="L74" s="58" t="n">
        <f aca="false">IF(01_Desayunos!L74="","",01_Desayunos!L74)</f>
        <v>9</v>
      </c>
      <c r="M74" s="58" t="n">
        <f aca="false">IF(01_Desayunos!N74="","",01_Desayunos!N74)</f>
        <v>0.56</v>
      </c>
      <c r="N74" s="58" t="n">
        <f aca="false">IF(01_Desayunos!O74="","",01_Desayunos!O74)</f>
        <v>7.44</v>
      </c>
      <c r="O74" s="55" t="str">
        <f aca="false">IF(01_Desayunos!P74="","",01_Desayunos!P74)</f>
        <v>06:00-11:00</v>
      </c>
      <c r="P74" s="55" t="n">
        <f aca="false">IF(01_Desayunos!Q74="","",01_Desayunos!Q74)</f>
        <v>4</v>
      </c>
      <c r="Q74" s="55" t="str">
        <f aca="false">IF(01_Desayunos!R74="","",01_Desayunos!R74)</f>
        <v>Alto</v>
      </c>
      <c r="R74" s="55" t="str">
        <f aca="false">IF(01_Desayunos!S74="","",01_Desayunos!S74)</f>
        <v>Todo el año</v>
      </c>
      <c r="S74" s="55" t="str">
        <f aca="false">IF(01_Desayunos!T74="","",01_Desayunos!T74)</f>
        <v>Juguería</v>
      </c>
      <c r="T74" s="56" t="str">
        <f aca="false">IF(01_Desayunos!U74="","",01_Desayunos!U74)</f>
        <v/>
      </c>
      <c r="U74" s="55" t="n">
        <v>74</v>
      </c>
      <c r="V74" s="55" t="n">
        <f aca="false">IF(AND(OR(LEN(13_Buscador!$C$5)=0,ISNUMBER(SEARCH(13_Buscador!$C$5,$C74&amp;" "&amp;$D74&amp;" "&amp;$E74&amp;" "&amp;$F74&amp;" "&amp;$S74))),OR(13_Buscador!$C$6="Todas las listas",LEN(13_Buscador!$C$6)=0,13_Buscador!$C$6=$B74)),1,0)</f>
        <v>0</v>
      </c>
      <c r="W74" s="55" t="str">
        <f aca="false">IF(V74=1,SUM($V$2:V74),"")</f>
        <v/>
      </c>
    </row>
    <row r="75" customFormat="false" ht="15" hidden="false" customHeight="true" outlineLevel="0" collapsed="false">
      <c r="A75" s="55" t="n">
        <v>74</v>
      </c>
      <c r="B75" s="55" t="s">
        <v>3327</v>
      </c>
      <c r="C75" s="55" t="str">
        <f aca="false">IF(01_Desayunos!B75="","",01_Desayunos!B75)</f>
        <v>Panes y sándwiches</v>
      </c>
      <c r="D75" s="56" t="str">
        <f aca="false">IF(01_Desayunos!C75="","",01_Desayunos!C75)</f>
        <v>Pan con jamonada</v>
      </c>
      <c r="E75" s="56" t="str">
        <f aca="false">IF(01_Desayunos!D75="","",01_Desayunos!D75)</f>
        <v>Jamonada y salsa</v>
      </c>
      <c r="F75" s="56" t="str">
        <f aca="false">IF(01_Desayunos!E75="","",01_Desayunos!E75)</f>
        <v>pan, jamonada, mayonesa o salsa criolla</v>
      </c>
      <c r="G75" s="55" t="str">
        <f aca="false">IF(01_Desayunos!F75="","",01_Desayunos!F75)</f>
        <v>1 unidad</v>
      </c>
      <c r="H75" s="55" t="str">
        <f aca="false">IF(01_Desayunos!G75="","",01_Desayunos!G75)</f>
        <v>Económico</v>
      </c>
      <c r="I75" s="58" t="n">
        <f aca="false">IF(01_Desayunos!H75="","",01_Desayunos!H75)</f>
        <v>2</v>
      </c>
      <c r="J75" s="58" t="n">
        <f aca="false">IF(01_Desayunos!I75="","",01_Desayunos!I75)</f>
        <v>6</v>
      </c>
      <c r="K75" s="58" t="n">
        <f aca="false">IF(01_Desayunos!J75="","",01_Desayunos!J75)</f>
        <v>4</v>
      </c>
      <c r="L75" s="58" t="n">
        <f aca="false">IF(01_Desayunos!L75="","",01_Desayunos!L75)</f>
        <v>5</v>
      </c>
      <c r="M75" s="58" t="n">
        <f aca="false">IF(01_Desayunos!N75="","",01_Desayunos!N75)</f>
        <v>0.28</v>
      </c>
      <c r="N75" s="58" t="n">
        <f aca="false">IF(01_Desayunos!O75="","",01_Desayunos!O75)</f>
        <v>3.72</v>
      </c>
      <c r="O75" s="55" t="str">
        <f aca="false">IF(01_Desayunos!P75="","",01_Desayunos!P75)</f>
        <v>06:00-10:00</v>
      </c>
      <c r="P75" s="55" t="n">
        <f aca="false">IF(01_Desayunos!Q75="","",01_Desayunos!Q75)</f>
        <v>3</v>
      </c>
      <c r="Q75" s="55" t="str">
        <f aca="false">IF(01_Desayunos!R75="","",01_Desayunos!R75)</f>
        <v>Alto</v>
      </c>
      <c r="R75" s="55" t="str">
        <f aca="false">IF(01_Desayunos!S75="","",01_Desayunos!S75)</f>
        <v>Todo el año</v>
      </c>
      <c r="S75" s="55" t="str">
        <f aca="false">IF(01_Desayunos!T75="","",01_Desayunos!T75)</f>
        <v>Panadería, mercado</v>
      </c>
      <c r="T75" s="56" t="str">
        <f aca="false">IF(01_Desayunos!U75="","",01_Desayunos!U75)</f>
        <v/>
      </c>
      <c r="U75" s="55" t="n">
        <v>75</v>
      </c>
      <c r="V75" s="55" t="n">
        <f aca="false">IF(AND(OR(LEN(13_Buscador!$C$5)=0,ISNUMBER(SEARCH(13_Buscador!$C$5,$C75&amp;" "&amp;$D75&amp;" "&amp;$E75&amp;" "&amp;$F75&amp;" "&amp;$S75))),OR(13_Buscador!$C$6="Todas las listas",LEN(13_Buscador!$C$6)=0,13_Buscador!$C$6=$B75)),1,0)</f>
        <v>0</v>
      </c>
      <c r="W75" s="55" t="str">
        <f aca="false">IF(V75=1,SUM($V$2:V75),"")</f>
        <v/>
      </c>
    </row>
    <row r="76" customFormat="false" ht="15" hidden="false" customHeight="true" outlineLevel="0" collapsed="false">
      <c r="A76" s="55" t="n">
        <v>75</v>
      </c>
      <c r="B76" s="55" t="s">
        <v>3327</v>
      </c>
      <c r="C76" s="55" t="str">
        <f aca="false">IF(01_Desayunos!B76="","",01_Desayunos!B76)</f>
        <v>Panes y sándwiches</v>
      </c>
      <c r="D76" s="56" t="str">
        <f aca="false">IF(01_Desayunos!C76="","",01_Desayunos!C76)</f>
        <v>Pan con tortilla</v>
      </c>
      <c r="E76" s="56" t="str">
        <f aca="false">IF(01_Desayunos!D76="","",01_Desayunos!D76)</f>
        <v>Tortilla de huevo en pan</v>
      </c>
      <c r="F76" s="56" t="str">
        <f aca="false">IF(01_Desayunos!E76="","",01_Desayunos!E76)</f>
        <v>pan, huevo, cebolla, sal</v>
      </c>
      <c r="G76" s="55" t="str">
        <f aca="false">IF(01_Desayunos!F76="","",01_Desayunos!F76)</f>
        <v>1 unidad</v>
      </c>
      <c r="H76" s="55" t="str">
        <f aca="false">IF(01_Desayunos!G76="","",01_Desayunos!G76)</f>
        <v>Económico</v>
      </c>
      <c r="I76" s="58" t="n">
        <f aca="false">IF(01_Desayunos!H76="","",01_Desayunos!H76)</f>
        <v>3</v>
      </c>
      <c r="J76" s="58" t="n">
        <f aca="false">IF(01_Desayunos!I76="","",01_Desayunos!I76)</f>
        <v>7</v>
      </c>
      <c r="K76" s="58" t="n">
        <f aca="false">IF(01_Desayunos!J76="","",01_Desayunos!J76)</f>
        <v>5</v>
      </c>
      <c r="L76" s="58" t="n">
        <f aca="false">IF(01_Desayunos!L76="","",01_Desayunos!L76)</f>
        <v>6</v>
      </c>
      <c r="M76" s="58" t="n">
        <f aca="false">IF(01_Desayunos!N76="","",01_Desayunos!N76)</f>
        <v>0.35</v>
      </c>
      <c r="N76" s="58" t="n">
        <f aca="false">IF(01_Desayunos!O76="","",01_Desayunos!O76)</f>
        <v>4.65</v>
      </c>
      <c r="O76" s="55" t="str">
        <f aca="false">IF(01_Desayunos!P76="","",01_Desayunos!P76)</f>
        <v>06:00-10:00</v>
      </c>
      <c r="P76" s="55" t="n">
        <f aca="false">IF(01_Desayunos!Q76="","",01_Desayunos!Q76)</f>
        <v>4</v>
      </c>
      <c r="Q76" s="55" t="str">
        <f aca="false">IF(01_Desayunos!R76="","",01_Desayunos!R76)</f>
        <v>Alto</v>
      </c>
      <c r="R76" s="55" t="str">
        <f aca="false">IF(01_Desayunos!S76="","",01_Desayunos!S76)</f>
        <v>Todo el año</v>
      </c>
      <c r="S76" s="55" t="str">
        <f aca="false">IF(01_Desayunos!T76="","",01_Desayunos!T76)</f>
        <v>Mercado</v>
      </c>
      <c r="T76" s="56" t="str">
        <f aca="false">IF(01_Desayunos!U76="","",01_Desayunos!U76)</f>
        <v/>
      </c>
      <c r="U76" s="55" t="n">
        <v>76</v>
      </c>
      <c r="V76" s="55" t="n">
        <f aca="false">IF(AND(OR(LEN(13_Buscador!$C$5)=0,ISNUMBER(SEARCH(13_Buscador!$C$5,$C76&amp;" "&amp;$D76&amp;" "&amp;$E76&amp;" "&amp;$F76&amp;" "&amp;$S76))),OR(13_Buscador!$C$6="Todas las listas",LEN(13_Buscador!$C$6)=0,13_Buscador!$C$6=$B76)),1,0)</f>
        <v>0</v>
      </c>
      <c r="W76" s="55" t="str">
        <f aca="false">IF(V76=1,SUM($V$2:V76),"")</f>
        <v/>
      </c>
    </row>
    <row r="77" customFormat="false" ht="15" hidden="false" customHeight="true" outlineLevel="0" collapsed="false">
      <c r="A77" s="55" t="n">
        <v>76</v>
      </c>
      <c r="B77" s="55" t="s">
        <v>3327</v>
      </c>
      <c r="C77" s="55" t="str">
        <f aca="false">IF(01_Desayunos!B77="","",01_Desayunos!B77)</f>
        <v>Panes y sándwiches</v>
      </c>
      <c r="D77" s="56" t="str">
        <f aca="false">IF(01_Desayunos!C77="","",01_Desayunos!C77)</f>
        <v>Pan con pollo al horno</v>
      </c>
      <c r="E77" s="56" t="str">
        <f aca="false">IF(01_Desayunos!D77="","",01_Desayunos!D77)</f>
        <v>Presa deshuesada en pan</v>
      </c>
      <c r="F77" s="56" t="str">
        <f aca="false">IF(01_Desayunos!E77="","",01_Desayunos!E77)</f>
        <v>pan, pollo deshilachado, mayonesa, lechuga</v>
      </c>
      <c r="G77" s="55" t="str">
        <f aca="false">IF(01_Desayunos!F77="","",01_Desayunos!F77)</f>
        <v>1 unidad</v>
      </c>
      <c r="H77" s="55" t="str">
        <f aca="false">IF(01_Desayunos!G77="","",01_Desayunos!G77)</f>
        <v>Económico</v>
      </c>
      <c r="I77" s="58" t="n">
        <f aca="false">IF(01_Desayunos!H77="","",01_Desayunos!H77)</f>
        <v>5</v>
      </c>
      <c r="J77" s="58" t="n">
        <f aca="false">IF(01_Desayunos!I77="","",01_Desayunos!I77)</f>
        <v>11</v>
      </c>
      <c r="K77" s="58" t="n">
        <f aca="false">IF(01_Desayunos!J77="","",01_Desayunos!J77)</f>
        <v>8</v>
      </c>
      <c r="L77" s="58" t="n">
        <f aca="false">IF(01_Desayunos!L77="","",01_Desayunos!L77)</f>
        <v>9</v>
      </c>
      <c r="M77" s="58" t="n">
        <f aca="false">IF(01_Desayunos!N77="","",01_Desayunos!N77)</f>
        <v>0.56</v>
      </c>
      <c r="N77" s="58" t="n">
        <f aca="false">IF(01_Desayunos!O77="","",01_Desayunos!O77)</f>
        <v>7.44</v>
      </c>
      <c r="O77" s="55" t="str">
        <f aca="false">IF(01_Desayunos!P77="","",01_Desayunos!P77)</f>
        <v>06:00-11:00</v>
      </c>
      <c r="P77" s="55" t="n">
        <f aca="false">IF(01_Desayunos!Q77="","",01_Desayunos!Q77)</f>
        <v>5</v>
      </c>
      <c r="Q77" s="55" t="str">
        <f aca="false">IF(01_Desayunos!R77="","",01_Desayunos!R77)</f>
        <v>Alto</v>
      </c>
      <c r="R77" s="55" t="str">
        <f aca="false">IF(01_Desayunos!S77="","",01_Desayunos!S77)</f>
        <v>Todo el año</v>
      </c>
      <c r="S77" s="55" t="str">
        <f aca="false">IF(01_Desayunos!T77="","",01_Desayunos!T77)</f>
        <v>Cafetería</v>
      </c>
      <c r="T77" s="56" t="str">
        <f aca="false">IF(01_Desayunos!U77="","",01_Desayunos!U77)</f>
        <v/>
      </c>
      <c r="U77" s="55" t="n">
        <v>77</v>
      </c>
      <c r="V77" s="55" t="n">
        <f aca="false">IF(AND(OR(LEN(13_Buscador!$C$5)=0,ISNUMBER(SEARCH(13_Buscador!$C$5,$C77&amp;" "&amp;$D77&amp;" "&amp;$E77&amp;" "&amp;$F77&amp;" "&amp;$S77))),OR(13_Buscador!$C$6="Todas las listas",LEN(13_Buscador!$C$6)=0,13_Buscador!$C$6=$B77)),1,0)</f>
        <v>1</v>
      </c>
      <c r="W77" s="55" t="n">
        <f aca="false">IF(V77=1,SUM($V$2:V77),"")</f>
        <v>5</v>
      </c>
    </row>
    <row r="78" customFormat="false" ht="15" hidden="false" customHeight="true" outlineLevel="0" collapsed="false">
      <c r="A78" s="55" t="n">
        <v>77</v>
      </c>
      <c r="B78" s="55" t="s">
        <v>3327</v>
      </c>
      <c r="C78" s="55" t="str">
        <f aca="false">IF(01_Desayunos!B78="","",01_Desayunos!B78)</f>
        <v>Panes y sándwiches</v>
      </c>
      <c r="D78" s="56" t="str">
        <f aca="false">IF(01_Desayunos!C78="","",01_Desayunos!C78)</f>
        <v>Sándwich de huevo y palta</v>
      </c>
      <c r="E78" s="56" t="str">
        <f aca="false">IF(01_Desayunos!D78="","",01_Desayunos!D78)</f>
        <v>Huevo, palta, tomate</v>
      </c>
      <c r="F78" s="56" t="str">
        <f aca="false">IF(01_Desayunos!E78="","",01_Desayunos!E78)</f>
        <v>pan, relleno del sabor elegido, vegetales, salsas</v>
      </c>
      <c r="G78" s="55" t="str">
        <f aca="false">IF(01_Desayunos!F78="","",01_Desayunos!F78)</f>
        <v>1 unidad</v>
      </c>
      <c r="H78" s="55" t="str">
        <f aca="false">IF(01_Desayunos!G78="","",01_Desayunos!G78)</f>
        <v>Económico</v>
      </c>
      <c r="I78" s="58" t="n">
        <f aca="false">IF(01_Desayunos!H78="","",01_Desayunos!H78)</f>
        <v>5</v>
      </c>
      <c r="J78" s="58" t="n">
        <f aca="false">IF(01_Desayunos!I78="","",01_Desayunos!I78)</f>
        <v>10</v>
      </c>
      <c r="K78" s="58" t="n">
        <f aca="false">IF(01_Desayunos!J78="","",01_Desayunos!J78)</f>
        <v>7.5</v>
      </c>
      <c r="L78" s="58" t="n">
        <f aca="false">IF(01_Desayunos!L78="","",01_Desayunos!L78)</f>
        <v>8.5</v>
      </c>
      <c r="M78" s="58" t="n">
        <f aca="false">IF(01_Desayunos!N78="","",01_Desayunos!N78)</f>
        <v>0.53</v>
      </c>
      <c r="N78" s="58" t="n">
        <f aca="false">IF(01_Desayunos!O78="","",01_Desayunos!O78)</f>
        <v>6.97</v>
      </c>
      <c r="O78" s="55" t="str">
        <f aca="false">IF(01_Desayunos!P78="","",01_Desayunos!P78)</f>
        <v>06:00-11:00</v>
      </c>
      <c r="P78" s="55" t="n">
        <f aca="false">IF(01_Desayunos!Q78="","",01_Desayunos!Q78)</f>
        <v>5</v>
      </c>
      <c r="Q78" s="55" t="str">
        <f aca="false">IF(01_Desayunos!R78="","",01_Desayunos!R78)</f>
        <v>Alto</v>
      </c>
      <c r="R78" s="55" t="str">
        <f aca="false">IF(01_Desayunos!S78="","",01_Desayunos!S78)</f>
        <v>Todo el año</v>
      </c>
      <c r="S78" s="55" t="str">
        <f aca="false">IF(01_Desayunos!T78="","",01_Desayunos!T78)</f>
        <v>Cafetería</v>
      </c>
      <c r="T78" s="56" t="str">
        <f aca="false">IF(01_Desayunos!U78="","",01_Desayunos!U78)</f>
        <v/>
      </c>
      <c r="U78" s="55" t="n">
        <v>78</v>
      </c>
      <c r="V78" s="55" t="n">
        <f aca="false">IF(AND(OR(LEN(13_Buscador!$C$5)=0,ISNUMBER(SEARCH(13_Buscador!$C$5,$C78&amp;" "&amp;$D78&amp;" "&amp;$E78&amp;" "&amp;$F78&amp;" "&amp;$S78))),OR(13_Buscador!$C$6="Todas las listas",LEN(13_Buscador!$C$6)=0,13_Buscador!$C$6=$B78)),1,0)</f>
        <v>0</v>
      </c>
      <c r="W78" s="55" t="str">
        <f aca="false">IF(V78=1,SUM($V$2:V78),"")</f>
        <v/>
      </c>
    </row>
    <row r="79" customFormat="false" ht="15" hidden="false" customHeight="true" outlineLevel="0" collapsed="false">
      <c r="A79" s="55" t="n">
        <v>78</v>
      </c>
      <c r="B79" s="55" t="s">
        <v>3327</v>
      </c>
      <c r="C79" s="55" t="str">
        <f aca="false">IF(01_Desayunos!B79="","",01_Desayunos!B79)</f>
        <v>Panes y sándwiches</v>
      </c>
      <c r="D79" s="56" t="str">
        <f aca="false">IF(01_Desayunos!C79="","",01_Desayunos!C79)</f>
        <v>Sándwich de atún</v>
      </c>
      <c r="E79" s="56" t="str">
        <f aca="false">IF(01_Desayunos!D79="","",01_Desayunos!D79)</f>
        <v>Atún con vegetales</v>
      </c>
      <c r="F79" s="56" t="str">
        <f aca="false">IF(01_Desayunos!E79="","",01_Desayunos!E79)</f>
        <v>pan, atún, cebolla, mayonesa, lechuga</v>
      </c>
      <c r="G79" s="55" t="str">
        <f aca="false">IF(01_Desayunos!F79="","",01_Desayunos!F79)</f>
        <v>1 unidad</v>
      </c>
      <c r="H79" s="55" t="str">
        <f aca="false">IF(01_Desayunos!G79="","",01_Desayunos!G79)</f>
        <v>Económico</v>
      </c>
      <c r="I79" s="58" t="n">
        <f aca="false">IF(01_Desayunos!H79="","",01_Desayunos!H79)</f>
        <v>6</v>
      </c>
      <c r="J79" s="58" t="n">
        <f aca="false">IF(01_Desayunos!I79="","",01_Desayunos!I79)</f>
        <v>12</v>
      </c>
      <c r="K79" s="58" t="n">
        <f aca="false">IF(01_Desayunos!J79="","",01_Desayunos!J79)</f>
        <v>9</v>
      </c>
      <c r="L79" s="58" t="n">
        <f aca="false">IF(01_Desayunos!L79="","",01_Desayunos!L79)</f>
        <v>10</v>
      </c>
      <c r="M79" s="58" t="n">
        <f aca="false">IF(01_Desayunos!N79="","",01_Desayunos!N79)</f>
        <v>0.63</v>
      </c>
      <c r="N79" s="58" t="n">
        <f aca="false">IF(01_Desayunos!O79="","",01_Desayunos!O79)</f>
        <v>8.37</v>
      </c>
      <c r="O79" s="55" t="str">
        <f aca="false">IF(01_Desayunos!P79="","",01_Desayunos!P79)</f>
        <v>06:00-11:00</v>
      </c>
      <c r="P79" s="55" t="n">
        <f aca="false">IF(01_Desayunos!Q79="","",01_Desayunos!Q79)</f>
        <v>6</v>
      </c>
      <c r="Q79" s="55" t="str">
        <f aca="false">IF(01_Desayunos!R79="","",01_Desayunos!R79)</f>
        <v>Alto</v>
      </c>
      <c r="R79" s="55" t="str">
        <f aca="false">IF(01_Desayunos!S79="","",01_Desayunos!S79)</f>
        <v>Todo el año</v>
      </c>
      <c r="S79" s="55" t="str">
        <f aca="false">IF(01_Desayunos!T79="","",01_Desayunos!T79)</f>
        <v>Cafetería</v>
      </c>
      <c r="T79" s="56" t="str">
        <f aca="false">IF(01_Desayunos!U79="","",01_Desayunos!U79)</f>
        <v/>
      </c>
      <c r="U79" s="55" t="n">
        <v>79</v>
      </c>
      <c r="V79" s="55" t="n">
        <f aca="false">IF(AND(OR(LEN(13_Buscador!$C$5)=0,ISNUMBER(SEARCH(13_Buscador!$C$5,$C79&amp;" "&amp;$D79&amp;" "&amp;$E79&amp;" "&amp;$F79&amp;" "&amp;$S79))),OR(13_Buscador!$C$6="Todas las listas",LEN(13_Buscador!$C$6)=0,13_Buscador!$C$6=$B79)),1,0)</f>
        <v>0</v>
      </c>
      <c r="W79" s="55" t="str">
        <f aca="false">IF(V79=1,SUM($V$2:V79),"")</f>
        <v/>
      </c>
    </row>
    <row r="80" customFormat="false" ht="15" hidden="false" customHeight="true" outlineLevel="0" collapsed="false">
      <c r="A80" s="55" t="n">
        <v>79</v>
      </c>
      <c r="B80" s="55" t="s">
        <v>3327</v>
      </c>
      <c r="C80" s="55" t="str">
        <f aca="false">IF(01_Desayunos!B80="","",01_Desayunos!B80)</f>
        <v>Panes y sándwiches</v>
      </c>
      <c r="D80" s="56" t="str">
        <f aca="false">IF(01_Desayunos!C80="","",01_Desayunos!C80)</f>
        <v>Enrollado de pollo</v>
      </c>
      <c r="E80" s="56" t="str">
        <f aca="false">IF(01_Desayunos!D80="","",01_Desayunos!D80)</f>
        <v>Wrap de pollo y verduras</v>
      </c>
      <c r="F80" s="56" t="str">
        <f aca="false">IF(01_Desayunos!E80="","",01_Desayunos!E80)</f>
        <v>tortilla de trigo, pollo, lechuga, tomate, salsa</v>
      </c>
      <c r="G80" s="55" t="str">
        <f aca="false">IF(01_Desayunos!F80="","",01_Desayunos!F80)</f>
        <v>1 unidad</v>
      </c>
      <c r="H80" s="55" t="str">
        <f aca="false">IF(01_Desayunos!G80="","",01_Desayunos!G80)</f>
        <v>Estándar</v>
      </c>
      <c r="I80" s="58" t="n">
        <f aca="false">IF(01_Desayunos!H80="","",01_Desayunos!H80)</f>
        <v>8</v>
      </c>
      <c r="J80" s="58" t="n">
        <f aca="false">IF(01_Desayunos!I80="","",01_Desayunos!I80)</f>
        <v>16</v>
      </c>
      <c r="K80" s="58" t="n">
        <f aca="false">IF(01_Desayunos!J80="","",01_Desayunos!J80)</f>
        <v>12</v>
      </c>
      <c r="L80" s="58" t="n">
        <f aca="false">IF(01_Desayunos!L80="","",01_Desayunos!L80)</f>
        <v>13</v>
      </c>
      <c r="M80" s="58" t="n">
        <f aca="false">IF(01_Desayunos!N80="","",01_Desayunos!N80)</f>
        <v>1.08</v>
      </c>
      <c r="N80" s="58" t="n">
        <f aca="false">IF(01_Desayunos!O80="","",01_Desayunos!O80)</f>
        <v>10.92</v>
      </c>
      <c r="O80" s="55" t="str">
        <f aca="false">IF(01_Desayunos!P80="","",01_Desayunos!P80)</f>
        <v>06:00-12:00</v>
      </c>
      <c r="P80" s="55" t="n">
        <f aca="false">IF(01_Desayunos!Q80="","",01_Desayunos!Q80)</f>
        <v>8</v>
      </c>
      <c r="Q80" s="55" t="str">
        <f aca="false">IF(01_Desayunos!R80="","",01_Desayunos!R80)</f>
        <v>Alto</v>
      </c>
      <c r="R80" s="55" t="str">
        <f aca="false">IF(01_Desayunos!S80="","",01_Desayunos!S80)</f>
        <v>Todo el año</v>
      </c>
      <c r="S80" s="55" t="str">
        <f aca="false">IF(01_Desayunos!T80="","",01_Desayunos!T80)</f>
        <v>Cafetería</v>
      </c>
      <c r="T80" s="56" t="str">
        <f aca="false">IF(01_Desayunos!U80="","",01_Desayunos!U80)</f>
        <v/>
      </c>
      <c r="U80" s="55" t="n">
        <v>80</v>
      </c>
      <c r="V80" s="55" t="n">
        <f aca="false">IF(AND(OR(LEN(13_Buscador!$C$5)=0,ISNUMBER(SEARCH(13_Buscador!$C$5,$C80&amp;" "&amp;$D80&amp;" "&amp;$E80&amp;" "&amp;$F80&amp;" "&amp;$S80))),OR(13_Buscador!$C$6="Todas las listas",LEN(13_Buscador!$C$6)=0,13_Buscador!$C$6=$B80)),1,0)</f>
        <v>1</v>
      </c>
      <c r="W80" s="55" t="n">
        <f aca="false">IF(V80=1,SUM($V$2:V80),"")</f>
        <v>6</v>
      </c>
    </row>
    <row r="81" customFormat="false" ht="15" hidden="false" customHeight="true" outlineLevel="0" collapsed="false">
      <c r="A81" s="55" t="n">
        <v>80</v>
      </c>
      <c r="B81" s="55" t="s">
        <v>3327</v>
      </c>
      <c r="C81" s="55" t="str">
        <f aca="false">IF(01_Desayunos!B81="","",01_Desayunos!B81)</f>
        <v>Panes y sándwiches</v>
      </c>
      <c r="D81" s="56" t="str">
        <f aca="false">IF(01_Desayunos!C81="","",01_Desayunos!C81)</f>
        <v>Chancay con manjar</v>
      </c>
      <c r="E81" s="56" t="str">
        <f aca="false">IF(01_Desayunos!D81="","",01_Desayunos!D81)</f>
        <v>Pan dulce con manjar blanco</v>
      </c>
      <c r="F81" s="56" t="str">
        <f aca="false">IF(01_Desayunos!E81="","",01_Desayunos!E81)</f>
        <v>pan dulce, manjar blanco</v>
      </c>
      <c r="G81" s="55" t="str">
        <f aca="false">IF(01_Desayunos!F81="","",01_Desayunos!F81)</f>
        <v>1 unidad</v>
      </c>
      <c r="H81" s="55" t="str">
        <f aca="false">IF(01_Desayunos!G81="","",01_Desayunos!G81)</f>
        <v>Económico</v>
      </c>
      <c r="I81" s="58" t="n">
        <f aca="false">IF(01_Desayunos!H81="","",01_Desayunos!H81)</f>
        <v>2</v>
      </c>
      <c r="J81" s="58" t="n">
        <f aca="false">IF(01_Desayunos!I81="","",01_Desayunos!I81)</f>
        <v>6</v>
      </c>
      <c r="K81" s="58" t="n">
        <f aca="false">IF(01_Desayunos!J81="","",01_Desayunos!J81)</f>
        <v>4</v>
      </c>
      <c r="L81" s="58" t="n">
        <f aca="false">IF(01_Desayunos!L81="","",01_Desayunos!L81)</f>
        <v>5</v>
      </c>
      <c r="M81" s="58" t="n">
        <f aca="false">IF(01_Desayunos!N81="","",01_Desayunos!N81)</f>
        <v>0.28</v>
      </c>
      <c r="N81" s="58" t="n">
        <f aca="false">IF(01_Desayunos!O81="","",01_Desayunos!O81)</f>
        <v>3.72</v>
      </c>
      <c r="O81" s="55" t="str">
        <f aca="false">IF(01_Desayunos!P81="","",01_Desayunos!P81)</f>
        <v>06:00-11:00</v>
      </c>
      <c r="P81" s="55" t="n">
        <f aca="false">IF(01_Desayunos!Q81="","",01_Desayunos!Q81)</f>
        <v>2</v>
      </c>
      <c r="Q81" s="55" t="str">
        <f aca="false">IF(01_Desayunos!R81="","",01_Desayunos!R81)</f>
        <v>Alto</v>
      </c>
      <c r="R81" s="55" t="str">
        <f aca="false">IF(01_Desayunos!S81="","",01_Desayunos!S81)</f>
        <v>Todo el año</v>
      </c>
      <c r="S81" s="55" t="str">
        <f aca="false">IF(01_Desayunos!T81="","",01_Desayunos!T81)</f>
        <v>Panadería</v>
      </c>
      <c r="T81" s="56" t="str">
        <f aca="false">IF(01_Desayunos!U81="","",01_Desayunos!U81)</f>
        <v/>
      </c>
      <c r="U81" s="55" t="n">
        <v>81</v>
      </c>
      <c r="V81" s="55" t="n">
        <f aca="false">IF(AND(OR(LEN(13_Buscador!$C$5)=0,ISNUMBER(SEARCH(13_Buscador!$C$5,$C81&amp;" "&amp;$D81&amp;" "&amp;$E81&amp;" "&amp;$F81&amp;" "&amp;$S81))),OR(13_Buscador!$C$6="Todas las listas",LEN(13_Buscador!$C$6)=0,13_Buscador!$C$6=$B81)),1,0)</f>
        <v>0</v>
      </c>
      <c r="W81" s="55" t="str">
        <f aca="false">IF(V81=1,SUM($V$2:V81),"")</f>
        <v/>
      </c>
    </row>
    <row r="82" customFormat="false" ht="15" hidden="false" customHeight="true" outlineLevel="0" collapsed="false">
      <c r="A82" s="55" t="n">
        <v>81</v>
      </c>
      <c r="B82" s="55" t="s">
        <v>3327</v>
      </c>
      <c r="C82" s="55" t="str">
        <f aca="false">IF(01_Desayunos!B82="","",01_Desayunos!B82)</f>
        <v>Panes y sándwiches</v>
      </c>
      <c r="D82" s="56" t="str">
        <f aca="false">IF(01_Desayunos!C82="","",01_Desayunos!C82)</f>
        <v>Keke / bizcocho porción</v>
      </c>
      <c r="E82" s="56" t="str">
        <f aca="false">IF(01_Desayunos!D82="","",01_Desayunos!D82)</f>
        <v>Porción de keke casero</v>
      </c>
      <c r="F82" s="56" t="str">
        <f aca="false">IF(01_Desayunos!E82="","",01_Desayunos!E82)</f>
        <v>harina, huevo, azúcar, mantequilla</v>
      </c>
      <c r="G82" s="55" t="str">
        <f aca="false">IF(01_Desayunos!F82="","",01_Desayunos!F82)</f>
        <v>Porción</v>
      </c>
      <c r="H82" s="55" t="str">
        <f aca="false">IF(01_Desayunos!G82="","",01_Desayunos!G82)</f>
        <v>Económico</v>
      </c>
      <c r="I82" s="58" t="n">
        <f aca="false">IF(01_Desayunos!H82="","",01_Desayunos!H82)</f>
        <v>3</v>
      </c>
      <c r="J82" s="58" t="n">
        <f aca="false">IF(01_Desayunos!I82="","",01_Desayunos!I82)</f>
        <v>8</v>
      </c>
      <c r="K82" s="58" t="n">
        <f aca="false">IF(01_Desayunos!J82="","",01_Desayunos!J82)</f>
        <v>5.5</v>
      </c>
      <c r="L82" s="58" t="n">
        <f aca="false">IF(01_Desayunos!L82="","",01_Desayunos!L82)</f>
        <v>6.5</v>
      </c>
      <c r="M82" s="58" t="n">
        <f aca="false">IF(01_Desayunos!N82="","",01_Desayunos!N82)</f>
        <v>0.39</v>
      </c>
      <c r="N82" s="58" t="n">
        <f aca="false">IF(01_Desayunos!O82="","",01_Desayunos!O82)</f>
        <v>5.11</v>
      </c>
      <c r="O82" s="55" t="str">
        <f aca="false">IF(01_Desayunos!P82="","",01_Desayunos!P82)</f>
        <v>06:00-12:00</v>
      </c>
      <c r="P82" s="55" t="n">
        <f aca="false">IF(01_Desayunos!Q82="","",01_Desayunos!Q82)</f>
        <v>2</v>
      </c>
      <c r="Q82" s="55" t="str">
        <f aca="false">IF(01_Desayunos!R82="","",01_Desayunos!R82)</f>
        <v>Alto</v>
      </c>
      <c r="R82" s="55" t="str">
        <f aca="false">IF(01_Desayunos!S82="","",01_Desayunos!S82)</f>
        <v>Todo el año</v>
      </c>
      <c r="S82" s="55" t="str">
        <f aca="false">IF(01_Desayunos!T82="","",01_Desayunos!T82)</f>
        <v>Panadería</v>
      </c>
      <c r="T82" s="56" t="str">
        <f aca="false">IF(01_Desayunos!U82="","",01_Desayunos!U82)</f>
        <v/>
      </c>
      <c r="U82" s="55" t="n">
        <v>82</v>
      </c>
      <c r="V82" s="55" t="n">
        <f aca="false">IF(AND(OR(LEN(13_Buscador!$C$5)=0,ISNUMBER(SEARCH(13_Buscador!$C$5,$C82&amp;" "&amp;$D82&amp;" "&amp;$E82&amp;" "&amp;$F82&amp;" "&amp;$S82))),OR(13_Buscador!$C$6="Todas las listas",LEN(13_Buscador!$C$6)=0,13_Buscador!$C$6=$B82)),1,0)</f>
        <v>0</v>
      </c>
      <c r="W82" s="55" t="str">
        <f aca="false">IF(V82=1,SUM($V$2:V82),"")</f>
        <v/>
      </c>
    </row>
    <row r="83" customFormat="false" ht="15" hidden="false" customHeight="true" outlineLevel="0" collapsed="false">
      <c r="A83" s="55" t="n">
        <v>82</v>
      </c>
      <c r="B83" s="55" t="s">
        <v>3327</v>
      </c>
      <c r="C83" s="55" t="str">
        <f aca="false">IF(01_Desayunos!B83="","",01_Desayunos!B83)</f>
        <v>Panes y sándwiches</v>
      </c>
      <c r="D83" s="56" t="str">
        <f aca="false">IF(01_Desayunos!C83="","",01_Desayunos!C83)</f>
        <v>Pionono</v>
      </c>
      <c r="E83" s="56" t="str">
        <f aca="false">IF(01_Desayunos!D83="","",01_Desayunos!D83)</f>
        <v>Enrollado dulce</v>
      </c>
      <c r="F83" s="56" t="str">
        <f aca="false">IF(01_Desayunos!E83="","",01_Desayunos!E83)</f>
        <v>harina, huevo, azúcar, mantequilla</v>
      </c>
      <c r="G83" s="55" t="str">
        <f aca="false">IF(01_Desayunos!F83="","",01_Desayunos!F83)</f>
        <v>Porción</v>
      </c>
      <c r="H83" s="55" t="str">
        <f aca="false">IF(01_Desayunos!G83="","",01_Desayunos!G83)</f>
        <v>Económico</v>
      </c>
      <c r="I83" s="58" t="n">
        <f aca="false">IF(01_Desayunos!H83="","",01_Desayunos!H83)</f>
        <v>4</v>
      </c>
      <c r="J83" s="58" t="n">
        <f aca="false">IF(01_Desayunos!I83="","",01_Desayunos!I83)</f>
        <v>9</v>
      </c>
      <c r="K83" s="58" t="n">
        <f aca="false">IF(01_Desayunos!J83="","",01_Desayunos!J83)</f>
        <v>6.5</v>
      </c>
      <c r="L83" s="58" t="n">
        <f aca="false">IF(01_Desayunos!L83="","",01_Desayunos!L83)</f>
        <v>7.5</v>
      </c>
      <c r="M83" s="58" t="n">
        <f aca="false">IF(01_Desayunos!N83="","",01_Desayunos!N83)</f>
        <v>0.46</v>
      </c>
      <c r="N83" s="58" t="n">
        <f aca="false">IF(01_Desayunos!O83="","",01_Desayunos!O83)</f>
        <v>6.04</v>
      </c>
      <c r="O83" s="55" t="str">
        <f aca="false">IF(01_Desayunos!P83="","",01_Desayunos!P83)</f>
        <v>06:00-12:00</v>
      </c>
      <c r="P83" s="55" t="n">
        <f aca="false">IF(01_Desayunos!Q83="","",01_Desayunos!Q83)</f>
        <v>2</v>
      </c>
      <c r="Q83" s="55" t="str">
        <f aca="false">IF(01_Desayunos!R83="","",01_Desayunos!R83)</f>
        <v>Alto</v>
      </c>
      <c r="R83" s="55" t="str">
        <f aca="false">IF(01_Desayunos!S83="","",01_Desayunos!S83)</f>
        <v>Todo el año</v>
      </c>
      <c r="S83" s="55" t="str">
        <f aca="false">IF(01_Desayunos!T83="","",01_Desayunos!T83)</f>
        <v>Pastelería</v>
      </c>
      <c r="T83" s="56" t="str">
        <f aca="false">IF(01_Desayunos!U83="","",01_Desayunos!U83)</f>
        <v/>
      </c>
      <c r="U83" s="55" t="n">
        <v>83</v>
      </c>
      <c r="V83" s="55" t="n">
        <f aca="false">IF(AND(OR(LEN(13_Buscador!$C$5)=0,ISNUMBER(SEARCH(13_Buscador!$C$5,$C83&amp;" "&amp;$D83&amp;" "&amp;$E83&amp;" "&amp;$F83&amp;" "&amp;$S83))),OR(13_Buscador!$C$6="Todas las listas",LEN(13_Buscador!$C$6)=0,13_Buscador!$C$6=$B83)),1,0)</f>
        <v>0</v>
      </c>
      <c r="W83" s="55" t="str">
        <f aca="false">IF(V83=1,SUM($V$2:V83),"")</f>
        <v/>
      </c>
    </row>
    <row r="84" customFormat="false" ht="15" hidden="false" customHeight="true" outlineLevel="0" collapsed="false">
      <c r="A84" s="55" t="n">
        <v>83</v>
      </c>
      <c r="B84" s="55" t="s">
        <v>3327</v>
      </c>
      <c r="C84" s="55" t="str">
        <f aca="false">IF(01_Desayunos!B84="","",01_Desayunos!B84)</f>
        <v>Panes y sándwiches</v>
      </c>
      <c r="D84" s="56" t="str">
        <f aca="false">IF(01_Desayunos!C84="","",01_Desayunos!C84)</f>
        <v>Medialuna / cachito</v>
      </c>
      <c r="E84" s="56" t="str">
        <f aca="false">IF(01_Desayunos!D84="","",01_Desayunos!D84)</f>
        <v>Pan de mantequilla</v>
      </c>
      <c r="F84" s="56" t="str">
        <f aca="false">IF(01_Desayunos!E84="","",01_Desayunos!E84)</f>
        <v>harina de trigo, levadura, manteca, sal o azúcar</v>
      </c>
      <c r="G84" s="55" t="str">
        <f aca="false">IF(01_Desayunos!F84="","",01_Desayunos!F84)</f>
        <v>1 unidad</v>
      </c>
      <c r="H84" s="55" t="str">
        <f aca="false">IF(01_Desayunos!G84="","",01_Desayunos!G84)</f>
        <v>Económico</v>
      </c>
      <c r="I84" s="58" t="n">
        <f aca="false">IF(01_Desayunos!H84="","",01_Desayunos!H84)</f>
        <v>1.5</v>
      </c>
      <c r="J84" s="58" t="n">
        <f aca="false">IF(01_Desayunos!I84="","",01_Desayunos!I84)</f>
        <v>4</v>
      </c>
      <c r="K84" s="58" t="n">
        <f aca="false">IF(01_Desayunos!J84="","",01_Desayunos!J84)</f>
        <v>2.8</v>
      </c>
      <c r="L84" s="58" t="n">
        <f aca="false">IF(01_Desayunos!L84="","",01_Desayunos!L84)</f>
        <v>3.8</v>
      </c>
      <c r="M84" s="58" t="n">
        <f aca="false">IF(01_Desayunos!N84="","",01_Desayunos!N84)</f>
        <v>0.2</v>
      </c>
      <c r="N84" s="58" t="n">
        <f aca="false">IF(01_Desayunos!O84="","",01_Desayunos!O84)</f>
        <v>2.6</v>
      </c>
      <c r="O84" s="55" t="str">
        <f aca="false">IF(01_Desayunos!P84="","",01_Desayunos!P84)</f>
        <v>06:00-11:00</v>
      </c>
      <c r="P84" s="55" t="n">
        <f aca="false">IF(01_Desayunos!Q84="","",01_Desayunos!Q84)</f>
        <v>1</v>
      </c>
      <c r="Q84" s="55" t="str">
        <f aca="false">IF(01_Desayunos!R84="","",01_Desayunos!R84)</f>
        <v>Alto</v>
      </c>
      <c r="R84" s="55" t="str">
        <f aca="false">IF(01_Desayunos!S84="","",01_Desayunos!S84)</f>
        <v>Todo el año</v>
      </c>
      <c r="S84" s="55" t="str">
        <f aca="false">IF(01_Desayunos!T84="","",01_Desayunos!T84)</f>
        <v>Panadería</v>
      </c>
      <c r="T84" s="56" t="str">
        <f aca="false">IF(01_Desayunos!U84="","",01_Desayunos!U84)</f>
        <v/>
      </c>
      <c r="U84" s="55" t="n">
        <v>84</v>
      </c>
      <c r="V84" s="55" t="n">
        <f aca="false">IF(AND(OR(LEN(13_Buscador!$C$5)=0,ISNUMBER(SEARCH(13_Buscador!$C$5,$C84&amp;" "&amp;$D84&amp;" "&amp;$E84&amp;" "&amp;$F84&amp;" "&amp;$S84))),OR(13_Buscador!$C$6="Todas las listas",LEN(13_Buscador!$C$6)=0,13_Buscador!$C$6=$B84)),1,0)</f>
        <v>0</v>
      </c>
      <c r="W84" s="55" t="str">
        <f aca="false">IF(V84=1,SUM($V$2:V84),"")</f>
        <v/>
      </c>
    </row>
    <row r="85" customFormat="false" ht="15" hidden="false" customHeight="true" outlineLevel="0" collapsed="false">
      <c r="A85" s="55" t="n">
        <v>84</v>
      </c>
      <c r="B85" s="55" t="s">
        <v>3327</v>
      </c>
      <c r="C85" s="55" t="str">
        <f aca="false">IF(01_Desayunos!B85="","",01_Desayunos!B85)</f>
        <v>Panes y sándwiches</v>
      </c>
      <c r="D85" s="56" t="str">
        <f aca="false">IF(01_Desayunos!C85="","",01_Desayunos!C85)</f>
        <v>Rosquitas de manteca</v>
      </c>
      <c r="E85" s="56" t="str">
        <f aca="false">IF(01_Desayunos!D85="","",01_Desayunos!D85)</f>
        <v>Bolsa de rosquitas</v>
      </c>
      <c r="F85" s="56" t="str">
        <f aca="false">IF(01_Desayunos!E85="","",01_Desayunos!E85)</f>
        <v>harina, manteca, azúcar, huevo</v>
      </c>
      <c r="G85" s="55" t="str">
        <f aca="false">IF(01_Desayunos!F85="","",01_Desayunos!F85)</f>
        <v>Bolsa</v>
      </c>
      <c r="H85" s="55" t="str">
        <f aca="false">IF(01_Desayunos!G85="","",01_Desayunos!G85)</f>
        <v>Económico</v>
      </c>
      <c r="I85" s="58" t="n">
        <f aca="false">IF(01_Desayunos!H85="","",01_Desayunos!H85)</f>
        <v>3</v>
      </c>
      <c r="J85" s="58" t="n">
        <f aca="false">IF(01_Desayunos!I85="","",01_Desayunos!I85)</f>
        <v>8</v>
      </c>
      <c r="K85" s="58" t="n">
        <f aca="false">IF(01_Desayunos!J85="","",01_Desayunos!J85)</f>
        <v>5.5</v>
      </c>
      <c r="L85" s="58" t="n">
        <f aca="false">IF(01_Desayunos!L85="","",01_Desayunos!L85)</f>
        <v>6.5</v>
      </c>
      <c r="M85" s="58" t="n">
        <f aca="false">IF(01_Desayunos!N85="","",01_Desayunos!N85)</f>
        <v>0.39</v>
      </c>
      <c r="N85" s="58" t="n">
        <f aca="false">IF(01_Desayunos!O85="","",01_Desayunos!O85)</f>
        <v>5.11</v>
      </c>
      <c r="O85" s="55" t="str">
        <f aca="false">IF(01_Desayunos!P85="","",01_Desayunos!P85)</f>
        <v>06:00-12:00</v>
      </c>
      <c r="P85" s="55" t="n">
        <f aca="false">IF(01_Desayunos!Q85="","",01_Desayunos!Q85)</f>
        <v>1</v>
      </c>
      <c r="Q85" s="55" t="str">
        <f aca="false">IF(01_Desayunos!R85="","",01_Desayunos!R85)</f>
        <v>Alto</v>
      </c>
      <c r="R85" s="55" t="str">
        <f aca="false">IF(01_Desayunos!S85="","",01_Desayunos!S85)</f>
        <v>Todo el año</v>
      </c>
      <c r="S85" s="55" t="str">
        <f aca="false">IF(01_Desayunos!T85="","",01_Desayunos!T85)</f>
        <v>Panadería</v>
      </c>
      <c r="T85" s="56" t="str">
        <f aca="false">IF(01_Desayunos!U85="","",01_Desayunos!U85)</f>
        <v>Producto tradicional del altiplano</v>
      </c>
      <c r="U85" s="55" t="n">
        <v>85</v>
      </c>
      <c r="V85" s="55" t="n">
        <f aca="false">IF(AND(OR(LEN(13_Buscador!$C$5)=0,ISNUMBER(SEARCH(13_Buscador!$C$5,$C85&amp;" "&amp;$D85&amp;" "&amp;$E85&amp;" "&amp;$F85&amp;" "&amp;$S85))),OR(13_Buscador!$C$6="Todas las listas",LEN(13_Buscador!$C$6)=0,13_Buscador!$C$6=$B85)),1,0)</f>
        <v>0</v>
      </c>
      <c r="W85" s="55" t="str">
        <f aca="false">IF(V85=1,SUM($V$2:V85),"")</f>
        <v/>
      </c>
    </row>
    <row r="86" customFormat="false" ht="15" hidden="false" customHeight="true" outlineLevel="0" collapsed="false">
      <c r="A86" s="55" t="n">
        <v>85</v>
      </c>
      <c r="B86" s="55" t="s">
        <v>3327</v>
      </c>
      <c r="C86" s="55" t="str">
        <f aca="false">IF(01_Desayunos!B86="","",01_Desayunos!B86)</f>
        <v>Panes y sándwiches</v>
      </c>
      <c r="D86" s="56" t="str">
        <f aca="false">IF(01_Desayunos!C86="","",01_Desayunos!C86)</f>
        <v>Pan de yema</v>
      </c>
      <c r="E86" s="56" t="str">
        <f aca="false">IF(01_Desayunos!D86="","",01_Desayunos!D86)</f>
        <v>Pan dulce local</v>
      </c>
      <c r="F86" s="56" t="str">
        <f aca="false">IF(01_Desayunos!E86="","",01_Desayunos!E86)</f>
        <v>harina de trigo, levadura, manteca, sal o azúcar</v>
      </c>
      <c r="G86" s="55" t="str">
        <f aca="false">IF(01_Desayunos!F86="","",01_Desayunos!F86)</f>
        <v>3 unidades</v>
      </c>
      <c r="H86" s="55" t="str">
        <f aca="false">IF(01_Desayunos!G86="","",01_Desayunos!G86)</f>
        <v>Económico</v>
      </c>
      <c r="I86" s="58" t="n">
        <f aca="false">IF(01_Desayunos!H86="","",01_Desayunos!H86)</f>
        <v>2</v>
      </c>
      <c r="J86" s="58" t="n">
        <f aca="false">IF(01_Desayunos!I86="","",01_Desayunos!I86)</f>
        <v>6</v>
      </c>
      <c r="K86" s="58" t="n">
        <f aca="false">IF(01_Desayunos!J86="","",01_Desayunos!J86)</f>
        <v>4</v>
      </c>
      <c r="L86" s="58" t="n">
        <f aca="false">IF(01_Desayunos!L86="","",01_Desayunos!L86)</f>
        <v>5</v>
      </c>
      <c r="M86" s="58" t="n">
        <f aca="false">IF(01_Desayunos!N86="","",01_Desayunos!N86)</f>
        <v>0.28</v>
      </c>
      <c r="N86" s="58" t="n">
        <f aca="false">IF(01_Desayunos!O86="","",01_Desayunos!O86)</f>
        <v>3.72</v>
      </c>
      <c r="O86" s="55" t="str">
        <f aca="false">IF(01_Desayunos!P86="","",01_Desayunos!P86)</f>
        <v>06:00-11:00</v>
      </c>
      <c r="P86" s="55" t="n">
        <f aca="false">IF(01_Desayunos!Q86="","",01_Desayunos!Q86)</f>
        <v>1</v>
      </c>
      <c r="Q86" s="55" t="str">
        <f aca="false">IF(01_Desayunos!R86="","",01_Desayunos!R86)</f>
        <v>Alto</v>
      </c>
      <c r="R86" s="55" t="str">
        <f aca="false">IF(01_Desayunos!S86="","",01_Desayunos!S86)</f>
        <v>Todo el año</v>
      </c>
      <c r="S86" s="55" t="str">
        <f aca="false">IF(01_Desayunos!T86="","",01_Desayunos!T86)</f>
        <v>Panadería</v>
      </c>
      <c r="T86" s="56" t="str">
        <f aca="false">IF(01_Desayunos!U86="","",01_Desayunos!U86)</f>
        <v/>
      </c>
      <c r="U86" s="55" t="n">
        <v>86</v>
      </c>
      <c r="V86" s="55" t="n">
        <f aca="false">IF(AND(OR(LEN(13_Buscador!$C$5)=0,ISNUMBER(SEARCH(13_Buscador!$C$5,$C86&amp;" "&amp;$D86&amp;" "&amp;$E86&amp;" "&amp;$F86&amp;" "&amp;$S86))),OR(13_Buscador!$C$6="Todas las listas",LEN(13_Buscador!$C$6)=0,13_Buscador!$C$6=$B86)),1,0)</f>
        <v>0</v>
      </c>
      <c r="W86" s="55" t="str">
        <f aca="false">IF(V86=1,SUM($V$2:V86),"")</f>
        <v/>
      </c>
    </row>
    <row r="87" customFormat="false" ht="15" hidden="false" customHeight="true" outlineLevel="0" collapsed="false">
      <c r="A87" s="55" t="n">
        <v>86</v>
      </c>
      <c r="B87" s="55" t="s">
        <v>3327</v>
      </c>
      <c r="C87" s="55" t="str">
        <f aca="false">IF(01_Desayunos!B87="","",01_Desayunos!B87)</f>
        <v>Panes y sándwiches</v>
      </c>
      <c r="D87" s="56" t="str">
        <f aca="false">IF(01_Desayunos!C87="","",01_Desayunos!C87)</f>
        <v>Pastel de acelga</v>
      </c>
      <c r="E87" s="56" t="str">
        <f aca="false">IF(01_Desayunos!D87="","",01_Desayunos!D87)</f>
        <v>Empanada de verdura</v>
      </c>
      <c r="F87" s="56" t="str">
        <f aca="false">IF(01_Desayunos!E87="","",01_Desayunos!E87)</f>
        <v>masa de trigo, acelga o espinaca, queso, cebolla</v>
      </c>
      <c r="G87" s="55" t="str">
        <f aca="false">IF(01_Desayunos!F87="","",01_Desayunos!F87)</f>
        <v>Porción</v>
      </c>
      <c r="H87" s="55" t="str">
        <f aca="false">IF(01_Desayunos!G87="","",01_Desayunos!G87)</f>
        <v>Económico</v>
      </c>
      <c r="I87" s="58" t="n">
        <f aca="false">IF(01_Desayunos!H87="","",01_Desayunos!H87)</f>
        <v>4</v>
      </c>
      <c r="J87" s="58" t="n">
        <f aca="false">IF(01_Desayunos!I87="","",01_Desayunos!I87)</f>
        <v>9</v>
      </c>
      <c r="K87" s="58" t="n">
        <f aca="false">IF(01_Desayunos!J87="","",01_Desayunos!J87)</f>
        <v>6.5</v>
      </c>
      <c r="L87" s="58" t="n">
        <f aca="false">IF(01_Desayunos!L87="","",01_Desayunos!L87)</f>
        <v>7.5</v>
      </c>
      <c r="M87" s="58" t="n">
        <f aca="false">IF(01_Desayunos!N87="","",01_Desayunos!N87)</f>
        <v>0.46</v>
      </c>
      <c r="N87" s="58" t="n">
        <f aca="false">IF(01_Desayunos!O87="","",01_Desayunos!O87)</f>
        <v>6.04</v>
      </c>
      <c r="O87" s="55" t="str">
        <f aca="false">IF(01_Desayunos!P87="","",01_Desayunos!P87)</f>
        <v>06:00-12:00</v>
      </c>
      <c r="P87" s="55" t="n">
        <f aca="false">IF(01_Desayunos!Q87="","",01_Desayunos!Q87)</f>
        <v>4</v>
      </c>
      <c r="Q87" s="55" t="str">
        <f aca="false">IF(01_Desayunos!R87="","",01_Desayunos!R87)</f>
        <v>Alto</v>
      </c>
      <c r="R87" s="55" t="str">
        <f aca="false">IF(01_Desayunos!S87="","",01_Desayunos!S87)</f>
        <v>Todo el año</v>
      </c>
      <c r="S87" s="55" t="str">
        <f aca="false">IF(01_Desayunos!T87="","",01_Desayunos!T87)</f>
        <v>Panadería, vegetariano</v>
      </c>
      <c r="T87" s="56" t="str">
        <f aca="false">IF(01_Desayunos!U87="","",01_Desayunos!U87)</f>
        <v/>
      </c>
      <c r="U87" s="55" t="n">
        <v>87</v>
      </c>
      <c r="V87" s="55" t="n">
        <f aca="false">IF(AND(OR(LEN(13_Buscador!$C$5)=0,ISNUMBER(SEARCH(13_Buscador!$C$5,$C87&amp;" "&amp;$D87&amp;" "&amp;$E87&amp;" "&amp;$F87&amp;" "&amp;$S87))),OR(13_Buscador!$C$6="Todas las listas",LEN(13_Buscador!$C$6)=0,13_Buscador!$C$6=$B87)),1,0)</f>
        <v>0</v>
      </c>
      <c r="W87" s="55" t="str">
        <f aca="false">IF(V87=1,SUM($V$2:V87),"")</f>
        <v/>
      </c>
    </row>
    <row r="88" customFormat="false" ht="15" hidden="false" customHeight="true" outlineLevel="0" collapsed="false">
      <c r="A88" s="55" t="n">
        <v>87</v>
      </c>
      <c r="B88" s="55" t="s">
        <v>3327</v>
      </c>
      <c r="C88" s="55" t="str">
        <f aca="false">IF(01_Desayunos!B88="","",01_Desayunos!B88)</f>
        <v>Bebidas calientes</v>
      </c>
      <c r="D88" s="56" t="str">
        <f aca="false">IF(01_Desayunos!C88="","",01_Desayunos!C88)</f>
        <v>Té de coca con miel</v>
      </c>
      <c r="E88" s="56" t="str">
        <f aca="false">IF(01_Desayunos!D88="","",01_Desayunos!D88)</f>
        <v>Infusión endulzada</v>
      </c>
      <c r="F88" s="56" t="str">
        <f aca="false">IF(01_Desayunos!E88="","",01_Desayunos!E88)</f>
        <v>hoja de coca, agua caliente</v>
      </c>
      <c r="G88" s="55" t="str">
        <f aca="false">IF(01_Desayunos!F88="","",01_Desayunos!F88)</f>
        <v>Taza</v>
      </c>
      <c r="H88" s="55" t="str">
        <f aca="false">IF(01_Desayunos!G88="","",01_Desayunos!G88)</f>
        <v>Económico</v>
      </c>
      <c r="I88" s="58" t="n">
        <f aca="false">IF(01_Desayunos!H88="","",01_Desayunos!H88)</f>
        <v>3</v>
      </c>
      <c r="J88" s="58" t="n">
        <f aca="false">IF(01_Desayunos!I88="","",01_Desayunos!I88)</f>
        <v>7</v>
      </c>
      <c r="K88" s="58" t="n">
        <f aca="false">IF(01_Desayunos!J88="","",01_Desayunos!J88)</f>
        <v>5</v>
      </c>
      <c r="L88" s="58" t="n">
        <f aca="false">IF(01_Desayunos!L88="","",01_Desayunos!L88)</f>
        <v>6</v>
      </c>
      <c r="M88" s="58" t="n">
        <f aca="false">IF(01_Desayunos!N88="","",01_Desayunos!N88)</f>
        <v>0.35</v>
      </c>
      <c r="N88" s="58" t="n">
        <f aca="false">IF(01_Desayunos!O88="","",01_Desayunos!O88)</f>
        <v>4.65</v>
      </c>
      <c r="O88" s="55" t="str">
        <f aca="false">IF(01_Desayunos!P88="","",01_Desayunos!P88)</f>
        <v>06:00-11:00</v>
      </c>
      <c r="P88" s="55" t="n">
        <f aca="false">IF(01_Desayunos!Q88="","",01_Desayunos!Q88)</f>
        <v>3</v>
      </c>
      <c r="Q88" s="55" t="str">
        <f aca="false">IF(01_Desayunos!R88="","",01_Desayunos!R88)</f>
        <v>Alto</v>
      </c>
      <c r="R88" s="55" t="str">
        <f aca="false">IF(01_Desayunos!S88="","",01_Desayunos!S88)</f>
        <v>Todo el año</v>
      </c>
      <c r="S88" s="55" t="str">
        <f aca="false">IF(01_Desayunos!T88="","",01_Desayunos!T88)</f>
        <v>Cafetería, hotel</v>
      </c>
      <c r="T88" s="56" t="str">
        <f aca="false">IF(01_Desayunos!U88="","",01_Desayunos!U88)</f>
        <v/>
      </c>
      <c r="U88" s="55" t="n">
        <v>88</v>
      </c>
      <c r="V88" s="55" t="n">
        <f aca="false">IF(AND(OR(LEN(13_Buscador!$C$5)=0,ISNUMBER(SEARCH(13_Buscador!$C$5,$C88&amp;" "&amp;$D88&amp;" "&amp;$E88&amp;" "&amp;$F88&amp;" "&amp;$S88))),OR(13_Buscador!$C$6="Todas las listas",LEN(13_Buscador!$C$6)=0,13_Buscador!$C$6=$B88)),1,0)</f>
        <v>0</v>
      </c>
      <c r="W88" s="55" t="str">
        <f aca="false">IF(V88=1,SUM($V$2:V88),"")</f>
        <v/>
      </c>
    </row>
    <row r="89" customFormat="false" ht="15" hidden="false" customHeight="true" outlineLevel="0" collapsed="false">
      <c r="A89" s="55" t="n">
        <v>88</v>
      </c>
      <c r="B89" s="55" t="s">
        <v>3327</v>
      </c>
      <c r="C89" s="55" t="str">
        <f aca="false">IF(01_Desayunos!B89="","",01_Desayunos!B89)</f>
        <v>Bebidas calientes</v>
      </c>
      <c r="D89" s="56" t="str">
        <f aca="false">IF(01_Desayunos!C89="","",01_Desayunos!C89)</f>
        <v>Anís de la casa</v>
      </c>
      <c r="E89" s="56" t="str">
        <f aca="false">IF(01_Desayunos!D89="","",01_Desayunos!D89)</f>
        <v>Infusión de anís</v>
      </c>
      <c r="F89" s="56" t="str">
        <f aca="false">IF(01_Desayunos!E89="","",01_Desayunos!E89)</f>
        <v>hierba aromática, agua caliente, azúcar</v>
      </c>
      <c r="G89" s="55" t="str">
        <f aca="false">IF(01_Desayunos!F89="","",01_Desayunos!F89)</f>
        <v>Taza</v>
      </c>
      <c r="H89" s="55" t="str">
        <f aca="false">IF(01_Desayunos!G89="","",01_Desayunos!G89)</f>
        <v>Económico</v>
      </c>
      <c r="I89" s="58" t="n">
        <f aca="false">IF(01_Desayunos!H89="","",01_Desayunos!H89)</f>
        <v>2</v>
      </c>
      <c r="J89" s="58" t="n">
        <f aca="false">IF(01_Desayunos!I89="","",01_Desayunos!I89)</f>
        <v>5</v>
      </c>
      <c r="K89" s="58" t="n">
        <f aca="false">IF(01_Desayunos!J89="","",01_Desayunos!J89)</f>
        <v>3.5</v>
      </c>
      <c r="L89" s="58" t="n">
        <f aca="false">IF(01_Desayunos!L89="","",01_Desayunos!L89)</f>
        <v>4.5</v>
      </c>
      <c r="M89" s="58" t="n">
        <f aca="false">IF(01_Desayunos!N89="","",01_Desayunos!N89)</f>
        <v>0.25</v>
      </c>
      <c r="N89" s="58" t="n">
        <f aca="false">IF(01_Desayunos!O89="","",01_Desayunos!O89)</f>
        <v>3.25</v>
      </c>
      <c r="O89" s="55" t="str">
        <f aca="false">IF(01_Desayunos!P89="","",01_Desayunos!P89)</f>
        <v>06:00-11:00</v>
      </c>
      <c r="P89" s="55" t="n">
        <f aca="false">IF(01_Desayunos!Q89="","",01_Desayunos!Q89)</f>
        <v>2</v>
      </c>
      <c r="Q89" s="55" t="str">
        <f aca="false">IF(01_Desayunos!R89="","",01_Desayunos!R89)</f>
        <v>Alto</v>
      </c>
      <c r="R89" s="55" t="str">
        <f aca="false">IF(01_Desayunos!S89="","",01_Desayunos!S89)</f>
        <v>Todo el año</v>
      </c>
      <c r="S89" s="55" t="str">
        <f aca="false">IF(01_Desayunos!T89="","",01_Desayunos!T89)</f>
        <v>Cafetería</v>
      </c>
      <c r="T89" s="56" t="str">
        <f aca="false">IF(01_Desayunos!U89="","",01_Desayunos!U89)</f>
        <v/>
      </c>
      <c r="U89" s="55" t="n">
        <v>89</v>
      </c>
      <c r="V89" s="55" t="n">
        <f aca="false">IF(AND(OR(LEN(13_Buscador!$C$5)=0,ISNUMBER(SEARCH(13_Buscador!$C$5,$C89&amp;" "&amp;$D89&amp;" "&amp;$E89&amp;" "&amp;$F89&amp;" "&amp;$S89))),OR(13_Buscador!$C$6="Todas las listas",LEN(13_Buscador!$C$6)=0,13_Buscador!$C$6=$B89)),1,0)</f>
        <v>0</v>
      </c>
      <c r="W89" s="55" t="str">
        <f aca="false">IF(V89=1,SUM($V$2:V89),"")</f>
        <v/>
      </c>
    </row>
    <row r="90" customFormat="false" ht="15" hidden="false" customHeight="true" outlineLevel="0" collapsed="false">
      <c r="A90" s="55" t="n">
        <v>89</v>
      </c>
      <c r="B90" s="55" t="s">
        <v>3327</v>
      </c>
      <c r="C90" s="55" t="str">
        <f aca="false">IF(01_Desayunos!B90="","",01_Desayunos!B90)</f>
        <v>Bebidas calientes</v>
      </c>
      <c r="D90" s="56" t="str">
        <f aca="false">IF(01_Desayunos!C90="","",01_Desayunos!C90)</f>
        <v>Cebada caliente</v>
      </c>
      <c r="E90" s="56" t="str">
        <f aca="false">IF(01_Desayunos!D90="","",01_Desayunos!D90)</f>
        <v>Bebida de cebada tostada</v>
      </c>
      <c r="F90" s="56" t="str">
        <f aca="false">IF(01_Desayunos!E90="","",01_Desayunos!E90)</f>
        <v>cebada tostada, agua, azúcar</v>
      </c>
      <c r="G90" s="55" t="str">
        <f aca="false">IF(01_Desayunos!F90="","",01_Desayunos!F90)</f>
        <v>Vaso 300 ml</v>
      </c>
      <c r="H90" s="55" t="str">
        <f aca="false">IF(01_Desayunos!G90="","",01_Desayunos!G90)</f>
        <v>Económico</v>
      </c>
      <c r="I90" s="58" t="n">
        <f aca="false">IF(01_Desayunos!H90="","",01_Desayunos!H90)</f>
        <v>2</v>
      </c>
      <c r="J90" s="58" t="n">
        <f aca="false">IF(01_Desayunos!I90="","",01_Desayunos!I90)</f>
        <v>5</v>
      </c>
      <c r="K90" s="58" t="n">
        <f aca="false">IF(01_Desayunos!J90="","",01_Desayunos!J90)</f>
        <v>3.5</v>
      </c>
      <c r="L90" s="58" t="n">
        <f aca="false">IF(01_Desayunos!L90="","",01_Desayunos!L90)</f>
        <v>4.5</v>
      </c>
      <c r="M90" s="58" t="n">
        <f aca="false">IF(01_Desayunos!N90="","",01_Desayunos!N90)</f>
        <v>0.25</v>
      </c>
      <c r="N90" s="58" t="n">
        <f aca="false">IF(01_Desayunos!O90="","",01_Desayunos!O90)</f>
        <v>3.25</v>
      </c>
      <c r="O90" s="55" t="str">
        <f aca="false">IF(01_Desayunos!P90="","",01_Desayunos!P90)</f>
        <v>05:00-09:00</v>
      </c>
      <c r="P90" s="55" t="n">
        <f aca="false">IF(01_Desayunos!Q90="","",01_Desayunos!Q90)</f>
        <v>2</v>
      </c>
      <c r="Q90" s="55" t="str">
        <f aca="false">IF(01_Desayunos!R90="","",01_Desayunos!R90)</f>
        <v>Medio</v>
      </c>
      <c r="R90" s="55" t="str">
        <f aca="false">IF(01_Desayunos!S90="","",01_Desayunos!S90)</f>
        <v>Mayor demanda en frío</v>
      </c>
      <c r="S90" s="55" t="str">
        <f aca="false">IF(01_Desayunos!T90="","",01_Desayunos!T90)</f>
        <v>Mercado</v>
      </c>
      <c r="T90" s="56" t="str">
        <f aca="false">IF(01_Desayunos!U90="","",01_Desayunos!U90)</f>
        <v/>
      </c>
      <c r="U90" s="55" t="n">
        <v>90</v>
      </c>
      <c r="V90" s="55" t="n">
        <f aca="false">IF(AND(OR(LEN(13_Buscador!$C$5)=0,ISNUMBER(SEARCH(13_Buscador!$C$5,$C90&amp;" "&amp;$D90&amp;" "&amp;$E90&amp;" "&amp;$F90&amp;" "&amp;$S90))),OR(13_Buscador!$C$6="Todas las listas",LEN(13_Buscador!$C$6)=0,13_Buscador!$C$6=$B90)),1,0)</f>
        <v>0</v>
      </c>
      <c r="W90" s="55" t="str">
        <f aca="false">IF(V90=1,SUM($V$2:V90),"")</f>
        <v/>
      </c>
    </row>
    <row r="91" customFormat="false" ht="15" hidden="false" customHeight="true" outlineLevel="0" collapsed="false">
      <c r="A91" s="55" t="n">
        <v>90</v>
      </c>
      <c r="B91" s="55" t="s">
        <v>3327</v>
      </c>
      <c r="C91" s="55" t="str">
        <f aca="false">IF(01_Desayunos!B91="","",01_Desayunos!B91)</f>
        <v>Bebidas calientes</v>
      </c>
      <c r="D91" s="56" t="str">
        <f aca="false">IF(01_Desayunos!C91="","",01_Desayunos!C91)</f>
        <v>Leche de soya caliente</v>
      </c>
      <c r="E91" s="56" t="str">
        <f aca="false">IF(01_Desayunos!D91="","",01_Desayunos!D91)</f>
        <v>Bebida vegetal</v>
      </c>
      <c r="F91" s="56" t="str">
        <f aca="false">IF(01_Desayunos!E91="","",01_Desayunos!E91)</f>
        <v>soya, agua, azúcar</v>
      </c>
      <c r="G91" s="55" t="str">
        <f aca="false">IF(01_Desayunos!F91="","",01_Desayunos!F91)</f>
        <v>Vaso 300 ml</v>
      </c>
      <c r="H91" s="55" t="str">
        <f aca="false">IF(01_Desayunos!G91="","",01_Desayunos!G91)</f>
        <v>Económico</v>
      </c>
      <c r="I91" s="58" t="n">
        <f aca="false">IF(01_Desayunos!H91="","",01_Desayunos!H91)</f>
        <v>3</v>
      </c>
      <c r="J91" s="58" t="n">
        <f aca="false">IF(01_Desayunos!I91="","",01_Desayunos!I91)</f>
        <v>7</v>
      </c>
      <c r="K91" s="58" t="n">
        <f aca="false">IF(01_Desayunos!J91="","",01_Desayunos!J91)</f>
        <v>5</v>
      </c>
      <c r="L91" s="58" t="n">
        <f aca="false">IF(01_Desayunos!L91="","",01_Desayunos!L91)</f>
        <v>6</v>
      </c>
      <c r="M91" s="58" t="n">
        <f aca="false">IF(01_Desayunos!N91="","",01_Desayunos!N91)</f>
        <v>0.35</v>
      </c>
      <c r="N91" s="58" t="n">
        <f aca="false">IF(01_Desayunos!O91="","",01_Desayunos!O91)</f>
        <v>4.65</v>
      </c>
      <c r="O91" s="55" t="str">
        <f aca="false">IF(01_Desayunos!P91="","",01_Desayunos!P91)</f>
        <v>05:00-09:00</v>
      </c>
      <c r="P91" s="55" t="n">
        <f aca="false">IF(01_Desayunos!Q91="","",01_Desayunos!Q91)</f>
        <v>3</v>
      </c>
      <c r="Q91" s="55" t="str">
        <f aca="false">IF(01_Desayunos!R91="","",01_Desayunos!R91)</f>
        <v>Medio</v>
      </c>
      <c r="R91" s="55" t="str">
        <f aca="false">IF(01_Desayunos!S91="","",01_Desayunos!S91)</f>
        <v>Todo el año</v>
      </c>
      <c r="S91" s="55" t="str">
        <f aca="false">IF(01_Desayunos!T91="","",01_Desayunos!T91)</f>
        <v>Juguería, vegetariano</v>
      </c>
      <c r="T91" s="56" t="str">
        <f aca="false">IF(01_Desayunos!U91="","",01_Desayunos!U91)</f>
        <v/>
      </c>
      <c r="U91" s="55" t="n">
        <v>91</v>
      </c>
      <c r="V91" s="55" t="n">
        <f aca="false">IF(AND(OR(LEN(13_Buscador!$C$5)=0,ISNUMBER(SEARCH(13_Buscador!$C$5,$C91&amp;" "&amp;$D91&amp;" "&amp;$E91&amp;" "&amp;$F91&amp;" "&amp;$S91))),OR(13_Buscador!$C$6="Todas las listas",LEN(13_Buscador!$C$6)=0,13_Buscador!$C$6=$B91)),1,0)</f>
        <v>0</v>
      </c>
      <c r="W91" s="55" t="str">
        <f aca="false">IF(V91=1,SUM($V$2:V91),"")</f>
        <v/>
      </c>
    </row>
    <row r="92" customFormat="false" ht="15" hidden="false" customHeight="true" outlineLevel="0" collapsed="false">
      <c r="A92" s="55" t="n">
        <v>91</v>
      </c>
      <c r="B92" s="55" t="s">
        <v>3327</v>
      </c>
      <c r="C92" s="55" t="str">
        <f aca="false">IF(01_Desayunos!B92="","",01_Desayunos!B92)</f>
        <v>Bebidas calientes</v>
      </c>
      <c r="D92" s="56" t="str">
        <f aca="false">IF(01_Desayunos!C92="","",01_Desayunos!C92)</f>
        <v>Café con leche de almendra</v>
      </c>
      <c r="E92" s="56" t="str">
        <f aca="false">IF(01_Desayunos!D92="","",01_Desayunos!D92)</f>
        <v>Opción sin lactosa</v>
      </c>
      <c r="F92" s="56" t="str">
        <f aca="false">IF(01_Desayunos!E92="","",01_Desayunos!E92)</f>
        <v>café molido, agua caliente</v>
      </c>
      <c r="G92" s="55" t="str">
        <f aca="false">IF(01_Desayunos!F92="","",01_Desayunos!F92)</f>
        <v>Taza</v>
      </c>
      <c r="H92" s="55" t="str">
        <f aca="false">IF(01_Desayunos!G92="","",01_Desayunos!G92)</f>
        <v>Estándar</v>
      </c>
      <c r="I92" s="58" t="n">
        <f aca="false">IF(01_Desayunos!H92="","",01_Desayunos!H92)</f>
        <v>8</v>
      </c>
      <c r="J92" s="58" t="n">
        <f aca="false">IF(01_Desayunos!I92="","",01_Desayunos!I92)</f>
        <v>16</v>
      </c>
      <c r="K92" s="58" t="n">
        <f aca="false">IF(01_Desayunos!J92="","",01_Desayunos!J92)</f>
        <v>12</v>
      </c>
      <c r="L92" s="58" t="n">
        <f aca="false">IF(01_Desayunos!L92="","",01_Desayunos!L92)</f>
        <v>13</v>
      </c>
      <c r="M92" s="58" t="n">
        <f aca="false">IF(01_Desayunos!N92="","",01_Desayunos!N92)</f>
        <v>1.08</v>
      </c>
      <c r="N92" s="58" t="n">
        <f aca="false">IF(01_Desayunos!O92="","",01_Desayunos!O92)</f>
        <v>10.92</v>
      </c>
      <c r="O92" s="55" t="str">
        <f aca="false">IF(01_Desayunos!P92="","",01_Desayunos!P92)</f>
        <v>07:00-11:00</v>
      </c>
      <c r="P92" s="55" t="n">
        <f aca="false">IF(01_Desayunos!Q92="","",01_Desayunos!Q92)</f>
        <v>5</v>
      </c>
      <c r="Q92" s="55" t="str">
        <f aca="false">IF(01_Desayunos!R92="","",01_Desayunos!R92)</f>
        <v>Medio</v>
      </c>
      <c r="R92" s="55" t="str">
        <f aca="false">IF(01_Desayunos!S92="","",01_Desayunos!S92)</f>
        <v>Todo el año</v>
      </c>
      <c r="S92" s="55" t="str">
        <f aca="false">IF(01_Desayunos!T92="","",01_Desayunos!T92)</f>
        <v>Cafetería</v>
      </c>
      <c r="T92" s="56" t="str">
        <f aca="false">IF(01_Desayunos!U92="","",01_Desayunos!U92)</f>
        <v>Nicho pequeño pero paga más</v>
      </c>
      <c r="U92" s="55" t="n">
        <v>92</v>
      </c>
      <c r="V92" s="55" t="n">
        <f aca="false">IF(AND(OR(LEN(13_Buscador!$C$5)=0,ISNUMBER(SEARCH(13_Buscador!$C$5,$C92&amp;" "&amp;$D92&amp;" "&amp;$E92&amp;" "&amp;$F92&amp;" "&amp;$S92))),OR(13_Buscador!$C$6="Todas las listas",LEN(13_Buscador!$C$6)=0,13_Buscador!$C$6=$B92)),1,0)</f>
        <v>0</v>
      </c>
      <c r="W92" s="55" t="str">
        <f aca="false">IF(V92=1,SUM($V$2:V92),"")</f>
        <v/>
      </c>
    </row>
    <row r="93" customFormat="false" ht="15" hidden="false" customHeight="true" outlineLevel="0" collapsed="false">
      <c r="A93" s="55" t="n">
        <v>92</v>
      </c>
      <c r="B93" s="55" t="s">
        <v>3327</v>
      </c>
      <c r="C93" s="55" t="str">
        <f aca="false">IF(01_Desayunos!B93="","",01_Desayunos!B93)</f>
        <v>Bebidas calientes</v>
      </c>
      <c r="D93" s="56" t="str">
        <f aca="false">IF(01_Desayunos!C93="","",01_Desayunos!C93)</f>
        <v>Chocolate con queso</v>
      </c>
      <c r="E93" s="56" t="str">
        <f aca="false">IF(01_Desayunos!D93="","",01_Desayunos!D93)</f>
        <v>Chocolate caliente con queso fresco</v>
      </c>
      <c r="F93" s="56" t="str">
        <f aca="false">IF(01_Desayunos!E93="","",01_Desayunos!E93)</f>
        <v>chocolate en barra o cocoa, leche, azúcar, canela</v>
      </c>
      <c r="G93" s="55" t="str">
        <f aca="false">IF(01_Desayunos!F93="","",01_Desayunos!F93)</f>
        <v>Taza</v>
      </c>
      <c r="H93" s="55" t="str">
        <f aca="false">IF(01_Desayunos!G93="","",01_Desayunos!G93)</f>
        <v>Económico</v>
      </c>
      <c r="I93" s="58" t="n">
        <f aca="false">IF(01_Desayunos!H93="","",01_Desayunos!H93)</f>
        <v>5</v>
      </c>
      <c r="J93" s="58" t="n">
        <f aca="false">IF(01_Desayunos!I93="","",01_Desayunos!I93)</f>
        <v>11</v>
      </c>
      <c r="K93" s="58" t="n">
        <f aca="false">IF(01_Desayunos!J93="","",01_Desayunos!J93)</f>
        <v>8</v>
      </c>
      <c r="L93" s="58" t="n">
        <f aca="false">IF(01_Desayunos!L93="","",01_Desayunos!L93)</f>
        <v>9</v>
      </c>
      <c r="M93" s="58" t="n">
        <f aca="false">IF(01_Desayunos!N93="","",01_Desayunos!N93)</f>
        <v>0.56</v>
      </c>
      <c r="N93" s="58" t="n">
        <f aca="false">IF(01_Desayunos!O93="","",01_Desayunos!O93)</f>
        <v>7.44</v>
      </c>
      <c r="O93" s="55" t="str">
        <f aca="false">IF(01_Desayunos!P93="","",01_Desayunos!P93)</f>
        <v>06:00-10:00</v>
      </c>
      <c r="P93" s="55" t="n">
        <f aca="false">IF(01_Desayunos!Q93="","",01_Desayunos!Q93)</f>
        <v>5</v>
      </c>
      <c r="Q93" s="55" t="str">
        <f aca="false">IF(01_Desayunos!R93="","",01_Desayunos!R93)</f>
        <v>Medio</v>
      </c>
      <c r="R93" s="55" t="str">
        <f aca="false">IF(01_Desayunos!S93="","",01_Desayunos!S93)</f>
        <v>Mayor demanda en frío</v>
      </c>
      <c r="S93" s="55" t="str">
        <f aca="false">IF(01_Desayunos!T93="","",01_Desayunos!T93)</f>
        <v>Cafetería, regional</v>
      </c>
      <c r="T93" s="56" t="str">
        <f aca="false">IF(01_Desayunos!U93="","",01_Desayunos!U93)</f>
        <v>Costumbre del altiplano</v>
      </c>
      <c r="U93" s="55" t="n">
        <v>93</v>
      </c>
      <c r="V93" s="55" t="n">
        <f aca="false">IF(AND(OR(LEN(13_Buscador!$C$5)=0,ISNUMBER(SEARCH(13_Buscador!$C$5,$C93&amp;" "&amp;$D93&amp;" "&amp;$E93&amp;" "&amp;$F93&amp;" "&amp;$S93))),OR(13_Buscador!$C$6="Todas las listas",LEN(13_Buscador!$C$6)=0,13_Buscador!$C$6=$B93)),1,0)</f>
        <v>0</v>
      </c>
      <c r="W93" s="55" t="str">
        <f aca="false">IF(V93=1,SUM($V$2:V93),"")</f>
        <v/>
      </c>
    </row>
    <row r="94" customFormat="false" ht="15" hidden="false" customHeight="true" outlineLevel="0" collapsed="false">
      <c r="A94" s="55" t="n">
        <v>93</v>
      </c>
      <c r="B94" s="55" t="s">
        <v>3328</v>
      </c>
      <c r="C94" s="55" t="str">
        <f aca="false">IF(02_Almuerzos!B2="","",02_Almuerzos!B2)</f>
        <v>Menú del día</v>
      </c>
      <c r="D94" s="56" t="str">
        <f aca="false">IF(02_Almuerzos!C2="","",02_Almuerzos!C2)</f>
        <v>Menú económico completo</v>
      </c>
      <c r="E94" s="56" t="str">
        <f aca="false">IF(02_Almuerzos!D2="","",02_Almuerzos!D2)</f>
        <v>Sopa + segundo + refresco</v>
      </c>
      <c r="F94" s="56" t="str">
        <f aca="false">IF(02_Almuerzos!E2="","",02_Almuerzos!E2)</f>
        <v>sopa del día, segundo del día, refresco o bebida</v>
      </c>
      <c r="G94" s="55" t="str">
        <f aca="false">IF(02_Almuerzos!F2="","",02_Almuerzos!F2)</f>
        <v>Bandeja</v>
      </c>
      <c r="H94" s="55" t="str">
        <f aca="false">IF(02_Almuerzos!G2="","",02_Almuerzos!G2)</f>
        <v>Económico</v>
      </c>
      <c r="I94" s="58" t="n">
        <f aca="false">IF(02_Almuerzos!H2="","",02_Almuerzos!H2)</f>
        <v>8</v>
      </c>
      <c r="J94" s="58" t="n">
        <f aca="false">IF(02_Almuerzos!I2="","",02_Almuerzos!I2)</f>
        <v>10</v>
      </c>
      <c r="K94" s="58" t="n">
        <f aca="false">IF(02_Almuerzos!J2="","",02_Almuerzos!J2)</f>
        <v>9</v>
      </c>
      <c r="L94" s="58" t="n">
        <f aca="false">IF(02_Almuerzos!L2="","",02_Almuerzos!L2)</f>
        <v>10</v>
      </c>
      <c r="M94" s="58" t="n">
        <f aca="false">IF(02_Almuerzos!N2="","",02_Almuerzos!N2)</f>
        <v>0.63</v>
      </c>
      <c r="N94" s="58" t="n">
        <f aca="false">IF(02_Almuerzos!O2="","",02_Almuerzos!O2)</f>
        <v>8.37</v>
      </c>
      <c r="O94" s="55" t="str">
        <f aca="false">IF(02_Almuerzos!P2="","",02_Almuerzos!P2)</f>
        <v>12:00-14:30</v>
      </c>
      <c r="P94" s="55" t="n">
        <f aca="false">IF(02_Almuerzos!Q2="","",02_Almuerzos!Q2)</f>
        <v>8</v>
      </c>
      <c r="Q94" s="55" t="str">
        <f aca="false">IF(02_Almuerzos!R2="","",02_Almuerzos!R2)</f>
        <v>Alto</v>
      </c>
      <c r="R94" s="55" t="str">
        <f aca="false">IF(02_Almuerzos!S2="","",02_Almuerzos!S2)</f>
        <v>Todo el año</v>
      </c>
      <c r="S94" s="55" t="str">
        <f aca="false">IF(02_Almuerzos!T2="","",02_Almuerzos!T2)</f>
        <v>Menú popular</v>
      </c>
      <c r="T94" s="56" t="str">
        <f aca="false">IF(02_Almuerzos!U2="","",02_Almuerzos!U2)</f>
        <v>PRODUCTO ANCLA de ComeYa</v>
      </c>
      <c r="U94" s="55" t="n">
        <v>2</v>
      </c>
      <c r="V94" s="55" t="n">
        <f aca="false">IF(AND(OR(LEN(13_Buscador!$C$5)=0,ISNUMBER(SEARCH(13_Buscador!$C$5,$C94&amp;" "&amp;$D94&amp;" "&amp;$E94&amp;" "&amp;$F94&amp;" "&amp;$S94))),OR(13_Buscador!$C$6="Todas las listas",LEN(13_Buscador!$C$6)=0,13_Buscador!$C$6=$B94)),1,0)</f>
        <v>0</v>
      </c>
      <c r="W94" s="55" t="str">
        <f aca="false">IF(V94=1,SUM($V$2:V94),"")</f>
        <v/>
      </c>
    </row>
    <row r="95" customFormat="false" ht="23.25" hidden="false" customHeight="true" outlineLevel="0" collapsed="false">
      <c r="A95" s="55" t="n">
        <v>94</v>
      </c>
      <c r="B95" s="55" t="s">
        <v>3328</v>
      </c>
      <c r="C95" s="55" t="str">
        <f aca="false">IF(02_Almuerzos!B3="","",02_Almuerzos!B3)</f>
        <v>Menú del día</v>
      </c>
      <c r="D95" s="56" t="str">
        <f aca="false">IF(02_Almuerzos!C3="","",02_Almuerzos!C3)</f>
        <v>Menú estándar</v>
      </c>
      <c r="E95" s="56" t="str">
        <f aca="false">IF(02_Almuerzos!D3="","",02_Almuerzos!D3)</f>
        <v>Sopa + segundo con mejor porción + bebida</v>
      </c>
      <c r="F95" s="56" t="str">
        <f aca="false">IF(02_Almuerzos!E3="","",02_Almuerzos!E3)</f>
        <v>sopa del día, segundo del día, refresco o bebida</v>
      </c>
      <c r="G95" s="55" t="str">
        <f aca="false">IF(02_Almuerzos!F3="","",02_Almuerzos!F3)</f>
        <v>Bandeja</v>
      </c>
      <c r="H95" s="55" t="str">
        <f aca="false">IF(02_Almuerzos!G3="","",02_Almuerzos!G3)</f>
        <v>Estándar</v>
      </c>
      <c r="I95" s="58" t="n">
        <f aca="false">IF(02_Almuerzos!H3="","",02_Almuerzos!H3)</f>
        <v>11</v>
      </c>
      <c r="J95" s="58" t="n">
        <f aca="false">IF(02_Almuerzos!I3="","",02_Almuerzos!I3)</f>
        <v>14</v>
      </c>
      <c r="K95" s="58" t="n">
        <f aca="false">IF(02_Almuerzos!J3="","",02_Almuerzos!J3)</f>
        <v>12.5</v>
      </c>
      <c r="L95" s="58" t="n">
        <f aca="false">IF(02_Almuerzos!L3="","",02_Almuerzos!L3)</f>
        <v>13.5</v>
      </c>
      <c r="M95" s="58" t="n">
        <f aca="false">IF(02_Almuerzos!N3="","",02_Almuerzos!N3)</f>
        <v>1.13</v>
      </c>
      <c r="N95" s="58" t="n">
        <f aca="false">IF(02_Almuerzos!O3="","",02_Almuerzos!O3)</f>
        <v>11.37</v>
      </c>
      <c r="O95" s="55" t="str">
        <f aca="false">IF(02_Almuerzos!P3="","",02_Almuerzos!P3)</f>
        <v>12:00-14:30</v>
      </c>
      <c r="P95" s="55" t="n">
        <f aca="false">IF(02_Almuerzos!Q3="","",02_Almuerzos!Q3)</f>
        <v>8</v>
      </c>
      <c r="Q95" s="55" t="str">
        <f aca="false">IF(02_Almuerzos!R3="","",02_Almuerzos!R3)</f>
        <v>Alto</v>
      </c>
      <c r="R95" s="55" t="str">
        <f aca="false">IF(02_Almuerzos!S3="","",02_Almuerzos!S3)</f>
        <v>Todo el año</v>
      </c>
      <c r="S95" s="55" t="str">
        <f aca="false">IF(02_Almuerzos!T3="","",02_Almuerzos!T3)</f>
        <v>Menú, restaurante</v>
      </c>
      <c r="T95" s="56" t="str">
        <f aca="false">IF(02_Almuerzos!U3="","",02_Almuerzos!U3)</f>
        <v>Ticket de oficina</v>
      </c>
      <c r="U95" s="55" t="n">
        <v>3</v>
      </c>
      <c r="V95" s="55" t="n">
        <f aca="false">IF(AND(OR(LEN(13_Buscador!$C$5)=0,ISNUMBER(SEARCH(13_Buscador!$C$5,$C95&amp;" "&amp;$D95&amp;" "&amp;$E95&amp;" "&amp;$F95&amp;" "&amp;$S95))),OR(13_Buscador!$C$6="Todas las listas",LEN(13_Buscador!$C$6)=0,13_Buscador!$C$6=$B95)),1,0)</f>
        <v>0</v>
      </c>
      <c r="W95" s="55" t="str">
        <f aca="false">IF(V95=1,SUM($V$2:V95),"")</f>
        <v/>
      </c>
    </row>
    <row r="96" customFormat="false" ht="15" hidden="false" customHeight="true" outlineLevel="0" collapsed="false">
      <c r="A96" s="55" t="n">
        <v>95</v>
      </c>
      <c r="B96" s="55" t="s">
        <v>3328</v>
      </c>
      <c r="C96" s="55" t="str">
        <f aca="false">IF(02_Almuerzos!B4="","",02_Almuerzos!B4)</f>
        <v>Menú del día</v>
      </c>
      <c r="D96" s="56" t="str">
        <f aca="false">IF(02_Almuerzos!C4="","",02_Almuerzos!C4)</f>
        <v>Menú ejecutivo</v>
      </c>
      <c r="E96" s="56" t="str">
        <f aca="false">IF(02_Almuerzos!D4="","",02_Almuerzos!D4)</f>
        <v>Entrada + segundo + postre + bebida</v>
      </c>
      <c r="F96" s="56" t="str">
        <f aca="false">IF(02_Almuerzos!E4="","",02_Almuerzos!E4)</f>
        <v>sopa del día, segundo del día, refresco o bebida</v>
      </c>
      <c r="G96" s="55" t="str">
        <f aca="false">IF(02_Almuerzos!F4="","",02_Almuerzos!F4)</f>
        <v>Bandeja</v>
      </c>
      <c r="H96" s="55" t="str">
        <f aca="false">IF(02_Almuerzos!G4="","",02_Almuerzos!G4)</f>
        <v>Medio</v>
      </c>
      <c r="I96" s="58" t="n">
        <f aca="false">IF(02_Almuerzos!H4="","",02_Almuerzos!H4)</f>
        <v>15</v>
      </c>
      <c r="J96" s="58" t="n">
        <f aca="false">IF(02_Almuerzos!I4="","",02_Almuerzos!I4)</f>
        <v>20</v>
      </c>
      <c r="K96" s="58" t="n">
        <f aca="false">IF(02_Almuerzos!J4="","",02_Almuerzos!J4)</f>
        <v>17.5</v>
      </c>
      <c r="L96" s="58" t="n">
        <f aca="false">IF(02_Almuerzos!L4="","",02_Almuerzos!L4)</f>
        <v>18.5</v>
      </c>
      <c r="M96" s="58" t="n">
        <f aca="false">IF(02_Almuerzos!N4="","",02_Almuerzos!N4)</f>
        <v>1.93</v>
      </c>
      <c r="N96" s="58" t="n">
        <f aca="false">IF(02_Almuerzos!O4="","",02_Almuerzos!O4)</f>
        <v>15.57</v>
      </c>
      <c r="O96" s="55" t="str">
        <f aca="false">IF(02_Almuerzos!P4="","",02_Almuerzos!P4)</f>
        <v>12:00-14:30</v>
      </c>
      <c r="P96" s="55" t="n">
        <f aca="false">IF(02_Almuerzos!Q4="","",02_Almuerzos!Q4)</f>
        <v>12</v>
      </c>
      <c r="Q96" s="55" t="str">
        <f aca="false">IF(02_Almuerzos!R4="","",02_Almuerzos!R4)</f>
        <v>Alto</v>
      </c>
      <c r="R96" s="55" t="str">
        <f aca="false">IF(02_Almuerzos!S4="","",02_Almuerzos!S4)</f>
        <v>Todo el año</v>
      </c>
      <c r="S96" s="55" t="str">
        <f aca="false">IF(02_Almuerzos!T4="","",02_Almuerzos!T4)</f>
        <v>Restaurante</v>
      </c>
      <c r="T96" s="56" t="str">
        <f aca="false">IF(02_Almuerzos!U4="","",02_Almuerzos!U4)</f>
        <v>Para instituciones y empresas</v>
      </c>
      <c r="U96" s="55" t="n">
        <v>4</v>
      </c>
      <c r="V96" s="55" t="n">
        <f aca="false">IF(AND(OR(LEN(13_Buscador!$C$5)=0,ISNUMBER(SEARCH(13_Buscador!$C$5,$C96&amp;" "&amp;$D96&amp;" "&amp;$E96&amp;" "&amp;$F96&amp;" "&amp;$S96))),OR(13_Buscador!$C$6="Todas las listas",LEN(13_Buscador!$C$6)=0,13_Buscador!$C$6=$B96)),1,0)</f>
        <v>0</v>
      </c>
      <c r="W96" s="55" t="str">
        <f aca="false">IF(V96=1,SUM($V$2:V96),"")</f>
        <v/>
      </c>
    </row>
    <row r="97" customFormat="false" ht="15" hidden="false" customHeight="true" outlineLevel="0" collapsed="false">
      <c r="A97" s="55" t="n">
        <v>96</v>
      </c>
      <c r="B97" s="55" t="s">
        <v>3328</v>
      </c>
      <c r="C97" s="55" t="str">
        <f aca="false">IF(02_Almuerzos!B5="","",02_Almuerzos!B5)</f>
        <v>Menú del día</v>
      </c>
      <c r="D97" s="56" t="str">
        <f aca="false">IF(02_Almuerzos!C5="","",02_Almuerzos!C5)</f>
        <v>Solo segundo (sin sopa)</v>
      </c>
      <c r="E97" s="56" t="str">
        <f aca="false">IF(02_Almuerzos!D5="","",02_Almuerzos!D5)</f>
        <v>Segundo con arroz</v>
      </c>
      <c r="F97" s="56" t="str">
        <f aca="false">IF(02_Almuerzos!E5="","",02_Almuerzos!E5)</f>
        <v>caldo, verduras, papa, presa, sal</v>
      </c>
      <c r="G97" s="55" t="str">
        <f aca="false">IF(02_Almuerzos!F5="","",02_Almuerzos!F5)</f>
        <v>Plato</v>
      </c>
      <c r="H97" s="55" t="str">
        <f aca="false">IF(02_Almuerzos!G5="","",02_Almuerzos!G5)</f>
        <v>Económico</v>
      </c>
      <c r="I97" s="58" t="n">
        <f aca="false">IF(02_Almuerzos!H5="","",02_Almuerzos!H5)</f>
        <v>6</v>
      </c>
      <c r="J97" s="58" t="n">
        <f aca="false">IF(02_Almuerzos!I5="","",02_Almuerzos!I5)</f>
        <v>9</v>
      </c>
      <c r="K97" s="58" t="n">
        <f aca="false">IF(02_Almuerzos!J5="","",02_Almuerzos!J5)</f>
        <v>7.5</v>
      </c>
      <c r="L97" s="58" t="n">
        <f aca="false">IF(02_Almuerzos!L5="","",02_Almuerzos!L5)</f>
        <v>8.5</v>
      </c>
      <c r="M97" s="58" t="n">
        <f aca="false">IF(02_Almuerzos!N5="","",02_Almuerzos!N5)</f>
        <v>0.53</v>
      </c>
      <c r="N97" s="58" t="n">
        <f aca="false">IF(02_Almuerzos!O5="","",02_Almuerzos!O5)</f>
        <v>6.97</v>
      </c>
      <c r="O97" s="55" t="str">
        <f aca="false">IF(02_Almuerzos!P5="","",02_Almuerzos!P5)</f>
        <v>12:00-15:00</v>
      </c>
      <c r="P97" s="55" t="n">
        <f aca="false">IF(02_Almuerzos!Q5="","",02_Almuerzos!Q5)</f>
        <v>6</v>
      </c>
      <c r="Q97" s="55" t="str">
        <f aca="false">IF(02_Almuerzos!R5="","",02_Almuerzos!R5)</f>
        <v>Alto</v>
      </c>
      <c r="R97" s="55" t="str">
        <f aca="false">IF(02_Almuerzos!S5="","",02_Almuerzos!S5)</f>
        <v>Todo el año</v>
      </c>
      <c r="S97" s="55" t="str">
        <f aca="false">IF(02_Almuerzos!T5="","",02_Almuerzos!T5)</f>
        <v>Menú popular</v>
      </c>
      <c r="T97" s="56" t="str">
        <f aca="false">IF(02_Almuerzos!U5="","",02_Almuerzos!U5)</f>
        <v>Opción de menor ticket</v>
      </c>
      <c r="U97" s="55" t="n">
        <v>5</v>
      </c>
      <c r="V97" s="55" t="n">
        <f aca="false">IF(AND(OR(LEN(13_Buscador!$C$5)=0,ISNUMBER(SEARCH(13_Buscador!$C$5,$C97&amp;" "&amp;$D97&amp;" "&amp;$E97&amp;" "&amp;$F97&amp;" "&amp;$S97))),OR(13_Buscador!$C$6="Todas las listas",LEN(13_Buscador!$C$6)=0,13_Buscador!$C$6=$B97)),1,0)</f>
        <v>0</v>
      </c>
      <c r="W97" s="55" t="str">
        <f aca="false">IF(V97=1,SUM($V$2:V97),"")</f>
        <v/>
      </c>
    </row>
    <row r="98" customFormat="false" ht="15" hidden="false" customHeight="true" outlineLevel="0" collapsed="false">
      <c r="A98" s="55" t="n">
        <v>97</v>
      </c>
      <c r="B98" s="55" t="s">
        <v>3328</v>
      </c>
      <c r="C98" s="55" t="str">
        <f aca="false">IF(02_Almuerzos!B6="","",02_Almuerzos!B6)</f>
        <v>Menú del día</v>
      </c>
      <c r="D98" s="56" t="str">
        <f aca="false">IF(02_Almuerzos!C6="","",02_Almuerzos!C6)</f>
        <v>Solo sopa</v>
      </c>
      <c r="E98" s="56" t="str">
        <f aca="false">IF(02_Almuerzos!D6="","",02_Almuerzos!D6)</f>
        <v>Sopa del día</v>
      </c>
      <c r="F98" s="56" t="str">
        <f aca="false">IF(02_Almuerzos!E6="","",02_Almuerzos!E6)</f>
        <v>caldo, verduras, papa, presa, sal</v>
      </c>
      <c r="G98" s="55" t="str">
        <f aca="false">IF(02_Almuerzos!F6="","",02_Almuerzos!F6)</f>
        <v>Plato hondo</v>
      </c>
      <c r="H98" s="55" t="str">
        <f aca="false">IF(02_Almuerzos!G6="","",02_Almuerzos!G6)</f>
        <v>Económico</v>
      </c>
      <c r="I98" s="58" t="n">
        <f aca="false">IF(02_Almuerzos!H6="","",02_Almuerzos!H6)</f>
        <v>4</v>
      </c>
      <c r="J98" s="58" t="n">
        <f aca="false">IF(02_Almuerzos!I6="","",02_Almuerzos!I6)</f>
        <v>7</v>
      </c>
      <c r="K98" s="58" t="n">
        <f aca="false">IF(02_Almuerzos!J6="","",02_Almuerzos!J6)</f>
        <v>5.5</v>
      </c>
      <c r="L98" s="58" t="n">
        <f aca="false">IF(02_Almuerzos!L6="","",02_Almuerzos!L6)</f>
        <v>6.5</v>
      </c>
      <c r="M98" s="58" t="n">
        <f aca="false">IF(02_Almuerzos!N6="","",02_Almuerzos!N6)</f>
        <v>0.39</v>
      </c>
      <c r="N98" s="58" t="n">
        <f aca="false">IF(02_Almuerzos!O6="","",02_Almuerzos!O6)</f>
        <v>5.11</v>
      </c>
      <c r="O98" s="55" t="str">
        <f aca="false">IF(02_Almuerzos!P6="","",02_Almuerzos!P6)</f>
        <v>12:00-15:00</v>
      </c>
      <c r="P98" s="55" t="n">
        <f aca="false">IF(02_Almuerzos!Q6="","",02_Almuerzos!Q6)</f>
        <v>5</v>
      </c>
      <c r="Q98" s="55" t="str">
        <f aca="false">IF(02_Almuerzos!R6="","",02_Almuerzos!R6)</f>
        <v>Medio</v>
      </c>
      <c r="R98" s="55" t="str">
        <f aca="false">IF(02_Almuerzos!S6="","",02_Almuerzos!S6)</f>
        <v>Todo el año</v>
      </c>
      <c r="S98" s="55" t="str">
        <f aca="false">IF(02_Almuerzos!T6="","",02_Almuerzos!T6)</f>
        <v>Menú popular</v>
      </c>
      <c r="T98" s="56" t="str">
        <f aca="false">IF(02_Almuerzos!U6="","",02_Almuerzos!U6)</f>
        <v/>
      </c>
      <c r="U98" s="55" t="n">
        <v>6</v>
      </c>
      <c r="V98" s="55" t="n">
        <f aca="false">IF(AND(OR(LEN(13_Buscador!$C$5)=0,ISNUMBER(SEARCH(13_Buscador!$C$5,$C98&amp;" "&amp;$D98&amp;" "&amp;$E98&amp;" "&amp;$F98&amp;" "&amp;$S98))),OR(13_Buscador!$C$6="Todas las listas",LEN(13_Buscador!$C$6)=0,13_Buscador!$C$6=$B98)),1,0)</f>
        <v>0</v>
      </c>
      <c r="W98" s="55" t="str">
        <f aca="false">IF(V98=1,SUM($V$2:V98),"")</f>
        <v/>
      </c>
    </row>
    <row r="99" customFormat="false" ht="23.25" hidden="false" customHeight="true" outlineLevel="0" collapsed="false">
      <c r="A99" s="55" t="n">
        <v>98</v>
      </c>
      <c r="B99" s="55" t="s">
        <v>3328</v>
      </c>
      <c r="C99" s="55" t="str">
        <f aca="false">IF(02_Almuerzos!B7="","",02_Almuerzos!B7)</f>
        <v>Menú del día</v>
      </c>
      <c r="D99" s="56" t="str">
        <f aca="false">IF(02_Almuerzos!C7="","",02_Almuerzos!C7)</f>
        <v>Menú vegetariano</v>
      </c>
      <c r="E99" s="56" t="str">
        <f aca="false">IF(02_Almuerzos!D7="","",02_Almuerzos!D7)</f>
        <v>Sopa + segundo sin carne + refresco</v>
      </c>
      <c r="F99" s="56" t="str">
        <f aca="false">IF(02_Almuerzos!E7="","",02_Almuerzos!E7)</f>
        <v>sopa sin carne, segundo a base de vegetales o legumbres, refresco</v>
      </c>
      <c r="G99" s="55" t="str">
        <f aca="false">IF(02_Almuerzos!F7="","",02_Almuerzos!F7)</f>
        <v>Bandeja</v>
      </c>
      <c r="H99" s="55" t="str">
        <f aca="false">IF(02_Almuerzos!G7="","",02_Almuerzos!G7)</f>
        <v>Estándar</v>
      </c>
      <c r="I99" s="58" t="n">
        <f aca="false">IF(02_Almuerzos!H7="","",02_Almuerzos!H7)</f>
        <v>10</v>
      </c>
      <c r="J99" s="58" t="n">
        <f aca="false">IF(02_Almuerzos!I7="","",02_Almuerzos!I7)</f>
        <v>14</v>
      </c>
      <c r="K99" s="58" t="n">
        <f aca="false">IF(02_Almuerzos!J7="","",02_Almuerzos!J7)</f>
        <v>12</v>
      </c>
      <c r="L99" s="58" t="n">
        <f aca="false">IF(02_Almuerzos!L7="","",02_Almuerzos!L7)</f>
        <v>13</v>
      </c>
      <c r="M99" s="58" t="n">
        <f aca="false">IF(02_Almuerzos!N7="","",02_Almuerzos!N7)</f>
        <v>1.08</v>
      </c>
      <c r="N99" s="58" t="n">
        <f aca="false">IF(02_Almuerzos!O7="","",02_Almuerzos!O7)</f>
        <v>10.92</v>
      </c>
      <c r="O99" s="55" t="str">
        <f aca="false">IF(02_Almuerzos!P7="","",02_Almuerzos!P7)</f>
        <v>12:00-14:30</v>
      </c>
      <c r="P99" s="55" t="n">
        <f aca="false">IF(02_Almuerzos!Q7="","",02_Almuerzos!Q7)</f>
        <v>8</v>
      </c>
      <c r="Q99" s="55" t="str">
        <f aca="false">IF(02_Almuerzos!R7="","",02_Almuerzos!R7)</f>
        <v>Alto</v>
      </c>
      <c r="R99" s="55" t="str">
        <f aca="false">IF(02_Almuerzos!S7="","",02_Almuerzos!S7)</f>
        <v>Todo el año</v>
      </c>
      <c r="S99" s="55" t="str">
        <f aca="false">IF(02_Almuerzos!T7="","",02_Almuerzos!T7)</f>
        <v>Vegetariano</v>
      </c>
      <c r="T99" s="56" t="str">
        <f aca="false">IF(02_Almuerzos!U7="","",02_Almuerzos!U7)</f>
        <v>Nicho creciente</v>
      </c>
      <c r="U99" s="55" t="n">
        <v>7</v>
      </c>
      <c r="V99" s="55" t="n">
        <f aca="false">IF(AND(OR(LEN(13_Buscador!$C$5)=0,ISNUMBER(SEARCH(13_Buscador!$C$5,$C99&amp;" "&amp;$D99&amp;" "&amp;$E99&amp;" "&amp;$F99&amp;" "&amp;$S99))),OR(13_Buscador!$C$6="Todas las listas",LEN(13_Buscador!$C$6)=0,13_Buscador!$C$6=$B99)),1,0)</f>
        <v>0</v>
      </c>
      <c r="W99" s="55" t="str">
        <f aca="false">IF(V99=1,SUM($V$2:V99),"")</f>
        <v/>
      </c>
    </row>
    <row r="100" customFormat="false" ht="15" hidden="false" customHeight="true" outlineLevel="0" collapsed="false">
      <c r="A100" s="55" t="n">
        <v>99</v>
      </c>
      <c r="B100" s="55" t="s">
        <v>3328</v>
      </c>
      <c r="C100" s="55" t="str">
        <f aca="false">IF(02_Almuerzos!B8="","",02_Almuerzos!B8)</f>
        <v>Menú del día</v>
      </c>
      <c r="D100" s="56" t="str">
        <f aca="false">IF(02_Almuerzos!C8="","",02_Almuerzos!C8)</f>
        <v>Menú doble porción</v>
      </c>
      <c r="E100" s="56" t="str">
        <f aca="false">IF(02_Almuerzos!D8="","",02_Almuerzos!D8)</f>
        <v>Segundo con porción reforzada</v>
      </c>
      <c r="F100" s="56" t="str">
        <f aca="false">IF(02_Almuerzos!E8="","",02_Almuerzos!E8)</f>
        <v>sopa del día, segundo del día, refresco o bebida</v>
      </c>
      <c r="G100" s="55" t="str">
        <f aca="false">IF(02_Almuerzos!F8="","",02_Almuerzos!F8)</f>
        <v>Bandeja</v>
      </c>
      <c r="H100" s="55" t="str">
        <f aca="false">IF(02_Almuerzos!G8="","",02_Almuerzos!G8)</f>
        <v>Estándar</v>
      </c>
      <c r="I100" s="58" t="n">
        <f aca="false">IF(02_Almuerzos!H8="","",02_Almuerzos!H8)</f>
        <v>12</v>
      </c>
      <c r="J100" s="58" t="n">
        <f aca="false">IF(02_Almuerzos!I8="","",02_Almuerzos!I8)</f>
        <v>16</v>
      </c>
      <c r="K100" s="58" t="n">
        <f aca="false">IF(02_Almuerzos!J8="","",02_Almuerzos!J8)</f>
        <v>14</v>
      </c>
      <c r="L100" s="58" t="n">
        <f aca="false">IF(02_Almuerzos!L8="","",02_Almuerzos!L8)</f>
        <v>15</v>
      </c>
      <c r="M100" s="58" t="n">
        <f aca="false">IF(02_Almuerzos!N8="","",02_Almuerzos!N8)</f>
        <v>1.26</v>
      </c>
      <c r="N100" s="58" t="n">
        <f aca="false">IF(02_Almuerzos!O8="","",02_Almuerzos!O8)</f>
        <v>12.74</v>
      </c>
      <c r="O100" s="55" t="str">
        <f aca="false">IF(02_Almuerzos!P8="","",02_Almuerzos!P8)</f>
        <v>12:00-14:30</v>
      </c>
      <c r="P100" s="55" t="n">
        <f aca="false">IF(02_Almuerzos!Q8="","",02_Almuerzos!Q8)</f>
        <v>8</v>
      </c>
      <c r="Q100" s="55" t="str">
        <f aca="false">IF(02_Almuerzos!R8="","",02_Almuerzos!R8)</f>
        <v>Alto</v>
      </c>
      <c r="R100" s="55" t="str">
        <f aca="false">IF(02_Almuerzos!S8="","",02_Almuerzos!S8)</f>
        <v>Todo el año</v>
      </c>
      <c r="S100" s="55" t="str">
        <f aca="false">IF(02_Almuerzos!T8="","",02_Almuerzos!T8)</f>
        <v>Menú popular</v>
      </c>
      <c r="T100" s="56" t="str">
        <f aca="false">IF(02_Almuerzos!U8="","",02_Almuerzos!U8)</f>
        <v>Pedido por obreros y transportistas</v>
      </c>
      <c r="U100" s="55" t="n">
        <v>8</v>
      </c>
      <c r="V100" s="55" t="n">
        <f aca="false">IF(AND(OR(LEN(13_Buscador!$C$5)=0,ISNUMBER(SEARCH(13_Buscador!$C$5,$C100&amp;" "&amp;$D100&amp;" "&amp;$E100&amp;" "&amp;$F100&amp;" "&amp;$S100))),OR(13_Buscador!$C$6="Todas las listas",LEN(13_Buscador!$C$6)=0,13_Buscador!$C$6=$B100)),1,0)</f>
        <v>0</v>
      </c>
      <c r="W100" s="55" t="str">
        <f aca="false">IF(V100=1,SUM($V$2:V100),"")</f>
        <v/>
      </c>
    </row>
    <row r="101" customFormat="false" ht="15" hidden="false" customHeight="true" outlineLevel="0" collapsed="false">
      <c r="A101" s="55" t="n">
        <v>100</v>
      </c>
      <c r="B101" s="55" t="s">
        <v>3328</v>
      </c>
      <c r="C101" s="55" t="str">
        <f aca="false">IF(02_Almuerzos!B9="","",02_Almuerzos!B9)</f>
        <v>Menú del día</v>
      </c>
      <c r="D101" s="56" t="str">
        <f aca="false">IF(02_Almuerzos!C9="","",02_Almuerzos!C9)</f>
        <v>Menú para llevar en táper</v>
      </c>
      <c r="E101" s="56" t="str">
        <f aca="false">IF(02_Almuerzos!D9="","",02_Almuerzos!D9)</f>
        <v>Menú completo empacado</v>
      </c>
      <c r="F101" s="56" t="str">
        <f aca="false">IF(02_Almuerzos!E9="","",02_Almuerzos!E9)</f>
        <v>sopa del día, segundo del día, refresco o bebida</v>
      </c>
      <c r="G101" s="55" t="str">
        <f aca="false">IF(02_Almuerzos!F9="","",02_Almuerzos!F9)</f>
        <v>Táper</v>
      </c>
      <c r="H101" s="55" t="str">
        <f aca="false">IF(02_Almuerzos!G9="","",02_Almuerzos!G9)</f>
        <v>Económico</v>
      </c>
      <c r="I101" s="58" t="n">
        <f aca="false">IF(02_Almuerzos!H9="","",02_Almuerzos!H9)</f>
        <v>9</v>
      </c>
      <c r="J101" s="58" t="n">
        <f aca="false">IF(02_Almuerzos!I9="","",02_Almuerzos!I9)</f>
        <v>12</v>
      </c>
      <c r="K101" s="58" t="n">
        <f aca="false">IF(02_Almuerzos!J9="","",02_Almuerzos!J9)</f>
        <v>10.5</v>
      </c>
      <c r="L101" s="58" t="n">
        <f aca="false">IF(02_Almuerzos!L9="","",02_Almuerzos!L9)</f>
        <v>11.5</v>
      </c>
      <c r="M101" s="58" t="n">
        <f aca="false">IF(02_Almuerzos!N9="","",02_Almuerzos!N9)</f>
        <v>0.74</v>
      </c>
      <c r="N101" s="58" t="n">
        <f aca="false">IF(02_Almuerzos!O9="","",02_Almuerzos!O9)</f>
        <v>9.76</v>
      </c>
      <c r="O101" s="55" t="str">
        <f aca="false">IF(02_Almuerzos!P9="","",02_Almuerzos!P9)</f>
        <v>11:30-14:30</v>
      </c>
      <c r="P101" s="55" t="n">
        <f aca="false">IF(02_Almuerzos!Q9="","",02_Almuerzos!Q9)</f>
        <v>8</v>
      </c>
      <c r="Q101" s="55" t="str">
        <f aca="false">IF(02_Almuerzos!R9="","",02_Almuerzos!R9)</f>
        <v>Alto</v>
      </c>
      <c r="R101" s="55" t="str">
        <f aca="false">IF(02_Almuerzos!S9="","",02_Almuerzos!S9)</f>
        <v>Todo el año</v>
      </c>
      <c r="S101" s="55" t="str">
        <f aca="false">IF(02_Almuerzos!T9="","",02_Almuerzos!T9)</f>
        <v>Menú popular</v>
      </c>
      <c r="T101" s="56" t="str">
        <f aca="false">IF(02_Almuerzos!U9="","",02_Almuerzos!U9)</f>
        <v>El local suele cobrar S/ 1 extra por el táper</v>
      </c>
      <c r="U101" s="55" t="n">
        <v>9</v>
      </c>
      <c r="V101" s="55" t="n">
        <f aca="false">IF(AND(OR(LEN(13_Buscador!$C$5)=0,ISNUMBER(SEARCH(13_Buscador!$C$5,$C101&amp;" "&amp;$D101&amp;" "&amp;$E101&amp;" "&amp;$F101&amp;" "&amp;$S101))),OR(13_Buscador!$C$6="Todas las listas",LEN(13_Buscador!$C$6)=0,13_Buscador!$C$6=$B101)),1,0)</f>
        <v>0</v>
      </c>
      <c r="W101" s="55" t="str">
        <f aca="false">IF(V101=1,SUM($V$2:V101),"")</f>
        <v/>
      </c>
    </row>
    <row r="102" customFormat="false" ht="23.25" hidden="false" customHeight="true" outlineLevel="0" collapsed="false">
      <c r="A102" s="55" t="n">
        <v>101</v>
      </c>
      <c r="B102" s="55" t="s">
        <v>3328</v>
      </c>
      <c r="C102" s="55" t="str">
        <f aca="false">IF(02_Almuerzos!B10="","",02_Almuerzos!B10)</f>
        <v>Sopas</v>
      </c>
      <c r="D102" s="56" t="str">
        <f aca="false">IF(02_Almuerzos!C10="","",02_Almuerzos!C10)</f>
        <v>Chairo</v>
      </c>
      <c r="E102" s="56" t="str">
        <f aca="false">IF(02_Almuerzos!D10="","",02_Almuerzos!D10)</f>
        <v>Chuño, carne, verduras</v>
      </c>
      <c r="F102" s="56" t="str">
        <f aca="false">IF(02_Almuerzos!E10="","",02_Almuerzos!E10)</f>
        <v>chuño, carne de cordero o res, trigo, habas, zanahoria, papa, cebolla, hierbabuena</v>
      </c>
      <c r="G102" s="55" t="str">
        <f aca="false">IF(02_Almuerzos!F10="","",02_Almuerzos!F10)</f>
        <v>Plato hondo</v>
      </c>
      <c r="H102" s="55" t="str">
        <f aca="false">IF(02_Almuerzos!G10="","",02_Almuerzos!G10)</f>
        <v>Económico</v>
      </c>
      <c r="I102" s="58" t="n">
        <f aca="false">IF(02_Almuerzos!H10="","",02_Almuerzos!H10)</f>
        <v>10</v>
      </c>
      <c r="J102" s="58" t="n">
        <f aca="false">IF(02_Almuerzos!I10="","",02_Almuerzos!I10)</f>
        <v>16</v>
      </c>
      <c r="K102" s="58" t="n">
        <f aca="false">IF(02_Almuerzos!J10="","",02_Almuerzos!J10)</f>
        <v>13</v>
      </c>
      <c r="L102" s="58" t="n">
        <f aca="false">IF(02_Almuerzos!L10="","",02_Almuerzos!L10)</f>
        <v>14</v>
      </c>
      <c r="M102" s="58" t="n">
        <f aca="false">IF(02_Almuerzos!N10="","",02_Almuerzos!N10)</f>
        <v>0.91</v>
      </c>
      <c r="N102" s="58" t="n">
        <f aca="false">IF(02_Almuerzos!O10="","",02_Almuerzos!O10)</f>
        <v>12.09</v>
      </c>
      <c r="O102" s="55" t="str">
        <f aca="false">IF(02_Almuerzos!P10="","",02_Almuerzos!P10)</f>
        <v>12:00-14:30</v>
      </c>
      <c r="P102" s="55" t="n">
        <f aca="false">IF(02_Almuerzos!Q10="","",02_Almuerzos!Q10)</f>
        <v>10</v>
      </c>
      <c r="Q102" s="55" t="str">
        <f aca="false">IF(02_Almuerzos!R10="","",02_Almuerzos!R10)</f>
        <v>Medio</v>
      </c>
      <c r="R102" s="55" t="str">
        <f aca="false">IF(02_Almuerzos!S10="","",02_Almuerzos!S10)</f>
        <v>Mayor demanda en frío</v>
      </c>
      <c r="S102" s="55" t="str">
        <f aca="false">IF(02_Almuerzos!T10="","",02_Almuerzos!T10)</f>
        <v>Menú, regional</v>
      </c>
      <c r="T102" s="56" t="str">
        <f aca="false">IF(02_Almuerzos!U10="","",02_Almuerzos!U10)</f>
        <v/>
      </c>
      <c r="U102" s="55" t="n">
        <v>10</v>
      </c>
      <c r="V102" s="55" t="n">
        <f aca="false">IF(AND(OR(LEN(13_Buscador!$C$5)=0,ISNUMBER(SEARCH(13_Buscador!$C$5,$C102&amp;" "&amp;$D102&amp;" "&amp;$E102&amp;" "&amp;$F102&amp;" "&amp;$S102))),OR(13_Buscador!$C$6="Todas las listas",LEN(13_Buscador!$C$6)=0,13_Buscador!$C$6=$B102)),1,0)</f>
        <v>0</v>
      </c>
      <c r="W102" s="55" t="str">
        <f aca="false">IF(V102=1,SUM($V$2:V102),"")</f>
        <v/>
      </c>
    </row>
    <row r="103" customFormat="false" ht="23.25" hidden="false" customHeight="true" outlineLevel="0" collapsed="false">
      <c r="A103" s="55" t="n">
        <v>102</v>
      </c>
      <c r="B103" s="55" t="s">
        <v>3328</v>
      </c>
      <c r="C103" s="55" t="str">
        <f aca="false">IF(02_Almuerzos!B11="","",02_Almuerzos!B11)</f>
        <v>Sopas</v>
      </c>
      <c r="D103" s="56" t="str">
        <f aca="false">IF(02_Almuerzos!C11="","",02_Almuerzos!C11)</f>
        <v>Sopa a la criolla</v>
      </c>
      <c r="E103" s="56" t="str">
        <f aca="false">IF(02_Almuerzos!D11="","",02_Almuerzos!D11)</f>
        <v>Fideo, carne, leche, huevo</v>
      </c>
      <c r="F103" s="56" t="str">
        <f aca="false">IF(02_Almuerzos!E11="","",02_Almuerzos!E11)</f>
        <v>fideo, carne molida, leche, huevo, tomate, cebolla, ají panca</v>
      </c>
      <c r="G103" s="55" t="str">
        <f aca="false">IF(02_Almuerzos!F11="","",02_Almuerzos!F11)</f>
        <v>Plato hondo</v>
      </c>
      <c r="H103" s="55" t="str">
        <f aca="false">IF(02_Almuerzos!G11="","",02_Almuerzos!G11)</f>
        <v>Económico</v>
      </c>
      <c r="I103" s="58" t="n">
        <f aca="false">IF(02_Almuerzos!H11="","",02_Almuerzos!H11)</f>
        <v>8</v>
      </c>
      <c r="J103" s="58" t="n">
        <f aca="false">IF(02_Almuerzos!I11="","",02_Almuerzos!I11)</f>
        <v>12</v>
      </c>
      <c r="K103" s="58" t="n">
        <f aca="false">IF(02_Almuerzos!J11="","",02_Almuerzos!J11)</f>
        <v>10</v>
      </c>
      <c r="L103" s="58" t="n">
        <f aca="false">IF(02_Almuerzos!L11="","",02_Almuerzos!L11)</f>
        <v>11</v>
      </c>
      <c r="M103" s="58" t="n">
        <f aca="false">IF(02_Almuerzos!N11="","",02_Almuerzos!N11)</f>
        <v>0.7</v>
      </c>
      <c r="N103" s="58" t="n">
        <f aca="false">IF(02_Almuerzos!O11="","",02_Almuerzos!O11)</f>
        <v>9.3</v>
      </c>
      <c r="O103" s="55" t="str">
        <f aca="false">IF(02_Almuerzos!P11="","",02_Almuerzos!P11)</f>
        <v>12:00-14:30</v>
      </c>
      <c r="P103" s="55" t="n">
        <f aca="false">IF(02_Almuerzos!Q11="","",02_Almuerzos!Q11)</f>
        <v>8</v>
      </c>
      <c r="Q103" s="55" t="str">
        <f aca="false">IF(02_Almuerzos!R11="","",02_Almuerzos!R11)</f>
        <v>Medio</v>
      </c>
      <c r="R103" s="55" t="str">
        <f aca="false">IF(02_Almuerzos!S11="","",02_Almuerzos!S11)</f>
        <v>Todo el año</v>
      </c>
      <c r="S103" s="55" t="str">
        <f aca="false">IF(02_Almuerzos!T11="","",02_Almuerzos!T11)</f>
        <v>Menú</v>
      </c>
      <c r="T103" s="56" t="str">
        <f aca="false">IF(02_Almuerzos!U11="","",02_Almuerzos!U11)</f>
        <v/>
      </c>
      <c r="U103" s="55" t="n">
        <v>11</v>
      </c>
      <c r="V103" s="55" t="n">
        <f aca="false">IF(AND(OR(LEN(13_Buscador!$C$5)=0,ISNUMBER(SEARCH(13_Buscador!$C$5,$C103&amp;" "&amp;$D103&amp;" "&amp;$E103&amp;" "&amp;$F103&amp;" "&amp;$S103))),OR(13_Buscador!$C$6="Todas las listas",LEN(13_Buscador!$C$6)=0,13_Buscador!$C$6=$B103)),1,0)</f>
        <v>0</v>
      </c>
      <c r="W103" s="55" t="str">
        <f aca="false">IF(V103=1,SUM($V$2:V103),"")</f>
        <v/>
      </c>
    </row>
    <row r="104" customFormat="false" ht="23.25" hidden="false" customHeight="true" outlineLevel="0" collapsed="false">
      <c r="A104" s="55" t="n">
        <v>103</v>
      </c>
      <c r="B104" s="55" t="s">
        <v>3328</v>
      </c>
      <c r="C104" s="55" t="str">
        <f aca="false">IF(02_Almuerzos!B12="","",02_Almuerzos!B12)</f>
        <v>Sopas</v>
      </c>
      <c r="D104" s="56" t="str">
        <f aca="false">IF(02_Almuerzos!C12="","",02_Almuerzos!C12)</f>
        <v>Menestrón</v>
      </c>
      <c r="E104" s="56" t="str">
        <f aca="false">IF(02_Almuerzos!D12="","",02_Almuerzos!D12)</f>
        <v>Verduras, fideo, albahaca</v>
      </c>
      <c r="F104" s="56" t="str">
        <f aca="false">IF(02_Almuerzos!E12="","",02_Almuerzos!E12)</f>
        <v>fideo, carne, zapallo, vainita, papa, albahaca, queso, ajo</v>
      </c>
      <c r="G104" s="55" t="str">
        <f aca="false">IF(02_Almuerzos!F12="","",02_Almuerzos!F12)</f>
        <v>Plato hondo</v>
      </c>
      <c r="H104" s="55" t="str">
        <f aca="false">IF(02_Almuerzos!G12="","",02_Almuerzos!G12)</f>
        <v>Económico</v>
      </c>
      <c r="I104" s="58" t="n">
        <f aca="false">IF(02_Almuerzos!H12="","",02_Almuerzos!H12)</f>
        <v>9</v>
      </c>
      <c r="J104" s="58" t="n">
        <f aca="false">IF(02_Almuerzos!I12="","",02_Almuerzos!I12)</f>
        <v>14</v>
      </c>
      <c r="K104" s="58" t="n">
        <f aca="false">IF(02_Almuerzos!J12="","",02_Almuerzos!J12)</f>
        <v>11.5</v>
      </c>
      <c r="L104" s="58" t="n">
        <f aca="false">IF(02_Almuerzos!L12="","",02_Almuerzos!L12)</f>
        <v>12.5</v>
      </c>
      <c r="M104" s="58" t="n">
        <f aca="false">IF(02_Almuerzos!N12="","",02_Almuerzos!N12)</f>
        <v>0.81</v>
      </c>
      <c r="N104" s="58" t="n">
        <f aca="false">IF(02_Almuerzos!O12="","",02_Almuerzos!O12)</f>
        <v>10.69</v>
      </c>
      <c r="O104" s="55" t="str">
        <f aca="false">IF(02_Almuerzos!P12="","",02_Almuerzos!P12)</f>
        <v>12:00-14:30</v>
      </c>
      <c r="P104" s="55" t="n">
        <f aca="false">IF(02_Almuerzos!Q12="","",02_Almuerzos!Q12)</f>
        <v>10</v>
      </c>
      <c r="Q104" s="55" t="str">
        <f aca="false">IF(02_Almuerzos!R12="","",02_Almuerzos!R12)</f>
        <v>Medio</v>
      </c>
      <c r="R104" s="55" t="str">
        <f aca="false">IF(02_Almuerzos!S12="","",02_Almuerzos!S12)</f>
        <v>Todo el año</v>
      </c>
      <c r="S104" s="55" t="str">
        <f aca="false">IF(02_Almuerzos!T12="","",02_Almuerzos!T12)</f>
        <v>Menú</v>
      </c>
      <c r="T104" s="56" t="str">
        <f aca="false">IF(02_Almuerzos!U12="","",02_Almuerzos!U12)</f>
        <v/>
      </c>
      <c r="U104" s="55" t="n">
        <v>12</v>
      </c>
      <c r="V104" s="55" t="n">
        <f aca="false">IF(AND(OR(LEN(13_Buscador!$C$5)=0,ISNUMBER(SEARCH(13_Buscador!$C$5,$C104&amp;" "&amp;$D104&amp;" "&amp;$E104&amp;" "&amp;$F104&amp;" "&amp;$S104))),OR(13_Buscador!$C$6="Todas las listas",LEN(13_Buscador!$C$6)=0,13_Buscador!$C$6=$B104)),1,0)</f>
        <v>0</v>
      </c>
      <c r="W104" s="55" t="str">
        <f aca="false">IF(V104=1,SUM($V$2:V104),"")</f>
        <v/>
      </c>
    </row>
    <row r="105" customFormat="false" ht="15" hidden="false" customHeight="true" outlineLevel="0" collapsed="false">
      <c r="A105" s="55" t="n">
        <v>104</v>
      </c>
      <c r="B105" s="55" t="s">
        <v>3328</v>
      </c>
      <c r="C105" s="55" t="str">
        <f aca="false">IF(02_Almuerzos!B13="","",02_Almuerzos!B13)</f>
        <v>Sopas</v>
      </c>
      <c r="D105" s="56" t="str">
        <f aca="false">IF(02_Almuerzos!C13="","",02_Almuerzos!C13)</f>
        <v>Sopa de moraya</v>
      </c>
      <c r="E105" s="56" t="str">
        <f aca="false">IF(02_Almuerzos!D13="","",02_Almuerzos!D13)</f>
        <v>Moraya, carne, verduras</v>
      </c>
      <c r="F105" s="56" t="str">
        <f aca="false">IF(02_Almuerzos!E13="","",02_Almuerzos!E13)</f>
        <v>moraya, carne, papa, zanahoria, cebolla, sal</v>
      </c>
      <c r="G105" s="55" t="str">
        <f aca="false">IF(02_Almuerzos!F13="","",02_Almuerzos!F13)</f>
        <v>Plato hondo</v>
      </c>
      <c r="H105" s="55" t="str">
        <f aca="false">IF(02_Almuerzos!G13="","",02_Almuerzos!G13)</f>
        <v>Económico</v>
      </c>
      <c r="I105" s="58" t="n">
        <f aca="false">IF(02_Almuerzos!H13="","",02_Almuerzos!H13)</f>
        <v>8</v>
      </c>
      <c r="J105" s="58" t="n">
        <f aca="false">IF(02_Almuerzos!I13="","",02_Almuerzos!I13)</f>
        <v>13</v>
      </c>
      <c r="K105" s="58" t="n">
        <f aca="false">IF(02_Almuerzos!J13="","",02_Almuerzos!J13)</f>
        <v>10.5</v>
      </c>
      <c r="L105" s="58" t="n">
        <f aca="false">IF(02_Almuerzos!L13="","",02_Almuerzos!L13)</f>
        <v>11.5</v>
      </c>
      <c r="M105" s="58" t="n">
        <f aca="false">IF(02_Almuerzos!N13="","",02_Almuerzos!N13)</f>
        <v>0.74</v>
      </c>
      <c r="N105" s="58" t="n">
        <f aca="false">IF(02_Almuerzos!O13="","",02_Almuerzos!O13)</f>
        <v>9.76</v>
      </c>
      <c r="O105" s="55" t="str">
        <f aca="false">IF(02_Almuerzos!P13="","",02_Almuerzos!P13)</f>
        <v>12:00-14:30</v>
      </c>
      <c r="P105" s="55" t="n">
        <f aca="false">IF(02_Almuerzos!Q13="","",02_Almuerzos!Q13)</f>
        <v>10</v>
      </c>
      <c r="Q105" s="55" t="str">
        <f aca="false">IF(02_Almuerzos!R13="","",02_Almuerzos!R13)</f>
        <v>Medio</v>
      </c>
      <c r="R105" s="55" t="str">
        <f aca="false">IF(02_Almuerzos!S13="","",02_Almuerzos!S13)</f>
        <v>Todo el año</v>
      </c>
      <c r="S105" s="55" t="str">
        <f aca="false">IF(02_Almuerzos!T13="","",02_Almuerzos!T13)</f>
        <v>Menú, regional</v>
      </c>
      <c r="T105" s="56" t="str">
        <f aca="false">IF(02_Almuerzos!U13="","",02_Almuerzos!U13)</f>
        <v/>
      </c>
      <c r="U105" s="55" t="n">
        <v>13</v>
      </c>
      <c r="V105" s="55" t="n">
        <f aca="false">IF(AND(OR(LEN(13_Buscador!$C$5)=0,ISNUMBER(SEARCH(13_Buscador!$C$5,$C105&amp;" "&amp;$D105&amp;" "&amp;$E105&amp;" "&amp;$F105&amp;" "&amp;$S105))),OR(13_Buscador!$C$6="Todas las listas",LEN(13_Buscador!$C$6)=0,13_Buscador!$C$6=$B105)),1,0)</f>
        <v>0</v>
      </c>
      <c r="W105" s="55" t="str">
        <f aca="false">IF(V105=1,SUM($V$2:V105),"")</f>
        <v/>
      </c>
    </row>
    <row r="106" customFormat="false" ht="15" hidden="false" customHeight="true" outlineLevel="0" collapsed="false">
      <c r="A106" s="55" t="n">
        <v>105</v>
      </c>
      <c r="B106" s="55" t="s">
        <v>3328</v>
      </c>
      <c r="C106" s="55" t="str">
        <f aca="false">IF(02_Almuerzos!B14="","",02_Almuerzos!B14)</f>
        <v>Sopas</v>
      </c>
      <c r="D106" s="56" t="str">
        <f aca="false">IF(02_Almuerzos!C14="","",02_Almuerzos!C14)</f>
        <v>Sopa de trigo</v>
      </c>
      <c r="E106" s="56" t="str">
        <f aca="false">IF(02_Almuerzos!D14="","",02_Almuerzos!D14)</f>
        <v>Trigo, verduras, carne</v>
      </c>
      <c r="F106" s="56" t="str">
        <f aca="false">IF(02_Almuerzos!E14="","",02_Almuerzos!E14)</f>
        <v>trigo pelado, carne, papa, zanahoria, cebolla, sal</v>
      </c>
      <c r="G106" s="55" t="str">
        <f aca="false">IF(02_Almuerzos!F14="","",02_Almuerzos!F14)</f>
        <v>Plato hondo</v>
      </c>
      <c r="H106" s="55" t="str">
        <f aca="false">IF(02_Almuerzos!G14="","",02_Almuerzos!G14)</f>
        <v>Económico</v>
      </c>
      <c r="I106" s="58" t="n">
        <f aca="false">IF(02_Almuerzos!H14="","",02_Almuerzos!H14)</f>
        <v>7</v>
      </c>
      <c r="J106" s="58" t="n">
        <f aca="false">IF(02_Almuerzos!I14="","",02_Almuerzos!I14)</f>
        <v>12</v>
      </c>
      <c r="K106" s="58" t="n">
        <f aca="false">IF(02_Almuerzos!J14="","",02_Almuerzos!J14)</f>
        <v>9.5</v>
      </c>
      <c r="L106" s="58" t="n">
        <f aca="false">IF(02_Almuerzos!L14="","",02_Almuerzos!L14)</f>
        <v>10.5</v>
      </c>
      <c r="M106" s="58" t="n">
        <f aca="false">IF(02_Almuerzos!N14="","",02_Almuerzos!N14)</f>
        <v>0.67</v>
      </c>
      <c r="N106" s="58" t="n">
        <f aca="false">IF(02_Almuerzos!O14="","",02_Almuerzos!O14)</f>
        <v>8.83</v>
      </c>
      <c r="O106" s="55" t="str">
        <f aca="false">IF(02_Almuerzos!P14="","",02_Almuerzos!P14)</f>
        <v>12:00-14:30</v>
      </c>
      <c r="P106" s="55" t="n">
        <f aca="false">IF(02_Almuerzos!Q14="","",02_Almuerzos!Q14)</f>
        <v>10</v>
      </c>
      <c r="Q106" s="55" t="str">
        <f aca="false">IF(02_Almuerzos!R14="","",02_Almuerzos!R14)</f>
        <v>Medio</v>
      </c>
      <c r="R106" s="55" t="str">
        <f aca="false">IF(02_Almuerzos!S14="","",02_Almuerzos!S14)</f>
        <v>Todo el año</v>
      </c>
      <c r="S106" s="55" t="str">
        <f aca="false">IF(02_Almuerzos!T14="","",02_Almuerzos!T14)</f>
        <v>Menú</v>
      </c>
      <c r="T106" s="56" t="str">
        <f aca="false">IF(02_Almuerzos!U14="","",02_Almuerzos!U14)</f>
        <v/>
      </c>
      <c r="U106" s="55" t="n">
        <v>14</v>
      </c>
      <c r="V106" s="55" t="n">
        <f aca="false">IF(AND(OR(LEN(13_Buscador!$C$5)=0,ISNUMBER(SEARCH(13_Buscador!$C$5,$C106&amp;" "&amp;$D106&amp;" "&amp;$E106&amp;" "&amp;$F106&amp;" "&amp;$S106))),OR(13_Buscador!$C$6="Todas las listas",LEN(13_Buscador!$C$6)=0,13_Buscador!$C$6=$B106)),1,0)</f>
        <v>0</v>
      </c>
      <c r="W106" s="55" t="str">
        <f aca="false">IF(V106=1,SUM($V$2:V106),"")</f>
        <v/>
      </c>
    </row>
    <row r="107" customFormat="false" ht="15" hidden="false" customHeight="true" outlineLevel="0" collapsed="false">
      <c r="A107" s="55" t="n">
        <v>106</v>
      </c>
      <c r="B107" s="55" t="s">
        <v>3328</v>
      </c>
      <c r="C107" s="55" t="str">
        <f aca="false">IF(02_Almuerzos!B15="","",02_Almuerzos!B15)</f>
        <v>Sopas</v>
      </c>
      <c r="D107" s="56" t="str">
        <f aca="false">IF(02_Almuerzos!C15="","",02_Almuerzos!C15)</f>
        <v>Crema de zapallo</v>
      </c>
      <c r="E107" s="56" t="str">
        <f aca="false">IF(02_Almuerzos!D15="","",02_Almuerzos!D15)</f>
        <v>Crema de verduras</v>
      </c>
      <c r="F107" s="56" t="str">
        <f aca="false">IF(02_Almuerzos!E15="","",02_Almuerzos!E15)</f>
        <v>zapallo, leche, cebolla, mantequilla, sal</v>
      </c>
      <c r="G107" s="55" t="str">
        <f aca="false">IF(02_Almuerzos!F15="","",02_Almuerzos!F15)</f>
        <v>Plato hondo</v>
      </c>
      <c r="H107" s="55" t="str">
        <f aca="false">IF(02_Almuerzos!G15="","",02_Almuerzos!G15)</f>
        <v>Económico</v>
      </c>
      <c r="I107" s="58" t="n">
        <f aca="false">IF(02_Almuerzos!H15="","",02_Almuerzos!H15)</f>
        <v>7</v>
      </c>
      <c r="J107" s="58" t="n">
        <f aca="false">IF(02_Almuerzos!I15="","",02_Almuerzos!I15)</f>
        <v>12</v>
      </c>
      <c r="K107" s="58" t="n">
        <f aca="false">IF(02_Almuerzos!J15="","",02_Almuerzos!J15)</f>
        <v>9.5</v>
      </c>
      <c r="L107" s="58" t="n">
        <f aca="false">IF(02_Almuerzos!L15="","",02_Almuerzos!L15)</f>
        <v>10.5</v>
      </c>
      <c r="M107" s="58" t="n">
        <f aca="false">IF(02_Almuerzos!N15="","",02_Almuerzos!N15)</f>
        <v>0.67</v>
      </c>
      <c r="N107" s="58" t="n">
        <f aca="false">IF(02_Almuerzos!O15="","",02_Almuerzos!O15)</f>
        <v>8.83</v>
      </c>
      <c r="O107" s="55" t="str">
        <f aca="false">IF(02_Almuerzos!P15="","",02_Almuerzos!P15)</f>
        <v>12:00-14:30</v>
      </c>
      <c r="P107" s="55" t="n">
        <f aca="false">IF(02_Almuerzos!Q15="","",02_Almuerzos!Q15)</f>
        <v>8</v>
      </c>
      <c r="Q107" s="55" t="str">
        <f aca="false">IF(02_Almuerzos!R15="","",02_Almuerzos!R15)</f>
        <v>Medio</v>
      </c>
      <c r="R107" s="55" t="str">
        <f aca="false">IF(02_Almuerzos!S15="","",02_Almuerzos!S15)</f>
        <v>Todo el año</v>
      </c>
      <c r="S107" s="55" t="str">
        <f aca="false">IF(02_Almuerzos!T15="","",02_Almuerzos!T15)</f>
        <v>Menú</v>
      </c>
      <c r="T107" s="56" t="str">
        <f aca="false">IF(02_Almuerzos!U15="","",02_Almuerzos!U15)</f>
        <v/>
      </c>
      <c r="U107" s="55" t="n">
        <v>15</v>
      </c>
      <c r="V107" s="55" t="n">
        <f aca="false">IF(AND(OR(LEN(13_Buscador!$C$5)=0,ISNUMBER(SEARCH(13_Buscador!$C$5,$C107&amp;" "&amp;$D107&amp;" "&amp;$E107&amp;" "&amp;$F107&amp;" "&amp;$S107))),OR(13_Buscador!$C$6="Todas las listas",LEN(13_Buscador!$C$6)=0,13_Buscador!$C$6=$B107)),1,0)</f>
        <v>0</v>
      </c>
      <c r="W107" s="55" t="str">
        <f aca="false">IF(V107=1,SUM($V$2:V107),"")</f>
        <v/>
      </c>
    </row>
    <row r="108" customFormat="false" ht="23.25" hidden="false" customHeight="true" outlineLevel="0" collapsed="false">
      <c r="A108" s="55" t="n">
        <v>107</v>
      </c>
      <c r="B108" s="55" t="s">
        <v>3328</v>
      </c>
      <c r="C108" s="55" t="str">
        <f aca="false">IF(02_Almuerzos!B16="","",02_Almuerzos!B16)</f>
        <v>Sopas</v>
      </c>
      <c r="D108" s="56" t="str">
        <f aca="false">IF(02_Almuerzos!C16="","",02_Almuerzos!C16)</f>
        <v>Sopa de wantán</v>
      </c>
      <c r="E108" s="56" t="str">
        <f aca="false">IF(02_Almuerzos!D16="","",02_Almuerzos!D16)</f>
        <v>Caldo con wantán y verduras</v>
      </c>
      <c r="F108" s="56" t="str">
        <f aca="false">IF(02_Almuerzos!E16="","",02_Almuerzos!E16)</f>
        <v>masa wantán, carne de cerdo, verduras, cebolla china, caldo de pollo, sillao</v>
      </c>
      <c r="G108" s="55" t="str">
        <f aca="false">IF(02_Almuerzos!F16="","",02_Almuerzos!F16)</f>
        <v>Plato hondo</v>
      </c>
      <c r="H108" s="55" t="str">
        <f aca="false">IF(02_Almuerzos!G16="","",02_Almuerzos!G16)</f>
        <v>Estándar</v>
      </c>
      <c r="I108" s="58" t="n">
        <f aca="false">IF(02_Almuerzos!H16="","",02_Almuerzos!H16)</f>
        <v>10</v>
      </c>
      <c r="J108" s="58" t="n">
        <f aca="false">IF(02_Almuerzos!I16="","",02_Almuerzos!I16)</f>
        <v>16</v>
      </c>
      <c r="K108" s="58" t="n">
        <f aca="false">IF(02_Almuerzos!J16="","",02_Almuerzos!J16)</f>
        <v>13</v>
      </c>
      <c r="L108" s="58" t="n">
        <f aca="false">IF(02_Almuerzos!L16="","",02_Almuerzos!L16)</f>
        <v>14</v>
      </c>
      <c r="M108" s="58" t="n">
        <f aca="false">IF(02_Almuerzos!N16="","",02_Almuerzos!N16)</f>
        <v>1.17</v>
      </c>
      <c r="N108" s="58" t="n">
        <f aca="false">IF(02_Almuerzos!O16="","",02_Almuerzos!O16)</f>
        <v>11.83</v>
      </c>
      <c r="O108" s="55" t="str">
        <f aca="false">IF(02_Almuerzos!P16="","",02_Almuerzos!P16)</f>
        <v>12:00-15:00</v>
      </c>
      <c r="P108" s="55" t="n">
        <f aca="false">IF(02_Almuerzos!Q16="","",02_Almuerzos!Q16)</f>
        <v>8</v>
      </c>
      <c r="Q108" s="55" t="str">
        <f aca="false">IF(02_Almuerzos!R16="","",02_Almuerzos!R16)</f>
        <v>Medio</v>
      </c>
      <c r="R108" s="55" t="str">
        <f aca="false">IF(02_Almuerzos!S16="","",02_Almuerzos!S16)</f>
        <v>Todo el año</v>
      </c>
      <c r="S108" s="55" t="str">
        <f aca="false">IF(02_Almuerzos!T16="","",02_Almuerzos!T16)</f>
        <v>Chifa</v>
      </c>
      <c r="T108" s="56" t="str">
        <f aca="false">IF(02_Almuerzos!U16="","",02_Almuerzos!U16)</f>
        <v/>
      </c>
      <c r="U108" s="55" t="n">
        <v>16</v>
      </c>
      <c r="V108" s="55" t="n">
        <f aca="false">IF(AND(OR(LEN(13_Buscador!$C$5)=0,ISNUMBER(SEARCH(13_Buscador!$C$5,$C108&amp;" "&amp;$D108&amp;" "&amp;$E108&amp;" "&amp;$F108&amp;" "&amp;$S108))),OR(13_Buscador!$C$6="Todas las listas",LEN(13_Buscador!$C$6)=0,13_Buscador!$C$6=$B108)),1,0)</f>
        <v>1</v>
      </c>
      <c r="W108" s="55" t="n">
        <f aca="false">IF(V108=1,SUM($V$2:V108),"")</f>
        <v>7</v>
      </c>
    </row>
    <row r="109" customFormat="false" ht="15" hidden="false" customHeight="true" outlineLevel="0" collapsed="false">
      <c r="A109" s="55" t="n">
        <v>108</v>
      </c>
      <c r="B109" s="55" t="s">
        <v>3328</v>
      </c>
      <c r="C109" s="55" t="str">
        <f aca="false">IF(02_Almuerzos!B17="","",02_Almuerzos!B17)</f>
        <v>Sopas</v>
      </c>
      <c r="D109" s="56" t="str">
        <f aca="false">IF(02_Almuerzos!C17="","",02_Almuerzos!C17)</f>
        <v>Caldo blanco</v>
      </c>
      <c r="E109" s="56" t="str">
        <f aca="false">IF(02_Almuerzos!D17="","",02_Almuerzos!D17)</f>
        <v>Caldo claro con carne y papa</v>
      </c>
      <c r="F109" s="56" t="str">
        <f aca="false">IF(02_Almuerzos!E17="","",02_Almuerzos!E17)</f>
        <v>carne, papa, arroz, cebolla, sal</v>
      </c>
      <c r="G109" s="55" t="str">
        <f aca="false">IF(02_Almuerzos!F17="","",02_Almuerzos!F17)</f>
        <v>Plato hondo</v>
      </c>
      <c r="H109" s="55" t="str">
        <f aca="false">IF(02_Almuerzos!G17="","",02_Almuerzos!G17)</f>
        <v>Económico</v>
      </c>
      <c r="I109" s="58" t="n">
        <f aca="false">IF(02_Almuerzos!H17="","",02_Almuerzos!H17)</f>
        <v>8</v>
      </c>
      <c r="J109" s="58" t="n">
        <f aca="false">IF(02_Almuerzos!I17="","",02_Almuerzos!I17)</f>
        <v>13</v>
      </c>
      <c r="K109" s="58" t="n">
        <f aca="false">IF(02_Almuerzos!J17="","",02_Almuerzos!J17)</f>
        <v>10.5</v>
      </c>
      <c r="L109" s="58" t="n">
        <f aca="false">IF(02_Almuerzos!L17="","",02_Almuerzos!L17)</f>
        <v>11.5</v>
      </c>
      <c r="M109" s="58" t="n">
        <f aca="false">IF(02_Almuerzos!N17="","",02_Almuerzos!N17)</f>
        <v>0.74</v>
      </c>
      <c r="N109" s="58" t="n">
        <f aca="false">IF(02_Almuerzos!O17="","",02_Almuerzos!O17)</f>
        <v>9.76</v>
      </c>
      <c r="O109" s="55" t="str">
        <f aca="false">IF(02_Almuerzos!P17="","",02_Almuerzos!P17)</f>
        <v>12:00-14:30</v>
      </c>
      <c r="P109" s="55" t="n">
        <f aca="false">IF(02_Almuerzos!Q17="","",02_Almuerzos!Q17)</f>
        <v>10</v>
      </c>
      <c r="Q109" s="55" t="str">
        <f aca="false">IF(02_Almuerzos!R17="","",02_Almuerzos!R17)</f>
        <v>Medio</v>
      </c>
      <c r="R109" s="55" t="str">
        <f aca="false">IF(02_Almuerzos!S17="","",02_Almuerzos!S17)</f>
        <v>Todo el año</v>
      </c>
      <c r="S109" s="55" t="str">
        <f aca="false">IF(02_Almuerzos!T17="","",02_Almuerzos!T17)</f>
        <v>Menú</v>
      </c>
      <c r="T109" s="56" t="str">
        <f aca="false">IF(02_Almuerzos!U17="","",02_Almuerzos!U17)</f>
        <v/>
      </c>
      <c r="U109" s="55" t="n">
        <v>17</v>
      </c>
      <c r="V109" s="55" t="n">
        <f aca="false">IF(AND(OR(LEN(13_Buscador!$C$5)=0,ISNUMBER(SEARCH(13_Buscador!$C$5,$C109&amp;" "&amp;$D109&amp;" "&amp;$E109&amp;" "&amp;$F109&amp;" "&amp;$S109))),OR(13_Buscador!$C$6="Todas las listas",LEN(13_Buscador!$C$6)=0,13_Buscador!$C$6=$B109)),1,0)</f>
        <v>0</v>
      </c>
      <c r="W109" s="55" t="str">
        <f aca="false">IF(V109=1,SUM($V$2:V109),"")</f>
        <v/>
      </c>
    </row>
    <row r="110" customFormat="false" ht="15" hidden="false" customHeight="true" outlineLevel="0" collapsed="false">
      <c r="A110" s="55" t="n">
        <v>109</v>
      </c>
      <c r="B110" s="55" t="s">
        <v>3328</v>
      </c>
      <c r="C110" s="55" t="str">
        <f aca="false">IF(02_Almuerzos!B18="","",02_Almuerzos!B18)</f>
        <v>Segundos criollos</v>
      </c>
      <c r="D110" s="56" t="str">
        <f aca="false">IF(02_Almuerzos!C18="","",02_Almuerzos!C18)</f>
        <v>Arroz a la cubana</v>
      </c>
      <c r="E110" s="56" t="str">
        <f aca="false">IF(02_Almuerzos!D18="","",02_Almuerzos!D18)</f>
        <v>Arroz, huevo frito, plátano frito</v>
      </c>
      <c r="F110" s="56" t="str">
        <f aca="false">IF(02_Almuerzos!E18="","",02_Almuerzos!E18)</f>
        <v>arroz, huevo frito, plátano frito, aceite, sal</v>
      </c>
      <c r="G110" s="55" t="str">
        <f aca="false">IF(02_Almuerzos!F18="","",02_Almuerzos!F18)</f>
        <v>Plato</v>
      </c>
      <c r="H110" s="55" t="str">
        <f aca="false">IF(02_Almuerzos!G18="","",02_Almuerzos!G18)</f>
        <v>Económico</v>
      </c>
      <c r="I110" s="58" t="n">
        <f aca="false">IF(02_Almuerzos!H18="","",02_Almuerzos!H18)</f>
        <v>8</v>
      </c>
      <c r="J110" s="58" t="n">
        <f aca="false">IF(02_Almuerzos!I18="","",02_Almuerzos!I18)</f>
        <v>12</v>
      </c>
      <c r="K110" s="58" t="n">
        <f aca="false">IF(02_Almuerzos!J18="","",02_Almuerzos!J18)</f>
        <v>10</v>
      </c>
      <c r="L110" s="58" t="n">
        <f aca="false">IF(02_Almuerzos!L18="","",02_Almuerzos!L18)</f>
        <v>11</v>
      </c>
      <c r="M110" s="58" t="n">
        <f aca="false">IF(02_Almuerzos!N18="","",02_Almuerzos!N18)</f>
        <v>0.7</v>
      </c>
      <c r="N110" s="58" t="n">
        <f aca="false">IF(02_Almuerzos!O18="","",02_Almuerzos!O18)</f>
        <v>9.3</v>
      </c>
      <c r="O110" s="55" t="str">
        <f aca="false">IF(02_Almuerzos!P18="","",02_Almuerzos!P18)</f>
        <v>12:00-15:00</v>
      </c>
      <c r="P110" s="55" t="n">
        <f aca="false">IF(02_Almuerzos!Q18="","",02_Almuerzos!Q18)</f>
        <v>6</v>
      </c>
      <c r="Q110" s="55" t="str">
        <f aca="false">IF(02_Almuerzos!R18="","",02_Almuerzos!R18)</f>
        <v>Alto</v>
      </c>
      <c r="R110" s="55" t="str">
        <f aca="false">IF(02_Almuerzos!S18="","",02_Almuerzos!S18)</f>
        <v>Todo el año</v>
      </c>
      <c r="S110" s="55" t="str">
        <f aca="false">IF(02_Almuerzos!T18="","",02_Almuerzos!T18)</f>
        <v>Menú popular</v>
      </c>
      <c r="T110" s="56" t="str">
        <f aca="false">IF(02_Almuerzos!U18="","",02_Almuerzos!U18)</f>
        <v>Plato de mayor rotación en menú popular</v>
      </c>
      <c r="U110" s="55" t="n">
        <v>18</v>
      </c>
      <c r="V110" s="55" t="n">
        <f aca="false">IF(AND(OR(LEN(13_Buscador!$C$5)=0,ISNUMBER(SEARCH(13_Buscador!$C$5,$C110&amp;" "&amp;$D110&amp;" "&amp;$E110&amp;" "&amp;$F110&amp;" "&amp;$S110))),OR(13_Buscador!$C$6="Todas las listas",LEN(13_Buscador!$C$6)=0,13_Buscador!$C$6=$B110)),1,0)</f>
        <v>0</v>
      </c>
      <c r="W110" s="55" t="str">
        <f aca="false">IF(V110=1,SUM($V$2:V110),"")</f>
        <v/>
      </c>
    </row>
    <row r="111" customFormat="false" ht="23.25" hidden="false" customHeight="true" outlineLevel="0" collapsed="false">
      <c r="A111" s="55" t="n">
        <v>110</v>
      </c>
      <c r="B111" s="55" t="s">
        <v>3328</v>
      </c>
      <c r="C111" s="55" t="str">
        <f aca="false">IF(02_Almuerzos!B19="","",02_Almuerzos!B19)</f>
        <v>Segundos criollos</v>
      </c>
      <c r="D111" s="56" t="str">
        <f aca="false">IF(02_Almuerzos!C19="","",02_Almuerzos!C19)</f>
        <v>Lomo saltado</v>
      </c>
      <c r="E111" s="56" t="str">
        <f aca="false">IF(02_Almuerzos!D19="","",02_Almuerzos!D19)</f>
        <v>Lomo, cebolla, tomate, papas, arroz</v>
      </c>
      <c r="F111" s="56" t="str">
        <f aca="false">IF(02_Almuerzos!E19="","",02_Almuerzos!E19)</f>
        <v>lomo de res, cebolla, tomate, ají amarillo, sillao, vinagre, papas fritas, arroz</v>
      </c>
      <c r="G111" s="55" t="str">
        <f aca="false">IF(02_Almuerzos!F19="","",02_Almuerzos!F19)</f>
        <v>Plato</v>
      </c>
      <c r="H111" s="55" t="str">
        <f aca="false">IF(02_Almuerzos!G19="","",02_Almuerzos!G19)</f>
        <v>Medio</v>
      </c>
      <c r="I111" s="58" t="n">
        <f aca="false">IF(02_Almuerzos!H19="","",02_Almuerzos!H19)</f>
        <v>15</v>
      </c>
      <c r="J111" s="58" t="n">
        <f aca="false">IF(02_Almuerzos!I19="","",02_Almuerzos!I19)</f>
        <v>28</v>
      </c>
      <c r="K111" s="58" t="n">
        <f aca="false">IF(02_Almuerzos!J19="","",02_Almuerzos!J19)</f>
        <v>21.5</v>
      </c>
      <c r="L111" s="58" t="n">
        <f aca="false">IF(02_Almuerzos!L19="","",02_Almuerzos!L19)</f>
        <v>22.5</v>
      </c>
      <c r="M111" s="58" t="n">
        <f aca="false">IF(02_Almuerzos!N19="","",02_Almuerzos!N19)</f>
        <v>2.37</v>
      </c>
      <c r="N111" s="58" t="n">
        <f aca="false">IF(02_Almuerzos!O19="","",02_Almuerzos!O19)</f>
        <v>19.13</v>
      </c>
      <c r="O111" s="55" t="str">
        <f aca="false">IF(02_Almuerzos!P19="","",02_Almuerzos!P19)</f>
        <v>12:00-15:00</v>
      </c>
      <c r="P111" s="55" t="n">
        <f aca="false">IF(02_Almuerzos!Q19="","",02_Almuerzos!Q19)</f>
        <v>12</v>
      </c>
      <c r="Q111" s="55" t="str">
        <f aca="false">IF(02_Almuerzos!R19="","",02_Almuerzos!R19)</f>
        <v>Alto</v>
      </c>
      <c r="R111" s="55" t="str">
        <f aca="false">IF(02_Almuerzos!S19="","",02_Almuerzos!S19)</f>
        <v>Todo el año</v>
      </c>
      <c r="S111" s="55" t="str">
        <f aca="false">IF(02_Almuerzos!T19="","",02_Almuerzos!T19)</f>
        <v>Restaurante, menú</v>
      </c>
      <c r="T111" s="56" t="str">
        <f aca="false">IF(02_Almuerzos!U19="","",02_Almuerzos!U19)</f>
        <v>Plato de mayor rotación a la carta</v>
      </c>
      <c r="U111" s="55" t="n">
        <v>19</v>
      </c>
      <c r="V111" s="55" t="n">
        <f aca="false">IF(AND(OR(LEN(13_Buscador!$C$5)=0,ISNUMBER(SEARCH(13_Buscador!$C$5,$C111&amp;" "&amp;$D111&amp;" "&amp;$E111&amp;" "&amp;$F111&amp;" "&amp;$S111))),OR(13_Buscador!$C$6="Todas las listas",LEN(13_Buscador!$C$6)=0,13_Buscador!$C$6=$B111)),1,0)</f>
        <v>0</v>
      </c>
      <c r="W111" s="55" t="str">
        <f aca="false">IF(V111=1,SUM($V$2:V111),"")</f>
        <v/>
      </c>
    </row>
    <row r="112" customFormat="false" ht="23.25" hidden="false" customHeight="true" outlineLevel="0" collapsed="false">
      <c r="A112" s="55" t="n">
        <v>111</v>
      </c>
      <c r="B112" s="55" t="s">
        <v>3328</v>
      </c>
      <c r="C112" s="55" t="str">
        <f aca="false">IF(02_Almuerzos!B20="","",02_Almuerzos!B20)</f>
        <v>Segundos criollos</v>
      </c>
      <c r="D112" s="56" t="str">
        <f aca="false">IF(02_Almuerzos!C20="","",02_Almuerzos!C20)</f>
        <v>Bistec a lo pobre</v>
      </c>
      <c r="E112" s="56" t="str">
        <f aca="false">IF(02_Almuerzos!D20="","",02_Almuerzos!D20)</f>
        <v>Bistec, huevo, plátano, papas</v>
      </c>
      <c r="F112" s="56" t="str">
        <f aca="false">IF(02_Almuerzos!E20="","",02_Almuerzos!E20)</f>
        <v>bistec de res, huevo frito, plátano frito, papas fritas, arroz, cebolla</v>
      </c>
      <c r="G112" s="55" t="str">
        <f aca="false">IF(02_Almuerzos!F20="","",02_Almuerzos!F20)</f>
        <v>Plato</v>
      </c>
      <c r="H112" s="55" t="str">
        <f aca="false">IF(02_Almuerzos!G20="","",02_Almuerzos!G20)</f>
        <v>Medio</v>
      </c>
      <c r="I112" s="58" t="n">
        <f aca="false">IF(02_Almuerzos!H20="","",02_Almuerzos!H20)</f>
        <v>14</v>
      </c>
      <c r="J112" s="58" t="n">
        <f aca="false">IF(02_Almuerzos!I20="","",02_Almuerzos!I20)</f>
        <v>22</v>
      </c>
      <c r="K112" s="58" t="n">
        <f aca="false">IF(02_Almuerzos!J20="","",02_Almuerzos!J20)</f>
        <v>18</v>
      </c>
      <c r="L112" s="58" t="n">
        <f aca="false">IF(02_Almuerzos!L20="","",02_Almuerzos!L20)</f>
        <v>19</v>
      </c>
      <c r="M112" s="58" t="n">
        <f aca="false">IF(02_Almuerzos!N20="","",02_Almuerzos!N20)</f>
        <v>1.98</v>
      </c>
      <c r="N112" s="58" t="n">
        <f aca="false">IF(02_Almuerzos!O20="","",02_Almuerzos!O20)</f>
        <v>16.02</v>
      </c>
      <c r="O112" s="55" t="str">
        <f aca="false">IF(02_Almuerzos!P20="","",02_Almuerzos!P20)</f>
        <v>12:00-15:00</v>
      </c>
      <c r="P112" s="55" t="n">
        <f aca="false">IF(02_Almuerzos!Q20="","",02_Almuerzos!Q20)</f>
        <v>12</v>
      </c>
      <c r="Q112" s="55" t="str">
        <f aca="false">IF(02_Almuerzos!R20="","",02_Almuerzos!R20)</f>
        <v>Alto</v>
      </c>
      <c r="R112" s="55" t="str">
        <f aca="false">IF(02_Almuerzos!S20="","",02_Almuerzos!S20)</f>
        <v>Todo el año</v>
      </c>
      <c r="S112" s="55" t="str">
        <f aca="false">IF(02_Almuerzos!T20="","",02_Almuerzos!T20)</f>
        <v>Restaurante</v>
      </c>
      <c r="T112" s="56" t="str">
        <f aca="false">IF(02_Almuerzos!U20="","",02_Almuerzos!U20)</f>
        <v/>
      </c>
      <c r="U112" s="55" t="n">
        <v>20</v>
      </c>
      <c r="V112" s="55" t="n">
        <f aca="false">IF(AND(OR(LEN(13_Buscador!$C$5)=0,ISNUMBER(SEARCH(13_Buscador!$C$5,$C112&amp;" "&amp;$D112&amp;" "&amp;$E112&amp;" "&amp;$F112&amp;" "&amp;$S112))),OR(13_Buscador!$C$6="Todas las listas",LEN(13_Buscador!$C$6)=0,13_Buscador!$C$6=$B112)),1,0)</f>
        <v>0</v>
      </c>
      <c r="W112" s="55" t="str">
        <f aca="false">IF(V112=1,SUM($V$2:V112),"")</f>
        <v/>
      </c>
    </row>
    <row r="113" customFormat="false" ht="23.25" hidden="false" customHeight="true" outlineLevel="0" collapsed="false">
      <c r="A113" s="55" t="n">
        <v>112</v>
      </c>
      <c r="B113" s="55" t="s">
        <v>3328</v>
      </c>
      <c r="C113" s="55" t="str">
        <f aca="false">IF(02_Almuerzos!B21="","",02_Almuerzos!B21)</f>
        <v>Segundos criollos</v>
      </c>
      <c r="D113" s="56" t="str">
        <f aca="false">IF(02_Almuerzos!C21="","",02_Almuerzos!C21)</f>
        <v>Milanesa de pollo</v>
      </c>
      <c r="E113" s="56" t="str">
        <f aca="false">IF(02_Almuerzos!D21="","",02_Almuerzos!D21)</f>
        <v>Pollo apanado, arroz, papas</v>
      </c>
      <c r="F113" s="56" t="str">
        <f aca="false">IF(02_Almuerzos!E21="","",02_Almuerzos!E21)</f>
        <v>carne o pollo, huevo, pan molido, harina, aceite, arroz, papas</v>
      </c>
      <c r="G113" s="55" t="str">
        <f aca="false">IF(02_Almuerzos!F21="","",02_Almuerzos!F21)</f>
        <v>Plato</v>
      </c>
      <c r="H113" s="55" t="str">
        <f aca="false">IF(02_Almuerzos!G21="","",02_Almuerzos!G21)</f>
        <v>Estándar</v>
      </c>
      <c r="I113" s="58" t="n">
        <f aca="false">IF(02_Almuerzos!H21="","",02_Almuerzos!H21)</f>
        <v>10</v>
      </c>
      <c r="J113" s="58" t="n">
        <f aca="false">IF(02_Almuerzos!I21="","",02_Almuerzos!I21)</f>
        <v>16</v>
      </c>
      <c r="K113" s="58" t="n">
        <f aca="false">IF(02_Almuerzos!J21="","",02_Almuerzos!J21)</f>
        <v>13</v>
      </c>
      <c r="L113" s="58" t="n">
        <f aca="false">IF(02_Almuerzos!L21="","",02_Almuerzos!L21)</f>
        <v>14</v>
      </c>
      <c r="M113" s="58" t="n">
        <f aca="false">IF(02_Almuerzos!N21="","",02_Almuerzos!N21)</f>
        <v>1.17</v>
      </c>
      <c r="N113" s="58" t="n">
        <f aca="false">IF(02_Almuerzos!O21="","",02_Almuerzos!O21)</f>
        <v>11.83</v>
      </c>
      <c r="O113" s="55" t="str">
        <f aca="false">IF(02_Almuerzos!P21="","",02_Almuerzos!P21)</f>
        <v>12:00-15:00</v>
      </c>
      <c r="P113" s="55" t="n">
        <f aca="false">IF(02_Almuerzos!Q21="","",02_Almuerzos!Q21)</f>
        <v>10</v>
      </c>
      <c r="Q113" s="55" t="str">
        <f aca="false">IF(02_Almuerzos!R21="","",02_Almuerzos!R21)</f>
        <v>Alto</v>
      </c>
      <c r="R113" s="55" t="str">
        <f aca="false">IF(02_Almuerzos!S21="","",02_Almuerzos!S21)</f>
        <v>Todo el año</v>
      </c>
      <c r="S113" s="55" t="str">
        <f aca="false">IF(02_Almuerzos!T21="","",02_Almuerzos!T21)</f>
        <v>Menú, restaurante</v>
      </c>
      <c r="T113" s="56" t="str">
        <f aca="false">IF(02_Almuerzos!U21="","",02_Almuerzos!U21)</f>
        <v/>
      </c>
      <c r="U113" s="55" t="n">
        <v>21</v>
      </c>
      <c r="V113" s="55" t="n">
        <f aca="false">IF(AND(OR(LEN(13_Buscador!$C$5)=0,ISNUMBER(SEARCH(13_Buscador!$C$5,$C113&amp;" "&amp;$D113&amp;" "&amp;$E113&amp;" "&amp;$F113&amp;" "&amp;$S113))),OR(13_Buscador!$C$6="Todas las listas",LEN(13_Buscador!$C$6)=0,13_Buscador!$C$6=$B113)),1,0)</f>
        <v>1</v>
      </c>
      <c r="W113" s="55" t="n">
        <f aca="false">IF(V113=1,SUM($V$2:V113),"")</f>
        <v>8</v>
      </c>
    </row>
    <row r="114" customFormat="false" ht="23.25" hidden="false" customHeight="true" outlineLevel="0" collapsed="false">
      <c r="A114" s="55" t="n">
        <v>113</v>
      </c>
      <c r="B114" s="55" t="s">
        <v>3328</v>
      </c>
      <c r="C114" s="55" t="str">
        <f aca="false">IF(02_Almuerzos!B22="","",02_Almuerzos!B22)</f>
        <v>Segundos criollos</v>
      </c>
      <c r="D114" s="56" t="str">
        <f aca="false">IF(02_Almuerzos!C22="","",02_Almuerzos!C22)</f>
        <v>Milanesa de carne</v>
      </c>
      <c r="E114" s="56" t="str">
        <f aca="false">IF(02_Almuerzos!D22="","",02_Almuerzos!D22)</f>
        <v>Carne apanada, arroz, papas</v>
      </c>
      <c r="F114" s="56" t="str">
        <f aca="false">IF(02_Almuerzos!E22="","",02_Almuerzos!E22)</f>
        <v>carne o pollo, huevo, pan molido, harina, aceite, arroz, papas</v>
      </c>
      <c r="G114" s="55" t="str">
        <f aca="false">IF(02_Almuerzos!F22="","",02_Almuerzos!F22)</f>
        <v>Plato</v>
      </c>
      <c r="H114" s="55" t="str">
        <f aca="false">IF(02_Almuerzos!G22="","",02_Almuerzos!G22)</f>
        <v>Estándar</v>
      </c>
      <c r="I114" s="58" t="n">
        <f aca="false">IF(02_Almuerzos!H22="","",02_Almuerzos!H22)</f>
        <v>12</v>
      </c>
      <c r="J114" s="58" t="n">
        <f aca="false">IF(02_Almuerzos!I22="","",02_Almuerzos!I22)</f>
        <v>18</v>
      </c>
      <c r="K114" s="58" t="n">
        <f aca="false">IF(02_Almuerzos!J22="","",02_Almuerzos!J22)</f>
        <v>15</v>
      </c>
      <c r="L114" s="58" t="n">
        <f aca="false">IF(02_Almuerzos!L22="","",02_Almuerzos!L22)</f>
        <v>16</v>
      </c>
      <c r="M114" s="58" t="n">
        <f aca="false">IF(02_Almuerzos!N22="","",02_Almuerzos!N22)</f>
        <v>1.35</v>
      </c>
      <c r="N114" s="58" t="n">
        <f aca="false">IF(02_Almuerzos!O22="","",02_Almuerzos!O22)</f>
        <v>13.65</v>
      </c>
      <c r="O114" s="55" t="str">
        <f aca="false">IF(02_Almuerzos!P22="","",02_Almuerzos!P22)</f>
        <v>12:00-15:00</v>
      </c>
      <c r="P114" s="55" t="n">
        <f aca="false">IF(02_Almuerzos!Q22="","",02_Almuerzos!Q22)</f>
        <v>12</v>
      </c>
      <c r="Q114" s="55" t="str">
        <f aca="false">IF(02_Almuerzos!R22="","",02_Almuerzos!R22)</f>
        <v>Alto</v>
      </c>
      <c r="R114" s="55" t="str">
        <f aca="false">IF(02_Almuerzos!S22="","",02_Almuerzos!S22)</f>
        <v>Todo el año</v>
      </c>
      <c r="S114" s="55" t="str">
        <f aca="false">IF(02_Almuerzos!T22="","",02_Almuerzos!T22)</f>
        <v>Menú, restaurante</v>
      </c>
      <c r="T114" s="56" t="str">
        <f aca="false">IF(02_Almuerzos!U22="","",02_Almuerzos!U22)</f>
        <v/>
      </c>
      <c r="U114" s="55" t="n">
        <v>22</v>
      </c>
      <c r="V114" s="55" t="n">
        <f aca="false">IF(AND(OR(LEN(13_Buscador!$C$5)=0,ISNUMBER(SEARCH(13_Buscador!$C$5,$C114&amp;" "&amp;$D114&amp;" "&amp;$E114&amp;" "&amp;$F114&amp;" "&amp;$S114))),OR(13_Buscador!$C$6="Todas las listas",LEN(13_Buscador!$C$6)=0,13_Buscador!$C$6=$B114)),1,0)</f>
        <v>1</v>
      </c>
      <c r="W114" s="55" t="n">
        <f aca="false">IF(V114=1,SUM($V$2:V114),"")</f>
        <v>9</v>
      </c>
    </row>
    <row r="115" customFormat="false" ht="15" hidden="false" customHeight="true" outlineLevel="0" collapsed="false">
      <c r="A115" s="55" t="n">
        <v>114</v>
      </c>
      <c r="B115" s="55" t="s">
        <v>3328</v>
      </c>
      <c r="C115" s="55" t="str">
        <f aca="false">IF(02_Almuerzos!B23="","",02_Almuerzos!B23)</f>
        <v>Segundos criollos</v>
      </c>
      <c r="D115" s="56" t="str">
        <f aca="false">IF(02_Almuerzos!C23="","",02_Almuerzos!C23)</f>
        <v>Chuleta frita</v>
      </c>
      <c r="E115" s="56" t="str">
        <f aca="false">IF(02_Almuerzos!D23="","",02_Almuerzos!D23)</f>
        <v>Chuleta de cerdo, arroz, ensalada</v>
      </c>
      <c r="F115" s="56" t="str">
        <f aca="false">IF(02_Almuerzos!E23="","",02_Almuerzos!E23)</f>
        <v>chuleta de cerdo, ajo, comino, sal, arroz, ensalada</v>
      </c>
      <c r="G115" s="55" t="str">
        <f aca="false">IF(02_Almuerzos!F23="","",02_Almuerzos!F23)</f>
        <v>Plato</v>
      </c>
      <c r="H115" s="55" t="str">
        <f aca="false">IF(02_Almuerzos!G23="","",02_Almuerzos!G23)</f>
        <v>Estándar</v>
      </c>
      <c r="I115" s="58" t="n">
        <f aca="false">IF(02_Almuerzos!H23="","",02_Almuerzos!H23)</f>
        <v>10</v>
      </c>
      <c r="J115" s="58" t="n">
        <f aca="false">IF(02_Almuerzos!I23="","",02_Almuerzos!I23)</f>
        <v>16</v>
      </c>
      <c r="K115" s="58" t="n">
        <f aca="false">IF(02_Almuerzos!J23="","",02_Almuerzos!J23)</f>
        <v>13</v>
      </c>
      <c r="L115" s="58" t="n">
        <f aca="false">IF(02_Almuerzos!L23="","",02_Almuerzos!L23)</f>
        <v>14</v>
      </c>
      <c r="M115" s="58" t="n">
        <f aca="false">IF(02_Almuerzos!N23="","",02_Almuerzos!N23)</f>
        <v>1.17</v>
      </c>
      <c r="N115" s="58" t="n">
        <f aca="false">IF(02_Almuerzos!O23="","",02_Almuerzos!O23)</f>
        <v>11.83</v>
      </c>
      <c r="O115" s="55" t="str">
        <f aca="false">IF(02_Almuerzos!P23="","",02_Almuerzos!P23)</f>
        <v>12:00-15:00</v>
      </c>
      <c r="P115" s="55" t="n">
        <f aca="false">IF(02_Almuerzos!Q23="","",02_Almuerzos!Q23)</f>
        <v>10</v>
      </c>
      <c r="Q115" s="55" t="str">
        <f aca="false">IF(02_Almuerzos!R23="","",02_Almuerzos!R23)</f>
        <v>Alto</v>
      </c>
      <c r="R115" s="55" t="str">
        <f aca="false">IF(02_Almuerzos!S23="","",02_Almuerzos!S23)</f>
        <v>Todo el año</v>
      </c>
      <c r="S115" s="55" t="str">
        <f aca="false">IF(02_Almuerzos!T23="","",02_Almuerzos!T23)</f>
        <v>Menú</v>
      </c>
      <c r="T115" s="56" t="str">
        <f aca="false">IF(02_Almuerzos!U23="","",02_Almuerzos!U23)</f>
        <v/>
      </c>
      <c r="U115" s="55" t="n">
        <v>23</v>
      </c>
      <c r="V115" s="55" t="n">
        <f aca="false">IF(AND(OR(LEN(13_Buscador!$C$5)=0,ISNUMBER(SEARCH(13_Buscador!$C$5,$C115&amp;" "&amp;$D115&amp;" "&amp;$E115&amp;" "&amp;$F115&amp;" "&amp;$S115))),OR(13_Buscador!$C$6="Todas las listas",LEN(13_Buscador!$C$6)=0,13_Buscador!$C$6=$B115)),1,0)</f>
        <v>0</v>
      </c>
      <c r="W115" s="55" t="str">
        <f aca="false">IF(V115=1,SUM($V$2:V115),"")</f>
        <v/>
      </c>
    </row>
    <row r="116" customFormat="false" ht="23.25" hidden="false" customHeight="true" outlineLevel="0" collapsed="false">
      <c r="A116" s="55" t="n">
        <v>115</v>
      </c>
      <c r="B116" s="55" t="s">
        <v>3328</v>
      </c>
      <c r="C116" s="55" t="str">
        <f aca="false">IF(02_Almuerzos!B24="","",02_Almuerzos!B24)</f>
        <v>Segundos criollos</v>
      </c>
      <c r="D116" s="56" t="str">
        <f aca="false">IF(02_Almuerzos!C24="","",02_Almuerzos!C24)</f>
        <v>Ají de gallina</v>
      </c>
      <c r="E116" s="56" t="str">
        <f aca="false">IF(02_Almuerzos!D24="","",02_Almuerzos!D24)</f>
        <v>Gallina en crema de ají, arroz, papa</v>
      </c>
      <c r="F116" s="56" t="str">
        <f aca="false">IF(02_Almuerzos!E24="","",02_Almuerzos!E24)</f>
        <v>gallina deshilachada, ají amarillo, pan remojado, leche, nueces, queso, papa, arroz</v>
      </c>
      <c r="G116" s="55" t="str">
        <f aca="false">IF(02_Almuerzos!F24="","",02_Almuerzos!F24)</f>
        <v>Plato</v>
      </c>
      <c r="H116" s="55" t="str">
        <f aca="false">IF(02_Almuerzos!G24="","",02_Almuerzos!G24)</f>
        <v>Estándar</v>
      </c>
      <c r="I116" s="58" t="n">
        <f aca="false">IF(02_Almuerzos!H24="","",02_Almuerzos!H24)</f>
        <v>10</v>
      </c>
      <c r="J116" s="58" t="n">
        <f aca="false">IF(02_Almuerzos!I24="","",02_Almuerzos!I24)</f>
        <v>18</v>
      </c>
      <c r="K116" s="58" t="n">
        <f aca="false">IF(02_Almuerzos!J24="","",02_Almuerzos!J24)</f>
        <v>14</v>
      </c>
      <c r="L116" s="58" t="n">
        <f aca="false">IF(02_Almuerzos!L24="","",02_Almuerzos!L24)</f>
        <v>15</v>
      </c>
      <c r="M116" s="58" t="n">
        <f aca="false">IF(02_Almuerzos!N24="","",02_Almuerzos!N24)</f>
        <v>1.26</v>
      </c>
      <c r="N116" s="58" t="n">
        <f aca="false">IF(02_Almuerzos!O24="","",02_Almuerzos!O24)</f>
        <v>12.74</v>
      </c>
      <c r="O116" s="55" t="str">
        <f aca="false">IF(02_Almuerzos!P24="","",02_Almuerzos!P24)</f>
        <v>12:00-15:00</v>
      </c>
      <c r="P116" s="55" t="n">
        <f aca="false">IF(02_Almuerzos!Q24="","",02_Almuerzos!Q24)</f>
        <v>8</v>
      </c>
      <c r="Q116" s="55" t="str">
        <f aca="false">IF(02_Almuerzos!R24="","",02_Almuerzos!R24)</f>
        <v>Alto</v>
      </c>
      <c r="R116" s="55" t="str">
        <f aca="false">IF(02_Almuerzos!S24="","",02_Almuerzos!S24)</f>
        <v>Todo el año</v>
      </c>
      <c r="S116" s="55" t="str">
        <f aca="false">IF(02_Almuerzos!T24="","",02_Almuerzos!T24)</f>
        <v>Menú, restaurante</v>
      </c>
      <c r="T116" s="56" t="str">
        <f aca="false">IF(02_Almuerzos!U24="","",02_Almuerzos!U24)</f>
        <v/>
      </c>
      <c r="U116" s="55" t="n">
        <v>24</v>
      </c>
      <c r="V116" s="55" t="n">
        <f aca="false">IF(AND(OR(LEN(13_Buscador!$C$5)=0,ISNUMBER(SEARCH(13_Buscador!$C$5,$C116&amp;" "&amp;$D116&amp;" "&amp;$E116&amp;" "&amp;$F116&amp;" "&amp;$S116))),OR(13_Buscador!$C$6="Todas las listas",LEN(13_Buscador!$C$6)=0,13_Buscador!$C$6=$B116)),1,0)</f>
        <v>0</v>
      </c>
      <c r="W116" s="55" t="str">
        <f aca="false">IF(V116=1,SUM($V$2:V116),"")</f>
        <v/>
      </c>
    </row>
    <row r="117" customFormat="false" ht="23.25" hidden="false" customHeight="true" outlineLevel="0" collapsed="false">
      <c r="A117" s="55" t="n">
        <v>116</v>
      </c>
      <c r="B117" s="55" t="s">
        <v>3328</v>
      </c>
      <c r="C117" s="55" t="str">
        <f aca="false">IF(02_Almuerzos!B25="","",02_Almuerzos!B25)</f>
        <v>Segundos criollos</v>
      </c>
      <c r="D117" s="56" t="str">
        <f aca="false">IF(02_Almuerzos!C25="","",02_Almuerzos!C25)</f>
        <v>Seco de res con frejol</v>
      </c>
      <c r="E117" s="56" t="str">
        <f aca="false">IF(02_Almuerzos!D25="","",02_Almuerzos!D25)</f>
        <v>Res guisada, frejol, arroz</v>
      </c>
      <c r="F117" s="56" t="str">
        <f aca="false">IF(02_Almuerzos!E25="","",02_Almuerzos!E25)</f>
        <v>carne o soya, culantro, ají amarillo, chicha de jora, zanahoria, arveja, frejol, arroz</v>
      </c>
      <c r="G117" s="55" t="str">
        <f aca="false">IF(02_Almuerzos!F25="","",02_Almuerzos!F25)</f>
        <v>Plato</v>
      </c>
      <c r="H117" s="55" t="str">
        <f aca="false">IF(02_Almuerzos!G25="","",02_Almuerzos!G25)</f>
        <v>Estándar</v>
      </c>
      <c r="I117" s="58" t="n">
        <f aca="false">IF(02_Almuerzos!H25="","",02_Almuerzos!H25)</f>
        <v>12</v>
      </c>
      <c r="J117" s="58" t="n">
        <f aca="false">IF(02_Almuerzos!I25="","",02_Almuerzos!I25)</f>
        <v>18</v>
      </c>
      <c r="K117" s="58" t="n">
        <f aca="false">IF(02_Almuerzos!J25="","",02_Almuerzos!J25)</f>
        <v>15</v>
      </c>
      <c r="L117" s="58" t="n">
        <f aca="false">IF(02_Almuerzos!L25="","",02_Almuerzos!L25)</f>
        <v>16</v>
      </c>
      <c r="M117" s="58" t="n">
        <f aca="false">IF(02_Almuerzos!N25="","",02_Almuerzos!N25)</f>
        <v>1.35</v>
      </c>
      <c r="N117" s="58" t="n">
        <f aca="false">IF(02_Almuerzos!O25="","",02_Almuerzos!O25)</f>
        <v>13.65</v>
      </c>
      <c r="O117" s="55" t="str">
        <f aca="false">IF(02_Almuerzos!P25="","",02_Almuerzos!P25)</f>
        <v>12:00-15:00</v>
      </c>
      <c r="P117" s="55" t="n">
        <f aca="false">IF(02_Almuerzos!Q25="","",02_Almuerzos!Q25)</f>
        <v>10</v>
      </c>
      <c r="Q117" s="55" t="str">
        <f aca="false">IF(02_Almuerzos!R25="","",02_Almuerzos!R25)</f>
        <v>Alto</v>
      </c>
      <c r="R117" s="55" t="str">
        <f aca="false">IF(02_Almuerzos!S25="","",02_Almuerzos!S25)</f>
        <v>Todo el año</v>
      </c>
      <c r="S117" s="55" t="str">
        <f aca="false">IF(02_Almuerzos!T25="","",02_Almuerzos!T25)</f>
        <v>Menú</v>
      </c>
      <c r="T117" s="56" t="str">
        <f aca="false">IF(02_Almuerzos!U25="","",02_Almuerzos!U25)</f>
        <v/>
      </c>
      <c r="U117" s="55" t="n">
        <v>25</v>
      </c>
      <c r="V117" s="55" t="n">
        <f aca="false">IF(AND(OR(LEN(13_Buscador!$C$5)=0,ISNUMBER(SEARCH(13_Buscador!$C$5,$C117&amp;" "&amp;$D117&amp;" "&amp;$E117&amp;" "&amp;$F117&amp;" "&amp;$S117))),OR(13_Buscador!$C$6="Todas las listas",LEN(13_Buscador!$C$6)=0,13_Buscador!$C$6=$B117)),1,0)</f>
        <v>0</v>
      </c>
      <c r="W117" s="55" t="str">
        <f aca="false">IF(V117=1,SUM($V$2:V117),"")</f>
        <v/>
      </c>
    </row>
    <row r="118" customFormat="false" ht="23.25" hidden="false" customHeight="true" outlineLevel="0" collapsed="false">
      <c r="A118" s="55" t="n">
        <v>117</v>
      </c>
      <c r="B118" s="55" t="s">
        <v>3328</v>
      </c>
      <c r="C118" s="55" t="str">
        <f aca="false">IF(02_Almuerzos!B26="","",02_Almuerzos!B26)</f>
        <v>Segundos criollos</v>
      </c>
      <c r="D118" s="56" t="str">
        <f aca="false">IF(02_Almuerzos!C26="","",02_Almuerzos!C26)</f>
        <v>Seco de cordero</v>
      </c>
      <c r="E118" s="56" t="str">
        <f aca="false">IF(02_Almuerzos!D26="","",02_Almuerzos!D26)</f>
        <v>Cordero guisado</v>
      </c>
      <c r="F118" s="56" t="str">
        <f aca="false">IF(02_Almuerzos!E26="","",02_Almuerzos!E26)</f>
        <v>carne o soya, culantro, ají amarillo, chicha de jora, zanahoria, arveja, frejol, arroz</v>
      </c>
      <c r="G118" s="55" t="str">
        <f aca="false">IF(02_Almuerzos!F26="","",02_Almuerzos!F26)</f>
        <v>Plato</v>
      </c>
      <c r="H118" s="55" t="str">
        <f aca="false">IF(02_Almuerzos!G26="","",02_Almuerzos!G26)</f>
        <v>Medio</v>
      </c>
      <c r="I118" s="58" t="n">
        <f aca="false">IF(02_Almuerzos!H26="","",02_Almuerzos!H26)</f>
        <v>14</v>
      </c>
      <c r="J118" s="58" t="n">
        <f aca="false">IF(02_Almuerzos!I26="","",02_Almuerzos!I26)</f>
        <v>22</v>
      </c>
      <c r="K118" s="58" t="n">
        <f aca="false">IF(02_Almuerzos!J26="","",02_Almuerzos!J26)</f>
        <v>18</v>
      </c>
      <c r="L118" s="58" t="n">
        <f aca="false">IF(02_Almuerzos!L26="","",02_Almuerzos!L26)</f>
        <v>19</v>
      </c>
      <c r="M118" s="58" t="n">
        <f aca="false">IF(02_Almuerzos!N26="","",02_Almuerzos!N26)</f>
        <v>1.98</v>
      </c>
      <c r="N118" s="58" t="n">
        <f aca="false">IF(02_Almuerzos!O26="","",02_Almuerzos!O26)</f>
        <v>16.02</v>
      </c>
      <c r="O118" s="55" t="str">
        <f aca="false">IF(02_Almuerzos!P26="","",02_Almuerzos!P26)</f>
        <v>12:00-15:00</v>
      </c>
      <c r="P118" s="55" t="n">
        <f aca="false">IF(02_Almuerzos!Q26="","",02_Almuerzos!Q26)</f>
        <v>12</v>
      </c>
      <c r="Q118" s="55" t="str">
        <f aca="false">IF(02_Almuerzos!R26="","",02_Almuerzos!R26)</f>
        <v>Alto</v>
      </c>
      <c r="R118" s="55" t="str">
        <f aca="false">IF(02_Almuerzos!S26="","",02_Almuerzos!S26)</f>
        <v>Todo el año</v>
      </c>
      <c r="S118" s="55" t="str">
        <f aca="false">IF(02_Almuerzos!T26="","",02_Almuerzos!T26)</f>
        <v>Restaurante regional</v>
      </c>
      <c r="T118" s="56" t="str">
        <f aca="false">IF(02_Almuerzos!U26="","",02_Almuerzos!U26)</f>
        <v/>
      </c>
      <c r="U118" s="55" t="n">
        <v>26</v>
      </c>
      <c r="V118" s="55" t="n">
        <f aca="false">IF(AND(OR(LEN(13_Buscador!$C$5)=0,ISNUMBER(SEARCH(13_Buscador!$C$5,$C118&amp;" "&amp;$D118&amp;" "&amp;$E118&amp;" "&amp;$F118&amp;" "&amp;$S118))),OR(13_Buscador!$C$6="Todas las listas",LEN(13_Buscador!$C$6)=0,13_Buscador!$C$6=$B118)),1,0)</f>
        <v>0</v>
      </c>
      <c r="W118" s="55" t="str">
        <f aca="false">IF(V118=1,SUM($V$2:V118),"")</f>
        <v/>
      </c>
    </row>
    <row r="119" customFormat="false" ht="23.25" hidden="false" customHeight="true" outlineLevel="0" collapsed="false">
      <c r="A119" s="55" t="n">
        <v>118</v>
      </c>
      <c r="B119" s="55" t="s">
        <v>3328</v>
      </c>
      <c r="C119" s="55" t="str">
        <f aca="false">IF(02_Almuerzos!B27="","",02_Almuerzos!B27)</f>
        <v>Segundos criollos</v>
      </c>
      <c r="D119" s="56" t="str">
        <f aca="false">IF(02_Almuerzos!C27="","",02_Almuerzos!C27)</f>
        <v>Estofado de pollo</v>
      </c>
      <c r="E119" s="56" t="str">
        <f aca="false">IF(02_Almuerzos!D27="","",02_Almuerzos!D27)</f>
        <v>Pollo guisado, papa, arroz</v>
      </c>
      <c r="F119" s="56" t="str">
        <f aca="false">IF(02_Almuerzos!E27="","",02_Almuerzos!E27)</f>
        <v>carne o pollo, tomate, cebolla, zanahoria, arveja, laurel, papa, arroz</v>
      </c>
      <c r="G119" s="55" t="str">
        <f aca="false">IF(02_Almuerzos!F27="","",02_Almuerzos!F27)</f>
        <v>Plato</v>
      </c>
      <c r="H119" s="55" t="str">
        <f aca="false">IF(02_Almuerzos!G27="","",02_Almuerzos!G27)</f>
        <v>Económico</v>
      </c>
      <c r="I119" s="58" t="n">
        <f aca="false">IF(02_Almuerzos!H27="","",02_Almuerzos!H27)</f>
        <v>9</v>
      </c>
      <c r="J119" s="58" t="n">
        <f aca="false">IF(02_Almuerzos!I27="","",02_Almuerzos!I27)</f>
        <v>14</v>
      </c>
      <c r="K119" s="58" t="n">
        <f aca="false">IF(02_Almuerzos!J27="","",02_Almuerzos!J27)</f>
        <v>11.5</v>
      </c>
      <c r="L119" s="58" t="n">
        <f aca="false">IF(02_Almuerzos!L27="","",02_Almuerzos!L27)</f>
        <v>12.5</v>
      </c>
      <c r="M119" s="58" t="n">
        <f aca="false">IF(02_Almuerzos!N27="","",02_Almuerzos!N27)</f>
        <v>0.81</v>
      </c>
      <c r="N119" s="58" t="n">
        <f aca="false">IF(02_Almuerzos!O27="","",02_Almuerzos!O27)</f>
        <v>10.69</v>
      </c>
      <c r="O119" s="55" t="str">
        <f aca="false">IF(02_Almuerzos!P27="","",02_Almuerzos!P27)</f>
        <v>12:00-15:00</v>
      </c>
      <c r="P119" s="55" t="n">
        <f aca="false">IF(02_Almuerzos!Q27="","",02_Almuerzos!Q27)</f>
        <v>8</v>
      </c>
      <c r="Q119" s="55" t="str">
        <f aca="false">IF(02_Almuerzos!R27="","",02_Almuerzos!R27)</f>
        <v>Alto</v>
      </c>
      <c r="R119" s="55" t="str">
        <f aca="false">IF(02_Almuerzos!S27="","",02_Almuerzos!S27)</f>
        <v>Todo el año</v>
      </c>
      <c r="S119" s="55" t="str">
        <f aca="false">IF(02_Almuerzos!T27="","",02_Almuerzos!T27)</f>
        <v>Menú</v>
      </c>
      <c r="T119" s="56" t="str">
        <f aca="false">IF(02_Almuerzos!U27="","",02_Almuerzos!U27)</f>
        <v/>
      </c>
      <c r="U119" s="55" t="n">
        <v>27</v>
      </c>
      <c r="V119" s="55" t="n">
        <f aca="false">IF(AND(OR(LEN(13_Buscador!$C$5)=0,ISNUMBER(SEARCH(13_Buscador!$C$5,$C119&amp;" "&amp;$D119&amp;" "&amp;$E119&amp;" "&amp;$F119&amp;" "&amp;$S119))),OR(13_Buscador!$C$6="Todas las listas",LEN(13_Buscador!$C$6)=0,13_Buscador!$C$6=$B119)),1,0)</f>
        <v>1</v>
      </c>
      <c r="W119" s="55" t="n">
        <f aca="false">IF(V119=1,SUM($V$2:V119),"")</f>
        <v>10</v>
      </c>
    </row>
    <row r="120" customFormat="false" ht="23.25" hidden="false" customHeight="true" outlineLevel="0" collapsed="false">
      <c r="A120" s="55" t="n">
        <v>119</v>
      </c>
      <c r="B120" s="55" t="s">
        <v>3328</v>
      </c>
      <c r="C120" s="55" t="str">
        <f aca="false">IF(02_Almuerzos!B28="","",02_Almuerzos!B28)</f>
        <v>Segundos criollos</v>
      </c>
      <c r="D120" s="56" t="str">
        <f aca="false">IF(02_Almuerzos!C28="","",02_Almuerzos!C28)</f>
        <v>Escabeche de pollo</v>
      </c>
      <c r="E120" s="56" t="str">
        <f aca="false">IF(02_Almuerzos!D28="","",02_Almuerzos!D28)</f>
        <v>Pollo con cebolla encurtida</v>
      </c>
      <c r="F120" s="56" t="str">
        <f aca="false">IF(02_Almuerzos!E28="","",02_Almuerzos!E28)</f>
        <v>pollo o pescado, cebolla, vinagre, ají amarillo, aceituna, huevo, camote</v>
      </c>
      <c r="G120" s="55" t="str">
        <f aca="false">IF(02_Almuerzos!F28="","",02_Almuerzos!F28)</f>
        <v>Plato</v>
      </c>
      <c r="H120" s="55" t="str">
        <f aca="false">IF(02_Almuerzos!G28="","",02_Almuerzos!G28)</f>
        <v>Estándar</v>
      </c>
      <c r="I120" s="58" t="n">
        <f aca="false">IF(02_Almuerzos!H28="","",02_Almuerzos!H28)</f>
        <v>10</v>
      </c>
      <c r="J120" s="58" t="n">
        <f aca="false">IF(02_Almuerzos!I28="","",02_Almuerzos!I28)</f>
        <v>16</v>
      </c>
      <c r="K120" s="58" t="n">
        <f aca="false">IF(02_Almuerzos!J28="","",02_Almuerzos!J28)</f>
        <v>13</v>
      </c>
      <c r="L120" s="58" t="n">
        <f aca="false">IF(02_Almuerzos!L28="","",02_Almuerzos!L28)</f>
        <v>14</v>
      </c>
      <c r="M120" s="58" t="n">
        <f aca="false">IF(02_Almuerzos!N28="","",02_Almuerzos!N28)</f>
        <v>1.17</v>
      </c>
      <c r="N120" s="58" t="n">
        <f aca="false">IF(02_Almuerzos!O28="","",02_Almuerzos!O28)</f>
        <v>11.83</v>
      </c>
      <c r="O120" s="55" t="str">
        <f aca="false">IF(02_Almuerzos!P28="","",02_Almuerzos!P28)</f>
        <v>12:00-15:00</v>
      </c>
      <c r="P120" s="55" t="n">
        <f aca="false">IF(02_Almuerzos!Q28="","",02_Almuerzos!Q28)</f>
        <v>8</v>
      </c>
      <c r="Q120" s="55" t="str">
        <f aca="false">IF(02_Almuerzos!R28="","",02_Almuerzos!R28)</f>
        <v>Alto</v>
      </c>
      <c r="R120" s="55" t="str">
        <f aca="false">IF(02_Almuerzos!S28="","",02_Almuerzos!S28)</f>
        <v>Todo el año</v>
      </c>
      <c r="S120" s="55" t="str">
        <f aca="false">IF(02_Almuerzos!T28="","",02_Almuerzos!T28)</f>
        <v>Menú</v>
      </c>
      <c r="T120" s="56" t="str">
        <f aca="false">IF(02_Almuerzos!U28="","",02_Almuerzos!U28)</f>
        <v/>
      </c>
      <c r="U120" s="55" t="n">
        <v>28</v>
      </c>
      <c r="V120" s="55" t="n">
        <f aca="false">IF(AND(OR(LEN(13_Buscador!$C$5)=0,ISNUMBER(SEARCH(13_Buscador!$C$5,$C120&amp;" "&amp;$D120&amp;" "&amp;$E120&amp;" "&amp;$F120&amp;" "&amp;$S120))),OR(13_Buscador!$C$6="Todas las listas",LEN(13_Buscador!$C$6)=0,13_Buscador!$C$6=$B120)),1,0)</f>
        <v>1</v>
      </c>
      <c r="W120" s="55" t="n">
        <f aca="false">IF(V120=1,SUM($V$2:V120),"")</f>
        <v>11</v>
      </c>
    </row>
    <row r="121" customFormat="false" ht="23.25" hidden="false" customHeight="true" outlineLevel="0" collapsed="false">
      <c r="A121" s="55" t="n">
        <v>120</v>
      </c>
      <c r="B121" s="55" t="s">
        <v>3328</v>
      </c>
      <c r="C121" s="55" t="str">
        <f aca="false">IF(02_Almuerzos!B29="","",02_Almuerzos!B29)</f>
        <v>Segundos criollos</v>
      </c>
      <c r="D121" s="56" t="str">
        <f aca="false">IF(02_Almuerzos!C29="","",02_Almuerzos!C29)</f>
        <v>Carapulcra</v>
      </c>
      <c r="E121" s="56" t="str">
        <f aca="false">IF(02_Almuerzos!D29="","",02_Almuerzos!D29)</f>
        <v>Papa seca con cerdo</v>
      </c>
      <c r="F121" s="56" t="str">
        <f aca="false">IF(02_Almuerzos!E29="","",02_Almuerzos!E29)</f>
        <v>papa seca, carne de cerdo, ají panca, maní, ajo, comino</v>
      </c>
      <c r="G121" s="55" t="str">
        <f aca="false">IF(02_Almuerzos!F29="","",02_Almuerzos!F29)</f>
        <v>Plato</v>
      </c>
      <c r="H121" s="55" t="str">
        <f aca="false">IF(02_Almuerzos!G29="","",02_Almuerzos!G29)</f>
        <v>Estándar</v>
      </c>
      <c r="I121" s="58" t="n">
        <f aca="false">IF(02_Almuerzos!H29="","",02_Almuerzos!H29)</f>
        <v>10</v>
      </c>
      <c r="J121" s="58" t="n">
        <f aca="false">IF(02_Almuerzos!I29="","",02_Almuerzos!I29)</f>
        <v>17</v>
      </c>
      <c r="K121" s="58" t="n">
        <f aca="false">IF(02_Almuerzos!J29="","",02_Almuerzos!J29)</f>
        <v>13.5</v>
      </c>
      <c r="L121" s="58" t="n">
        <f aca="false">IF(02_Almuerzos!L29="","",02_Almuerzos!L29)</f>
        <v>14.5</v>
      </c>
      <c r="M121" s="58" t="n">
        <f aca="false">IF(02_Almuerzos!N29="","",02_Almuerzos!N29)</f>
        <v>1.22</v>
      </c>
      <c r="N121" s="58" t="n">
        <f aca="false">IF(02_Almuerzos!O29="","",02_Almuerzos!O29)</f>
        <v>12.28</v>
      </c>
      <c r="O121" s="55" t="str">
        <f aca="false">IF(02_Almuerzos!P29="","",02_Almuerzos!P29)</f>
        <v>12:00-15:00</v>
      </c>
      <c r="P121" s="55" t="n">
        <f aca="false">IF(02_Almuerzos!Q29="","",02_Almuerzos!Q29)</f>
        <v>10</v>
      </c>
      <c r="Q121" s="55" t="str">
        <f aca="false">IF(02_Almuerzos!R29="","",02_Almuerzos!R29)</f>
        <v>Alto</v>
      </c>
      <c r="R121" s="55" t="str">
        <f aca="false">IF(02_Almuerzos!S29="","",02_Almuerzos!S29)</f>
        <v>Todo el año</v>
      </c>
      <c r="S121" s="55" t="str">
        <f aca="false">IF(02_Almuerzos!T29="","",02_Almuerzos!T29)</f>
        <v>Menú</v>
      </c>
      <c r="T121" s="56" t="str">
        <f aca="false">IF(02_Almuerzos!U29="","",02_Almuerzos!U29)</f>
        <v/>
      </c>
      <c r="U121" s="55" t="n">
        <v>29</v>
      </c>
      <c r="V121" s="55" t="n">
        <f aca="false">IF(AND(OR(LEN(13_Buscador!$C$5)=0,ISNUMBER(SEARCH(13_Buscador!$C$5,$C121&amp;" "&amp;$D121&amp;" "&amp;$E121&amp;" "&amp;$F121&amp;" "&amp;$S121))),OR(13_Buscador!$C$6="Todas las listas",LEN(13_Buscador!$C$6)=0,13_Buscador!$C$6=$B121)),1,0)</f>
        <v>0</v>
      </c>
      <c r="W121" s="55" t="str">
        <f aca="false">IF(V121=1,SUM($V$2:V121),"")</f>
        <v/>
      </c>
    </row>
    <row r="122" customFormat="false" ht="23.25" hidden="false" customHeight="true" outlineLevel="0" collapsed="false">
      <c r="A122" s="55" t="n">
        <v>121</v>
      </c>
      <c r="B122" s="55" t="s">
        <v>3328</v>
      </c>
      <c r="C122" s="55" t="str">
        <f aca="false">IF(02_Almuerzos!B30="","",02_Almuerzos!B30)</f>
        <v>Segundos criollos</v>
      </c>
      <c r="D122" s="56" t="str">
        <f aca="false">IF(02_Almuerzos!C30="","",02_Almuerzos!C30)</f>
        <v>Arroz con pollo</v>
      </c>
      <c r="E122" s="56" t="str">
        <f aca="false">IF(02_Almuerzos!D30="","",02_Almuerzos!D30)</f>
        <v>Arroz verde con presa</v>
      </c>
      <c r="F122" s="56" t="str">
        <f aca="false">IF(02_Almuerzos!E30="","",02_Almuerzos!E30)</f>
        <v>arroz, presa de pollo, culantro, arveja, pimiento, ají amarillo, cerveza</v>
      </c>
      <c r="G122" s="55" t="str">
        <f aca="false">IF(02_Almuerzos!F30="","",02_Almuerzos!F30)</f>
        <v>Plato</v>
      </c>
      <c r="H122" s="55" t="str">
        <f aca="false">IF(02_Almuerzos!G30="","",02_Almuerzos!G30)</f>
        <v>Estándar</v>
      </c>
      <c r="I122" s="58" t="n">
        <f aca="false">IF(02_Almuerzos!H30="","",02_Almuerzos!H30)</f>
        <v>9</v>
      </c>
      <c r="J122" s="58" t="n">
        <f aca="false">IF(02_Almuerzos!I30="","",02_Almuerzos!I30)</f>
        <v>15</v>
      </c>
      <c r="K122" s="58" t="n">
        <f aca="false">IF(02_Almuerzos!J30="","",02_Almuerzos!J30)</f>
        <v>12</v>
      </c>
      <c r="L122" s="58" t="n">
        <f aca="false">IF(02_Almuerzos!L30="","",02_Almuerzos!L30)</f>
        <v>13</v>
      </c>
      <c r="M122" s="58" t="n">
        <f aca="false">IF(02_Almuerzos!N30="","",02_Almuerzos!N30)</f>
        <v>1.08</v>
      </c>
      <c r="N122" s="58" t="n">
        <f aca="false">IF(02_Almuerzos!O30="","",02_Almuerzos!O30)</f>
        <v>10.92</v>
      </c>
      <c r="O122" s="55" t="str">
        <f aca="false">IF(02_Almuerzos!P30="","",02_Almuerzos!P30)</f>
        <v>12:00-15:00</v>
      </c>
      <c r="P122" s="55" t="n">
        <f aca="false">IF(02_Almuerzos!Q30="","",02_Almuerzos!Q30)</f>
        <v>8</v>
      </c>
      <c r="Q122" s="55" t="str">
        <f aca="false">IF(02_Almuerzos!R30="","",02_Almuerzos!R30)</f>
        <v>Alto</v>
      </c>
      <c r="R122" s="55" t="str">
        <f aca="false">IF(02_Almuerzos!S30="","",02_Almuerzos!S30)</f>
        <v>Todo el año</v>
      </c>
      <c r="S122" s="55" t="str">
        <f aca="false">IF(02_Almuerzos!T30="","",02_Almuerzos!T30)</f>
        <v>Menú</v>
      </c>
      <c r="T122" s="56" t="str">
        <f aca="false">IF(02_Almuerzos!U30="","",02_Almuerzos!U30)</f>
        <v>Muy pedido, buena resistencia al traslado</v>
      </c>
      <c r="U122" s="55" t="n">
        <v>30</v>
      </c>
      <c r="V122" s="55" t="n">
        <f aca="false">IF(AND(OR(LEN(13_Buscador!$C$5)=0,ISNUMBER(SEARCH(13_Buscador!$C$5,$C122&amp;" "&amp;$D122&amp;" "&amp;$E122&amp;" "&amp;$F122&amp;" "&amp;$S122))),OR(13_Buscador!$C$6="Todas las listas",LEN(13_Buscador!$C$6)=0,13_Buscador!$C$6=$B122)),1,0)</f>
        <v>1</v>
      </c>
      <c r="W122" s="55" t="n">
        <f aca="false">IF(V122=1,SUM($V$2:V122),"")</f>
        <v>12</v>
      </c>
    </row>
    <row r="123" customFormat="false" ht="23.25" hidden="false" customHeight="true" outlineLevel="0" collapsed="false">
      <c r="A123" s="55" t="n">
        <v>122</v>
      </c>
      <c r="B123" s="55" t="s">
        <v>3328</v>
      </c>
      <c r="C123" s="55" t="str">
        <f aca="false">IF(02_Almuerzos!B31="","",02_Almuerzos!B31)</f>
        <v>Segundos criollos</v>
      </c>
      <c r="D123" s="56" t="str">
        <f aca="false">IF(02_Almuerzos!C31="","",02_Almuerzos!C31)</f>
        <v>Tallarín rojo</v>
      </c>
      <c r="E123" s="56" t="str">
        <f aca="false">IF(02_Almuerzos!D31="","",02_Almuerzos!D31)</f>
        <v>Pasta con salsa de tomate y presa</v>
      </c>
      <c r="F123" s="56" t="str">
        <f aca="false">IF(02_Almuerzos!E31="","",02_Almuerzos!E31)</f>
        <v>fideo, salsa de tomate, presa de pollo, cebolla, ajo, orégano</v>
      </c>
      <c r="G123" s="55" t="str">
        <f aca="false">IF(02_Almuerzos!F31="","",02_Almuerzos!F31)</f>
        <v>Plato</v>
      </c>
      <c r="H123" s="55" t="str">
        <f aca="false">IF(02_Almuerzos!G31="","",02_Almuerzos!G31)</f>
        <v>Económico</v>
      </c>
      <c r="I123" s="58" t="n">
        <f aca="false">IF(02_Almuerzos!H31="","",02_Almuerzos!H31)</f>
        <v>9</v>
      </c>
      <c r="J123" s="58" t="n">
        <f aca="false">IF(02_Almuerzos!I31="","",02_Almuerzos!I31)</f>
        <v>14</v>
      </c>
      <c r="K123" s="58" t="n">
        <f aca="false">IF(02_Almuerzos!J31="","",02_Almuerzos!J31)</f>
        <v>11.5</v>
      </c>
      <c r="L123" s="58" t="n">
        <f aca="false">IF(02_Almuerzos!L31="","",02_Almuerzos!L31)</f>
        <v>12.5</v>
      </c>
      <c r="M123" s="58" t="n">
        <f aca="false">IF(02_Almuerzos!N31="","",02_Almuerzos!N31)</f>
        <v>0.81</v>
      </c>
      <c r="N123" s="58" t="n">
        <f aca="false">IF(02_Almuerzos!O31="","",02_Almuerzos!O31)</f>
        <v>10.69</v>
      </c>
      <c r="O123" s="55" t="str">
        <f aca="false">IF(02_Almuerzos!P31="","",02_Almuerzos!P31)</f>
        <v>12:00-15:00</v>
      </c>
      <c r="P123" s="55" t="n">
        <f aca="false">IF(02_Almuerzos!Q31="","",02_Almuerzos!Q31)</f>
        <v>8</v>
      </c>
      <c r="Q123" s="55" t="str">
        <f aca="false">IF(02_Almuerzos!R31="","",02_Almuerzos!R31)</f>
        <v>Alto</v>
      </c>
      <c r="R123" s="55" t="str">
        <f aca="false">IF(02_Almuerzos!S31="","",02_Almuerzos!S31)</f>
        <v>Todo el año</v>
      </c>
      <c r="S123" s="55" t="str">
        <f aca="false">IF(02_Almuerzos!T31="","",02_Almuerzos!T31)</f>
        <v>Menú</v>
      </c>
      <c r="T123" s="56" t="str">
        <f aca="false">IF(02_Almuerzos!U31="","",02_Almuerzos!U31)</f>
        <v/>
      </c>
      <c r="U123" s="55" t="n">
        <v>31</v>
      </c>
      <c r="V123" s="55" t="n">
        <f aca="false">IF(AND(OR(LEN(13_Buscador!$C$5)=0,ISNUMBER(SEARCH(13_Buscador!$C$5,$C123&amp;" "&amp;$D123&amp;" "&amp;$E123&amp;" "&amp;$F123&amp;" "&amp;$S123))),OR(13_Buscador!$C$6="Todas las listas",LEN(13_Buscador!$C$6)=0,13_Buscador!$C$6=$B123)),1,0)</f>
        <v>1</v>
      </c>
      <c r="W123" s="55" t="n">
        <f aca="false">IF(V123=1,SUM($V$2:V123),"")</f>
        <v>13</v>
      </c>
    </row>
    <row r="124" customFormat="false" ht="15" hidden="false" customHeight="true" outlineLevel="0" collapsed="false">
      <c r="A124" s="55" t="n">
        <v>123</v>
      </c>
      <c r="B124" s="55" t="s">
        <v>3328</v>
      </c>
      <c r="C124" s="55" t="str">
        <f aca="false">IF(02_Almuerzos!B32="","",02_Almuerzos!B32)</f>
        <v>Segundos criollos</v>
      </c>
      <c r="D124" s="56" t="str">
        <f aca="false">IF(02_Almuerzos!C32="","",02_Almuerzos!C32)</f>
        <v>Tallarín verde con bistec</v>
      </c>
      <c r="E124" s="56" t="str">
        <f aca="false">IF(02_Almuerzos!D32="","",02_Almuerzos!D32)</f>
        <v>Pasta al pesto con bistec</v>
      </c>
      <c r="F124" s="56" t="str">
        <f aca="false">IF(02_Almuerzos!E32="","",02_Almuerzos!E32)</f>
        <v>fideo, albahaca, espinaca, queso, leche, ajo, bistec</v>
      </c>
      <c r="G124" s="55" t="str">
        <f aca="false">IF(02_Almuerzos!F32="","",02_Almuerzos!F32)</f>
        <v>Plato</v>
      </c>
      <c r="H124" s="55" t="str">
        <f aca="false">IF(02_Almuerzos!G32="","",02_Almuerzos!G32)</f>
        <v>Estándar</v>
      </c>
      <c r="I124" s="58" t="n">
        <f aca="false">IF(02_Almuerzos!H32="","",02_Almuerzos!H32)</f>
        <v>12</v>
      </c>
      <c r="J124" s="58" t="n">
        <f aca="false">IF(02_Almuerzos!I32="","",02_Almuerzos!I32)</f>
        <v>20</v>
      </c>
      <c r="K124" s="58" t="n">
        <f aca="false">IF(02_Almuerzos!J32="","",02_Almuerzos!J32)</f>
        <v>16</v>
      </c>
      <c r="L124" s="58" t="n">
        <f aca="false">IF(02_Almuerzos!L32="","",02_Almuerzos!L32)</f>
        <v>17</v>
      </c>
      <c r="M124" s="58" t="n">
        <f aca="false">IF(02_Almuerzos!N32="","",02_Almuerzos!N32)</f>
        <v>1.44</v>
      </c>
      <c r="N124" s="58" t="n">
        <f aca="false">IF(02_Almuerzos!O32="","",02_Almuerzos!O32)</f>
        <v>14.56</v>
      </c>
      <c r="O124" s="55" t="str">
        <f aca="false">IF(02_Almuerzos!P32="","",02_Almuerzos!P32)</f>
        <v>12:00-15:00</v>
      </c>
      <c r="P124" s="55" t="n">
        <f aca="false">IF(02_Almuerzos!Q32="","",02_Almuerzos!Q32)</f>
        <v>10</v>
      </c>
      <c r="Q124" s="55" t="str">
        <f aca="false">IF(02_Almuerzos!R32="","",02_Almuerzos!R32)</f>
        <v>Alto</v>
      </c>
      <c r="R124" s="55" t="str">
        <f aca="false">IF(02_Almuerzos!S32="","",02_Almuerzos!S32)</f>
        <v>Todo el año</v>
      </c>
      <c r="S124" s="55" t="str">
        <f aca="false">IF(02_Almuerzos!T32="","",02_Almuerzos!T32)</f>
        <v>Menú, restaurante</v>
      </c>
      <c r="T124" s="56" t="str">
        <f aca="false">IF(02_Almuerzos!U32="","",02_Almuerzos!U32)</f>
        <v/>
      </c>
      <c r="U124" s="55" t="n">
        <v>32</v>
      </c>
      <c r="V124" s="55" t="n">
        <f aca="false">IF(AND(OR(LEN(13_Buscador!$C$5)=0,ISNUMBER(SEARCH(13_Buscador!$C$5,$C124&amp;" "&amp;$D124&amp;" "&amp;$E124&amp;" "&amp;$F124&amp;" "&amp;$S124))),OR(13_Buscador!$C$6="Todas las listas",LEN(13_Buscador!$C$6)=0,13_Buscador!$C$6=$B124)),1,0)</f>
        <v>0</v>
      </c>
      <c r="W124" s="55" t="str">
        <f aca="false">IF(V124=1,SUM($V$2:V124),"")</f>
        <v/>
      </c>
    </row>
    <row r="125" customFormat="false" ht="23.25" hidden="false" customHeight="true" outlineLevel="0" collapsed="false">
      <c r="A125" s="55" t="n">
        <v>124</v>
      </c>
      <c r="B125" s="55" t="s">
        <v>3328</v>
      </c>
      <c r="C125" s="55" t="str">
        <f aca="false">IF(02_Almuerzos!B33="","",02_Almuerzos!B33)</f>
        <v>Segundos criollos</v>
      </c>
      <c r="D125" s="56" t="str">
        <f aca="false">IF(02_Almuerzos!C33="","",02_Almuerzos!C33)</f>
        <v>Saltado de pollo</v>
      </c>
      <c r="E125" s="56" t="str">
        <f aca="false">IF(02_Almuerzos!D33="","",02_Almuerzos!D33)</f>
        <v>Pollo salteado, papas, arroz</v>
      </c>
      <c r="F125" s="56" t="str">
        <f aca="false">IF(02_Almuerzos!E33="","",02_Almuerzos!E33)</f>
        <v>carne, pollo o hígado, cebolla, tomate, sillao, vinagre, papas fritas, arroz</v>
      </c>
      <c r="G125" s="55" t="str">
        <f aca="false">IF(02_Almuerzos!F33="","",02_Almuerzos!F33)</f>
        <v>Plato</v>
      </c>
      <c r="H125" s="55" t="str">
        <f aca="false">IF(02_Almuerzos!G33="","",02_Almuerzos!G33)</f>
        <v>Estándar</v>
      </c>
      <c r="I125" s="58" t="n">
        <f aca="false">IF(02_Almuerzos!H33="","",02_Almuerzos!H33)</f>
        <v>12</v>
      </c>
      <c r="J125" s="58" t="n">
        <f aca="false">IF(02_Almuerzos!I33="","",02_Almuerzos!I33)</f>
        <v>18</v>
      </c>
      <c r="K125" s="58" t="n">
        <f aca="false">IF(02_Almuerzos!J33="","",02_Almuerzos!J33)</f>
        <v>15</v>
      </c>
      <c r="L125" s="58" t="n">
        <f aca="false">IF(02_Almuerzos!L33="","",02_Almuerzos!L33)</f>
        <v>16</v>
      </c>
      <c r="M125" s="58" t="n">
        <f aca="false">IF(02_Almuerzos!N33="","",02_Almuerzos!N33)</f>
        <v>1.35</v>
      </c>
      <c r="N125" s="58" t="n">
        <f aca="false">IF(02_Almuerzos!O33="","",02_Almuerzos!O33)</f>
        <v>13.65</v>
      </c>
      <c r="O125" s="55" t="str">
        <f aca="false">IF(02_Almuerzos!P33="","",02_Almuerzos!P33)</f>
        <v>12:00-15:00</v>
      </c>
      <c r="P125" s="55" t="n">
        <f aca="false">IF(02_Almuerzos!Q33="","",02_Almuerzos!Q33)</f>
        <v>10</v>
      </c>
      <c r="Q125" s="55" t="str">
        <f aca="false">IF(02_Almuerzos!R33="","",02_Almuerzos!R33)</f>
        <v>Alto</v>
      </c>
      <c r="R125" s="55" t="str">
        <f aca="false">IF(02_Almuerzos!S33="","",02_Almuerzos!S33)</f>
        <v>Todo el año</v>
      </c>
      <c r="S125" s="55" t="str">
        <f aca="false">IF(02_Almuerzos!T33="","",02_Almuerzos!T33)</f>
        <v>Menú</v>
      </c>
      <c r="T125" s="56" t="str">
        <f aca="false">IF(02_Almuerzos!U33="","",02_Almuerzos!U33)</f>
        <v/>
      </c>
      <c r="U125" s="55" t="n">
        <v>33</v>
      </c>
      <c r="V125" s="55" t="n">
        <f aca="false">IF(AND(OR(LEN(13_Buscador!$C$5)=0,ISNUMBER(SEARCH(13_Buscador!$C$5,$C125&amp;" "&amp;$D125&amp;" "&amp;$E125&amp;" "&amp;$F125&amp;" "&amp;$S125))),OR(13_Buscador!$C$6="Todas las listas",LEN(13_Buscador!$C$6)=0,13_Buscador!$C$6=$B125)),1,0)</f>
        <v>1</v>
      </c>
      <c r="W125" s="55" t="n">
        <f aca="false">IF(V125=1,SUM($V$2:V125),"")</f>
        <v>14</v>
      </c>
    </row>
    <row r="126" customFormat="false" ht="23.25" hidden="false" customHeight="true" outlineLevel="0" collapsed="false">
      <c r="A126" s="55" t="n">
        <v>125</v>
      </c>
      <c r="B126" s="55" t="s">
        <v>3328</v>
      </c>
      <c r="C126" s="55" t="str">
        <f aca="false">IF(02_Almuerzos!B34="","",02_Almuerzos!B34)</f>
        <v>Segundos criollos</v>
      </c>
      <c r="D126" s="56" t="str">
        <f aca="false">IF(02_Almuerzos!C34="","",02_Almuerzos!C34)</f>
        <v>Saltado de carne</v>
      </c>
      <c r="E126" s="56" t="str">
        <f aca="false">IF(02_Almuerzos!D34="","",02_Almuerzos!D34)</f>
        <v>Carne salteada, papas, arroz</v>
      </c>
      <c r="F126" s="56" t="str">
        <f aca="false">IF(02_Almuerzos!E34="","",02_Almuerzos!E34)</f>
        <v>carne, pollo o hígado, cebolla, tomate, sillao, vinagre, papas fritas, arroz</v>
      </c>
      <c r="G126" s="55" t="str">
        <f aca="false">IF(02_Almuerzos!F34="","",02_Almuerzos!F34)</f>
        <v>Plato</v>
      </c>
      <c r="H126" s="55" t="str">
        <f aca="false">IF(02_Almuerzos!G34="","",02_Almuerzos!G34)</f>
        <v>Estándar</v>
      </c>
      <c r="I126" s="58" t="n">
        <f aca="false">IF(02_Almuerzos!H34="","",02_Almuerzos!H34)</f>
        <v>13</v>
      </c>
      <c r="J126" s="58" t="n">
        <f aca="false">IF(02_Almuerzos!I34="","",02_Almuerzos!I34)</f>
        <v>20</v>
      </c>
      <c r="K126" s="58" t="n">
        <f aca="false">IF(02_Almuerzos!J34="","",02_Almuerzos!J34)</f>
        <v>16.5</v>
      </c>
      <c r="L126" s="58" t="n">
        <f aca="false">IF(02_Almuerzos!L34="","",02_Almuerzos!L34)</f>
        <v>17.5</v>
      </c>
      <c r="M126" s="58" t="n">
        <f aca="false">IF(02_Almuerzos!N34="","",02_Almuerzos!N34)</f>
        <v>1.49</v>
      </c>
      <c r="N126" s="58" t="n">
        <f aca="false">IF(02_Almuerzos!O34="","",02_Almuerzos!O34)</f>
        <v>15.01</v>
      </c>
      <c r="O126" s="55" t="str">
        <f aca="false">IF(02_Almuerzos!P34="","",02_Almuerzos!P34)</f>
        <v>12:00-15:00</v>
      </c>
      <c r="P126" s="55" t="n">
        <f aca="false">IF(02_Almuerzos!Q34="","",02_Almuerzos!Q34)</f>
        <v>10</v>
      </c>
      <c r="Q126" s="55" t="str">
        <f aca="false">IF(02_Almuerzos!R34="","",02_Almuerzos!R34)</f>
        <v>Alto</v>
      </c>
      <c r="R126" s="55" t="str">
        <f aca="false">IF(02_Almuerzos!S34="","",02_Almuerzos!S34)</f>
        <v>Todo el año</v>
      </c>
      <c r="S126" s="55" t="str">
        <f aca="false">IF(02_Almuerzos!T34="","",02_Almuerzos!T34)</f>
        <v>Menú</v>
      </c>
      <c r="T126" s="56" t="str">
        <f aca="false">IF(02_Almuerzos!U34="","",02_Almuerzos!U34)</f>
        <v/>
      </c>
      <c r="U126" s="55" t="n">
        <v>34</v>
      </c>
      <c r="V126" s="55" t="n">
        <f aca="false">IF(AND(OR(LEN(13_Buscador!$C$5)=0,ISNUMBER(SEARCH(13_Buscador!$C$5,$C126&amp;" "&amp;$D126&amp;" "&amp;$E126&amp;" "&amp;$F126&amp;" "&amp;$S126))),OR(13_Buscador!$C$6="Todas las listas",LEN(13_Buscador!$C$6)=0,13_Buscador!$C$6=$B126)),1,0)</f>
        <v>1</v>
      </c>
      <c r="W126" s="55" t="n">
        <f aca="false">IF(V126=1,SUM($V$2:V126),"")</f>
        <v>15</v>
      </c>
    </row>
    <row r="127" customFormat="false" ht="23.25" hidden="false" customHeight="true" outlineLevel="0" collapsed="false">
      <c r="A127" s="55" t="n">
        <v>126</v>
      </c>
      <c r="B127" s="55" t="s">
        <v>3328</v>
      </c>
      <c r="C127" s="55" t="str">
        <f aca="false">IF(02_Almuerzos!B35="","",02_Almuerzos!B35)</f>
        <v>Segundos criollos</v>
      </c>
      <c r="D127" s="56" t="str">
        <f aca="false">IF(02_Almuerzos!C35="","",02_Almuerzos!C35)</f>
        <v>Pollo al horno con papas</v>
      </c>
      <c r="E127" s="56" t="str">
        <f aca="false">IF(02_Almuerzos!D35="","",02_Almuerzos!D35)</f>
        <v>Presa horneada</v>
      </c>
      <c r="F127" s="56" t="str">
        <f aca="false">IF(02_Almuerzos!E35="","",02_Almuerzos!E35)</f>
        <v>pollo, ajo, sal, aceite, salsa correspondiente, guarnición</v>
      </c>
      <c r="G127" s="55" t="str">
        <f aca="false">IF(02_Almuerzos!F35="","",02_Almuerzos!F35)</f>
        <v>Plato</v>
      </c>
      <c r="H127" s="55" t="str">
        <f aca="false">IF(02_Almuerzos!G35="","",02_Almuerzos!G35)</f>
        <v>Estándar</v>
      </c>
      <c r="I127" s="58" t="n">
        <f aca="false">IF(02_Almuerzos!H35="","",02_Almuerzos!H35)</f>
        <v>10</v>
      </c>
      <c r="J127" s="58" t="n">
        <f aca="false">IF(02_Almuerzos!I35="","",02_Almuerzos!I35)</f>
        <v>16</v>
      </c>
      <c r="K127" s="58" t="n">
        <f aca="false">IF(02_Almuerzos!J35="","",02_Almuerzos!J35)</f>
        <v>13</v>
      </c>
      <c r="L127" s="58" t="n">
        <f aca="false">IF(02_Almuerzos!L35="","",02_Almuerzos!L35)</f>
        <v>14</v>
      </c>
      <c r="M127" s="58" t="n">
        <f aca="false">IF(02_Almuerzos!N35="","",02_Almuerzos!N35)</f>
        <v>1.17</v>
      </c>
      <c r="N127" s="58" t="n">
        <f aca="false">IF(02_Almuerzos!O35="","",02_Almuerzos!O35)</f>
        <v>11.83</v>
      </c>
      <c r="O127" s="55" t="str">
        <f aca="false">IF(02_Almuerzos!P35="","",02_Almuerzos!P35)</f>
        <v>12:00-15:00</v>
      </c>
      <c r="P127" s="55" t="n">
        <f aca="false">IF(02_Almuerzos!Q35="","",02_Almuerzos!Q35)</f>
        <v>10</v>
      </c>
      <c r="Q127" s="55" t="str">
        <f aca="false">IF(02_Almuerzos!R35="","",02_Almuerzos!R35)</f>
        <v>Alto</v>
      </c>
      <c r="R127" s="55" t="str">
        <f aca="false">IF(02_Almuerzos!S35="","",02_Almuerzos!S35)</f>
        <v>Todo el año</v>
      </c>
      <c r="S127" s="55" t="str">
        <f aca="false">IF(02_Almuerzos!T35="","",02_Almuerzos!T35)</f>
        <v>Menú</v>
      </c>
      <c r="T127" s="56" t="str">
        <f aca="false">IF(02_Almuerzos!U35="","",02_Almuerzos!U35)</f>
        <v/>
      </c>
      <c r="U127" s="55" t="n">
        <v>35</v>
      </c>
      <c r="V127" s="55" t="n">
        <f aca="false">IF(AND(OR(LEN(13_Buscador!$C$5)=0,ISNUMBER(SEARCH(13_Buscador!$C$5,$C127&amp;" "&amp;$D127&amp;" "&amp;$E127&amp;" "&amp;$F127&amp;" "&amp;$S127))),OR(13_Buscador!$C$6="Todas las listas",LEN(13_Buscador!$C$6)=0,13_Buscador!$C$6=$B127)),1,0)</f>
        <v>1</v>
      </c>
      <c r="W127" s="55" t="n">
        <f aca="false">IF(V127=1,SUM($V$2:V127),"")</f>
        <v>16</v>
      </c>
    </row>
    <row r="128" customFormat="false" ht="15" hidden="false" customHeight="true" outlineLevel="0" collapsed="false">
      <c r="A128" s="55" t="n">
        <v>127</v>
      </c>
      <c r="B128" s="55" t="s">
        <v>3328</v>
      </c>
      <c r="C128" s="55" t="str">
        <f aca="false">IF(02_Almuerzos!B36="","",02_Almuerzos!B36)</f>
        <v>Segundos criollos</v>
      </c>
      <c r="D128" s="56" t="str">
        <f aca="false">IF(02_Almuerzos!C36="","",02_Almuerzos!C36)</f>
        <v>Pollo broaster con papas</v>
      </c>
      <c r="E128" s="56" t="str">
        <f aca="false">IF(02_Almuerzos!D36="","",02_Almuerzos!D36)</f>
        <v>Pollo apanado frito</v>
      </c>
      <c r="F128" s="56" t="str">
        <f aca="false">IF(02_Almuerzos!E36="","",02_Almuerzos!E36)</f>
        <v>pollo, harina, huevo, especias, aceite, papas fritas</v>
      </c>
      <c r="G128" s="55" t="str">
        <f aca="false">IF(02_Almuerzos!F36="","",02_Almuerzos!F36)</f>
        <v>Plato</v>
      </c>
      <c r="H128" s="55" t="str">
        <f aca="false">IF(02_Almuerzos!G36="","",02_Almuerzos!G36)</f>
        <v>Estándar</v>
      </c>
      <c r="I128" s="58" t="n">
        <f aca="false">IF(02_Almuerzos!H36="","",02_Almuerzos!H36)</f>
        <v>10</v>
      </c>
      <c r="J128" s="58" t="n">
        <f aca="false">IF(02_Almuerzos!I36="","",02_Almuerzos!I36)</f>
        <v>16</v>
      </c>
      <c r="K128" s="58" t="n">
        <f aca="false">IF(02_Almuerzos!J36="","",02_Almuerzos!J36)</f>
        <v>13</v>
      </c>
      <c r="L128" s="58" t="n">
        <f aca="false">IF(02_Almuerzos!L36="","",02_Almuerzos!L36)</f>
        <v>14</v>
      </c>
      <c r="M128" s="58" t="n">
        <f aca="false">IF(02_Almuerzos!N36="","",02_Almuerzos!N36)</f>
        <v>1.17</v>
      </c>
      <c r="N128" s="58" t="n">
        <f aca="false">IF(02_Almuerzos!O36="","",02_Almuerzos!O36)</f>
        <v>11.83</v>
      </c>
      <c r="O128" s="55" t="str">
        <f aca="false">IF(02_Almuerzos!P36="","",02_Almuerzos!P36)</f>
        <v>12:00-15:00</v>
      </c>
      <c r="P128" s="55" t="n">
        <f aca="false">IF(02_Almuerzos!Q36="","",02_Almuerzos!Q36)</f>
        <v>12</v>
      </c>
      <c r="Q128" s="55" t="str">
        <f aca="false">IF(02_Almuerzos!R36="","",02_Almuerzos!R36)</f>
        <v>Medio</v>
      </c>
      <c r="R128" s="55" t="str">
        <f aca="false">IF(02_Almuerzos!S36="","",02_Almuerzos!S36)</f>
        <v>Todo el año</v>
      </c>
      <c r="S128" s="55" t="str">
        <f aca="false">IF(02_Almuerzos!T36="","",02_Almuerzos!T36)</f>
        <v>Broastería</v>
      </c>
      <c r="T128" s="56" t="str">
        <f aca="false">IF(02_Almuerzos!U36="","",02_Almuerzos!U36)</f>
        <v>Pierde crocancia si el táper no ventila</v>
      </c>
      <c r="U128" s="55" t="n">
        <v>36</v>
      </c>
      <c r="V128" s="55" t="n">
        <f aca="false">IF(AND(OR(LEN(13_Buscador!$C$5)=0,ISNUMBER(SEARCH(13_Buscador!$C$5,$C128&amp;" "&amp;$D128&amp;" "&amp;$E128&amp;" "&amp;$F128&amp;" "&amp;$S128))),OR(13_Buscador!$C$6="Todas las listas",LEN(13_Buscador!$C$6)=0,13_Buscador!$C$6=$B128)),1,0)</f>
        <v>1</v>
      </c>
      <c r="W128" s="55" t="n">
        <f aca="false">IF(V128=1,SUM($V$2:V128),"")</f>
        <v>17</v>
      </c>
    </row>
    <row r="129" customFormat="false" ht="15" hidden="false" customHeight="true" outlineLevel="0" collapsed="false">
      <c r="A129" s="55" t="n">
        <v>128</v>
      </c>
      <c r="B129" s="55" t="s">
        <v>3328</v>
      </c>
      <c r="C129" s="55" t="str">
        <f aca="false">IF(02_Almuerzos!B37="","",02_Almuerzos!B37)</f>
        <v>Segundos criollos</v>
      </c>
      <c r="D129" s="56" t="str">
        <f aca="false">IF(02_Almuerzos!C37="","",02_Almuerzos!C37)</f>
        <v>Tortilla de verduras</v>
      </c>
      <c r="E129" s="56" t="str">
        <f aca="false">IF(02_Almuerzos!D37="","",02_Almuerzos!D37)</f>
        <v>Huevo con verduras, arroz</v>
      </c>
      <c r="F129" s="56" t="str">
        <f aca="false">IF(02_Almuerzos!E37="","",02_Almuerzos!E37)</f>
        <v>huevo, zanahoria, vainita, cebolla, sal, arroz</v>
      </c>
      <c r="G129" s="55" t="str">
        <f aca="false">IF(02_Almuerzos!F37="","",02_Almuerzos!F37)</f>
        <v>Plato</v>
      </c>
      <c r="H129" s="55" t="str">
        <f aca="false">IF(02_Almuerzos!G37="","",02_Almuerzos!G37)</f>
        <v>Económico</v>
      </c>
      <c r="I129" s="58" t="n">
        <f aca="false">IF(02_Almuerzos!H37="","",02_Almuerzos!H37)</f>
        <v>8</v>
      </c>
      <c r="J129" s="58" t="n">
        <f aca="false">IF(02_Almuerzos!I37="","",02_Almuerzos!I37)</f>
        <v>12</v>
      </c>
      <c r="K129" s="58" t="n">
        <f aca="false">IF(02_Almuerzos!J37="","",02_Almuerzos!J37)</f>
        <v>10</v>
      </c>
      <c r="L129" s="58" t="n">
        <f aca="false">IF(02_Almuerzos!L37="","",02_Almuerzos!L37)</f>
        <v>11</v>
      </c>
      <c r="M129" s="58" t="n">
        <f aca="false">IF(02_Almuerzos!N37="","",02_Almuerzos!N37)</f>
        <v>0.7</v>
      </c>
      <c r="N129" s="58" t="n">
        <f aca="false">IF(02_Almuerzos!O37="","",02_Almuerzos!O37)</f>
        <v>9.3</v>
      </c>
      <c r="O129" s="55" t="str">
        <f aca="false">IF(02_Almuerzos!P37="","",02_Almuerzos!P37)</f>
        <v>12:00-15:00</v>
      </c>
      <c r="P129" s="55" t="n">
        <f aca="false">IF(02_Almuerzos!Q37="","",02_Almuerzos!Q37)</f>
        <v>8</v>
      </c>
      <c r="Q129" s="55" t="str">
        <f aca="false">IF(02_Almuerzos!R37="","",02_Almuerzos!R37)</f>
        <v>Alto</v>
      </c>
      <c r="R129" s="55" t="str">
        <f aca="false">IF(02_Almuerzos!S37="","",02_Almuerzos!S37)</f>
        <v>Todo el año</v>
      </c>
      <c r="S129" s="55" t="str">
        <f aca="false">IF(02_Almuerzos!T37="","",02_Almuerzos!T37)</f>
        <v>Menú</v>
      </c>
      <c r="T129" s="56" t="str">
        <f aca="false">IF(02_Almuerzos!U37="","",02_Almuerzos!U37)</f>
        <v/>
      </c>
      <c r="U129" s="55" t="n">
        <v>37</v>
      </c>
      <c r="V129" s="55" t="n">
        <f aca="false">IF(AND(OR(LEN(13_Buscador!$C$5)=0,ISNUMBER(SEARCH(13_Buscador!$C$5,$C129&amp;" "&amp;$D129&amp;" "&amp;$E129&amp;" "&amp;$F129&amp;" "&amp;$S129))),OR(13_Buscador!$C$6="Todas las listas",LEN(13_Buscador!$C$6)=0,13_Buscador!$C$6=$B129)),1,0)</f>
        <v>0</v>
      </c>
      <c r="W129" s="55" t="str">
        <f aca="false">IF(V129=1,SUM($V$2:V129),"")</f>
        <v/>
      </c>
    </row>
    <row r="130" customFormat="false" ht="15" hidden="false" customHeight="true" outlineLevel="0" collapsed="false">
      <c r="A130" s="55" t="n">
        <v>129</v>
      </c>
      <c r="B130" s="55" t="s">
        <v>3328</v>
      </c>
      <c r="C130" s="55" t="str">
        <f aca="false">IF(02_Almuerzos!B38="","",02_Almuerzos!B38)</f>
        <v>Segundos criollos</v>
      </c>
      <c r="D130" s="56" t="str">
        <f aca="false">IF(02_Almuerzos!C38="","",02_Almuerzos!C38)</f>
        <v>Hígado encebollado</v>
      </c>
      <c r="E130" s="56" t="str">
        <f aca="false">IF(02_Almuerzos!D38="","",02_Almuerzos!D38)</f>
        <v>Hígado salteado con cebolla</v>
      </c>
      <c r="F130" s="56" t="str">
        <f aca="false">IF(02_Almuerzos!E38="","",02_Almuerzos!E38)</f>
        <v>hígado de res, cebolla, tomate, sillao, arroz</v>
      </c>
      <c r="G130" s="55" t="str">
        <f aca="false">IF(02_Almuerzos!F38="","",02_Almuerzos!F38)</f>
        <v>Plato</v>
      </c>
      <c r="H130" s="55" t="str">
        <f aca="false">IF(02_Almuerzos!G38="","",02_Almuerzos!G38)</f>
        <v>Económico</v>
      </c>
      <c r="I130" s="58" t="n">
        <f aca="false">IF(02_Almuerzos!H38="","",02_Almuerzos!H38)</f>
        <v>8</v>
      </c>
      <c r="J130" s="58" t="n">
        <f aca="false">IF(02_Almuerzos!I38="","",02_Almuerzos!I38)</f>
        <v>13</v>
      </c>
      <c r="K130" s="58" t="n">
        <f aca="false">IF(02_Almuerzos!J38="","",02_Almuerzos!J38)</f>
        <v>10.5</v>
      </c>
      <c r="L130" s="58" t="n">
        <f aca="false">IF(02_Almuerzos!L38="","",02_Almuerzos!L38)</f>
        <v>11.5</v>
      </c>
      <c r="M130" s="58" t="n">
        <f aca="false">IF(02_Almuerzos!N38="","",02_Almuerzos!N38)</f>
        <v>0.74</v>
      </c>
      <c r="N130" s="58" t="n">
        <f aca="false">IF(02_Almuerzos!O38="","",02_Almuerzos!O38)</f>
        <v>9.76</v>
      </c>
      <c r="O130" s="55" t="str">
        <f aca="false">IF(02_Almuerzos!P38="","",02_Almuerzos!P38)</f>
        <v>12:00-15:00</v>
      </c>
      <c r="P130" s="55" t="n">
        <f aca="false">IF(02_Almuerzos!Q38="","",02_Almuerzos!Q38)</f>
        <v>8</v>
      </c>
      <c r="Q130" s="55" t="str">
        <f aca="false">IF(02_Almuerzos!R38="","",02_Almuerzos!R38)</f>
        <v>Alto</v>
      </c>
      <c r="R130" s="55" t="str">
        <f aca="false">IF(02_Almuerzos!S38="","",02_Almuerzos!S38)</f>
        <v>Todo el año</v>
      </c>
      <c r="S130" s="55" t="str">
        <f aca="false">IF(02_Almuerzos!T38="","",02_Almuerzos!T38)</f>
        <v>Menú</v>
      </c>
      <c r="T130" s="56" t="str">
        <f aca="false">IF(02_Almuerzos!U38="","",02_Almuerzos!U38)</f>
        <v/>
      </c>
      <c r="U130" s="55" t="n">
        <v>38</v>
      </c>
      <c r="V130" s="55" t="n">
        <f aca="false">IF(AND(OR(LEN(13_Buscador!$C$5)=0,ISNUMBER(SEARCH(13_Buscador!$C$5,$C130&amp;" "&amp;$D130&amp;" "&amp;$E130&amp;" "&amp;$F130&amp;" "&amp;$S130))),OR(13_Buscador!$C$6="Todas las listas",LEN(13_Buscador!$C$6)=0,13_Buscador!$C$6=$B130)),1,0)</f>
        <v>0</v>
      </c>
      <c r="W130" s="55" t="str">
        <f aca="false">IF(V130=1,SUM($V$2:V130),"")</f>
        <v/>
      </c>
    </row>
    <row r="131" customFormat="false" ht="15" hidden="false" customHeight="true" outlineLevel="0" collapsed="false">
      <c r="A131" s="55" t="n">
        <v>130</v>
      </c>
      <c r="B131" s="55" t="s">
        <v>3328</v>
      </c>
      <c r="C131" s="55" t="str">
        <f aca="false">IF(02_Almuerzos!B39="","",02_Almuerzos!B39)</f>
        <v>Segundos criollos</v>
      </c>
      <c r="D131" s="56" t="str">
        <f aca="false">IF(02_Almuerzos!C39="","",02_Almuerzos!C39)</f>
        <v>Guiso de fideos</v>
      </c>
      <c r="E131" s="56" t="str">
        <f aca="false">IF(02_Almuerzos!D39="","",02_Almuerzos!D39)</f>
        <v>Fideo guisado con carne</v>
      </c>
      <c r="F131" s="56" t="str">
        <f aca="false">IF(02_Almuerzos!E39="","",02_Almuerzos!E39)</f>
        <v>fideo, carne molida, tomate, cebolla, ají panca</v>
      </c>
      <c r="G131" s="55" t="str">
        <f aca="false">IF(02_Almuerzos!F39="","",02_Almuerzos!F39)</f>
        <v>Plato</v>
      </c>
      <c r="H131" s="55" t="str">
        <f aca="false">IF(02_Almuerzos!G39="","",02_Almuerzos!G39)</f>
        <v>Económico</v>
      </c>
      <c r="I131" s="58" t="n">
        <f aca="false">IF(02_Almuerzos!H39="","",02_Almuerzos!H39)</f>
        <v>7</v>
      </c>
      <c r="J131" s="58" t="n">
        <f aca="false">IF(02_Almuerzos!I39="","",02_Almuerzos!I39)</f>
        <v>12</v>
      </c>
      <c r="K131" s="58" t="n">
        <f aca="false">IF(02_Almuerzos!J39="","",02_Almuerzos!J39)</f>
        <v>9.5</v>
      </c>
      <c r="L131" s="58" t="n">
        <f aca="false">IF(02_Almuerzos!L39="","",02_Almuerzos!L39)</f>
        <v>10.5</v>
      </c>
      <c r="M131" s="58" t="n">
        <f aca="false">IF(02_Almuerzos!N39="","",02_Almuerzos!N39)</f>
        <v>0.67</v>
      </c>
      <c r="N131" s="58" t="n">
        <f aca="false">IF(02_Almuerzos!O39="","",02_Almuerzos!O39)</f>
        <v>8.83</v>
      </c>
      <c r="O131" s="55" t="str">
        <f aca="false">IF(02_Almuerzos!P39="","",02_Almuerzos!P39)</f>
        <v>12:00-15:00</v>
      </c>
      <c r="P131" s="55" t="n">
        <f aca="false">IF(02_Almuerzos!Q39="","",02_Almuerzos!Q39)</f>
        <v>8</v>
      </c>
      <c r="Q131" s="55" t="str">
        <f aca="false">IF(02_Almuerzos!R39="","",02_Almuerzos!R39)</f>
        <v>Alto</v>
      </c>
      <c r="R131" s="55" t="str">
        <f aca="false">IF(02_Almuerzos!S39="","",02_Almuerzos!S39)</f>
        <v>Todo el año</v>
      </c>
      <c r="S131" s="55" t="str">
        <f aca="false">IF(02_Almuerzos!T39="","",02_Almuerzos!T39)</f>
        <v>Menú popular</v>
      </c>
      <c r="T131" s="56" t="str">
        <f aca="false">IF(02_Almuerzos!U39="","",02_Almuerzos!U39)</f>
        <v/>
      </c>
      <c r="U131" s="55" t="n">
        <v>39</v>
      </c>
      <c r="V131" s="55" t="n">
        <f aca="false">IF(AND(OR(LEN(13_Buscador!$C$5)=0,ISNUMBER(SEARCH(13_Buscador!$C$5,$C131&amp;" "&amp;$D131&amp;" "&amp;$E131&amp;" "&amp;$F131&amp;" "&amp;$S131))),OR(13_Buscador!$C$6="Todas las listas",LEN(13_Buscador!$C$6)=0,13_Buscador!$C$6=$B131)),1,0)</f>
        <v>0</v>
      </c>
      <c r="W131" s="55" t="str">
        <f aca="false">IF(V131=1,SUM($V$2:V131),"")</f>
        <v/>
      </c>
    </row>
    <row r="132" customFormat="false" ht="15" hidden="false" customHeight="true" outlineLevel="0" collapsed="false">
      <c r="A132" s="55" t="n">
        <v>131</v>
      </c>
      <c r="B132" s="55" t="s">
        <v>3328</v>
      </c>
      <c r="C132" s="55" t="str">
        <f aca="false">IF(02_Almuerzos!B40="","",02_Almuerzos!B40)</f>
        <v>Segundos criollos</v>
      </c>
      <c r="D132" s="56" t="str">
        <f aca="false">IF(02_Almuerzos!C40="","",02_Almuerzos!C40)</f>
        <v>Olluquito con charqui</v>
      </c>
      <c r="E132" s="56" t="str">
        <f aca="false">IF(02_Almuerzos!D40="","",02_Almuerzos!D40)</f>
        <v>Olluco con carne seca</v>
      </c>
      <c r="F132" s="56" t="str">
        <f aca="false">IF(02_Almuerzos!E40="","",02_Almuerzos!E40)</f>
        <v>olluco, charqui o carne, ají amarillo, cebolla, arroz</v>
      </c>
      <c r="G132" s="55" t="str">
        <f aca="false">IF(02_Almuerzos!F40="","",02_Almuerzos!F40)</f>
        <v>Plato</v>
      </c>
      <c r="H132" s="55" t="str">
        <f aca="false">IF(02_Almuerzos!G40="","",02_Almuerzos!G40)</f>
        <v>Estándar</v>
      </c>
      <c r="I132" s="58" t="n">
        <f aca="false">IF(02_Almuerzos!H40="","",02_Almuerzos!H40)</f>
        <v>9</v>
      </c>
      <c r="J132" s="58" t="n">
        <f aca="false">IF(02_Almuerzos!I40="","",02_Almuerzos!I40)</f>
        <v>15</v>
      </c>
      <c r="K132" s="58" t="n">
        <f aca="false">IF(02_Almuerzos!J40="","",02_Almuerzos!J40)</f>
        <v>12</v>
      </c>
      <c r="L132" s="58" t="n">
        <f aca="false">IF(02_Almuerzos!L40="","",02_Almuerzos!L40)</f>
        <v>13</v>
      </c>
      <c r="M132" s="58" t="n">
        <f aca="false">IF(02_Almuerzos!N40="","",02_Almuerzos!N40)</f>
        <v>1.08</v>
      </c>
      <c r="N132" s="58" t="n">
        <f aca="false">IF(02_Almuerzos!O40="","",02_Almuerzos!O40)</f>
        <v>10.92</v>
      </c>
      <c r="O132" s="55" t="str">
        <f aca="false">IF(02_Almuerzos!P40="","",02_Almuerzos!P40)</f>
        <v>12:00-15:00</v>
      </c>
      <c r="P132" s="55" t="n">
        <f aca="false">IF(02_Almuerzos!Q40="","",02_Almuerzos!Q40)</f>
        <v>10</v>
      </c>
      <c r="Q132" s="55" t="str">
        <f aca="false">IF(02_Almuerzos!R40="","",02_Almuerzos!R40)</f>
        <v>Alto</v>
      </c>
      <c r="R132" s="55" t="str">
        <f aca="false">IF(02_Almuerzos!S40="","",02_Almuerzos!S40)</f>
        <v>Todo el año</v>
      </c>
      <c r="S132" s="55" t="str">
        <f aca="false">IF(02_Almuerzos!T40="","",02_Almuerzos!T40)</f>
        <v>Menú, regional</v>
      </c>
      <c r="T132" s="56" t="str">
        <f aca="false">IF(02_Almuerzos!U40="","",02_Almuerzos!U40)</f>
        <v/>
      </c>
      <c r="U132" s="55" t="n">
        <v>40</v>
      </c>
      <c r="V132" s="55" t="n">
        <f aca="false">IF(AND(OR(LEN(13_Buscador!$C$5)=0,ISNUMBER(SEARCH(13_Buscador!$C$5,$C132&amp;" "&amp;$D132&amp;" "&amp;$E132&amp;" "&amp;$F132&amp;" "&amp;$S132))),OR(13_Buscador!$C$6="Todas las listas",LEN(13_Buscador!$C$6)=0,13_Buscador!$C$6=$B132)),1,0)</f>
        <v>0</v>
      </c>
      <c r="W132" s="55" t="str">
        <f aca="false">IF(V132=1,SUM($V$2:V132),"")</f>
        <v/>
      </c>
    </row>
    <row r="133" customFormat="false" ht="15" hidden="false" customHeight="true" outlineLevel="0" collapsed="false">
      <c r="A133" s="55" t="n">
        <v>132</v>
      </c>
      <c r="B133" s="55" t="s">
        <v>3328</v>
      </c>
      <c r="C133" s="55" t="str">
        <f aca="false">IF(02_Almuerzos!B41="","",02_Almuerzos!B41)</f>
        <v>Segundos criollos</v>
      </c>
      <c r="D133" s="56" t="str">
        <f aca="false">IF(02_Almuerzos!C41="","",02_Almuerzos!C41)</f>
        <v>Picante de carne</v>
      </c>
      <c r="E133" s="56" t="str">
        <f aca="false">IF(02_Almuerzos!D41="","",02_Almuerzos!D41)</f>
        <v>Carne en salsa picante con papa</v>
      </c>
      <c r="F133" s="56" t="str">
        <f aca="false">IF(02_Almuerzos!E41="","",02_Almuerzos!E41)</f>
        <v>carne, ají panca, papa, cebolla, ajo, comino</v>
      </c>
      <c r="G133" s="55" t="str">
        <f aca="false">IF(02_Almuerzos!F41="","",02_Almuerzos!F41)</f>
        <v>Plato</v>
      </c>
      <c r="H133" s="55" t="str">
        <f aca="false">IF(02_Almuerzos!G41="","",02_Almuerzos!G41)</f>
        <v>Estándar</v>
      </c>
      <c r="I133" s="58" t="n">
        <f aca="false">IF(02_Almuerzos!H41="","",02_Almuerzos!H41)</f>
        <v>10</v>
      </c>
      <c r="J133" s="58" t="n">
        <f aca="false">IF(02_Almuerzos!I41="","",02_Almuerzos!I41)</f>
        <v>16</v>
      </c>
      <c r="K133" s="58" t="n">
        <f aca="false">IF(02_Almuerzos!J41="","",02_Almuerzos!J41)</f>
        <v>13</v>
      </c>
      <c r="L133" s="58" t="n">
        <f aca="false">IF(02_Almuerzos!L41="","",02_Almuerzos!L41)</f>
        <v>14</v>
      </c>
      <c r="M133" s="58" t="n">
        <f aca="false">IF(02_Almuerzos!N41="","",02_Almuerzos!N41)</f>
        <v>1.17</v>
      </c>
      <c r="N133" s="58" t="n">
        <f aca="false">IF(02_Almuerzos!O41="","",02_Almuerzos!O41)</f>
        <v>11.83</v>
      </c>
      <c r="O133" s="55" t="str">
        <f aca="false">IF(02_Almuerzos!P41="","",02_Almuerzos!P41)</f>
        <v>12:00-15:00</v>
      </c>
      <c r="P133" s="55" t="n">
        <f aca="false">IF(02_Almuerzos!Q41="","",02_Almuerzos!Q41)</f>
        <v>10</v>
      </c>
      <c r="Q133" s="55" t="str">
        <f aca="false">IF(02_Almuerzos!R41="","",02_Almuerzos!R41)</f>
        <v>Alto</v>
      </c>
      <c r="R133" s="55" t="str">
        <f aca="false">IF(02_Almuerzos!S41="","",02_Almuerzos!S41)</f>
        <v>Todo el año</v>
      </c>
      <c r="S133" s="55" t="str">
        <f aca="false">IF(02_Almuerzos!T41="","",02_Almuerzos!T41)</f>
        <v>Menú, regional</v>
      </c>
      <c r="T133" s="56" t="str">
        <f aca="false">IF(02_Almuerzos!U41="","",02_Almuerzos!U41)</f>
        <v/>
      </c>
      <c r="U133" s="55" t="n">
        <v>41</v>
      </c>
      <c r="V133" s="55" t="n">
        <f aca="false">IF(AND(OR(LEN(13_Buscador!$C$5)=0,ISNUMBER(SEARCH(13_Buscador!$C$5,$C133&amp;" "&amp;$D133&amp;" "&amp;$E133&amp;" "&amp;$F133&amp;" "&amp;$S133))),OR(13_Buscador!$C$6="Todas las listas",LEN(13_Buscador!$C$6)=0,13_Buscador!$C$6=$B133)),1,0)</f>
        <v>0</v>
      </c>
      <c r="W133" s="55" t="str">
        <f aca="false">IF(V133=1,SUM($V$2:V133),"")</f>
        <v/>
      </c>
    </row>
    <row r="134" customFormat="false" ht="23.25" hidden="false" customHeight="true" outlineLevel="0" collapsed="false">
      <c r="A134" s="55" t="n">
        <v>133</v>
      </c>
      <c r="B134" s="55" t="s">
        <v>3328</v>
      </c>
      <c r="C134" s="55" t="str">
        <f aca="false">IF(02_Almuerzos!B42="","",02_Almuerzos!B42)</f>
        <v>Segundos criollos</v>
      </c>
      <c r="D134" s="56" t="str">
        <f aca="false">IF(02_Almuerzos!C42="","",02_Almuerzos!C42)</f>
        <v>Adobo de cerdo</v>
      </c>
      <c r="E134" s="56" t="str">
        <f aca="false">IF(02_Almuerzos!D42="","",02_Almuerzos!D42)</f>
        <v>Cerdo macerado en chicha</v>
      </c>
      <c r="F134" s="56" t="str">
        <f aca="false">IF(02_Almuerzos!E42="","",02_Almuerzos!E42)</f>
        <v>carne de cerdo, chicha de jora, ají panca, cebolla, rocoto, orégano</v>
      </c>
      <c r="G134" s="55" t="str">
        <f aca="false">IF(02_Almuerzos!F42="","",02_Almuerzos!F42)</f>
        <v>Plato</v>
      </c>
      <c r="H134" s="55" t="str">
        <f aca="false">IF(02_Almuerzos!G42="","",02_Almuerzos!G42)</f>
        <v>Estándar</v>
      </c>
      <c r="I134" s="58" t="n">
        <f aca="false">IF(02_Almuerzos!H42="","",02_Almuerzos!H42)</f>
        <v>12</v>
      </c>
      <c r="J134" s="58" t="n">
        <f aca="false">IF(02_Almuerzos!I42="","",02_Almuerzos!I42)</f>
        <v>20</v>
      </c>
      <c r="K134" s="58" t="n">
        <f aca="false">IF(02_Almuerzos!J42="","",02_Almuerzos!J42)</f>
        <v>16</v>
      </c>
      <c r="L134" s="58" t="n">
        <f aca="false">IF(02_Almuerzos!L42="","",02_Almuerzos!L42)</f>
        <v>17</v>
      </c>
      <c r="M134" s="58" t="n">
        <f aca="false">IF(02_Almuerzos!N42="","",02_Almuerzos!N42)</f>
        <v>1.44</v>
      </c>
      <c r="N134" s="58" t="n">
        <f aca="false">IF(02_Almuerzos!O42="","",02_Almuerzos!O42)</f>
        <v>14.56</v>
      </c>
      <c r="O134" s="55" t="str">
        <f aca="false">IF(02_Almuerzos!P42="","",02_Almuerzos!P42)</f>
        <v>07:00-12:00</v>
      </c>
      <c r="P134" s="55" t="n">
        <f aca="false">IF(02_Almuerzos!Q42="","",02_Almuerzos!Q42)</f>
        <v>12</v>
      </c>
      <c r="Q134" s="55" t="str">
        <f aca="false">IF(02_Almuerzos!R42="","",02_Almuerzos!R42)</f>
        <v>Alto</v>
      </c>
      <c r="R134" s="55" t="str">
        <f aca="false">IF(02_Almuerzos!S42="","",02_Almuerzos!S42)</f>
        <v>Fin de semana</v>
      </c>
      <c r="S134" s="55" t="str">
        <f aca="false">IF(02_Almuerzos!T42="","",02_Almuerzos!T42)</f>
        <v>Regional</v>
      </c>
      <c r="T134" s="56" t="str">
        <f aca="false">IF(02_Almuerzos!U42="","",02_Almuerzos!U42)</f>
        <v>Fuerte demanda domingo por la mañana</v>
      </c>
      <c r="U134" s="55" t="n">
        <v>42</v>
      </c>
      <c r="V134" s="55" t="n">
        <f aca="false">IF(AND(OR(LEN(13_Buscador!$C$5)=0,ISNUMBER(SEARCH(13_Buscador!$C$5,$C134&amp;" "&amp;$D134&amp;" "&amp;$E134&amp;" "&amp;$F134&amp;" "&amp;$S134))),OR(13_Buscador!$C$6="Todas las listas",LEN(13_Buscador!$C$6)=0,13_Buscador!$C$6=$B134)),1,0)</f>
        <v>0</v>
      </c>
      <c r="W134" s="55" t="str">
        <f aca="false">IF(V134=1,SUM($V$2:V134),"")</f>
        <v/>
      </c>
    </row>
    <row r="135" customFormat="false" ht="23.25" hidden="false" customHeight="true" outlineLevel="0" collapsed="false">
      <c r="A135" s="55" t="n">
        <v>134</v>
      </c>
      <c r="B135" s="55" t="s">
        <v>3328</v>
      </c>
      <c r="C135" s="55" t="str">
        <f aca="false">IF(02_Almuerzos!B43="","",02_Almuerzos!B43)</f>
        <v>Regional puneño</v>
      </c>
      <c r="D135" s="56" t="str">
        <f aca="false">IF(02_Almuerzos!C43="","",02_Almuerzos!C43)</f>
        <v>Thimpo de trucha</v>
      </c>
      <c r="E135" s="56" t="str">
        <f aca="false">IF(02_Almuerzos!D43="","",02_Almuerzos!D43)</f>
        <v>Trucha en caldo picante con chuño</v>
      </c>
      <c r="F135" s="56" t="str">
        <f aca="false">IF(02_Almuerzos!E43="","",02_Almuerzos!E43)</f>
        <v>trucha, chuño, ají panca, col, papa, cebolla, hierbabuena</v>
      </c>
      <c r="G135" s="55" t="str">
        <f aca="false">IF(02_Almuerzos!F43="","",02_Almuerzos!F43)</f>
        <v>Plato hondo</v>
      </c>
      <c r="H135" s="55" t="str">
        <f aca="false">IF(02_Almuerzos!G43="","",02_Almuerzos!G43)</f>
        <v>Medio</v>
      </c>
      <c r="I135" s="58" t="n">
        <f aca="false">IF(02_Almuerzos!H43="","",02_Almuerzos!H43)</f>
        <v>15</v>
      </c>
      <c r="J135" s="58" t="n">
        <f aca="false">IF(02_Almuerzos!I43="","",02_Almuerzos!I43)</f>
        <v>25</v>
      </c>
      <c r="K135" s="58" t="n">
        <f aca="false">IF(02_Almuerzos!J43="","",02_Almuerzos!J43)</f>
        <v>20</v>
      </c>
      <c r="L135" s="58" t="n">
        <f aca="false">IF(02_Almuerzos!L43="","",02_Almuerzos!L43)</f>
        <v>21</v>
      </c>
      <c r="M135" s="58" t="n">
        <f aca="false">IF(02_Almuerzos!N43="","",02_Almuerzos!N43)</f>
        <v>2.2</v>
      </c>
      <c r="N135" s="58" t="n">
        <f aca="false">IF(02_Almuerzos!O43="","",02_Almuerzos!O43)</f>
        <v>17.8</v>
      </c>
      <c r="O135" s="55" t="str">
        <f aca="false">IF(02_Almuerzos!P43="","",02_Almuerzos!P43)</f>
        <v>12:00-15:00</v>
      </c>
      <c r="P135" s="55" t="n">
        <f aca="false">IF(02_Almuerzos!Q43="","",02_Almuerzos!Q43)</f>
        <v>15</v>
      </c>
      <c r="Q135" s="55" t="str">
        <f aca="false">IF(02_Almuerzos!R43="","",02_Almuerzos!R43)</f>
        <v>Medio</v>
      </c>
      <c r="R135" s="55" t="str">
        <f aca="false">IF(02_Almuerzos!S43="","",02_Almuerzos!S43)</f>
        <v>Todo el año</v>
      </c>
      <c r="S135" s="55" t="str">
        <f aca="false">IF(02_Almuerzos!T43="","",02_Almuerzos!T43)</f>
        <v>Regional</v>
      </c>
      <c r="T135" s="56" t="str">
        <f aca="false">IF(02_Almuerzos!U43="","",02_Almuerzos!U43)</f>
        <v>Plato bandera de Puno</v>
      </c>
      <c r="U135" s="55" t="n">
        <v>43</v>
      </c>
      <c r="V135" s="55" t="n">
        <f aca="false">IF(AND(OR(LEN(13_Buscador!$C$5)=0,ISNUMBER(SEARCH(13_Buscador!$C$5,$C135&amp;" "&amp;$D135&amp;" "&amp;$E135&amp;" "&amp;$F135&amp;" "&amp;$S135))),OR(13_Buscador!$C$6="Todas las listas",LEN(13_Buscador!$C$6)=0,13_Buscador!$C$6=$B135)),1,0)</f>
        <v>0</v>
      </c>
      <c r="W135" s="55" t="str">
        <f aca="false">IF(V135=1,SUM($V$2:V135),"")</f>
        <v/>
      </c>
    </row>
    <row r="136" customFormat="false" ht="15" hidden="false" customHeight="true" outlineLevel="0" collapsed="false">
      <c r="A136" s="55" t="n">
        <v>135</v>
      </c>
      <c r="B136" s="55" t="s">
        <v>3328</v>
      </c>
      <c r="C136" s="55" t="str">
        <f aca="false">IF(02_Almuerzos!B44="","",02_Almuerzos!B44)</f>
        <v>Regional puneño</v>
      </c>
      <c r="D136" s="56" t="str">
        <f aca="false">IF(02_Almuerzos!C44="","",02_Almuerzos!C44)</f>
        <v>Pesque de quinua</v>
      </c>
      <c r="E136" s="56" t="str">
        <f aca="false">IF(02_Almuerzos!D44="","",02_Almuerzos!D44)</f>
        <v>Quinua cremosa con queso y leche</v>
      </c>
      <c r="F136" s="56" t="str">
        <f aca="false">IF(02_Almuerzos!E44="","",02_Almuerzos!E44)</f>
        <v>quinua, leche, queso fresco, mantequilla, sal</v>
      </c>
      <c r="G136" s="55" t="str">
        <f aca="false">IF(02_Almuerzos!F44="","",02_Almuerzos!F44)</f>
        <v>Plato</v>
      </c>
      <c r="H136" s="55" t="str">
        <f aca="false">IF(02_Almuerzos!G44="","",02_Almuerzos!G44)</f>
        <v>Estándar</v>
      </c>
      <c r="I136" s="58" t="n">
        <f aca="false">IF(02_Almuerzos!H44="","",02_Almuerzos!H44)</f>
        <v>10</v>
      </c>
      <c r="J136" s="58" t="n">
        <f aca="false">IF(02_Almuerzos!I44="","",02_Almuerzos!I44)</f>
        <v>18</v>
      </c>
      <c r="K136" s="58" t="n">
        <f aca="false">IF(02_Almuerzos!J44="","",02_Almuerzos!J44)</f>
        <v>14</v>
      </c>
      <c r="L136" s="58" t="n">
        <f aca="false">IF(02_Almuerzos!L44="","",02_Almuerzos!L44)</f>
        <v>15</v>
      </c>
      <c r="M136" s="58" t="n">
        <f aca="false">IF(02_Almuerzos!N44="","",02_Almuerzos!N44)</f>
        <v>1.26</v>
      </c>
      <c r="N136" s="58" t="n">
        <f aca="false">IF(02_Almuerzos!O44="","",02_Almuerzos!O44)</f>
        <v>12.74</v>
      </c>
      <c r="O136" s="55" t="str">
        <f aca="false">IF(02_Almuerzos!P44="","",02_Almuerzos!P44)</f>
        <v>12:00-15:00</v>
      </c>
      <c r="P136" s="55" t="n">
        <f aca="false">IF(02_Almuerzos!Q44="","",02_Almuerzos!Q44)</f>
        <v>12</v>
      </c>
      <c r="Q136" s="55" t="str">
        <f aca="false">IF(02_Almuerzos!R44="","",02_Almuerzos!R44)</f>
        <v>Alto</v>
      </c>
      <c r="R136" s="55" t="str">
        <f aca="false">IF(02_Almuerzos!S44="","",02_Almuerzos!S44)</f>
        <v>Todo el año</v>
      </c>
      <c r="S136" s="55" t="str">
        <f aca="false">IF(02_Almuerzos!T44="","",02_Almuerzos!T44)</f>
        <v>Regional</v>
      </c>
      <c r="T136" s="56" t="str">
        <f aca="false">IF(02_Almuerzos!U44="","",02_Almuerzos!U44)</f>
        <v>Alta identidad local</v>
      </c>
      <c r="U136" s="55" t="n">
        <v>44</v>
      </c>
      <c r="V136" s="55" t="n">
        <f aca="false">IF(AND(OR(LEN(13_Buscador!$C$5)=0,ISNUMBER(SEARCH(13_Buscador!$C$5,$C136&amp;" "&amp;$D136&amp;" "&amp;$E136&amp;" "&amp;$F136&amp;" "&amp;$S136))),OR(13_Buscador!$C$6="Todas las listas",LEN(13_Buscador!$C$6)=0,13_Buscador!$C$6=$B136)),1,0)</f>
        <v>0</v>
      </c>
      <c r="W136" s="55" t="str">
        <f aca="false">IF(V136=1,SUM($V$2:V136),"")</f>
        <v/>
      </c>
    </row>
    <row r="137" customFormat="false" ht="15" hidden="false" customHeight="true" outlineLevel="0" collapsed="false">
      <c r="A137" s="55" t="n">
        <v>136</v>
      </c>
      <c r="B137" s="55" t="s">
        <v>3328</v>
      </c>
      <c r="C137" s="55" t="str">
        <f aca="false">IF(02_Almuerzos!B45="","",02_Almuerzos!B45)</f>
        <v>Regional puneño</v>
      </c>
      <c r="D137" s="56" t="str">
        <f aca="false">IF(02_Almuerzos!C45="","",02_Almuerzos!C45)</f>
        <v>Chicharrón de cerdo</v>
      </c>
      <c r="E137" s="56" t="str">
        <f aca="false">IF(02_Almuerzos!D45="","",02_Almuerzos!D45)</f>
        <v>Cerdo frito, mote, papa</v>
      </c>
      <c r="F137" s="56" t="str">
        <f aca="false">IF(02_Almuerzos!E45="","",02_Almuerzos!E45)</f>
        <v>carne de cerdo, sal, agua, mote, papa, salsa criolla</v>
      </c>
      <c r="G137" s="55" t="str">
        <f aca="false">IF(02_Almuerzos!F45="","",02_Almuerzos!F45)</f>
        <v>Plato</v>
      </c>
      <c r="H137" s="55" t="str">
        <f aca="false">IF(02_Almuerzos!G45="","",02_Almuerzos!G45)</f>
        <v>Medio</v>
      </c>
      <c r="I137" s="58" t="n">
        <f aca="false">IF(02_Almuerzos!H45="","",02_Almuerzos!H45)</f>
        <v>15</v>
      </c>
      <c r="J137" s="58" t="n">
        <f aca="false">IF(02_Almuerzos!I45="","",02_Almuerzos!I45)</f>
        <v>25</v>
      </c>
      <c r="K137" s="58" t="n">
        <f aca="false">IF(02_Almuerzos!J45="","",02_Almuerzos!J45)</f>
        <v>20</v>
      </c>
      <c r="L137" s="58" t="n">
        <f aca="false">IF(02_Almuerzos!L45="","",02_Almuerzos!L45)</f>
        <v>21</v>
      </c>
      <c r="M137" s="58" t="n">
        <f aca="false">IF(02_Almuerzos!N45="","",02_Almuerzos!N45)</f>
        <v>2.2</v>
      </c>
      <c r="N137" s="58" t="n">
        <f aca="false">IF(02_Almuerzos!O45="","",02_Almuerzos!O45)</f>
        <v>17.8</v>
      </c>
      <c r="O137" s="55" t="str">
        <f aca="false">IF(02_Almuerzos!P45="","",02_Almuerzos!P45)</f>
        <v>11:00-16:00</v>
      </c>
      <c r="P137" s="55" t="n">
        <f aca="false">IF(02_Almuerzos!Q45="","",02_Almuerzos!Q45)</f>
        <v>15</v>
      </c>
      <c r="Q137" s="55" t="str">
        <f aca="false">IF(02_Almuerzos!R45="","",02_Almuerzos!R45)</f>
        <v>Medio</v>
      </c>
      <c r="R137" s="55" t="str">
        <f aca="false">IF(02_Almuerzos!S45="","",02_Almuerzos!S45)</f>
        <v>Fin de semana</v>
      </c>
      <c r="S137" s="55" t="str">
        <f aca="false">IF(02_Almuerzos!T45="","",02_Almuerzos!T45)</f>
        <v>Regional</v>
      </c>
      <c r="T137" s="56" t="str">
        <f aca="false">IF(02_Almuerzos!U45="","",02_Almuerzos!U45)</f>
        <v/>
      </c>
      <c r="U137" s="55" t="n">
        <v>45</v>
      </c>
      <c r="V137" s="55" t="n">
        <f aca="false">IF(AND(OR(LEN(13_Buscador!$C$5)=0,ISNUMBER(SEARCH(13_Buscador!$C$5,$C137&amp;" "&amp;$D137&amp;" "&amp;$E137&amp;" "&amp;$F137&amp;" "&amp;$S137))),OR(13_Buscador!$C$6="Todas las listas",LEN(13_Buscador!$C$6)=0,13_Buscador!$C$6=$B137)),1,0)</f>
        <v>0</v>
      </c>
      <c r="W137" s="55" t="str">
        <f aca="false">IF(V137=1,SUM($V$2:V137),"")</f>
        <v/>
      </c>
    </row>
    <row r="138" customFormat="false" ht="23.25" hidden="false" customHeight="true" outlineLevel="0" collapsed="false">
      <c r="A138" s="55" t="n">
        <v>137</v>
      </c>
      <c r="B138" s="55" t="s">
        <v>3328</v>
      </c>
      <c r="C138" s="55" t="str">
        <f aca="false">IF(02_Almuerzos!B46="","",02_Almuerzos!B46)</f>
        <v>Regional puneño</v>
      </c>
      <c r="D138" s="56" t="str">
        <f aca="false">IF(02_Almuerzos!C46="","",02_Almuerzos!C46)</f>
        <v>Huatia</v>
      </c>
      <c r="E138" s="56" t="str">
        <f aca="false">IF(02_Almuerzos!D46="","",02_Almuerzos!D46)</f>
        <v>Papas y carne cocidas en horno de tierra</v>
      </c>
      <c r="F138" s="56" t="str">
        <f aca="false">IF(02_Almuerzos!E46="","",02_Almuerzos!E46)</f>
        <v>papa, oca, carne, chuño, tierra y terrones calientes, sal</v>
      </c>
      <c r="G138" s="55" t="str">
        <f aca="false">IF(02_Almuerzos!F46="","",02_Almuerzos!F46)</f>
        <v>Plato</v>
      </c>
      <c r="H138" s="55" t="str">
        <f aca="false">IF(02_Almuerzos!G46="","",02_Almuerzos!G46)</f>
        <v>Medio</v>
      </c>
      <c r="I138" s="58" t="n">
        <f aca="false">IF(02_Almuerzos!H46="","",02_Almuerzos!H46)</f>
        <v>15</v>
      </c>
      <c r="J138" s="58" t="n">
        <f aca="false">IF(02_Almuerzos!I46="","",02_Almuerzos!I46)</f>
        <v>25</v>
      </c>
      <c r="K138" s="58" t="n">
        <f aca="false">IF(02_Almuerzos!J46="","",02_Almuerzos!J46)</f>
        <v>20</v>
      </c>
      <c r="L138" s="58" t="n">
        <f aca="false">IF(02_Almuerzos!L46="","",02_Almuerzos!L46)</f>
        <v>21</v>
      </c>
      <c r="M138" s="58" t="n">
        <f aca="false">IF(02_Almuerzos!N46="","",02_Almuerzos!N46)</f>
        <v>2.2</v>
      </c>
      <c r="N138" s="58" t="n">
        <f aca="false">IF(02_Almuerzos!O46="","",02_Almuerzos!O46)</f>
        <v>17.8</v>
      </c>
      <c r="O138" s="55" t="str">
        <f aca="false">IF(02_Almuerzos!P46="","",02_Almuerzos!P46)</f>
        <v>12:00-16:00</v>
      </c>
      <c r="P138" s="55" t="n">
        <f aca="false">IF(02_Almuerzos!Q46="","",02_Almuerzos!Q46)</f>
        <v>20</v>
      </c>
      <c r="Q138" s="55" t="str">
        <f aca="false">IF(02_Almuerzos!R46="","",02_Almuerzos!R46)</f>
        <v>Bajo</v>
      </c>
      <c r="R138" s="55" t="str">
        <f aca="false">IF(02_Almuerzos!S46="","",02_Almuerzos!S46)</f>
        <v>Temporada de cosecha</v>
      </c>
      <c r="S138" s="55" t="str">
        <f aca="false">IF(02_Almuerzos!T46="","",02_Almuerzos!T46)</f>
        <v>Regional</v>
      </c>
      <c r="T138" s="56" t="str">
        <f aca="false">IF(02_Almuerzos!U46="","",02_Almuerzos!U46)</f>
        <v>Estacional, abril-junio</v>
      </c>
      <c r="U138" s="55" t="n">
        <v>46</v>
      </c>
      <c r="V138" s="55" t="n">
        <f aca="false">IF(AND(OR(LEN(13_Buscador!$C$5)=0,ISNUMBER(SEARCH(13_Buscador!$C$5,$C138&amp;" "&amp;$D138&amp;" "&amp;$E138&amp;" "&amp;$F138&amp;" "&amp;$S138))),OR(13_Buscador!$C$6="Todas las listas",LEN(13_Buscador!$C$6)=0,13_Buscador!$C$6=$B138)),1,0)</f>
        <v>0</v>
      </c>
      <c r="W138" s="55" t="str">
        <f aca="false">IF(V138=1,SUM($V$2:V138),"")</f>
        <v/>
      </c>
    </row>
    <row r="139" customFormat="false" ht="15" hidden="false" customHeight="true" outlineLevel="0" collapsed="false">
      <c r="A139" s="55" t="n">
        <v>138</v>
      </c>
      <c r="B139" s="55" t="s">
        <v>3328</v>
      </c>
      <c r="C139" s="55" t="str">
        <f aca="false">IF(02_Almuerzos!B47="","",02_Almuerzos!B47)</f>
        <v>Regional puneño</v>
      </c>
      <c r="D139" s="56" t="str">
        <f aca="false">IF(02_Almuerzos!C47="","",02_Almuerzos!C47)</f>
        <v>Chicharrón de alpaca</v>
      </c>
      <c r="E139" s="56" t="str">
        <f aca="false">IF(02_Almuerzos!D47="","",02_Almuerzos!D47)</f>
        <v>Carne de alpaca frita</v>
      </c>
      <c r="F139" s="56" t="str">
        <f aca="false">IF(02_Almuerzos!E47="","",02_Almuerzos!E47)</f>
        <v>carne de alpaca, sal, aceite, mote, papa</v>
      </c>
      <c r="G139" s="55" t="str">
        <f aca="false">IF(02_Almuerzos!F47="","",02_Almuerzos!F47)</f>
        <v>Plato</v>
      </c>
      <c r="H139" s="55" t="str">
        <f aca="false">IF(02_Almuerzos!G47="","",02_Almuerzos!G47)</f>
        <v>Medio</v>
      </c>
      <c r="I139" s="58" t="n">
        <f aca="false">IF(02_Almuerzos!H47="","",02_Almuerzos!H47)</f>
        <v>18</v>
      </c>
      <c r="J139" s="58" t="n">
        <f aca="false">IF(02_Almuerzos!I47="","",02_Almuerzos!I47)</f>
        <v>28</v>
      </c>
      <c r="K139" s="58" t="n">
        <f aca="false">IF(02_Almuerzos!J47="","",02_Almuerzos!J47)</f>
        <v>23</v>
      </c>
      <c r="L139" s="58" t="n">
        <f aca="false">IF(02_Almuerzos!L47="","",02_Almuerzos!L47)</f>
        <v>24</v>
      </c>
      <c r="M139" s="58" t="n">
        <f aca="false">IF(02_Almuerzos!N47="","",02_Almuerzos!N47)</f>
        <v>2.53</v>
      </c>
      <c r="N139" s="58" t="n">
        <f aca="false">IF(02_Almuerzos!O47="","",02_Almuerzos!O47)</f>
        <v>20.47</v>
      </c>
      <c r="O139" s="55" t="str">
        <f aca="false">IF(02_Almuerzos!P47="","",02_Almuerzos!P47)</f>
        <v>12:00-16:00</v>
      </c>
      <c r="P139" s="55" t="n">
        <f aca="false">IF(02_Almuerzos!Q47="","",02_Almuerzos!Q47)</f>
        <v>15</v>
      </c>
      <c r="Q139" s="55" t="str">
        <f aca="false">IF(02_Almuerzos!R47="","",02_Almuerzos!R47)</f>
        <v>Medio</v>
      </c>
      <c r="R139" s="55" t="str">
        <f aca="false">IF(02_Almuerzos!S47="","",02_Almuerzos!S47)</f>
        <v>Todo el año</v>
      </c>
      <c r="S139" s="55" t="str">
        <f aca="false">IF(02_Almuerzos!T47="","",02_Almuerzos!T47)</f>
        <v>Regional</v>
      </c>
      <c r="T139" s="56" t="str">
        <f aca="false">IF(02_Almuerzos!U47="","",02_Almuerzos!U47)</f>
        <v/>
      </c>
      <c r="U139" s="55" t="n">
        <v>47</v>
      </c>
      <c r="V139" s="55" t="n">
        <f aca="false">IF(AND(OR(LEN(13_Buscador!$C$5)=0,ISNUMBER(SEARCH(13_Buscador!$C$5,$C139&amp;" "&amp;$D139&amp;" "&amp;$E139&amp;" "&amp;$F139&amp;" "&amp;$S139))),OR(13_Buscador!$C$6="Todas las listas",LEN(13_Buscador!$C$6)=0,13_Buscador!$C$6=$B139)),1,0)</f>
        <v>0</v>
      </c>
      <c r="W139" s="55" t="str">
        <f aca="false">IF(V139=1,SUM($V$2:V139),"")</f>
        <v/>
      </c>
    </row>
    <row r="140" customFormat="false" ht="15" hidden="false" customHeight="true" outlineLevel="0" collapsed="false">
      <c r="A140" s="55" t="n">
        <v>139</v>
      </c>
      <c r="B140" s="55" t="s">
        <v>3328</v>
      </c>
      <c r="C140" s="55" t="str">
        <f aca="false">IF(02_Almuerzos!B48="","",02_Almuerzos!B48)</f>
        <v>Regional puneño</v>
      </c>
      <c r="D140" s="56" t="str">
        <f aca="false">IF(02_Almuerzos!C48="","",02_Almuerzos!C48)</f>
        <v>Sara lawa</v>
      </c>
      <c r="E140" s="56" t="str">
        <f aca="false">IF(02_Almuerzos!D48="","",02_Almuerzos!D48)</f>
        <v>Crema de maíz</v>
      </c>
      <c r="F140" s="56" t="str">
        <f aca="false">IF(02_Almuerzos!E48="","",02_Almuerzos!E48)</f>
        <v>maíz molido, leche, queso, ají amarillo</v>
      </c>
      <c r="G140" s="55" t="str">
        <f aca="false">IF(02_Almuerzos!F48="","",02_Almuerzos!F48)</f>
        <v>Plato hondo</v>
      </c>
      <c r="H140" s="55" t="str">
        <f aca="false">IF(02_Almuerzos!G48="","",02_Almuerzos!G48)</f>
        <v>Económico</v>
      </c>
      <c r="I140" s="58" t="n">
        <f aca="false">IF(02_Almuerzos!H48="","",02_Almuerzos!H48)</f>
        <v>8</v>
      </c>
      <c r="J140" s="58" t="n">
        <f aca="false">IF(02_Almuerzos!I48="","",02_Almuerzos!I48)</f>
        <v>14</v>
      </c>
      <c r="K140" s="58" t="n">
        <f aca="false">IF(02_Almuerzos!J48="","",02_Almuerzos!J48)</f>
        <v>11</v>
      </c>
      <c r="L140" s="58" t="n">
        <f aca="false">IF(02_Almuerzos!L48="","",02_Almuerzos!L48)</f>
        <v>12</v>
      </c>
      <c r="M140" s="58" t="n">
        <f aca="false">IF(02_Almuerzos!N48="","",02_Almuerzos!N48)</f>
        <v>0.77</v>
      </c>
      <c r="N140" s="58" t="n">
        <f aca="false">IF(02_Almuerzos!O48="","",02_Almuerzos!O48)</f>
        <v>10.23</v>
      </c>
      <c r="O140" s="55" t="str">
        <f aca="false">IF(02_Almuerzos!P48="","",02_Almuerzos!P48)</f>
        <v>12:00-15:00</v>
      </c>
      <c r="P140" s="55" t="n">
        <f aca="false">IF(02_Almuerzos!Q48="","",02_Almuerzos!Q48)</f>
        <v>12</v>
      </c>
      <c r="Q140" s="55" t="str">
        <f aca="false">IF(02_Almuerzos!R48="","",02_Almuerzos!R48)</f>
        <v>Medio</v>
      </c>
      <c r="R140" s="55" t="str">
        <f aca="false">IF(02_Almuerzos!S48="","",02_Almuerzos!S48)</f>
        <v>Todo el año</v>
      </c>
      <c r="S140" s="55" t="str">
        <f aca="false">IF(02_Almuerzos!T48="","",02_Almuerzos!T48)</f>
        <v>Regional</v>
      </c>
      <c r="T140" s="56" t="str">
        <f aca="false">IF(02_Almuerzos!U48="","",02_Almuerzos!U48)</f>
        <v/>
      </c>
      <c r="U140" s="55" t="n">
        <v>48</v>
      </c>
      <c r="V140" s="55" t="n">
        <f aca="false">IF(AND(OR(LEN(13_Buscador!$C$5)=0,ISNUMBER(SEARCH(13_Buscador!$C$5,$C140&amp;" "&amp;$D140&amp;" "&amp;$E140&amp;" "&amp;$F140&amp;" "&amp;$S140))),OR(13_Buscador!$C$6="Todas las listas",LEN(13_Buscador!$C$6)=0,13_Buscador!$C$6=$B140)),1,0)</f>
        <v>0</v>
      </c>
      <c r="W140" s="55" t="str">
        <f aca="false">IF(V140=1,SUM($V$2:V140),"")</f>
        <v/>
      </c>
    </row>
    <row r="141" customFormat="false" ht="15" hidden="false" customHeight="true" outlineLevel="0" collapsed="false">
      <c r="A141" s="55" t="n">
        <v>140</v>
      </c>
      <c r="B141" s="55" t="s">
        <v>3328</v>
      </c>
      <c r="C141" s="55" t="str">
        <f aca="false">IF(02_Almuerzos!B49="","",02_Almuerzos!B49)</f>
        <v>Regional puneño</v>
      </c>
      <c r="D141" s="56" t="str">
        <f aca="false">IF(02_Almuerzos!C49="","",02_Almuerzos!C49)</f>
        <v>Quispiño con queso</v>
      </c>
      <c r="E141" s="56" t="str">
        <f aca="false">IF(02_Almuerzos!D49="","",02_Almuerzos!D49)</f>
        <v>Panecillo de quinua con queso</v>
      </c>
      <c r="F141" s="56" t="str">
        <f aca="false">IF(02_Almuerzos!E49="","",02_Almuerzos!E49)</f>
        <v>harina de quinua, agua, sal, cal o ceniza</v>
      </c>
      <c r="G141" s="55" t="str">
        <f aca="false">IF(02_Almuerzos!F49="","",02_Almuerzos!F49)</f>
        <v>Porción</v>
      </c>
      <c r="H141" s="55" t="str">
        <f aca="false">IF(02_Almuerzos!G49="","",02_Almuerzos!G49)</f>
        <v>Económico</v>
      </c>
      <c r="I141" s="58" t="n">
        <f aca="false">IF(02_Almuerzos!H49="","",02_Almuerzos!H49)</f>
        <v>4</v>
      </c>
      <c r="J141" s="58" t="n">
        <f aca="false">IF(02_Almuerzos!I49="","",02_Almuerzos!I49)</f>
        <v>8</v>
      </c>
      <c r="K141" s="58" t="n">
        <f aca="false">IF(02_Almuerzos!J49="","",02_Almuerzos!J49)</f>
        <v>6</v>
      </c>
      <c r="L141" s="58" t="n">
        <f aca="false">IF(02_Almuerzos!L49="","",02_Almuerzos!L49)</f>
        <v>7</v>
      </c>
      <c r="M141" s="58" t="n">
        <f aca="false">IF(02_Almuerzos!N49="","",02_Almuerzos!N49)</f>
        <v>0.42</v>
      </c>
      <c r="N141" s="58" t="n">
        <f aca="false">IF(02_Almuerzos!O49="","",02_Almuerzos!O49)</f>
        <v>5.58</v>
      </c>
      <c r="O141" s="55" t="str">
        <f aca="false">IF(02_Almuerzos!P49="","",02_Almuerzos!P49)</f>
        <v>12:00-16:00</v>
      </c>
      <c r="P141" s="55" t="n">
        <f aca="false">IF(02_Almuerzos!Q49="","",02_Almuerzos!Q49)</f>
        <v>5</v>
      </c>
      <c r="Q141" s="55" t="str">
        <f aca="false">IF(02_Almuerzos!R49="","",02_Almuerzos!R49)</f>
        <v>Alto</v>
      </c>
      <c r="R141" s="55" t="str">
        <f aca="false">IF(02_Almuerzos!S49="","",02_Almuerzos!S49)</f>
        <v>Todo el año</v>
      </c>
      <c r="S141" s="55" t="str">
        <f aca="false">IF(02_Almuerzos!T49="","",02_Almuerzos!T49)</f>
        <v>Regional</v>
      </c>
      <c r="T141" s="56" t="str">
        <f aca="false">IF(02_Almuerzos!U49="","",02_Almuerzos!U49)</f>
        <v/>
      </c>
      <c r="U141" s="55" t="n">
        <v>49</v>
      </c>
      <c r="V141" s="55" t="n">
        <f aca="false">IF(AND(OR(LEN(13_Buscador!$C$5)=0,ISNUMBER(SEARCH(13_Buscador!$C$5,$C141&amp;" "&amp;$D141&amp;" "&amp;$E141&amp;" "&amp;$F141&amp;" "&amp;$S141))),OR(13_Buscador!$C$6="Todas las listas",LEN(13_Buscador!$C$6)=0,13_Buscador!$C$6=$B141)),1,0)</f>
        <v>0</v>
      </c>
      <c r="W141" s="55" t="str">
        <f aca="false">IF(V141=1,SUM($V$2:V141),"")</f>
        <v/>
      </c>
    </row>
    <row r="142" customFormat="false" ht="23.25" hidden="false" customHeight="true" outlineLevel="0" collapsed="false">
      <c r="A142" s="55" t="n">
        <v>141</v>
      </c>
      <c r="B142" s="55" t="s">
        <v>3328</v>
      </c>
      <c r="C142" s="55" t="str">
        <f aca="false">IF(02_Almuerzos!B50="","",02_Almuerzos!B50)</f>
        <v>Chifa</v>
      </c>
      <c r="D142" s="56" t="str">
        <f aca="false">IF(02_Almuerzos!C50="","",02_Almuerzos!C50)</f>
        <v>Arroz chaufa de pollo</v>
      </c>
      <c r="E142" s="56" t="str">
        <f aca="false">IF(02_Almuerzos!D50="","",02_Almuerzos!D50)</f>
        <v>Chaufa clásico</v>
      </c>
      <c r="F142" s="56" t="str">
        <f aca="false">IF(02_Almuerzos!E50="","",02_Almuerzos!E50)</f>
        <v>arroz, huevo, cebolla china, sillao, aceite de ajonjolí, carne o pollo</v>
      </c>
      <c r="G142" s="55" t="str">
        <f aca="false">IF(02_Almuerzos!F50="","",02_Almuerzos!F50)</f>
        <v>Plato</v>
      </c>
      <c r="H142" s="55" t="str">
        <f aca="false">IF(02_Almuerzos!G50="","",02_Almuerzos!G50)</f>
        <v>Estándar</v>
      </c>
      <c r="I142" s="58" t="n">
        <f aca="false">IF(02_Almuerzos!H50="","",02_Almuerzos!H50)</f>
        <v>10</v>
      </c>
      <c r="J142" s="58" t="n">
        <f aca="false">IF(02_Almuerzos!I50="","",02_Almuerzos!I50)</f>
        <v>16</v>
      </c>
      <c r="K142" s="58" t="n">
        <f aca="false">IF(02_Almuerzos!J50="","",02_Almuerzos!J50)</f>
        <v>13</v>
      </c>
      <c r="L142" s="58" t="n">
        <f aca="false">IF(02_Almuerzos!L50="","",02_Almuerzos!L50)</f>
        <v>14</v>
      </c>
      <c r="M142" s="58" t="n">
        <f aca="false">IF(02_Almuerzos!N50="","",02_Almuerzos!N50)</f>
        <v>1.17</v>
      </c>
      <c r="N142" s="58" t="n">
        <f aca="false">IF(02_Almuerzos!O50="","",02_Almuerzos!O50)</f>
        <v>11.83</v>
      </c>
      <c r="O142" s="55" t="str">
        <f aca="false">IF(02_Almuerzos!P50="","",02_Almuerzos!P50)</f>
        <v>12:00-15:00</v>
      </c>
      <c r="P142" s="55" t="n">
        <f aca="false">IF(02_Almuerzos!Q50="","",02_Almuerzos!Q50)</f>
        <v>10</v>
      </c>
      <c r="Q142" s="55" t="str">
        <f aca="false">IF(02_Almuerzos!R50="","",02_Almuerzos!R50)</f>
        <v>Alto</v>
      </c>
      <c r="R142" s="55" t="str">
        <f aca="false">IF(02_Almuerzos!S50="","",02_Almuerzos!S50)</f>
        <v>Todo el año</v>
      </c>
      <c r="S142" s="55" t="str">
        <f aca="false">IF(02_Almuerzos!T50="","",02_Almuerzos!T50)</f>
        <v>Chifa</v>
      </c>
      <c r="T142" s="56" t="str">
        <f aca="false">IF(02_Almuerzos!U50="","",02_Almuerzos!U50)</f>
        <v>Excelente para delivery</v>
      </c>
      <c r="U142" s="55" t="n">
        <v>50</v>
      </c>
      <c r="V142" s="55" t="n">
        <f aca="false">IF(AND(OR(LEN(13_Buscador!$C$5)=0,ISNUMBER(SEARCH(13_Buscador!$C$5,$C142&amp;" "&amp;$D142&amp;" "&amp;$E142&amp;" "&amp;$F142&amp;" "&amp;$S142))),OR(13_Buscador!$C$6="Todas las listas",LEN(13_Buscador!$C$6)=0,13_Buscador!$C$6=$B142)),1,0)</f>
        <v>1</v>
      </c>
      <c r="W142" s="55" t="n">
        <f aca="false">IF(V142=1,SUM($V$2:V142),"")</f>
        <v>18</v>
      </c>
    </row>
    <row r="143" customFormat="false" ht="23.25" hidden="false" customHeight="true" outlineLevel="0" collapsed="false">
      <c r="A143" s="55" t="n">
        <v>142</v>
      </c>
      <c r="B143" s="55" t="s">
        <v>3328</v>
      </c>
      <c r="C143" s="55" t="str">
        <f aca="false">IF(02_Almuerzos!B51="","",02_Almuerzos!B51)</f>
        <v>Chifa</v>
      </c>
      <c r="D143" s="56" t="str">
        <f aca="false">IF(02_Almuerzos!C51="","",02_Almuerzos!C51)</f>
        <v>Arroz chaufa de carne</v>
      </c>
      <c r="E143" s="56" t="str">
        <f aca="false">IF(02_Almuerzos!D51="","",02_Almuerzos!D51)</f>
        <v>Chaufa con res</v>
      </c>
      <c r="F143" s="56" t="str">
        <f aca="false">IF(02_Almuerzos!E51="","",02_Almuerzos!E51)</f>
        <v>arroz, huevo, cebolla china, sillao, aceite de ajonjolí, carne o pollo</v>
      </c>
      <c r="G143" s="55" t="str">
        <f aca="false">IF(02_Almuerzos!F51="","",02_Almuerzos!F51)</f>
        <v>Plato</v>
      </c>
      <c r="H143" s="55" t="str">
        <f aca="false">IF(02_Almuerzos!G51="","",02_Almuerzos!G51)</f>
        <v>Estándar</v>
      </c>
      <c r="I143" s="58" t="n">
        <f aca="false">IF(02_Almuerzos!H51="","",02_Almuerzos!H51)</f>
        <v>12</v>
      </c>
      <c r="J143" s="58" t="n">
        <f aca="false">IF(02_Almuerzos!I51="","",02_Almuerzos!I51)</f>
        <v>18</v>
      </c>
      <c r="K143" s="58" t="n">
        <f aca="false">IF(02_Almuerzos!J51="","",02_Almuerzos!J51)</f>
        <v>15</v>
      </c>
      <c r="L143" s="58" t="n">
        <f aca="false">IF(02_Almuerzos!L51="","",02_Almuerzos!L51)</f>
        <v>16</v>
      </c>
      <c r="M143" s="58" t="n">
        <f aca="false">IF(02_Almuerzos!N51="","",02_Almuerzos!N51)</f>
        <v>1.35</v>
      </c>
      <c r="N143" s="58" t="n">
        <f aca="false">IF(02_Almuerzos!O51="","",02_Almuerzos!O51)</f>
        <v>13.65</v>
      </c>
      <c r="O143" s="55" t="str">
        <f aca="false">IF(02_Almuerzos!P51="","",02_Almuerzos!P51)</f>
        <v>12:00-15:00</v>
      </c>
      <c r="P143" s="55" t="n">
        <f aca="false">IF(02_Almuerzos!Q51="","",02_Almuerzos!Q51)</f>
        <v>10</v>
      </c>
      <c r="Q143" s="55" t="str">
        <f aca="false">IF(02_Almuerzos!R51="","",02_Almuerzos!R51)</f>
        <v>Alto</v>
      </c>
      <c r="R143" s="55" t="str">
        <f aca="false">IF(02_Almuerzos!S51="","",02_Almuerzos!S51)</f>
        <v>Todo el año</v>
      </c>
      <c r="S143" s="55" t="str">
        <f aca="false">IF(02_Almuerzos!T51="","",02_Almuerzos!T51)</f>
        <v>Chifa</v>
      </c>
      <c r="T143" s="56" t="str">
        <f aca="false">IF(02_Almuerzos!U51="","",02_Almuerzos!U51)</f>
        <v/>
      </c>
      <c r="U143" s="55" t="n">
        <v>51</v>
      </c>
      <c r="V143" s="55" t="n">
        <f aca="false">IF(AND(OR(LEN(13_Buscador!$C$5)=0,ISNUMBER(SEARCH(13_Buscador!$C$5,$C143&amp;" "&amp;$D143&amp;" "&amp;$E143&amp;" "&amp;$F143&amp;" "&amp;$S143))),OR(13_Buscador!$C$6="Todas las listas",LEN(13_Buscador!$C$6)=0,13_Buscador!$C$6=$B143)),1,0)</f>
        <v>1</v>
      </c>
      <c r="W143" s="55" t="n">
        <f aca="false">IF(V143=1,SUM($V$2:V143),"")</f>
        <v>19</v>
      </c>
    </row>
    <row r="144" customFormat="false" ht="23.25" hidden="false" customHeight="true" outlineLevel="0" collapsed="false">
      <c r="A144" s="55" t="n">
        <v>143</v>
      </c>
      <c r="B144" s="55" t="s">
        <v>3328</v>
      </c>
      <c r="C144" s="55" t="str">
        <f aca="false">IF(02_Almuerzos!B52="","",02_Almuerzos!B52)</f>
        <v>Chifa</v>
      </c>
      <c r="D144" s="56" t="str">
        <f aca="false">IF(02_Almuerzos!C52="","",02_Almuerzos!C52)</f>
        <v>Arroz chaufa especial</v>
      </c>
      <c r="E144" s="56" t="str">
        <f aca="false">IF(02_Almuerzos!D52="","",02_Almuerzos!D52)</f>
        <v>Con carne, pollo y mariscos</v>
      </c>
      <c r="F144" s="56" t="str">
        <f aca="false">IF(02_Almuerzos!E52="","",02_Almuerzos!E52)</f>
        <v>arroz, huevo, cebolla china, sillao, aceite de ajonjolí, carne o pollo</v>
      </c>
      <c r="G144" s="55" t="str">
        <f aca="false">IF(02_Almuerzos!F52="","",02_Almuerzos!F52)</f>
        <v>Plato</v>
      </c>
      <c r="H144" s="55" t="str">
        <f aca="false">IF(02_Almuerzos!G52="","",02_Almuerzos!G52)</f>
        <v>Medio</v>
      </c>
      <c r="I144" s="58" t="n">
        <f aca="false">IF(02_Almuerzos!H52="","",02_Almuerzos!H52)</f>
        <v>15</v>
      </c>
      <c r="J144" s="58" t="n">
        <f aca="false">IF(02_Almuerzos!I52="","",02_Almuerzos!I52)</f>
        <v>25</v>
      </c>
      <c r="K144" s="58" t="n">
        <f aca="false">IF(02_Almuerzos!J52="","",02_Almuerzos!J52)</f>
        <v>20</v>
      </c>
      <c r="L144" s="58" t="n">
        <f aca="false">IF(02_Almuerzos!L52="","",02_Almuerzos!L52)</f>
        <v>21</v>
      </c>
      <c r="M144" s="58" t="n">
        <f aca="false">IF(02_Almuerzos!N52="","",02_Almuerzos!N52)</f>
        <v>2.2</v>
      </c>
      <c r="N144" s="58" t="n">
        <f aca="false">IF(02_Almuerzos!O52="","",02_Almuerzos!O52)</f>
        <v>17.8</v>
      </c>
      <c r="O144" s="55" t="str">
        <f aca="false">IF(02_Almuerzos!P52="","",02_Almuerzos!P52)</f>
        <v>12:00-15:00</v>
      </c>
      <c r="P144" s="55" t="n">
        <f aca="false">IF(02_Almuerzos!Q52="","",02_Almuerzos!Q52)</f>
        <v>12</v>
      </c>
      <c r="Q144" s="55" t="str">
        <f aca="false">IF(02_Almuerzos!R52="","",02_Almuerzos!R52)</f>
        <v>Alto</v>
      </c>
      <c r="R144" s="55" t="str">
        <f aca="false">IF(02_Almuerzos!S52="","",02_Almuerzos!S52)</f>
        <v>Todo el año</v>
      </c>
      <c r="S144" s="55" t="str">
        <f aca="false">IF(02_Almuerzos!T52="","",02_Almuerzos!T52)</f>
        <v>Chifa</v>
      </c>
      <c r="T144" s="56" t="str">
        <f aca="false">IF(02_Almuerzos!U52="","",02_Almuerzos!U52)</f>
        <v/>
      </c>
      <c r="U144" s="55" t="n">
        <v>52</v>
      </c>
      <c r="V144" s="55" t="n">
        <f aca="false">IF(AND(OR(LEN(13_Buscador!$C$5)=0,ISNUMBER(SEARCH(13_Buscador!$C$5,$C144&amp;" "&amp;$D144&amp;" "&amp;$E144&amp;" "&amp;$F144&amp;" "&amp;$S144))),OR(13_Buscador!$C$6="Todas las listas",LEN(13_Buscador!$C$6)=0,13_Buscador!$C$6=$B144)),1,0)</f>
        <v>1</v>
      </c>
      <c r="W144" s="55" t="n">
        <f aca="false">IF(V144=1,SUM($V$2:V144),"")</f>
        <v>20</v>
      </c>
    </row>
    <row r="145" customFormat="false" ht="15" hidden="false" customHeight="true" outlineLevel="0" collapsed="false">
      <c r="A145" s="55" t="n">
        <v>144</v>
      </c>
      <c r="B145" s="55" t="s">
        <v>3328</v>
      </c>
      <c r="C145" s="55" t="str">
        <f aca="false">IF(02_Almuerzos!B53="","",02_Almuerzos!B53)</f>
        <v>Chifa</v>
      </c>
      <c r="D145" s="56" t="str">
        <f aca="false">IF(02_Almuerzos!C53="","",02_Almuerzos!C53)</f>
        <v>Tallarín saltado de pollo</v>
      </c>
      <c r="E145" s="56" t="str">
        <f aca="false">IF(02_Almuerzos!D53="","",02_Almuerzos!D53)</f>
        <v>Fideo salteado con verduras</v>
      </c>
      <c r="F145" s="56" t="str">
        <f aca="false">IF(02_Almuerzos!E53="","",02_Almuerzos!E53)</f>
        <v>fideo, carne o pollo, cebolla, tomate, sillao, ají amarillo</v>
      </c>
      <c r="G145" s="55" t="str">
        <f aca="false">IF(02_Almuerzos!F53="","",02_Almuerzos!F53)</f>
        <v>Plato</v>
      </c>
      <c r="H145" s="55" t="str">
        <f aca="false">IF(02_Almuerzos!G53="","",02_Almuerzos!G53)</f>
        <v>Estándar</v>
      </c>
      <c r="I145" s="58" t="n">
        <f aca="false">IF(02_Almuerzos!H53="","",02_Almuerzos!H53)</f>
        <v>10</v>
      </c>
      <c r="J145" s="58" t="n">
        <f aca="false">IF(02_Almuerzos!I53="","",02_Almuerzos!I53)</f>
        <v>18</v>
      </c>
      <c r="K145" s="58" t="n">
        <f aca="false">IF(02_Almuerzos!J53="","",02_Almuerzos!J53)</f>
        <v>14</v>
      </c>
      <c r="L145" s="58" t="n">
        <f aca="false">IF(02_Almuerzos!L53="","",02_Almuerzos!L53)</f>
        <v>15</v>
      </c>
      <c r="M145" s="58" t="n">
        <f aca="false">IF(02_Almuerzos!N53="","",02_Almuerzos!N53)</f>
        <v>1.26</v>
      </c>
      <c r="N145" s="58" t="n">
        <f aca="false">IF(02_Almuerzos!O53="","",02_Almuerzos!O53)</f>
        <v>12.74</v>
      </c>
      <c r="O145" s="55" t="str">
        <f aca="false">IF(02_Almuerzos!P53="","",02_Almuerzos!P53)</f>
        <v>12:00-15:00</v>
      </c>
      <c r="P145" s="55" t="n">
        <f aca="false">IF(02_Almuerzos!Q53="","",02_Almuerzos!Q53)</f>
        <v>10</v>
      </c>
      <c r="Q145" s="55" t="str">
        <f aca="false">IF(02_Almuerzos!R53="","",02_Almuerzos!R53)</f>
        <v>Alto</v>
      </c>
      <c r="R145" s="55" t="str">
        <f aca="false">IF(02_Almuerzos!S53="","",02_Almuerzos!S53)</f>
        <v>Todo el año</v>
      </c>
      <c r="S145" s="55" t="str">
        <f aca="false">IF(02_Almuerzos!T53="","",02_Almuerzos!T53)</f>
        <v>Chifa</v>
      </c>
      <c r="T145" s="56" t="str">
        <f aca="false">IF(02_Almuerzos!U53="","",02_Almuerzos!U53)</f>
        <v/>
      </c>
      <c r="U145" s="55" t="n">
        <v>53</v>
      </c>
      <c r="V145" s="55" t="n">
        <f aca="false">IF(AND(OR(LEN(13_Buscador!$C$5)=0,ISNUMBER(SEARCH(13_Buscador!$C$5,$C145&amp;" "&amp;$D145&amp;" "&amp;$E145&amp;" "&amp;$F145&amp;" "&amp;$S145))),OR(13_Buscador!$C$6="Todas las listas",LEN(13_Buscador!$C$6)=0,13_Buscador!$C$6=$B145)),1,0)</f>
        <v>1</v>
      </c>
      <c r="W145" s="55" t="n">
        <f aca="false">IF(V145=1,SUM($V$2:V145),"")</f>
        <v>21</v>
      </c>
    </row>
    <row r="146" customFormat="false" ht="23.25" hidden="false" customHeight="true" outlineLevel="0" collapsed="false">
      <c r="A146" s="55" t="n">
        <v>145</v>
      </c>
      <c r="B146" s="55" t="s">
        <v>3328</v>
      </c>
      <c r="C146" s="55" t="str">
        <f aca="false">IF(02_Almuerzos!B54="","",02_Almuerzos!B54)</f>
        <v>Chifa</v>
      </c>
      <c r="D146" s="56" t="str">
        <f aca="false">IF(02_Almuerzos!C54="","",02_Almuerzos!C54)</f>
        <v>Aeropuerto</v>
      </c>
      <c r="E146" s="56" t="str">
        <f aca="false">IF(02_Almuerzos!D54="","",02_Almuerzos!D54)</f>
        <v>Chaufa + tallarín saltado</v>
      </c>
      <c r="F146" s="56" t="str">
        <f aca="false">IF(02_Almuerzos!E54="","",02_Almuerzos!E54)</f>
        <v>arroz chaufa, tallarín saltado, huevo, cebolla china, sillao, pollo</v>
      </c>
      <c r="G146" s="55" t="str">
        <f aca="false">IF(02_Almuerzos!F54="","",02_Almuerzos!F54)</f>
        <v>Plato grande</v>
      </c>
      <c r="H146" s="55" t="str">
        <f aca="false">IF(02_Almuerzos!G54="","",02_Almuerzos!G54)</f>
        <v>Estándar</v>
      </c>
      <c r="I146" s="58" t="n">
        <f aca="false">IF(02_Almuerzos!H54="","",02_Almuerzos!H54)</f>
        <v>12</v>
      </c>
      <c r="J146" s="58" t="n">
        <f aca="false">IF(02_Almuerzos!I54="","",02_Almuerzos!I54)</f>
        <v>20</v>
      </c>
      <c r="K146" s="58" t="n">
        <f aca="false">IF(02_Almuerzos!J54="","",02_Almuerzos!J54)</f>
        <v>16</v>
      </c>
      <c r="L146" s="58" t="n">
        <f aca="false">IF(02_Almuerzos!L54="","",02_Almuerzos!L54)</f>
        <v>17</v>
      </c>
      <c r="M146" s="58" t="n">
        <f aca="false">IF(02_Almuerzos!N54="","",02_Almuerzos!N54)</f>
        <v>1.44</v>
      </c>
      <c r="N146" s="58" t="n">
        <f aca="false">IF(02_Almuerzos!O54="","",02_Almuerzos!O54)</f>
        <v>14.56</v>
      </c>
      <c r="O146" s="55" t="str">
        <f aca="false">IF(02_Almuerzos!P54="","",02_Almuerzos!P54)</f>
        <v>12:00-15:00</v>
      </c>
      <c r="P146" s="55" t="n">
        <f aca="false">IF(02_Almuerzos!Q54="","",02_Almuerzos!Q54)</f>
        <v>12</v>
      </c>
      <c r="Q146" s="55" t="str">
        <f aca="false">IF(02_Almuerzos!R54="","",02_Almuerzos!R54)</f>
        <v>Alto</v>
      </c>
      <c r="R146" s="55" t="str">
        <f aca="false">IF(02_Almuerzos!S54="","",02_Almuerzos!S54)</f>
        <v>Todo el año</v>
      </c>
      <c r="S146" s="55" t="str">
        <f aca="false">IF(02_Almuerzos!T54="","",02_Almuerzos!T54)</f>
        <v>Chifa</v>
      </c>
      <c r="T146" s="56" t="str">
        <f aca="false">IF(02_Almuerzos!U54="","",02_Almuerzos!U54)</f>
        <v>Ticket alto y muy pedido</v>
      </c>
      <c r="U146" s="55" t="n">
        <v>54</v>
      </c>
      <c r="V146" s="55" t="n">
        <f aca="false">IF(AND(OR(LEN(13_Buscador!$C$5)=0,ISNUMBER(SEARCH(13_Buscador!$C$5,$C146&amp;" "&amp;$D146&amp;" "&amp;$E146&amp;" "&amp;$F146&amp;" "&amp;$S146))),OR(13_Buscador!$C$6="Todas las listas",LEN(13_Buscador!$C$6)=0,13_Buscador!$C$6=$B146)),1,0)</f>
        <v>1</v>
      </c>
      <c r="W146" s="55" t="n">
        <f aca="false">IF(V146=1,SUM($V$2:V146),"")</f>
        <v>22</v>
      </c>
    </row>
    <row r="147" customFormat="false" ht="15" hidden="false" customHeight="true" outlineLevel="0" collapsed="false">
      <c r="A147" s="55" t="n">
        <v>146</v>
      </c>
      <c r="B147" s="55" t="s">
        <v>3328</v>
      </c>
      <c r="C147" s="55" t="str">
        <f aca="false">IF(02_Almuerzos!B55="","",02_Almuerzos!B55)</f>
        <v>Chifa</v>
      </c>
      <c r="D147" s="56" t="str">
        <f aca="false">IF(02_Almuerzos!C55="","",02_Almuerzos!C55)</f>
        <v>Pollo enrollado</v>
      </c>
      <c r="E147" s="56" t="str">
        <f aca="false">IF(02_Almuerzos!D55="","",02_Almuerzos!D55)</f>
        <v>Pollo con verduras salteadas</v>
      </c>
      <c r="F147" s="56" t="str">
        <f aca="false">IF(02_Almuerzos!E55="","",02_Almuerzos!E55)</f>
        <v>pollo, verduras salteadas, sillao, kion</v>
      </c>
      <c r="G147" s="55" t="str">
        <f aca="false">IF(02_Almuerzos!F55="","",02_Almuerzos!F55)</f>
        <v>Plato</v>
      </c>
      <c r="H147" s="55" t="str">
        <f aca="false">IF(02_Almuerzos!G55="","",02_Almuerzos!G55)</f>
        <v>Medio</v>
      </c>
      <c r="I147" s="58" t="n">
        <f aca="false">IF(02_Almuerzos!H55="","",02_Almuerzos!H55)</f>
        <v>14</v>
      </c>
      <c r="J147" s="58" t="n">
        <f aca="false">IF(02_Almuerzos!I55="","",02_Almuerzos!I55)</f>
        <v>22</v>
      </c>
      <c r="K147" s="58" t="n">
        <f aca="false">IF(02_Almuerzos!J55="","",02_Almuerzos!J55)</f>
        <v>18</v>
      </c>
      <c r="L147" s="58" t="n">
        <f aca="false">IF(02_Almuerzos!L55="","",02_Almuerzos!L55)</f>
        <v>19</v>
      </c>
      <c r="M147" s="58" t="n">
        <f aca="false">IF(02_Almuerzos!N55="","",02_Almuerzos!N55)</f>
        <v>1.98</v>
      </c>
      <c r="N147" s="58" t="n">
        <f aca="false">IF(02_Almuerzos!O55="","",02_Almuerzos!O55)</f>
        <v>16.02</v>
      </c>
      <c r="O147" s="55" t="str">
        <f aca="false">IF(02_Almuerzos!P55="","",02_Almuerzos!P55)</f>
        <v>12:00-15:00</v>
      </c>
      <c r="P147" s="55" t="n">
        <f aca="false">IF(02_Almuerzos!Q55="","",02_Almuerzos!Q55)</f>
        <v>12</v>
      </c>
      <c r="Q147" s="55" t="str">
        <f aca="false">IF(02_Almuerzos!R55="","",02_Almuerzos!R55)</f>
        <v>Alto</v>
      </c>
      <c r="R147" s="55" t="str">
        <f aca="false">IF(02_Almuerzos!S55="","",02_Almuerzos!S55)</f>
        <v>Todo el año</v>
      </c>
      <c r="S147" s="55" t="str">
        <f aca="false">IF(02_Almuerzos!T55="","",02_Almuerzos!T55)</f>
        <v>Chifa</v>
      </c>
      <c r="T147" s="56" t="str">
        <f aca="false">IF(02_Almuerzos!U55="","",02_Almuerzos!U55)</f>
        <v/>
      </c>
      <c r="U147" s="55" t="n">
        <v>55</v>
      </c>
      <c r="V147" s="55" t="n">
        <f aca="false">IF(AND(OR(LEN(13_Buscador!$C$5)=0,ISNUMBER(SEARCH(13_Buscador!$C$5,$C147&amp;" "&amp;$D147&amp;" "&amp;$E147&amp;" "&amp;$F147&amp;" "&amp;$S147))),OR(13_Buscador!$C$6="Todas las listas",LEN(13_Buscador!$C$6)=0,13_Buscador!$C$6=$B147)),1,0)</f>
        <v>1</v>
      </c>
      <c r="W147" s="55" t="n">
        <f aca="false">IF(V147=1,SUM($V$2:V147),"")</f>
        <v>23</v>
      </c>
    </row>
    <row r="148" customFormat="false" ht="15" hidden="false" customHeight="true" outlineLevel="0" collapsed="false">
      <c r="A148" s="55" t="n">
        <v>147</v>
      </c>
      <c r="B148" s="55" t="s">
        <v>3328</v>
      </c>
      <c r="C148" s="55" t="str">
        <f aca="false">IF(02_Almuerzos!B56="","",02_Almuerzos!B56)</f>
        <v>Chifa</v>
      </c>
      <c r="D148" s="56" t="str">
        <f aca="false">IF(02_Almuerzos!C56="","",02_Almuerzos!C56)</f>
        <v>Pollo chi jau kay</v>
      </c>
      <c r="E148" s="56" t="str">
        <f aca="false">IF(02_Almuerzos!D56="","",02_Almuerzos!D56)</f>
        <v>Pollo en salsa oscura</v>
      </c>
      <c r="F148" s="56" t="str">
        <f aca="false">IF(02_Almuerzos!E56="","",02_Almuerzos!E56)</f>
        <v>pollo, salsa chi jau, kion, cebolla china, sillao</v>
      </c>
      <c r="G148" s="55" t="str">
        <f aca="false">IF(02_Almuerzos!F56="","",02_Almuerzos!F56)</f>
        <v>Plato</v>
      </c>
      <c r="H148" s="55" t="str">
        <f aca="false">IF(02_Almuerzos!G56="","",02_Almuerzos!G56)</f>
        <v>Medio</v>
      </c>
      <c r="I148" s="58" t="n">
        <f aca="false">IF(02_Almuerzos!H56="","",02_Almuerzos!H56)</f>
        <v>14</v>
      </c>
      <c r="J148" s="58" t="n">
        <f aca="false">IF(02_Almuerzos!I56="","",02_Almuerzos!I56)</f>
        <v>22</v>
      </c>
      <c r="K148" s="58" t="n">
        <f aca="false">IF(02_Almuerzos!J56="","",02_Almuerzos!J56)</f>
        <v>18</v>
      </c>
      <c r="L148" s="58" t="n">
        <f aca="false">IF(02_Almuerzos!L56="","",02_Almuerzos!L56)</f>
        <v>19</v>
      </c>
      <c r="M148" s="58" t="n">
        <f aca="false">IF(02_Almuerzos!N56="","",02_Almuerzos!N56)</f>
        <v>1.98</v>
      </c>
      <c r="N148" s="58" t="n">
        <f aca="false">IF(02_Almuerzos!O56="","",02_Almuerzos!O56)</f>
        <v>16.02</v>
      </c>
      <c r="O148" s="55" t="str">
        <f aca="false">IF(02_Almuerzos!P56="","",02_Almuerzos!P56)</f>
        <v>12:00-15:00</v>
      </c>
      <c r="P148" s="55" t="n">
        <f aca="false">IF(02_Almuerzos!Q56="","",02_Almuerzos!Q56)</f>
        <v>12</v>
      </c>
      <c r="Q148" s="55" t="str">
        <f aca="false">IF(02_Almuerzos!R56="","",02_Almuerzos!R56)</f>
        <v>Alto</v>
      </c>
      <c r="R148" s="55" t="str">
        <f aca="false">IF(02_Almuerzos!S56="","",02_Almuerzos!S56)</f>
        <v>Todo el año</v>
      </c>
      <c r="S148" s="55" t="str">
        <f aca="false">IF(02_Almuerzos!T56="","",02_Almuerzos!T56)</f>
        <v>Chifa</v>
      </c>
      <c r="T148" s="56" t="str">
        <f aca="false">IF(02_Almuerzos!U56="","",02_Almuerzos!U56)</f>
        <v/>
      </c>
      <c r="U148" s="55" t="n">
        <v>56</v>
      </c>
      <c r="V148" s="55" t="n">
        <f aca="false">IF(AND(OR(LEN(13_Buscador!$C$5)=0,ISNUMBER(SEARCH(13_Buscador!$C$5,$C148&amp;" "&amp;$D148&amp;" "&amp;$E148&amp;" "&amp;$F148&amp;" "&amp;$S148))),OR(13_Buscador!$C$6="Todas las listas",LEN(13_Buscador!$C$6)=0,13_Buscador!$C$6=$B148)),1,0)</f>
        <v>1</v>
      </c>
      <c r="W148" s="55" t="n">
        <f aca="false">IF(V148=1,SUM($V$2:V148),"")</f>
        <v>24</v>
      </c>
    </row>
    <row r="149" customFormat="false" ht="23.25" hidden="false" customHeight="true" outlineLevel="0" collapsed="false">
      <c r="A149" s="55" t="n">
        <v>148</v>
      </c>
      <c r="B149" s="55" t="s">
        <v>3328</v>
      </c>
      <c r="C149" s="55" t="str">
        <f aca="false">IF(02_Almuerzos!B57="","",02_Almuerzos!B57)</f>
        <v>Chifa</v>
      </c>
      <c r="D149" s="56" t="str">
        <f aca="false">IF(02_Almuerzos!C57="","",02_Almuerzos!C57)</f>
        <v>Wantán frito (8 und)</v>
      </c>
      <c r="E149" s="56" t="str">
        <f aca="false">IF(02_Almuerzos!D57="","",02_Almuerzos!D57)</f>
        <v>Con salsa tamarindo</v>
      </c>
      <c r="F149" s="56" t="str">
        <f aca="false">IF(02_Almuerzos!E57="","",02_Almuerzos!E57)</f>
        <v>masa wantán, carne de cerdo, cebolla china, salsa tamarindo, aceite</v>
      </c>
      <c r="G149" s="55" t="str">
        <f aca="false">IF(02_Almuerzos!F57="","",02_Almuerzos!F57)</f>
        <v>Porción</v>
      </c>
      <c r="H149" s="55" t="str">
        <f aca="false">IF(02_Almuerzos!G57="","",02_Almuerzos!G57)</f>
        <v>Económico</v>
      </c>
      <c r="I149" s="58" t="n">
        <f aca="false">IF(02_Almuerzos!H57="","",02_Almuerzos!H57)</f>
        <v>8</v>
      </c>
      <c r="J149" s="58" t="n">
        <f aca="false">IF(02_Almuerzos!I57="","",02_Almuerzos!I57)</f>
        <v>14</v>
      </c>
      <c r="K149" s="58" t="n">
        <f aca="false">IF(02_Almuerzos!J57="","",02_Almuerzos!J57)</f>
        <v>11</v>
      </c>
      <c r="L149" s="58" t="n">
        <f aca="false">IF(02_Almuerzos!L57="","",02_Almuerzos!L57)</f>
        <v>12</v>
      </c>
      <c r="M149" s="58" t="n">
        <f aca="false">IF(02_Almuerzos!N57="","",02_Almuerzos!N57)</f>
        <v>0.77</v>
      </c>
      <c r="N149" s="58" t="n">
        <f aca="false">IF(02_Almuerzos!O57="","",02_Almuerzos!O57)</f>
        <v>10.23</v>
      </c>
      <c r="O149" s="55" t="str">
        <f aca="false">IF(02_Almuerzos!P57="","",02_Almuerzos!P57)</f>
        <v>12:00-15:00</v>
      </c>
      <c r="P149" s="55" t="n">
        <f aca="false">IF(02_Almuerzos!Q57="","",02_Almuerzos!Q57)</f>
        <v>8</v>
      </c>
      <c r="Q149" s="55" t="str">
        <f aca="false">IF(02_Almuerzos!R57="","",02_Almuerzos!R57)</f>
        <v>Medio</v>
      </c>
      <c r="R149" s="55" t="str">
        <f aca="false">IF(02_Almuerzos!S57="","",02_Almuerzos!S57)</f>
        <v>Todo el año</v>
      </c>
      <c r="S149" s="55" t="str">
        <f aca="false">IF(02_Almuerzos!T57="","",02_Almuerzos!T57)</f>
        <v>Chifa</v>
      </c>
      <c r="T149" s="56" t="str">
        <f aca="false">IF(02_Almuerzos!U57="","",02_Almuerzos!U57)</f>
        <v/>
      </c>
      <c r="U149" s="55" t="n">
        <v>57</v>
      </c>
      <c r="V149" s="55" t="n">
        <f aca="false">IF(AND(OR(LEN(13_Buscador!$C$5)=0,ISNUMBER(SEARCH(13_Buscador!$C$5,$C149&amp;" "&amp;$D149&amp;" "&amp;$E149&amp;" "&amp;$F149&amp;" "&amp;$S149))),OR(13_Buscador!$C$6="Todas las listas",LEN(13_Buscador!$C$6)=0,13_Buscador!$C$6=$B149)),1,0)</f>
        <v>0</v>
      </c>
      <c r="W149" s="55" t="str">
        <f aca="false">IF(V149=1,SUM($V$2:V149),"")</f>
        <v/>
      </c>
    </row>
    <row r="150" customFormat="false" ht="15" hidden="false" customHeight="true" outlineLevel="0" collapsed="false">
      <c r="A150" s="55" t="n">
        <v>149</v>
      </c>
      <c r="B150" s="55" t="s">
        <v>3328</v>
      </c>
      <c r="C150" s="55" t="str">
        <f aca="false">IF(02_Almuerzos!B58="","",02_Almuerzos!B58)</f>
        <v>Chifa</v>
      </c>
      <c r="D150" s="56" t="str">
        <f aca="false">IF(02_Almuerzos!C58="","",02_Almuerzos!C58)</f>
        <v>Combinado chifa</v>
      </c>
      <c r="E150" s="56" t="str">
        <f aca="false">IF(02_Almuerzos!D58="","",02_Almuerzos!D58)</f>
        <v>Chaufa + tallarín + pollo</v>
      </c>
      <c r="F150" s="56" t="str">
        <f aca="false">IF(02_Almuerzos!E58="","",02_Almuerzos!E58)</f>
        <v>arroz con leche y mazamorra morada</v>
      </c>
      <c r="G150" s="55" t="str">
        <f aca="false">IF(02_Almuerzos!F58="","",02_Almuerzos!F58)</f>
        <v>Plato grande</v>
      </c>
      <c r="H150" s="55" t="str">
        <f aca="false">IF(02_Almuerzos!G58="","",02_Almuerzos!G58)</f>
        <v>Medio</v>
      </c>
      <c r="I150" s="58" t="n">
        <f aca="false">IF(02_Almuerzos!H58="","",02_Almuerzos!H58)</f>
        <v>15</v>
      </c>
      <c r="J150" s="58" t="n">
        <f aca="false">IF(02_Almuerzos!I58="","",02_Almuerzos!I58)</f>
        <v>25</v>
      </c>
      <c r="K150" s="58" t="n">
        <f aca="false">IF(02_Almuerzos!J58="","",02_Almuerzos!J58)</f>
        <v>20</v>
      </c>
      <c r="L150" s="58" t="n">
        <f aca="false">IF(02_Almuerzos!L58="","",02_Almuerzos!L58)</f>
        <v>21</v>
      </c>
      <c r="M150" s="58" t="n">
        <f aca="false">IF(02_Almuerzos!N58="","",02_Almuerzos!N58)</f>
        <v>2.2</v>
      </c>
      <c r="N150" s="58" t="n">
        <f aca="false">IF(02_Almuerzos!O58="","",02_Almuerzos!O58)</f>
        <v>17.8</v>
      </c>
      <c r="O150" s="55" t="str">
        <f aca="false">IF(02_Almuerzos!P58="","",02_Almuerzos!P58)</f>
        <v>12:00-15:00</v>
      </c>
      <c r="P150" s="55" t="n">
        <f aca="false">IF(02_Almuerzos!Q58="","",02_Almuerzos!Q58)</f>
        <v>12</v>
      </c>
      <c r="Q150" s="55" t="str">
        <f aca="false">IF(02_Almuerzos!R58="","",02_Almuerzos!R58)</f>
        <v>Alto</v>
      </c>
      <c r="R150" s="55" t="str">
        <f aca="false">IF(02_Almuerzos!S58="","",02_Almuerzos!S58)</f>
        <v>Todo el año</v>
      </c>
      <c r="S150" s="55" t="str">
        <f aca="false">IF(02_Almuerzos!T58="","",02_Almuerzos!T58)</f>
        <v>Chifa</v>
      </c>
      <c r="T150" s="56" t="str">
        <f aca="false">IF(02_Almuerzos!U58="","",02_Almuerzos!U58)</f>
        <v/>
      </c>
      <c r="U150" s="55" t="n">
        <v>58</v>
      </c>
      <c r="V150" s="55" t="n">
        <f aca="false">IF(AND(OR(LEN(13_Buscador!$C$5)=0,ISNUMBER(SEARCH(13_Buscador!$C$5,$C150&amp;" "&amp;$D150&amp;" "&amp;$E150&amp;" "&amp;$F150&amp;" "&amp;$S150))),OR(13_Buscador!$C$6="Todas las listas",LEN(13_Buscador!$C$6)=0,13_Buscador!$C$6=$B150)),1,0)</f>
        <v>1</v>
      </c>
      <c r="W150" s="55" t="n">
        <f aca="false">IF(V150=1,SUM($V$2:V150),"")</f>
        <v>25</v>
      </c>
    </row>
    <row r="151" customFormat="false" ht="23.25" hidden="false" customHeight="true" outlineLevel="0" collapsed="false">
      <c r="A151" s="55" t="n">
        <v>150</v>
      </c>
      <c r="B151" s="55" t="s">
        <v>3328</v>
      </c>
      <c r="C151" s="55" t="str">
        <f aca="false">IF(02_Almuerzos!B59="","",02_Almuerzos!B59)</f>
        <v>Pescados</v>
      </c>
      <c r="D151" s="56" t="str">
        <f aca="false">IF(02_Almuerzos!C59="","",02_Almuerzos!C59)</f>
        <v>Trucha frita</v>
      </c>
      <c r="E151" s="56" t="str">
        <f aca="false">IF(02_Almuerzos!D59="","",02_Almuerzos!D59)</f>
        <v>Trucha, papas, arroz, ensalada</v>
      </c>
      <c r="F151" s="56" t="str">
        <f aca="false">IF(02_Almuerzos!E59="","",02_Almuerzos!E59)</f>
        <v>trucha del lago Titicaca, sal, limón, harina o hierbas, guarnición de papa o arroz</v>
      </c>
      <c r="G151" s="55" t="str">
        <f aca="false">IF(02_Almuerzos!F59="","",02_Almuerzos!F59)</f>
        <v>Plato</v>
      </c>
      <c r="H151" s="55" t="str">
        <f aca="false">IF(02_Almuerzos!G59="","",02_Almuerzos!G59)</f>
        <v>Medio</v>
      </c>
      <c r="I151" s="58" t="n">
        <f aca="false">IF(02_Almuerzos!H59="","",02_Almuerzos!H59)</f>
        <v>15</v>
      </c>
      <c r="J151" s="58" t="n">
        <f aca="false">IF(02_Almuerzos!I59="","",02_Almuerzos!I59)</f>
        <v>28</v>
      </c>
      <c r="K151" s="58" t="n">
        <f aca="false">IF(02_Almuerzos!J59="","",02_Almuerzos!J59)</f>
        <v>21.5</v>
      </c>
      <c r="L151" s="58" t="n">
        <f aca="false">IF(02_Almuerzos!L59="","",02_Almuerzos!L59)</f>
        <v>22.5</v>
      </c>
      <c r="M151" s="58" t="n">
        <f aca="false">IF(02_Almuerzos!N59="","",02_Almuerzos!N59)</f>
        <v>2.37</v>
      </c>
      <c r="N151" s="58" t="n">
        <f aca="false">IF(02_Almuerzos!O59="","",02_Almuerzos!O59)</f>
        <v>19.13</v>
      </c>
      <c r="O151" s="55" t="str">
        <f aca="false">IF(02_Almuerzos!P59="","",02_Almuerzos!P59)</f>
        <v>12:00-16:00</v>
      </c>
      <c r="P151" s="55" t="n">
        <f aca="false">IF(02_Almuerzos!Q59="","",02_Almuerzos!Q59)</f>
        <v>15</v>
      </c>
      <c r="Q151" s="55" t="str">
        <f aca="false">IF(02_Almuerzos!R59="","",02_Almuerzos!R59)</f>
        <v>Medio</v>
      </c>
      <c r="R151" s="55" t="str">
        <f aca="false">IF(02_Almuerzos!S59="","",02_Almuerzos!S59)</f>
        <v>Todo el año</v>
      </c>
      <c r="S151" s="55" t="str">
        <f aca="false">IF(02_Almuerzos!T59="","",02_Almuerzos!T59)</f>
        <v>Restaurante, regional</v>
      </c>
      <c r="T151" s="56" t="str">
        <f aca="false">IF(02_Almuerzos!U59="","",02_Almuerzos!U59)</f>
        <v>Producto identitario del Titicaca</v>
      </c>
      <c r="U151" s="55" t="n">
        <v>59</v>
      </c>
      <c r="V151" s="55" t="n">
        <f aca="false">IF(AND(OR(LEN(13_Buscador!$C$5)=0,ISNUMBER(SEARCH(13_Buscador!$C$5,$C151&amp;" "&amp;$D151&amp;" "&amp;$E151&amp;" "&amp;$F151&amp;" "&amp;$S151))),OR(13_Buscador!$C$6="Todas las listas",LEN(13_Buscador!$C$6)=0,13_Buscador!$C$6=$B151)),1,0)</f>
        <v>0</v>
      </c>
      <c r="W151" s="55" t="str">
        <f aca="false">IF(V151=1,SUM($V$2:V151),"")</f>
        <v/>
      </c>
    </row>
    <row r="152" customFormat="false" ht="23.25" hidden="false" customHeight="true" outlineLevel="0" collapsed="false">
      <c r="A152" s="55" t="n">
        <v>151</v>
      </c>
      <c r="B152" s="55" t="s">
        <v>3328</v>
      </c>
      <c r="C152" s="55" t="str">
        <f aca="false">IF(02_Almuerzos!B60="","",02_Almuerzos!B60)</f>
        <v>Pescados</v>
      </c>
      <c r="D152" s="56" t="str">
        <f aca="false">IF(02_Almuerzos!C60="","",02_Almuerzos!C60)</f>
        <v>Trucha a la plancha</v>
      </c>
      <c r="E152" s="56" t="str">
        <f aca="false">IF(02_Almuerzos!D60="","",02_Almuerzos!D60)</f>
        <v>Trucha con guarnición</v>
      </c>
      <c r="F152" s="56" t="str">
        <f aca="false">IF(02_Almuerzos!E60="","",02_Almuerzos!E60)</f>
        <v>trucha del lago Titicaca, sal, limón, harina o hierbas, guarnición de papa o arroz</v>
      </c>
      <c r="G152" s="55" t="str">
        <f aca="false">IF(02_Almuerzos!F60="","",02_Almuerzos!F60)</f>
        <v>Plato</v>
      </c>
      <c r="H152" s="55" t="str">
        <f aca="false">IF(02_Almuerzos!G60="","",02_Almuerzos!G60)</f>
        <v>Medio</v>
      </c>
      <c r="I152" s="58" t="n">
        <f aca="false">IF(02_Almuerzos!H60="","",02_Almuerzos!H60)</f>
        <v>18</v>
      </c>
      <c r="J152" s="58" t="n">
        <f aca="false">IF(02_Almuerzos!I60="","",02_Almuerzos!I60)</f>
        <v>30</v>
      </c>
      <c r="K152" s="58" t="n">
        <f aca="false">IF(02_Almuerzos!J60="","",02_Almuerzos!J60)</f>
        <v>24</v>
      </c>
      <c r="L152" s="58" t="n">
        <f aca="false">IF(02_Almuerzos!L60="","",02_Almuerzos!L60)</f>
        <v>25</v>
      </c>
      <c r="M152" s="58" t="n">
        <f aca="false">IF(02_Almuerzos!N60="","",02_Almuerzos!N60)</f>
        <v>2.64</v>
      </c>
      <c r="N152" s="58" t="n">
        <f aca="false">IF(02_Almuerzos!O60="","",02_Almuerzos!O60)</f>
        <v>21.36</v>
      </c>
      <c r="O152" s="55" t="str">
        <f aca="false">IF(02_Almuerzos!P60="","",02_Almuerzos!P60)</f>
        <v>12:00-16:00</v>
      </c>
      <c r="P152" s="55" t="n">
        <f aca="false">IF(02_Almuerzos!Q60="","",02_Almuerzos!Q60)</f>
        <v>15</v>
      </c>
      <c r="Q152" s="55" t="str">
        <f aca="false">IF(02_Almuerzos!R60="","",02_Almuerzos!R60)</f>
        <v>Medio</v>
      </c>
      <c r="R152" s="55" t="str">
        <f aca="false">IF(02_Almuerzos!S60="","",02_Almuerzos!S60)</f>
        <v>Todo el año</v>
      </c>
      <c r="S152" s="55" t="str">
        <f aca="false">IF(02_Almuerzos!T60="","",02_Almuerzos!T60)</f>
        <v>Restaurante</v>
      </c>
      <c r="T152" s="56" t="str">
        <f aca="false">IF(02_Almuerzos!U60="","",02_Almuerzos!U60)</f>
        <v/>
      </c>
      <c r="U152" s="55" t="n">
        <v>60</v>
      </c>
      <c r="V152" s="55" t="n">
        <f aca="false">IF(AND(OR(LEN(13_Buscador!$C$5)=0,ISNUMBER(SEARCH(13_Buscador!$C$5,$C152&amp;" "&amp;$D152&amp;" "&amp;$E152&amp;" "&amp;$F152&amp;" "&amp;$S152))),OR(13_Buscador!$C$6="Todas las listas",LEN(13_Buscador!$C$6)=0,13_Buscador!$C$6=$B152)),1,0)</f>
        <v>0</v>
      </c>
      <c r="W152" s="55" t="str">
        <f aca="false">IF(V152=1,SUM($V$2:V152),"")</f>
        <v/>
      </c>
    </row>
    <row r="153" customFormat="false" ht="23.25" hidden="false" customHeight="true" outlineLevel="0" collapsed="false">
      <c r="A153" s="55" t="n">
        <v>152</v>
      </c>
      <c r="B153" s="55" t="s">
        <v>3328</v>
      </c>
      <c r="C153" s="55" t="str">
        <f aca="false">IF(02_Almuerzos!B61="","",02_Almuerzos!B61)</f>
        <v>Pescados</v>
      </c>
      <c r="D153" s="56" t="str">
        <f aca="false">IF(02_Almuerzos!C61="","",02_Almuerzos!C61)</f>
        <v>Chicharrón de trucha</v>
      </c>
      <c r="E153" s="56" t="str">
        <f aca="false">IF(02_Almuerzos!D61="","",02_Almuerzos!D61)</f>
        <v>Trucha apanada frita</v>
      </c>
      <c r="F153" s="56" t="str">
        <f aca="false">IF(02_Almuerzos!E61="","",02_Almuerzos!E61)</f>
        <v>trucha o pescado, harina, huevo, ajo, limón, aceite, yuca</v>
      </c>
      <c r="G153" s="55" t="str">
        <f aca="false">IF(02_Almuerzos!F61="","",02_Almuerzos!F61)</f>
        <v>Plato</v>
      </c>
      <c r="H153" s="55" t="str">
        <f aca="false">IF(02_Almuerzos!G61="","",02_Almuerzos!G61)</f>
        <v>Medio</v>
      </c>
      <c r="I153" s="58" t="n">
        <f aca="false">IF(02_Almuerzos!H61="","",02_Almuerzos!H61)</f>
        <v>18</v>
      </c>
      <c r="J153" s="58" t="n">
        <f aca="false">IF(02_Almuerzos!I61="","",02_Almuerzos!I61)</f>
        <v>30</v>
      </c>
      <c r="K153" s="58" t="n">
        <f aca="false">IF(02_Almuerzos!J61="","",02_Almuerzos!J61)</f>
        <v>24</v>
      </c>
      <c r="L153" s="58" t="n">
        <f aca="false">IF(02_Almuerzos!L61="","",02_Almuerzos!L61)</f>
        <v>25</v>
      </c>
      <c r="M153" s="58" t="n">
        <f aca="false">IF(02_Almuerzos!N61="","",02_Almuerzos!N61)</f>
        <v>2.64</v>
      </c>
      <c r="N153" s="58" t="n">
        <f aca="false">IF(02_Almuerzos!O61="","",02_Almuerzos!O61)</f>
        <v>21.36</v>
      </c>
      <c r="O153" s="55" t="str">
        <f aca="false">IF(02_Almuerzos!P61="","",02_Almuerzos!P61)</f>
        <v>12:00-16:00</v>
      </c>
      <c r="P153" s="55" t="n">
        <f aca="false">IF(02_Almuerzos!Q61="","",02_Almuerzos!Q61)</f>
        <v>15</v>
      </c>
      <c r="Q153" s="55" t="str">
        <f aca="false">IF(02_Almuerzos!R61="","",02_Almuerzos!R61)</f>
        <v>Medio</v>
      </c>
      <c r="R153" s="55" t="str">
        <f aca="false">IF(02_Almuerzos!S61="","",02_Almuerzos!S61)</f>
        <v>Todo el año</v>
      </c>
      <c r="S153" s="55" t="str">
        <f aca="false">IF(02_Almuerzos!T61="","",02_Almuerzos!T61)</f>
        <v>Restaurante</v>
      </c>
      <c r="T153" s="56" t="str">
        <f aca="false">IF(02_Almuerzos!U61="","",02_Almuerzos!U61)</f>
        <v/>
      </c>
      <c r="U153" s="55" t="n">
        <v>61</v>
      </c>
      <c r="V153" s="55" t="n">
        <f aca="false">IF(AND(OR(LEN(13_Buscador!$C$5)=0,ISNUMBER(SEARCH(13_Buscador!$C$5,$C153&amp;" "&amp;$D153&amp;" "&amp;$E153&amp;" "&amp;$F153&amp;" "&amp;$S153))),OR(13_Buscador!$C$6="Todas las listas",LEN(13_Buscador!$C$6)=0,13_Buscador!$C$6=$B153)),1,0)</f>
        <v>0</v>
      </c>
      <c r="W153" s="55" t="str">
        <f aca="false">IF(V153=1,SUM($V$2:V153),"")</f>
        <v/>
      </c>
    </row>
    <row r="154" customFormat="false" ht="23.25" hidden="false" customHeight="true" outlineLevel="0" collapsed="false">
      <c r="A154" s="55" t="n">
        <v>153</v>
      </c>
      <c r="B154" s="55" t="s">
        <v>3328</v>
      </c>
      <c r="C154" s="55" t="str">
        <f aca="false">IF(02_Almuerzos!B62="","",02_Almuerzos!B62)</f>
        <v>Pescados</v>
      </c>
      <c r="D154" s="56" t="str">
        <f aca="false">IF(02_Almuerzos!C62="","",02_Almuerzos!C62)</f>
        <v>Ceviche de trucha</v>
      </c>
      <c r="E154" s="56" t="str">
        <f aca="false">IF(02_Almuerzos!D62="","",02_Almuerzos!D62)</f>
        <v>Trucha en limón, camote, choclo</v>
      </c>
      <c r="F154" s="56" t="str">
        <f aca="false">IF(02_Almuerzos!E62="","",02_Almuerzos!E62)</f>
        <v>trucha del lago Titicaca, sal, limón, harina o hierbas, guarnición de papa o arroz</v>
      </c>
      <c r="G154" s="55" t="str">
        <f aca="false">IF(02_Almuerzos!F62="","",02_Almuerzos!F62)</f>
        <v>Plato</v>
      </c>
      <c r="H154" s="55" t="str">
        <f aca="false">IF(02_Almuerzos!G62="","",02_Almuerzos!G62)</f>
        <v>Medio</v>
      </c>
      <c r="I154" s="58" t="n">
        <f aca="false">IF(02_Almuerzos!H62="","",02_Almuerzos!H62)</f>
        <v>15</v>
      </c>
      <c r="J154" s="58" t="n">
        <f aca="false">IF(02_Almuerzos!I62="","",02_Almuerzos!I62)</f>
        <v>30</v>
      </c>
      <c r="K154" s="58" t="n">
        <f aca="false">IF(02_Almuerzos!J62="","",02_Almuerzos!J62)</f>
        <v>22.5</v>
      </c>
      <c r="L154" s="58" t="n">
        <f aca="false">IF(02_Almuerzos!L62="","",02_Almuerzos!L62)</f>
        <v>23.5</v>
      </c>
      <c r="M154" s="58" t="n">
        <f aca="false">IF(02_Almuerzos!N62="","",02_Almuerzos!N62)</f>
        <v>2.48</v>
      </c>
      <c r="N154" s="58" t="n">
        <f aca="false">IF(02_Almuerzos!O62="","",02_Almuerzos!O62)</f>
        <v>20.02</v>
      </c>
      <c r="O154" s="55" t="str">
        <f aca="false">IF(02_Almuerzos!P62="","",02_Almuerzos!P62)</f>
        <v>11:00-16:00</v>
      </c>
      <c r="P154" s="55" t="n">
        <f aca="false">IF(02_Almuerzos!Q62="","",02_Almuerzos!Q62)</f>
        <v>12</v>
      </c>
      <c r="Q154" s="55" t="str">
        <f aca="false">IF(02_Almuerzos!R62="","",02_Almuerzos!R62)</f>
        <v>Bajo</v>
      </c>
      <c r="R154" s="55" t="str">
        <f aca="false">IF(02_Almuerzos!S62="","",02_Almuerzos!S62)</f>
        <v>Todo el año</v>
      </c>
      <c r="S154" s="55" t="str">
        <f aca="false">IF(02_Almuerzos!T62="","",02_Almuerzos!T62)</f>
        <v>Cevichería</v>
      </c>
      <c r="T154" s="56" t="str">
        <f aca="false">IF(02_Almuerzos!U62="","",02_Almuerzos!U62)</f>
        <v>Riesgo sanitario en traslado largo: límite 20 min</v>
      </c>
      <c r="U154" s="55" t="n">
        <v>62</v>
      </c>
      <c r="V154" s="55" t="n">
        <f aca="false">IF(AND(OR(LEN(13_Buscador!$C$5)=0,ISNUMBER(SEARCH(13_Buscador!$C$5,$C154&amp;" "&amp;$D154&amp;" "&amp;$E154&amp;" "&amp;$F154&amp;" "&amp;$S154))),OR(13_Buscador!$C$6="Todas las listas",LEN(13_Buscador!$C$6)=0,13_Buscador!$C$6=$B154)),1,0)</f>
        <v>0</v>
      </c>
      <c r="W154" s="55" t="str">
        <f aca="false">IF(V154=1,SUM($V$2:V154),"")</f>
        <v/>
      </c>
    </row>
    <row r="155" customFormat="false" ht="15" hidden="false" customHeight="true" outlineLevel="0" collapsed="false">
      <c r="A155" s="55" t="n">
        <v>154</v>
      </c>
      <c r="B155" s="55" t="s">
        <v>3328</v>
      </c>
      <c r="C155" s="55" t="str">
        <f aca="false">IF(02_Almuerzos!B63="","",02_Almuerzos!B63)</f>
        <v>Pescados</v>
      </c>
      <c r="D155" s="56" t="str">
        <f aca="false">IF(02_Almuerzos!C63="","",02_Almuerzos!C63)</f>
        <v>Ceviche de pejerrey</v>
      </c>
      <c r="E155" s="56" t="str">
        <f aca="false">IF(02_Almuerzos!D63="","",02_Almuerzos!D63)</f>
        <v>Pejerrey del lago</v>
      </c>
      <c r="F155" s="56" t="str">
        <f aca="false">IF(02_Almuerzos!E63="","",02_Almuerzos!E63)</f>
        <v>pejerrey, harina, limón, sal, aceite</v>
      </c>
      <c r="G155" s="55" t="str">
        <f aca="false">IF(02_Almuerzos!F63="","",02_Almuerzos!F63)</f>
        <v>Plato</v>
      </c>
      <c r="H155" s="55" t="str">
        <f aca="false">IF(02_Almuerzos!G63="","",02_Almuerzos!G63)</f>
        <v>Medio</v>
      </c>
      <c r="I155" s="58" t="n">
        <f aca="false">IF(02_Almuerzos!H63="","",02_Almuerzos!H63)</f>
        <v>15</v>
      </c>
      <c r="J155" s="58" t="n">
        <f aca="false">IF(02_Almuerzos!I63="","",02_Almuerzos!I63)</f>
        <v>28</v>
      </c>
      <c r="K155" s="58" t="n">
        <f aca="false">IF(02_Almuerzos!J63="","",02_Almuerzos!J63)</f>
        <v>21.5</v>
      </c>
      <c r="L155" s="58" t="n">
        <f aca="false">IF(02_Almuerzos!L63="","",02_Almuerzos!L63)</f>
        <v>22.5</v>
      </c>
      <c r="M155" s="58" t="n">
        <f aca="false">IF(02_Almuerzos!N63="","",02_Almuerzos!N63)</f>
        <v>2.37</v>
      </c>
      <c r="N155" s="58" t="n">
        <f aca="false">IF(02_Almuerzos!O63="","",02_Almuerzos!O63)</f>
        <v>19.13</v>
      </c>
      <c r="O155" s="55" t="str">
        <f aca="false">IF(02_Almuerzos!P63="","",02_Almuerzos!P63)</f>
        <v>11:00-16:00</v>
      </c>
      <c r="P155" s="55" t="n">
        <f aca="false">IF(02_Almuerzos!Q63="","",02_Almuerzos!Q63)</f>
        <v>12</v>
      </c>
      <c r="Q155" s="55" t="str">
        <f aca="false">IF(02_Almuerzos!R63="","",02_Almuerzos!R63)</f>
        <v>Bajo</v>
      </c>
      <c r="R155" s="55" t="str">
        <f aca="false">IF(02_Almuerzos!S63="","",02_Almuerzos!S63)</f>
        <v>Todo el año</v>
      </c>
      <c r="S155" s="55" t="str">
        <f aca="false">IF(02_Almuerzos!T63="","",02_Almuerzos!T63)</f>
        <v>Cevichería</v>
      </c>
      <c r="T155" s="56" t="str">
        <f aca="false">IF(02_Almuerzos!U63="","",02_Almuerzos!U63)</f>
        <v/>
      </c>
      <c r="U155" s="55" t="n">
        <v>63</v>
      </c>
      <c r="V155" s="55" t="n">
        <f aca="false">IF(AND(OR(LEN(13_Buscador!$C$5)=0,ISNUMBER(SEARCH(13_Buscador!$C$5,$C155&amp;" "&amp;$D155&amp;" "&amp;$E155&amp;" "&amp;$F155&amp;" "&amp;$S155))),OR(13_Buscador!$C$6="Todas las listas",LEN(13_Buscador!$C$6)=0,13_Buscador!$C$6=$B155)),1,0)</f>
        <v>0</v>
      </c>
      <c r="W155" s="55" t="str">
        <f aca="false">IF(V155=1,SUM($V$2:V155),"")</f>
        <v/>
      </c>
    </row>
    <row r="156" customFormat="false" ht="15" hidden="false" customHeight="true" outlineLevel="0" collapsed="false">
      <c r="A156" s="55" t="n">
        <v>155</v>
      </c>
      <c r="B156" s="55" t="s">
        <v>3328</v>
      </c>
      <c r="C156" s="55" t="str">
        <f aca="false">IF(02_Almuerzos!B64="","",02_Almuerzos!B64)</f>
        <v>Pescados</v>
      </c>
      <c r="D156" s="56" t="str">
        <f aca="false">IF(02_Almuerzos!C64="","",02_Almuerzos!C64)</f>
        <v>Sudado de pescado</v>
      </c>
      <c r="E156" s="56" t="str">
        <f aca="false">IF(02_Almuerzos!D64="","",02_Almuerzos!D64)</f>
        <v>Pescado en salsa de cebolla y tomate</v>
      </c>
      <c r="F156" s="56" t="str">
        <f aca="false">IF(02_Almuerzos!E64="","",02_Almuerzos!E64)</f>
        <v>pescado, tomate, cebolla, ají amarillo, chicha, culantro</v>
      </c>
      <c r="G156" s="55" t="str">
        <f aca="false">IF(02_Almuerzos!F64="","",02_Almuerzos!F64)</f>
        <v>Plato</v>
      </c>
      <c r="H156" s="55" t="str">
        <f aca="false">IF(02_Almuerzos!G64="","",02_Almuerzos!G64)</f>
        <v>Medio</v>
      </c>
      <c r="I156" s="58" t="n">
        <f aca="false">IF(02_Almuerzos!H64="","",02_Almuerzos!H64)</f>
        <v>15</v>
      </c>
      <c r="J156" s="58" t="n">
        <f aca="false">IF(02_Almuerzos!I64="","",02_Almuerzos!I64)</f>
        <v>25</v>
      </c>
      <c r="K156" s="58" t="n">
        <f aca="false">IF(02_Almuerzos!J64="","",02_Almuerzos!J64)</f>
        <v>20</v>
      </c>
      <c r="L156" s="58" t="n">
        <f aca="false">IF(02_Almuerzos!L64="","",02_Almuerzos!L64)</f>
        <v>21</v>
      </c>
      <c r="M156" s="58" t="n">
        <f aca="false">IF(02_Almuerzos!N64="","",02_Almuerzos!N64)</f>
        <v>2.2</v>
      </c>
      <c r="N156" s="58" t="n">
        <f aca="false">IF(02_Almuerzos!O64="","",02_Almuerzos!O64)</f>
        <v>17.8</v>
      </c>
      <c r="O156" s="55" t="str">
        <f aca="false">IF(02_Almuerzos!P64="","",02_Almuerzos!P64)</f>
        <v>12:00-16:00</v>
      </c>
      <c r="P156" s="55" t="n">
        <f aca="false">IF(02_Almuerzos!Q64="","",02_Almuerzos!Q64)</f>
        <v>15</v>
      </c>
      <c r="Q156" s="55" t="str">
        <f aca="false">IF(02_Almuerzos!R64="","",02_Almuerzos!R64)</f>
        <v>Medio</v>
      </c>
      <c r="R156" s="55" t="str">
        <f aca="false">IF(02_Almuerzos!S64="","",02_Almuerzos!S64)</f>
        <v>Todo el año</v>
      </c>
      <c r="S156" s="55" t="str">
        <f aca="false">IF(02_Almuerzos!T64="","",02_Almuerzos!T64)</f>
        <v>Cevichería</v>
      </c>
      <c r="T156" s="56" t="str">
        <f aca="false">IF(02_Almuerzos!U64="","",02_Almuerzos!U64)</f>
        <v/>
      </c>
      <c r="U156" s="55" t="n">
        <v>64</v>
      </c>
      <c r="V156" s="55" t="n">
        <f aca="false">IF(AND(OR(LEN(13_Buscador!$C$5)=0,ISNUMBER(SEARCH(13_Buscador!$C$5,$C156&amp;" "&amp;$D156&amp;" "&amp;$E156&amp;" "&amp;$F156&amp;" "&amp;$S156))),OR(13_Buscador!$C$6="Todas las listas",LEN(13_Buscador!$C$6)=0,13_Buscador!$C$6=$B156)),1,0)</f>
        <v>0</v>
      </c>
      <c r="W156" s="55" t="str">
        <f aca="false">IF(V156=1,SUM($V$2:V156),"")</f>
        <v/>
      </c>
    </row>
    <row r="157" customFormat="false" ht="15" hidden="false" customHeight="true" outlineLevel="0" collapsed="false">
      <c r="A157" s="55" t="n">
        <v>156</v>
      </c>
      <c r="B157" s="55" t="s">
        <v>3328</v>
      </c>
      <c r="C157" s="55" t="str">
        <f aca="false">IF(02_Almuerzos!B65="","",02_Almuerzos!B65)</f>
        <v>Pescados</v>
      </c>
      <c r="D157" s="56" t="str">
        <f aca="false">IF(02_Almuerzos!C65="","",02_Almuerzos!C65)</f>
        <v>Jalea mixta</v>
      </c>
      <c r="E157" s="56" t="str">
        <f aca="false">IF(02_Almuerzos!D65="","",02_Almuerzos!D65)</f>
        <v>Pescado y mariscos fritos</v>
      </c>
      <c r="F157" s="56" t="str">
        <f aca="false">IF(02_Almuerzos!E65="","",02_Almuerzos!E65)</f>
        <v>pescado y mariscos, harina, yuca, salsa criolla, limón</v>
      </c>
      <c r="G157" s="55" t="str">
        <f aca="false">IF(02_Almuerzos!F65="","",02_Almuerzos!F65)</f>
        <v>Plato</v>
      </c>
      <c r="H157" s="55" t="str">
        <f aca="false">IF(02_Almuerzos!G65="","",02_Almuerzos!G65)</f>
        <v>Medio</v>
      </c>
      <c r="I157" s="58" t="n">
        <f aca="false">IF(02_Almuerzos!H65="","",02_Almuerzos!H65)</f>
        <v>20</v>
      </c>
      <c r="J157" s="58" t="n">
        <f aca="false">IF(02_Almuerzos!I65="","",02_Almuerzos!I65)</f>
        <v>35</v>
      </c>
      <c r="K157" s="58" t="n">
        <f aca="false">IF(02_Almuerzos!J65="","",02_Almuerzos!J65)</f>
        <v>27.5</v>
      </c>
      <c r="L157" s="58" t="n">
        <f aca="false">IF(02_Almuerzos!L65="","",02_Almuerzos!L65)</f>
        <v>28.5</v>
      </c>
      <c r="M157" s="58" t="n">
        <f aca="false">IF(02_Almuerzos!N65="","",02_Almuerzos!N65)</f>
        <v>3.03</v>
      </c>
      <c r="N157" s="58" t="n">
        <f aca="false">IF(02_Almuerzos!O65="","",02_Almuerzos!O65)</f>
        <v>24.47</v>
      </c>
      <c r="O157" s="55" t="str">
        <f aca="false">IF(02_Almuerzos!P65="","",02_Almuerzos!P65)</f>
        <v>12:00-16:00</v>
      </c>
      <c r="P157" s="55" t="n">
        <f aca="false">IF(02_Almuerzos!Q65="","",02_Almuerzos!Q65)</f>
        <v>18</v>
      </c>
      <c r="Q157" s="55" t="str">
        <f aca="false">IF(02_Almuerzos!R65="","",02_Almuerzos!R65)</f>
        <v>Medio</v>
      </c>
      <c r="R157" s="55" t="str">
        <f aca="false">IF(02_Almuerzos!S65="","",02_Almuerzos!S65)</f>
        <v>Todo el año</v>
      </c>
      <c r="S157" s="55" t="str">
        <f aca="false">IF(02_Almuerzos!T65="","",02_Almuerzos!T65)</f>
        <v>Cevichería</v>
      </c>
      <c r="T157" s="56" t="str">
        <f aca="false">IF(02_Almuerzos!U65="","",02_Almuerzos!U65)</f>
        <v/>
      </c>
      <c r="U157" s="55" t="n">
        <v>65</v>
      </c>
      <c r="V157" s="55" t="n">
        <f aca="false">IF(AND(OR(LEN(13_Buscador!$C$5)=0,ISNUMBER(SEARCH(13_Buscador!$C$5,$C157&amp;" "&amp;$D157&amp;" "&amp;$E157&amp;" "&amp;$F157&amp;" "&amp;$S157))),OR(13_Buscador!$C$6="Todas las listas",LEN(13_Buscador!$C$6)=0,13_Buscador!$C$6=$B157)),1,0)</f>
        <v>0</v>
      </c>
      <c r="W157" s="55" t="str">
        <f aca="false">IF(V157=1,SUM($V$2:V157),"")</f>
        <v/>
      </c>
    </row>
    <row r="158" customFormat="false" ht="15" hidden="false" customHeight="true" outlineLevel="0" collapsed="false">
      <c r="A158" s="55" t="n">
        <v>157</v>
      </c>
      <c r="B158" s="55" t="s">
        <v>3328</v>
      </c>
      <c r="C158" s="55" t="str">
        <f aca="false">IF(02_Almuerzos!B66="","",02_Almuerzos!B66)</f>
        <v>Pescados</v>
      </c>
      <c r="D158" s="56" t="str">
        <f aca="false">IF(02_Almuerzos!C66="","",02_Almuerzos!C66)</f>
        <v>Pejerrey frito</v>
      </c>
      <c r="E158" s="56" t="str">
        <f aca="false">IF(02_Almuerzos!D66="","",02_Almuerzos!D66)</f>
        <v>Pejerrey con guarnición</v>
      </c>
      <c r="F158" s="56" t="str">
        <f aca="false">IF(02_Almuerzos!E66="","",02_Almuerzos!E66)</f>
        <v>pejerrey, harina, limón, sal, aceite</v>
      </c>
      <c r="G158" s="55" t="str">
        <f aca="false">IF(02_Almuerzos!F66="","",02_Almuerzos!F66)</f>
        <v>Plato</v>
      </c>
      <c r="H158" s="55" t="str">
        <f aca="false">IF(02_Almuerzos!G66="","",02_Almuerzos!G66)</f>
        <v>Estándar</v>
      </c>
      <c r="I158" s="58" t="n">
        <f aca="false">IF(02_Almuerzos!H66="","",02_Almuerzos!H66)</f>
        <v>12</v>
      </c>
      <c r="J158" s="58" t="n">
        <f aca="false">IF(02_Almuerzos!I66="","",02_Almuerzos!I66)</f>
        <v>22</v>
      </c>
      <c r="K158" s="58" t="n">
        <f aca="false">IF(02_Almuerzos!J66="","",02_Almuerzos!J66)</f>
        <v>17</v>
      </c>
      <c r="L158" s="58" t="n">
        <f aca="false">IF(02_Almuerzos!L66="","",02_Almuerzos!L66)</f>
        <v>18</v>
      </c>
      <c r="M158" s="58" t="n">
        <f aca="false">IF(02_Almuerzos!N66="","",02_Almuerzos!N66)</f>
        <v>1.53</v>
      </c>
      <c r="N158" s="58" t="n">
        <f aca="false">IF(02_Almuerzos!O66="","",02_Almuerzos!O66)</f>
        <v>15.47</v>
      </c>
      <c r="O158" s="55" t="str">
        <f aca="false">IF(02_Almuerzos!P66="","",02_Almuerzos!P66)</f>
        <v>12:00-16:00</v>
      </c>
      <c r="P158" s="55" t="n">
        <f aca="false">IF(02_Almuerzos!Q66="","",02_Almuerzos!Q66)</f>
        <v>12</v>
      </c>
      <c r="Q158" s="55" t="str">
        <f aca="false">IF(02_Almuerzos!R66="","",02_Almuerzos!R66)</f>
        <v>Medio</v>
      </c>
      <c r="R158" s="55" t="str">
        <f aca="false">IF(02_Almuerzos!S66="","",02_Almuerzos!S66)</f>
        <v>Todo el año</v>
      </c>
      <c r="S158" s="55" t="str">
        <f aca="false">IF(02_Almuerzos!T66="","",02_Almuerzos!T66)</f>
        <v>Cevichería</v>
      </c>
      <c r="T158" s="56" t="str">
        <f aca="false">IF(02_Almuerzos!U66="","",02_Almuerzos!U66)</f>
        <v/>
      </c>
      <c r="U158" s="55" t="n">
        <v>66</v>
      </c>
      <c r="V158" s="55" t="n">
        <f aca="false">IF(AND(OR(LEN(13_Buscador!$C$5)=0,ISNUMBER(SEARCH(13_Buscador!$C$5,$C158&amp;" "&amp;$D158&amp;" "&amp;$E158&amp;" "&amp;$F158&amp;" "&amp;$S158))),OR(13_Buscador!$C$6="Todas las listas",LEN(13_Buscador!$C$6)=0,13_Buscador!$C$6=$B158)),1,0)</f>
        <v>0</v>
      </c>
      <c r="W158" s="55" t="str">
        <f aca="false">IF(V158=1,SUM($V$2:V158),"")</f>
        <v/>
      </c>
    </row>
    <row r="159" customFormat="false" ht="15" hidden="false" customHeight="true" outlineLevel="0" collapsed="false">
      <c r="A159" s="55" t="n">
        <v>158</v>
      </c>
      <c r="B159" s="55" t="s">
        <v>3328</v>
      </c>
      <c r="C159" s="55" t="str">
        <f aca="false">IF(02_Almuerzos!B67="","",02_Almuerzos!B67)</f>
        <v>Vegetariano</v>
      </c>
      <c r="D159" s="56" t="str">
        <f aca="false">IF(02_Almuerzos!C67="","",02_Almuerzos!C67)</f>
        <v>Saltado de soya</v>
      </c>
      <c r="E159" s="56" t="str">
        <f aca="false">IF(02_Almuerzos!D67="","",02_Almuerzos!D67)</f>
        <v>Soya texturizada salteada, arroz</v>
      </c>
      <c r="F159" s="56" t="str">
        <f aca="false">IF(02_Almuerzos!E67="","",02_Almuerzos!E67)</f>
        <v>soya texturizada o tofu, verduras, sillao, arroz</v>
      </c>
      <c r="G159" s="55" t="str">
        <f aca="false">IF(02_Almuerzos!F67="","",02_Almuerzos!F67)</f>
        <v>Plato</v>
      </c>
      <c r="H159" s="55" t="str">
        <f aca="false">IF(02_Almuerzos!G67="","",02_Almuerzos!G67)</f>
        <v>Estándar</v>
      </c>
      <c r="I159" s="58" t="n">
        <f aca="false">IF(02_Almuerzos!H67="","",02_Almuerzos!H67)</f>
        <v>10</v>
      </c>
      <c r="J159" s="58" t="n">
        <f aca="false">IF(02_Almuerzos!I67="","",02_Almuerzos!I67)</f>
        <v>16</v>
      </c>
      <c r="K159" s="58" t="n">
        <f aca="false">IF(02_Almuerzos!J67="","",02_Almuerzos!J67)</f>
        <v>13</v>
      </c>
      <c r="L159" s="58" t="n">
        <f aca="false">IF(02_Almuerzos!L67="","",02_Almuerzos!L67)</f>
        <v>14</v>
      </c>
      <c r="M159" s="58" t="n">
        <f aca="false">IF(02_Almuerzos!N67="","",02_Almuerzos!N67)</f>
        <v>1.17</v>
      </c>
      <c r="N159" s="58" t="n">
        <f aca="false">IF(02_Almuerzos!O67="","",02_Almuerzos!O67)</f>
        <v>11.83</v>
      </c>
      <c r="O159" s="55" t="str">
        <f aca="false">IF(02_Almuerzos!P67="","",02_Almuerzos!P67)</f>
        <v>12:00-15:00</v>
      </c>
      <c r="P159" s="55" t="n">
        <f aca="false">IF(02_Almuerzos!Q67="","",02_Almuerzos!Q67)</f>
        <v>10</v>
      </c>
      <c r="Q159" s="55" t="str">
        <f aca="false">IF(02_Almuerzos!R67="","",02_Almuerzos!R67)</f>
        <v>Alto</v>
      </c>
      <c r="R159" s="55" t="str">
        <f aca="false">IF(02_Almuerzos!S67="","",02_Almuerzos!S67)</f>
        <v>Todo el año</v>
      </c>
      <c r="S159" s="55" t="str">
        <f aca="false">IF(02_Almuerzos!T67="","",02_Almuerzos!T67)</f>
        <v>Vegetariano</v>
      </c>
      <c r="T159" s="56" t="str">
        <f aca="false">IF(02_Almuerzos!U67="","",02_Almuerzos!U67)</f>
        <v/>
      </c>
      <c r="U159" s="55" t="n">
        <v>67</v>
      </c>
      <c r="V159" s="55" t="n">
        <f aca="false">IF(AND(OR(LEN(13_Buscador!$C$5)=0,ISNUMBER(SEARCH(13_Buscador!$C$5,$C159&amp;" "&amp;$D159&amp;" "&amp;$E159&amp;" "&amp;$F159&amp;" "&amp;$S159))),OR(13_Buscador!$C$6="Todas las listas",LEN(13_Buscador!$C$6)=0,13_Buscador!$C$6=$B159)),1,0)</f>
        <v>0</v>
      </c>
      <c r="W159" s="55" t="str">
        <f aca="false">IF(V159=1,SUM($V$2:V159),"")</f>
        <v/>
      </c>
    </row>
    <row r="160" customFormat="false" ht="15" hidden="false" customHeight="true" outlineLevel="0" collapsed="false">
      <c r="A160" s="55" t="n">
        <v>159</v>
      </c>
      <c r="B160" s="55" t="s">
        <v>3328</v>
      </c>
      <c r="C160" s="55" t="str">
        <f aca="false">IF(02_Almuerzos!B68="","",02_Almuerzos!B68)</f>
        <v>Vegetariano</v>
      </c>
      <c r="D160" s="56" t="str">
        <f aca="false">IF(02_Almuerzos!C68="","",02_Almuerzos!C68)</f>
        <v>Hamburguesa de lenteja</v>
      </c>
      <c r="E160" s="56" t="str">
        <f aca="false">IF(02_Almuerzos!D68="","",02_Almuerzos!D68)</f>
        <v>Con papas o ensalada</v>
      </c>
      <c r="F160" s="56" t="str">
        <f aca="false">IF(02_Almuerzos!E68="","",02_Almuerzos!E68)</f>
        <v>lenteja, avena, cebolla, ajo, especias, pan</v>
      </c>
      <c r="G160" s="55" t="str">
        <f aca="false">IF(02_Almuerzos!F68="","",02_Almuerzos!F68)</f>
        <v>Plato</v>
      </c>
      <c r="H160" s="55" t="str">
        <f aca="false">IF(02_Almuerzos!G68="","",02_Almuerzos!G68)</f>
        <v>Económico</v>
      </c>
      <c r="I160" s="58" t="n">
        <f aca="false">IF(02_Almuerzos!H68="","",02_Almuerzos!H68)</f>
        <v>8</v>
      </c>
      <c r="J160" s="58" t="n">
        <f aca="false">IF(02_Almuerzos!I68="","",02_Almuerzos!I68)</f>
        <v>14</v>
      </c>
      <c r="K160" s="58" t="n">
        <f aca="false">IF(02_Almuerzos!J68="","",02_Almuerzos!J68)</f>
        <v>11</v>
      </c>
      <c r="L160" s="58" t="n">
        <f aca="false">IF(02_Almuerzos!L68="","",02_Almuerzos!L68)</f>
        <v>12</v>
      </c>
      <c r="M160" s="58" t="n">
        <f aca="false">IF(02_Almuerzos!N68="","",02_Almuerzos!N68)</f>
        <v>0.77</v>
      </c>
      <c r="N160" s="58" t="n">
        <f aca="false">IF(02_Almuerzos!O68="","",02_Almuerzos!O68)</f>
        <v>10.23</v>
      </c>
      <c r="O160" s="55" t="str">
        <f aca="false">IF(02_Almuerzos!P68="","",02_Almuerzos!P68)</f>
        <v>12:00-15:00</v>
      </c>
      <c r="P160" s="55" t="n">
        <f aca="false">IF(02_Almuerzos!Q68="","",02_Almuerzos!Q68)</f>
        <v>10</v>
      </c>
      <c r="Q160" s="55" t="str">
        <f aca="false">IF(02_Almuerzos!R68="","",02_Almuerzos!R68)</f>
        <v>Alto</v>
      </c>
      <c r="R160" s="55" t="str">
        <f aca="false">IF(02_Almuerzos!S68="","",02_Almuerzos!S68)</f>
        <v>Todo el año</v>
      </c>
      <c r="S160" s="55" t="str">
        <f aca="false">IF(02_Almuerzos!T68="","",02_Almuerzos!T68)</f>
        <v>Vegetariano</v>
      </c>
      <c r="T160" s="56" t="str">
        <f aca="false">IF(02_Almuerzos!U68="","",02_Almuerzos!U68)</f>
        <v/>
      </c>
      <c r="U160" s="55" t="n">
        <v>68</v>
      </c>
      <c r="V160" s="55" t="n">
        <f aca="false">IF(AND(OR(LEN(13_Buscador!$C$5)=0,ISNUMBER(SEARCH(13_Buscador!$C$5,$C160&amp;" "&amp;$D160&amp;" "&amp;$E160&amp;" "&amp;$F160&amp;" "&amp;$S160))),OR(13_Buscador!$C$6="Todas las listas",LEN(13_Buscador!$C$6)=0,13_Buscador!$C$6=$B160)),1,0)</f>
        <v>0</v>
      </c>
      <c r="W160" s="55" t="str">
        <f aca="false">IF(V160=1,SUM($V$2:V160),"")</f>
        <v/>
      </c>
    </row>
    <row r="161" customFormat="false" ht="15" hidden="false" customHeight="true" outlineLevel="0" collapsed="false">
      <c r="A161" s="55" t="n">
        <v>160</v>
      </c>
      <c r="B161" s="55" t="s">
        <v>3328</v>
      </c>
      <c r="C161" s="55" t="str">
        <f aca="false">IF(02_Almuerzos!B69="","",02_Almuerzos!B69)</f>
        <v>Vegetariano</v>
      </c>
      <c r="D161" s="56" t="str">
        <f aca="false">IF(02_Almuerzos!C69="","",02_Almuerzos!C69)</f>
        <v>Ensalada de quinua</v>
      </c>
      <c r="E161" s="56" t="str">
        <f aca="false">IF(02_Almuerzos!D69="","",02_Almuerzos!D69)</f>
        <v>Quinua, verduras, palta</v>
      </c>
      <c r="F161" s="56" t="str">
        <f aca="false">IF(02_Almuerzos!E69="","",02_Almuerzos!E69)</f>
        <v>quinua, tomate, pepino, palta, limón, aceite de oliva</v>
      </c>
      <c r="G161" s="55" t="str">
        <f aca="false">IF(02_Almuerzos!F69="","",02_Almuerzos!F69)</f>
        <v>Plato</v>
      </c>
      <c r="H161" s="55" t="str">
        <f aca="false">IF(02_Almuerzos!G69="","",02_Almuerzos!G69)</f>
        <v>Estándar</v>
      </c>
      <c r="I161" s="58" t="n">
        <f aca="false">IF(02_Almuerzos!H69="","",02_Almuerzos!H69)</f>
        <v>10</v>
      </c>
      <c r="J161" s="58" t="n">
        <f aca="false">IF(02_Almuerzos!I69="","",02_Almuerzos!I69)</f>
        <v>18</v>
      </c>
      <c r="K161" s="58" t="n">
        <f aca="false">IF(02_Almuerzos!J69="","",02_Almuerzos!J69)</f>
        <v>14</v>
      </c>
      <c r="L161" s="58" t="n">
        <f aca="false">IF(02_Almuerzos!L69="","",02_Almuerzos!L69)</f>
        <v>15</v>
      </c>
      <c r="M161" s="58" t="n">
        <f aca="false">IF(02_Almuerzos!N69="","",02_Almuerzos!N69)</f>
        <v>1.26</v>
      </c>
      <c r="N161" s="58" t="n">
        <f aca="false">IF(02_Almuerzos!O69="","",02_Almuerzos!O69)</f>
        <v>12.74</v>
      </c>
      <c r="O161" s="55" t="str">
        <f aca="false">IF(02_Almuerzos!P69="","",02_Almuerzos!P69)</f>
        <v>12:00-15:00</v>
      </c>
      <c r="P161" s="55" t="n">
        <f aca="false">IF(02_Almuerzos!Q69="","",02_Almuerzos!Q69)</f>
        <v>8</v>
      </c>
      <c r="Q161" s="55" t="str">
        <f aca="false">IF(02_Almuerzos!R69="","",02_Almuerzos!R69)</f>
        <v>Alto</v>
      </c>
      <c r="R161" s="55" t="str">
        <f aca="false">IF(02_Almuerzos!S69="","",02_Almuerzos!S69)</f>
        <v>Todo el año</v>
      </c>
      <c r="S161" s="55" t="str">
        <f aca="false">IF(02_Almuerzos!T69="","",02_Almuerzos!T69)</f>
        <v>Vegetariano</v>
      </c>
      <c r="T161" s="56" t="str">
        <f aca="false">IF(02_Almuerzos!U69="","",02_Almuerzos!U69)</f>
        <v/>
      </c>
      <c r="U161" s="55" t="n">
        <v>69</v>
      </c>
      <c r="V161" s="55" t="n">
        <f aca="false">IF(AND(OR(LEN(13_Buscador!$C$5)=0,ISNUMBER(SEARCH(13_Buscador!$C$5,$C161&amp;" "&amp;$D161&amp;" "&amp;$E161&amp;" "&amp;$F161&amp;" "&amp;$S161))),OR(13_Buscador!$C$6="Todas las listas",LEN(13_Buscador!$C$6)=0,13_Buscador!$C$6=$B161)),1,0)</f>
        <v>0</v>
      </c>
      <c r="W161" s="55" t="str">
        <f aca="false">IF(V161=1,SUM($V$2:V161),"")</f>
        <v/>
      </c>
    </row>
    <row r="162" customFormat="false" ht="23.25" hidden="false" customHeight="true" outlineLevel="0" collapsed="false">
      <c r="A162" s="55" t="n">
        <v>161</v>
      </c>
      <c r="B162" s="55" t="s">
        <v>3328</v>
      </c>
      <c r="C162" s="55" t="str">
        <f aca="false">IF(02_Almuerzos!B70="","",02_Almuerzos!B70)</f>
        <v>Vegetariano</v>
      </c>
      <c r="D162" s="56" t="str">
        <f aca="false">IF(02_Almuerzos!C70="","",02_Almuerzos!C70)</f>
        <v>Chaufa vegetariano</v>
      </c>
      <c r="E162" s="56" t="str">
        <f aca="false">IF(02_Almuerzos!D70="","",02_Almuerzos!D70)</f>
        <v>Arroz salteado con verduras</v>
      </c>
      <c r="F162" s="56" t="str">
        <f aca="false">IF(02_Almuerzos!E70="","",02_Almuerzos!E70)</f>
        <v>arroz, huevo, cebolla china, sillao, aceite de ajonjolí, carne o pollo</v>
      </c>
      <c r="G162" s="55" t="str">
        <f aca="false">IF(02_Almuerzos!F70="","",02_Almuerzos!F70)</f>
        <v>Plato</v>
      </c>
      <c r="H162" s="55" t="str">
        <f aca="false">IF(02_Almuerzos!G70="","",02_Almuerzos!G70)</f>
        <v>Estándar</v>
      </c>
      <c r="I162" s="58" t="n">
        <f aca="false">IF(02_Almuerzos!H70="","",02_Almuerzos!H70)</f>
        <v>9</v>
      </c>
      <c r="J162" s="58" t="n">
        <f aca="false">IF(02_Almuerzos!I70="","",02_Almuerzos!I70)</f>
        <v>15</v>
      </c>
      <c r="K162" s="58" t="n">
        <f aca="false">IF(02_Almuerzos!J70="","",02_Almuerzos!J70)</f>
        <v>12</v>
      </c>
      <c r="L162" s="58" t="n">
        <f aca="false">IF(02_Almuerzos!L70="","",02_Almuerzos!L70)</f>
        <v>13</v>
      </c>
      <c r="M162" s="58" t="n">
        <f aca="false">IF(02_Almuerzos!N70="","",02_Almuerzos!N70)</f>
        <v>1.08</v>
      </c>
      <c r="N162" s="58" t="n">
        <f aca="false">IF(02_Almuerzos!O70="","",02_Almuerzos!O70)</f>
        <v>10.92</v>
      </c>
      <c r="O162" s="55" t="str">
        <f aca="false">IF(02_Almuerzos!P70="","",02_Almuerzos!P70)</f>
        <v>12:00-15:00</v>
      </c>
      <c r="P162" s="55" t="n">
        <f aca="false">IF(02_Almuerzos!Q70="","",02_Almuerzos!Q70)</f>
        <v>10</v>
      </c>
      <c r="Q162" s="55" t="str">
        <f aca="false">IF(02_Almuerzos!R70="","",02_Almuerzos!R70)</f>
        <v>Alto</v>
      </c>
      <c r="R162" s="55" t="str">
        <f aca="false">IF(02_Almuerzos!S70="","",02_Almuerzos!S70)</f>
        <v>Todo el año</v>
      </c>
      <c r="S162" s="55" t="str">
        <f aca="false">IF(02_Almuerzos!T70="","",02_Almuerzos!T70)</f>
        <v>Vegetariano, chifa</v>
      </c>
      <c r="T162" s="56" t="str">
        <f aca="false">IF(02_Almuerzos!U70="","",02_Almuerzos!U70)</f>
        <v/>
      </c>
      <c r="U162" s="55" t="n">
        <v>70</v>
      </c>
      <c r="V162" s="55" t="n">
        <f aca="false">IF(AND(OR(LEN(13_Buscador!$C$5)=0,ISNUMBER(SEARCH(13_Buscador!$C$5,$C162&amp;" "&amp;$D162&amp;" "&amp;$E162&amp;" "&amp;$F162&amp;" "&amp;$S162))),OR(13_Buscador!$C$6="Todas las listas",LEN(13_Buscador!$C$6)=0,13_Buscador!$C$6=$B162)),1,0)</f>
        <v>1</v>
      </c>
      <c r="W162" s="55" t="n">
        <f aca="false">IF(V162=1,SUM($V$2:V162),"")</f>
        <v>26</v>
      </c>
    </row>
    <row r="163" customFormat="false" ht="15" hidden="false" customHeight="true" outlineLevel="0" collapsed="false">
      <c r="A163" s="55" t="n">
        <v>162</v>
      </c>
      <c r="B163" s="55" t="s">
        <v>3328</v>
      </c>
      <c r="C163" s="55" t="str">
        <f aca="false">IF(02_Almuerzos!B71="","",02_Almuerzos!B71)</f>
        <v>Vegetariano</v>
      </c>
      <c r="D163" s="56" t="str">
        <f aca="false">IF(02_Almuerzos!C71="","",02_Almuerzos!C71)</f>
        <v>Lentejas con arroz</v>
      </c>
      <c r="E163" s="56" t="str">
        <f aca="false">IF(02_Almuerzos!D71="","",02_Almuerzos!D71)</f>
        <v>Guiso de lentejas</v>
      </c>
      <c r="F163" s="56" t="str">
        <f aca="false">IF(02_Almuerzos!E71="","",02_Almuerzos!E71)</f>
        <v>legumbre, cebolla, ajo, arroz</v>
      </c>
      <c r="G163" s="55" t="str">
        <f aca="false">IF(02_Almuerzos!F71="","",02_Almuerzos!F71)</f>
        <v>Plato</v>
      </c>
      <c r="H163" s="55" t="str">
        <f aca="false">IF(02_Almuerzos!G71="","",02_Almuerzos!G71)</f>
        <v>Económico</v>
      </c>
      <c r="I163" s="58" t="n">
        <f aca="false">IF(02_Almuerzos!H71="","",02_Almuerzos!H71)</f>
        <v>7</v>
      </c>
      <c r="J163" s="58" t="n">
        <f aca="false">IF(02_Almuerzos!I71="","",02_Almuerzos!I71)</f>
        <v>12</v>
      </c>
      <c r="K163" s="58" t="n">
        <f aca="false">IF(02_Almuerzos!J71="","",02_Almuerzos!J71)</f>
        <v>9.5</v>
      </c>
      <c r="L163" s="58" t="n">
        <f aca="false">IF(02_Almuerzos!L71="","",02_Almuerzos!L71)</f>
        <v>10.5</v>
      </c>
      <c r="M163" s="58" t="n">
        <f aca="false">IF(02_Almuerzos!N71="","",02_Almuerzos!N71)</f>
        <v>0.67</v>
      </c>
      <c r="N163" s="58" t="n">
        <f aca="false">IF(02_Almuerzos!O71="","",02_Almuerzos!O71)</f>
        <v>8.83</v>
      </c>
      <c r="O163" s="55" t="str">
        <f aca="false">IF(02_Almuerzos!P71="","",02_Almuerzos!P71)</f>
        <v>12:00-15:00</v>
      </c>
      <c r="P163" s="55" t="n">
        <f aca="false">IF(02_Almuerzos!Q71="","",02_Almuerzos!Q71)</f>
        <v>8</v>
      </c>
      <c r="Q163" s="55" t="str">
        <f aca="false">IF(02_Almuerzos!R71="","",02_Almuerzos!R71)</f>
        <v>Alto</v>
      </c>
      <c r="R163" s="55" t="str">
        <f aca="false">IF(02_Almuerzos!S71="","",02_Almuerzos!S71)</f>
        <v>Todo el año</v>
      </c>
      <c r="S163" s="55" t="str">
        <f aca="false">IF(02_Almuerzos!T71="","",02_Almuerzos!T71)</f>
        <v>Menú, vegetariano</v>
      </c>
      <c r="T163" s="56" t="str">
        <f aca="false">IF(02_Almuerzos!U71="","",02_Almuerzos!U71)</f>
        <v/>
      </c>
      <c r="U163" s="55" t="n">
        <v>71</v>
      </c>
      <c r="V163" s="55" t="n">
        <f aca="false">IF(AND(OR(LEN(13_Buscador!$C$5)=0,ISNUMBER(SEARCH(13_Buscador!$C$5,$C163&amp;" "&amp;$D163&amp;" "&amp;$E163&amp;" "&amp;$F163&amp;" "&amp;$S163))),OR(13_Buscador!$C$6="Todas las listas",LEN(13_Buscador!$C$6)=0,13_Buscador!$C$6=$B163)),1,0)</f>
        <v>0</v>
      </c>
      <c r="W163" s="55" t="str">
        <f aca="false">IF(V163=1,SUM($V$2:V163),"")</f>
        <v/>
      </c>
    </row>
    <row r="164" customFormat="false" ht="15" hidden="false" customHeight="true" outlineLevel="0" collapsed="false">
      <c r="A164" s="55" t="n">
        <v>163</v>
      </c>
      <c r="B164" s="55" t="s">
        <v>3328</v>
      </c>
      <c r="C164" s="55" t="str">
        <f aca="false">IF(02_Almuerzos!B72="","",02_Almuerzos!B72)</f>
        <v>Vegetariano</v>
      </c>
      <c r="D164" s="56" t="str">
        <f aca="false">IF(02_Almuerzos!C72="","",02_Almuerzos!C72)</f>
        <v>Tofu saltado</v>
      </c>
      <c r="E164" s="56" t="str">
        <f aca="false">IF(02_Almuerzos!D72="","",02_Almuerzos!D72)</f>
        <v>Tofu con verduras</v>
      </c>
      <c r="F164" s="56" t="str">
        <f aca="false">IF(02_Almuerzos!E72="","",02_Almuerzos!E72)</f>
        <v>soya texturizada o tofu, verduras, sillao, arroz</v>
      </c>
      <c r="G164" s="55" t="str">
        <f aca="false">IF(02_Almuerzos!F72="","",02_Almuerzos!F72)</f>
        <v>Plato</v>
      </c>
      <c r="H164" s="55" t="str">
        <f aca="false">IF(02_Almuerzos!G72="","",02_Almuerzos!G72)</f>
        <v>Estándar</v>
      </c>
      <c r="I164" s="58" t="n">
        <f aca="false">IF(02_Almuerzos!H72="","",02_Almuerzos!H72)</f>
        <v>10</v>
      </c>
      <c r="J164" s="58" t="n">
        <f aca="false">IF(02_Almuerzos!I72="","",02_Almuerzos!I72)</f>
        <v>18</v>
      </c>
      <c r="K164" s="58" t="n">
        <f aca="false">IF(02_Almuerzos!J72="","",02_Almuerzos!J72)</f>
        <v>14</v>
      </c>
      <c r="L164" s="58" t="n">
        <f aca="false">IF(02_Almuerzos!L72="","",02_Almuerzos!L72)</f>
        <v>15</v>
      </c>
      <c r="M164" s="58" t="n">
        <f aca="false">IF(02_Almuerzos!N72="","",02_Almuerzos!N72)</f>
        <v>1.26</v>
      </c>
      <c r="N164" s="58" t="n">
        <f aca="false">IF(02_Almuerzos!O72="","",02_Almuerzos!O72)</f>
        <v>12.74</v>
      </c>
      <c r="O164" s="55" t="str">
        <f aca="false">IF(02_Almuerzos!P72="","",02_Almuerzos!P72)</f>
        <v>12:00-15:00</v>
      </c>
      <c r="P164" s="55" t="n">
        <f aca="false">IF(02_Almuerzos!Q72="","",02_Almuerzos!Q72)</f>
        <v>10</v>
      </c>
      <c r="Q164" s="55" t="str">
        <f aca="false">IF(02_Almuerzos!R72="","",02_Almuerzos!R72)</f>
        <v>Alto</v>
      </c>
      <c r="R164" s="55" t="str">
        <f aca="false">IF(02_Almuerzos!S72="","",02_Almuerzos!S72)</f>
        <v>Todo el año</v>
      </c>
      <c r="S164" s="55" t="str">
        <f aca="false">IF(02_Almuerzos!T72="","",02_Almuerzos!T72)</f>
        <v>Vegetariano</v>
      </c>
      <c r="T164" s="56" t="str">
        <f aca="false">IF(02_Almuerzos!U72="","",02_Almuerzos!U72)</f>
        <v/>
      </c>
      <c r="U164" s="55" t="n">
        <v>72</v>
      </c>
      <c r="V164" s="55" t="n">
        <f aca="false">IF(AND(OR(LEN(13_Buscador!$C$5)=0,ISNUMBER(SEARCH(13_Buscador!$C$5,$C164&amp;" "&amp;$D164&amp;" "&amp;$E164&amp;" "&amp;$F164&amp;" "&amp;$S164))),OR(13_Buscador!$C$6="Todas las listas",LEN(13_Buscador!$C$6)=0,13_Buscador!$C$6=$B164)),1,0)</f>
        <v>0</v>
      </c>
      <c r="W164" s="55" t="str">
        <f aca="false">IF(V164=1,SUM($V$2:V164),"")</f>
        <v/>
      </c>
    </row>
    <row r="165" customFormat="false" ht="15" hidden="false" customHeight="true" outlineLevel="0" collapsed="false">
      <c r="A165" s="55" t="n">
        <v>164</v>
      </c>
      <c r="B165" s="55" t="s">
        <v>3328</v>
      </c>
      <c r="C165" s="55" t="str">
        <f aca="false">IF(02_Almuerzos!B73="","",02_Almuerzos!B73)</f>
        <v>Acompañamientos</v>
      </c>
      <c r="D165" s="56" t="str">
        <f aca="false">IF(02_Almuerzos!C73="","",02_Almuerzos!C73)</f>
        <v>Porción de arroz extra</v>
      </c>
      <c r="E165" s="56" t="str">
        <f aca="false">IF(02_Almuerzos!D73="","",02_Almuerzos!D73)</f>
        <v>Arroz blanco</v>
      </c>
      <c r="F165" s="56" t="str">
        <f aca="false">IF(02_Almuerzos!E73="","",02_Almuerzos!E73)</f>
        <v>arroz, aceite, sal</v>
      </c>
      <c r="G165" s="55" t="str">
        <f aca="false">IF(02_Almuerzos!F73="","",02_Almuerzos!F73)</f>
        <v>Porción</v>
      </c>
      <c r="H165" s="55" t="str">
        <f aca="false">IF(02_Almuerzos!G73="","",02_Almuerzos!G73)</f>
        <v>Económico</v>
      </c>
      <c r="I165" s="58" t="n">
        <f aca="false">IF(02_Almuerzos!H73="","",02_Almuerzos!H73)</f>
        <v>2</v>
      </c>
      <c r="J165" s="58" t="n">
        <f aca="false">IF(02_Almuerzos!I73="","",02_Almuerzos!I73)</f>
        <v>4</v>
      </c>
      <c r="K165" s="58" t="n">
        <f aca="false">IF(02_Almuerzos!J73="","",02_Almuerzos!J73)</f>
        <v>3</v>
      </c>
      <c r="L165" s="58" t="n">
        <f aca="false">IF(02_Almuerzos!L73="","",02_Almuerzos!L73)</f>
        <v>4</v>
      </c>
      <c r="M165" s="58" t="n">
        <f aca="false">IF(02_Almuerzos!N73="","",02_Almuerzos!N73)</f>
        <v>0.21</v>
      </c>
      <c r="N165" s="58" t="n">
        <f aca="false">IF(02_Almuerzos!O73="","",02_Almuerzos!O73)</f>
        <v>2.79</v>
      </c>
      <c r="O165" s="55" t="str">
        <f aca="false">IF(02_Almuerzos!P73="","",02_Almuerzos!P73)</f>
        <v>12:00-15:00</v>
      </c>
      <c r="P165" s="55" t="n">
        <f aca="false">IF(02_Almuerzos!Q73="","",02_Almuerzos!Q73)</f>
        <v>2</v>
      </c>
      <c r="Q165" s="55" t="str">
        <f aca="false">IF(02_Almuerzos!R73="","",02_Almuerzos!R73)</f>
        <v>Alto</v>
      </c>
      <c r="R165" s="55" t="str">
        <f aca="false">IF(02_Almuerzos!S73="","",02_Almuerzos!S73)</f>
        <v>Todo el año</v>
      </c>
      <c r="S165" s="55" t="str">
        <f aca="false">IF(02_Almuerzos!T73="","",02_Almuerzos!T73)</f>
        <v>Todos</v>
      </c>
      <c r="T165" s="56" t="str">
        <f aca="false">IF(02_Almuerzos!U73="","",02_Almuerzos!U73)</f>
        <v>Sube ticket sin costo logístico</v>
      </c>
      <c r="U165" s="55" t="n">
        <v>73</v>
      </c>
      <c r="V165" s="55" t="n">
        <f aca="false">IF(AND(OR(LEN(13_Buscador!$C$5)=0,ISNUMBER(SEARCH(13_Buscador!$C$5,$C165&amp;" "&amp;$D165&amp;" "&amp;$E165&amp;" "&amp;$F165&amp;" "&amp;$S165))),OR(13_Buscador!$C$6="Todas las listas",LEN(13_Buscador!$C$6)=0,13_Buscador!$C$6=$B165)),1,0)</f>
        <v>0</v>
      </c>
      <c r="W165" s="55" t="str">
        <f aca="false">IF(V165=1,SUM($V$2:V165),"")</f>
        <v/>
      </c>
    </row>
    <row r="166" customFormat="false" ht="15" hidden="false" customHeight="true" outlineLevel="0" collapsed="false">
      <c r="A166" s="55" t="n">
        <v>165</v>
      </c>
      <c r="B166" s="55" t="s">
        <v>3328</v>
      </c>
      <c r="C166" s="55" t="str">
        <f aca="false">IF(02_Almuerzos!B74="","",02_Almuerzos!B74)</f>
        <v>Acompañamientos</v>
      </c>
      <c r="D166" s="56" t="str">
        <f aca="false">IF(02_Almuerzos!C74="","",02_Almuerzos!C74)</f>
        <v>Porción de papas fritas</v>
      </c>
      <c r="E166" s="56" t="str">
        <f aca="false">IF(02_Almuerzos!D74="","",02_Almuerzos!D74)</f>
        <v>Papas fritas</v>
      </c>
      <c r="F166" s="56" t="str">
        <f aca="false">IF(02_Almuerzos!E74="","",02_Almuerzos!E74)</f>
        <v>papa, aceite, sal</v>
      </c>
      <c r="G166" s="55" t="str">
        <f aca="false">IF(02_Almuerzos!F74="","",02_Almuerzos!F74)</f>
        <v>Porción</v>
      </c>
      <c r="H166" s="55" t="str">
        <f aca="false">IF(02_Almuerzos!G74="","",02_Almuerzos!G74)</f>
        <v>Económico</v>
      </c>
      <c r="I166" s="58" t="n">
        <f aca="false">IF(02_Almuerzos!H74="","",02_Almuerzos!H74)</f>
        <v>4</v>
      </c>
      <c r="J166" s="58" t="n">
        <f aca="false">IF(02_Almuerzos!I74="","",02_Almuerzos!I74)</f>
        <v>8</v>
      </c>
      <c r="K166" s="58" t="n">
        <f aca="false">IF(02_Almuerzos!J74="","",02_Almuerzos!J74)</f>
        <v>6</v>
      </c>
      <c r="L166" s="58" t="n">
        <f aca="false">IF(02_Almuerzos!L74="","",02_Almuerzos!L74)</f>
        <v>7</v>
      </c>
      <c r="M166" s="58" t="n">
        <f aca="false">IF(02_Almuerzos!N74="","",02_Almuerzos!N74)</f>
        <v>0.42</v>
      </c>
      <c r="N166" s="58" t="n">
        <f aca="false">IF(02_Almuerzos!O74="","",02_Almuerzos!O74)</f>
        <v>5.58</v>
      </c>
      <c r="O166" s="55" t="str">
        <f aca="false">IF(02_Almuerzos!P74="","",02_Almuerzos!P74)</f>
        <v>12:00-22:00</v>
      </c>
      <c r="P166" s="55" t="n">
        <f aca="false">IF(02_Almuerzos!Q74="","",02_Almuerzos!Q74)</f>
        <v>6</v>
      </c>
      <c r="Q166" s="55" t="str">
        <f aca="false">IF(02_Almuerzos!R74="","",02_Almuerzos!R74)</f>
        <v>Medio</v>
      </c>
      <c r="R166" s="55" t="str">
        <f aca="false">IF(02_Almuerzos!S74="","",02_Almuerzos!S74)</f>
        <v>Todo el año</v>
      </c>
      <c r="S166" s="55" t="str">
        <f aca="false">IF(02_Almuerzos!T74="","",02_Almuerzos!T74)</f>
        <v>Todos</v>
      </c>
      <c r="T166" s="56" t="str">
        <f aca="false">IF(02_Almuerzos!U74="","",02_Almuerzos!U74)</f>
        <v/>
      </c>
      <c r="U166" s="55" t="n">
        <v>74</v>
      </c>
      <c r="V166" s="55" t="n">
        <f aca="false">IF(AND(OR(LEN(13_Buscador!$C$5)=0,ISNUMBER(SEARCH(13_Buscador!$C$5,$C166&amp;" "&amp;$D166&amp;" "&amp;$E166&amp;" "&amp;$F166&amp;" "&amp;$S166))),OR(13_Buscador!$C$6="Todas las listas",LEN(13_Buscador!$C$6)=0,13_Buscador!$C$6=$B166)),1,0)</f>
        <v>0</v>
      </c>
      <c r="W166" s="55" t="str">
        <f aca="false">IF(V166=1,SUM($V$2:V166),"")</f>
        <v/>
      </c>
    </row>
    <row r="167" customFormat="false" ht="15" hidden="false" customHeight="true" outlineLevel="0" collapsed="false">
      <c r="A167" s="55" t="n">
        <v>166</v>
      </c>
      <c r="B167" s="55" t="s">
        <v>3328</v>
      </c>
      <c r="C167" s="55" t="str">
        <f aca="false">IF(02_Almuerzos!B75="","",02_Almuerzos!B75)</f>
        <v>Acompañamientos</v>
      </c>
      <c r="D167" s="56" t="str">
        <f aca="false">IF(02_Almuerzos!C75="","",02_Almuerzos!C75)</f>
        <v>Ensalada fresca</v>
      </c>
      <c r="E167" s="56" t="str">
        <f aca="false">IF(02_Almuerzos!D75="","",02_Almuerzos!D75)</f>
        <v>Verduras crudas</v>
      </c>
      <c r="F167" s="56" t="str">
        <f aca="false">IF(02_Almuerzos!E75="","",02_Almuerzos!E75)</f>
        <v>verduras frescas de estación, limón, aceite, sal</v>
      </c>
      <c r="G167" s="55" t="str">
        <f aca="false">IF(02_Almuerzos!F75="","",02_Almuerzos!F75)</f>
        <v>Porción</v>
      </c>
      <c r="H167" s="55" t="str">
        <f aca="false">IF(02_Almuerzos!G75="","",02_Almuerzos!G75)</f>
        <v>Económico</v>
      </c>
      <c r="I167" s="58" t="n">
        <f aca="false">IF(02_Almuerzos!H75="","",02_Almuerzos!H75)</f>
        <v>3</v>
      </c>
      <c r="J167" s="58" t="n">
        <f aca="false">IF(02_Almuerzos!I75="","",02_Almuerzos!I75)</f>
        <v>7</v>
      </c>
      <c r="K167" s="58" t="n">
        <f aca="false">IF(02_Almuerzos!J75="","",02_Almuerzos!J75)</f>
        <v>5</v>
      </c>
      <c r="L167" s="58" t="n">
        <f aca="false">IF(02_Almuerzos!L75="","",02_Almuerzos!L75)</f>
        <v>6</v>
      </c>
      <c r="M167" s="58" t="n">
        <f aca="false">IF(02_Almuerzos!N75="","",02_Almuerzos!N75)</f>
        <v>0.35</v>
      </c>
      <c r="N167" s="58" t="n">
        <f aca="false">IF(02_Almuerzos!O75="","",02_Almuerzos!O75)</f>
        <v>4.65</v>
      </c>
      <c r="O167" s="55" t="str">
        <f aca="false">IF(02_Almuerzos!P75="","",02_Almuerzos!P75)</f>
        <v>12:00-15:00</v>
      </c>
      <c r="P167" s="55" t="n">
        <f aca="false">IF(02_Almuerzos!Q75="","",02_Almuerzos!Q75)</f>
        <v>4</v>
      </c>
      <c r="Q167" s="55" t="str">
        <f aca="false">IF(02_Almuerzos!R75="","",02_Almuerzos!R75)</f>
        <v>Alto</v>
      </c>
      <c r="R167" s="55" t="str">
        <f aca="false">IF(02_Almuerzos!S75="","",02_Almuerzos!S75)</f>
        <v>Todo el año</v>
      </c>
      <c r="S167" s="55" t="str">
        <f aca="false">IF(02_Almuerzos!T75="","",02_Almuerzos!T75)</f>
        <v>Todos</v>
      </c>
      <c r="T167" s="56" t="str">
        <f aca="false">IF(02_Almuerzos!U75="","",02_Almuerzos!U75)</f>
        <v/>
      </c>
      <c r="U167" s="55" t="n">
        <v>75</v>
      </c>
      <c r="V167" s="55" t="n">
        <f aca="false">IF(AND(OR(LEN(13_Buscador!$C$5)=0,ISNUMBER(SEARCH(13_Buscador!$C$5,$C167&amp;" "&amp;$D167&amp;" "&amp;$E167&amp;" "&amp;$F167&amp;" "&amp;$S167))),OR(13_Buscador!$C$6="Todas las listas",LEN(13_Buscador!$C$6)=0,13_Buscador!$C$6=$B167)),1,0)</f>
        <v>0</v>
      </c>
      <c r="W167" s="55" t="str">
        <f aca="false">IF(V167=1,SUM($V$2:V167),"")</f>
        <v/>
      </c>
    </row>
    <row r="168" customFormat="false" ht="15" hidden="false" customHeight="true" outlineLevel="0" collapsed="false">
      <c r="A168" s="55" t="n">
        <v>167</v>
      </c>
      <c r="B168" s="55" t="s">
        <v>3328</v>
      </c>
      <c r="C168" s="55" t="str">
        <f aca="false">IF(02_Almuerzos!B76="","",02_Almuerzos!B76)</f>
        <v>Acompañamientos</v>
      </c>
      <c r="D168" s="56" t="str">
        <f aca="false">IF(02_Almuerzos!C76="","",02_Almuerzos!C76)</f>
        <v>Porción de mote</v>
      </c>
      <c r="E168" s="56" t="str">
        <f aca="false">IF(02_Almuerzos!D76="","",02_Almuerzos!D76)</f>
        <v>Maíz cocido</v>
      </c>
      <c r="F168" s="56" t="str">
        <f aca="false">IF(02_Almuerzos!E76="","",02_Almuerzos!E76)</f>
        <v>maíz pelado cocido, sal</v>
      </c>
      <c r="G168" s="55" t="str">
        <f aca="false">IF(02_Almuerzos!F76="","",02_Almuerzos!F76)</f>
        <v>Porción</v>
      </c>
      <c r="H168" s="55" t="str">
        <f aca="false">IF(02_Almuerzos!G76="","",02_Almuerzos!G76)</f>
        <v>Económico</v>
      </c>
      <c r="I168" s="58" t="n">
        <f aca="false">IF(02_Almuerzos!H76="","",02_Almuerzos!H76)</f>
        <v>2</v>
      </c>
      <c r="J168" s="58" t="n">
        <f aca="false">IF(02_Almuerzos!I76="","",02_Almuerzos!I76)</f>
        <v>5</v>
      </c>
      <c r="K168" s="58" t="n">
        <f aca="false">IF(02_Almuerzos!J76="","",02_Almuerzos!J76)</f>
        <v>3.5</v>
      </c>
      <c r="L168" s="58" t="n">
        <f aca="false">IF(02_Almuerzos!L76="","",02_Almuerzos!L76)</f>
        <v>4.5</v>
      </c>
      <c r="M168" s="58" t="n">
        <f aca="false">IF(02_Almuerzos!N76="","",02_Almuerzos!N76)</f>
        <v>0.25</v>
      </c>
      <c r="N168" s="58" t="n">
        <f aca="false">IF(02_Almuerzos!O76="","",02_Almuerzos!O76)</f>
        <v>3.25</v>
      </c>
      <c r="O168" s="55" t="str">
        <f aca="false">IF(02_Almuerzos!P76="","",02_Almuerzos!P76)</f>
        <v>12:00-16:00</v>
      </c>
      <c r="P168" s="55" t="n">
        <f aca="false">IF(02_Almuerzos!Q76="","",02_Almuerzos!Q76)</f>
        <v>2</v>
      </c>
      <c r="Q168" s="55" t="str">
        <f aca="false">IF(02_Almuerzos!R76="","",02_Almuerzos!R76)</f>
        <v>Alto</v>
      </c>
      <c r="R168" s="55" t="str">
        <f aca="false">IF(02_Almuerzos!S76="","",02_Almuerzos!S76)</f>
        <v>Todo el año</v>
      </c>
      <c r="S168" s="55" t="str">
        <f aca="false">IF(02_Almuerzos!T76="","",02_Almuerzos!T76)</f>
        <v>Regional</v>
      </c>
      <c r="T168" s="56" t="str">
        <f aca="false">IF(02_Almuerzos!U76="","",02_Almuerzos!U76)</f>
        <v/>
      </c>
      <c r="U168" s="55" t="n">
        <v>76</v>
      </c>
      <c r="V168" s="55" t="n">
        <f aca="false">IF(AND(OR(LEN(13_Buscador!$C$5)=0,ISNUMBER(SEARCH(13_Buscador!$C$5,$C168&amp;" "&amp;$D168&amp;" "&amp;$E168&amp;" "&amp;$F168&amp;" "&amp;$S168))),OR(13_Buscador!$C$6="Todas las listas",LEN(13_Buscador!$C$6)=0,13_Buscador!$C$6=$B168)),1,0)</f>
        <v>0</v>
      </c>
      <c r="W168" s="55" t="str">
        <f aca="false">IF(V168=1,SUM($V$2:V168),"")</f>
        <v/>
      </c>
    </row>
    <row r="169" customFormat="false" ht="15" hidden="false" customHeight="true" outlineLevel="0" collapsed="false">
      <c r="A169" s="55" t="n">
        <v>168</v>
      </c>
      <c r="B169" s="55" t="s">
        <v>3328</v>
      </c>
      <c r="C169" s="55" t="str">
        <f aca="false">IF(02_Almuerzos!B77="","",02_Almuerzos!B77)</f>
        <v>Acompañamientos</v>
      </c>
      <c r="D169" s="56" t="str">
        <f aca="false">IF(02_Almuerzos!C77="","",02_Almuerzos!C77)</f>
        <v>Crema / ají de la casa</v>
      </c>
      <c r="E169" s="56" t="str">
        <f aca="false">IF(02_Almuerzos!D77="","",02_Almuerzos!D77)</f>
        <v>Salsas adicionales</v>
      </c>
      <c r="F169" s="56" t="str">
        <f aca="false">IF(02_Almuerzos!E77="","",02_Almuerzos!E77)</f>
        <v>ají, mayonesa, huacatay u otras salsas de la casa</v>
      </c>
      <c r="G169" s="55" t="str">
        <f aca="false">IF(02_Almuerzos!F77="","",02_Almuerzos!F77)</f>
        <v>Envase</v>
      </c>
      <c r="H169" s="55" t="str">
        <f aca="false">IF(02_Almuerzos!G77="","",02_Almuerzos!G77)</f>
        <v>Económico</v>
      </c>
      <c r="I169" s="58" t="n">
        <f aca="false">IF(02_Almuerzos!H77="","",02_Almuerzos!H77)</f>
        <v>1</v>
      </c>
      <c r="J169" s="58" t="n">
        <f aca="false">IF(02_Almuerzos!I77="","",02_Almuerzos!I77)</f>
        <v>3</v>
      </c>
      <c r="K169" s="58" t="n">
        <f aca="false">IF(02_Almuerzos!J77="","",02_Almuerzos!J77)</f>
        <v>2</v>
      </c>
      <c r="L169" s="58" t="n">
        <f aca="false">IF(02_Almuerzos!L77="","",02_Almuerzos!L77)</f>
        <v>3</v>
      </c>
      <c r="M169" s="58" t="n">
        <f aca="false">IF(02_Almuerzos!N77="","",02_Almuerzos!N77)</f>
        <v>0.14</v>
      </c>
      <c r="N169" s="58" t="n">
        <f aca="false">IF(02_Almuerzos!O77="","",02_Almuerzos!O77)</f>
        <v>1.86</v>
      </c>
      <c r="O169" s="55" t="str">
        <f aca="false">IF(02_Almuerzos!P77="","",02_Almuerzos!P77)</f>
        <v>12:00-22:00</v>
      </c>
      <c r="P169" s="55" t="n">
        <f aca="false">IF(02_Almuerzos!Q77="","",02_Almuerzos!Q77)</f>
        <v>1</v>
      </c>
      <c r="Q169" s="55" t="str">
        <f aca="false">IF(02_Almuerzos!R77="","",02_Almuerzos!R77)</f>
        <v>Alto</v>
      </c>
      <c r="R169" s="55" t="str">
        <f aca="false">IF(02_Almuerzos!S77="","",02_Almuerzos!S77)</f>
        <v>Todo el año</v>
      </c>
      <c r="S169" s="55" t="str">
        <f aca="false">IF(02_Almuerzos!T77="","",02_Almuerzos!T77)</f>
        <v>Todos</v>
      </c>
      <c r="T169" s="56" t="str">
        <f aca="false">IF(02_Almuerzos!U77="","",02_Almuerzos!U77)</f>
        <v>Margen alto, ideal para upselling</v>
      </c>
      <c r="U169" s="55" t="n">
        <v>77</v>
      </c>
      <c r="V169" s="55" t="n">
        <f aca="false">IF(AND(OR(LEN(13_Buscador!$C$5)=0,ISNUMBER(SEARCH(13_Buscador!$C$5,$C169&amp;" "&amp;$D169&amp;" "&amp;$E169&amp;" "&amp;$F169&amp;" "&amp;$S169))),OR(13_Buscador!$C$6="Todas las listas",LEN(13_Buscador!$C$6)=0,13_Buscador!$C$6=$B169)),1,0)</f>
        <v>0</v>
      </c>
      <c r="W169" s="55" t="str">
        <f aca="false">IF(V169=1,SUM($V$2:V169),"")</f>
        <v/>
      </c>
    </row>
    <row r="170" customFormat="false" ht="15" hidden="false" customHeight="true" outlineLevel="0" collapsed="false">
      <c r="A170" s="55" t="n">
        <v>169</v>
      </c>
      <c r="B170" s="55" t="s">
        <v>3328</v>
      </c>
      <c r="C170" s="55" t="str">
        <f aca="false">IF(02_Almuerzos!B78="","",02_Almuerzos!B78)</f>
        <v>Menú del día</v>
      </c>
      <c r="D170" s="56" t="str">
        <f aca="false">IF(02_Almuerzos!C78="","",02_Almuerzos!C78)</f>
        <v>Menú de dos segundos</v>
      </c>
      <c r="E170" s="56" t="str">
        <f aca="false">IF(02_Almuerzos!D78="","",02_Almuerzos!D78)</f>
        <v>Dos segundos a elección</v>
      </c>
      <c r="F170" s="56" t="str">
        <f aca="false">IF(02_Almuerzos!E78="","",02_Almuerzos!E78)</f>
        <v>sopa del día, segundo del día, refresco o bebida</v>
      </c>
      <c r="G170" s="55" t="str">
        <f aca="false">IF(02_Almuerzos!F78="","",02_Almuerzos!F78)</f>
        <v>Bandeja</v>
      </c>
      <c r="H170" s="55" t="str">
        <f aca="false">IF(02_Almuerzos!G78="","",02_Almuerzos!G78)</f>
        <v>Estándar</v>
      </c>
      <c r="I170" s="58" t="n">
        <f aca="false">IF(02_Almuerzos!H78="","",02_Almuerzos!H78)</f>
        <v>13</v>
      </c>
      <c r="J170" s="58" t="n">
        <f aca="false">IF(02_Almuerzos!I78="","",02_Almuerzos!I78)</f>
        <v>18</v>
      </c>
      <c r="K170" s="58" t="n">
        <f aca="false">IF(02_Almuerzos!J78="","",02_Almuerzos!J78)</f>
        <v>15.5</v>
      </c>
      <c r="L170" s="58" t="n">
        <f aca="false">IF(02_Almuerzos!L78="","",02_Almuerzos!L78)</f>
        <v>16.5</v>
      </c>
      <c r="M170" s="58" t="n">
        <f aca="false">IF(02_Almuerzos!N78="","",02_Almuerzos!N78)</f>
        <v>1.4</v>
      </c>
      <c r="N170" s="58" t="n">
        <f aca="false">IF(02_Almuerzos!O78="","",02_Almuerzos!O78)</f>
        <v>14.1</v>
      </c>
      <c r="O170" s="55" t="str">
        <f aca="false">IF(02_Almuerzos!P78="","",02_Almuerzos!P78)</f>
        <v>12:00-14:30</v>
      </c>
      <c r="P170" s="55" t="n">
        <f aca="false">IF(02_Almuerzos!Q78="","",02_Almuerzos!Q78)</f>
        <v>10</v>
      </c>
      <c r="Q170" s="55" t="str">
        <f aca="false">IF(02_Almuerzos!R78="","",02_Almuerzos!R78)</f>
        <v>Alto</v>
      </c>
      <c r="R170" s="55" t="str">
        <f aca="false">IF(02_Almuerzos!S78="","",02_Almuerzos!S78)</f>
        <v>Todo el año</v>
      </c>
      <c r="S170" s="55" t="str">
        <f aca="false">IF(02_Almuerzos!T78="","",02_Almuerzos!T78)</f>
        <v>Menú popular</v>
      </c>
      <c r="T170" s="56" t="str">
        <f aca="false">IF(02_Almuerzos!U78="","",02_Almuerzos!U78)</f>
        <v>Pedido por trabajadores de obra</v>
      </c>
      <c r="U170" s="55" t="n">
        <v>78</v>
      </c>
      <c r="V170" s="55" t="n">
        <f aca="false">IF(AND(OR(LEN(13_Buscador!$C$5)=0,ISNUMBER(SEARCH(13_Buscador!$C$5,$C170&amp;" "&amp;$D170&amp;" "&amp;$E170&amp;" "&amp;$F170&amp;" "&amp;$S170))),OR(13_Buscador!$C$6="Todas las listas",LEN(13_Buscador!$C$6)=0,13_Buscador!$C$6=$B170)),1,0)</f>
        <v>0</v>
      </c>
      <c r="W170" s="55" t="str">
        <f aca="false">IF(V170=1,SUM($V$2:V170),"")</f>
        <v/>
      </c>
    </row>
    <row r="171" customFormat="false" ht="15" hidden="false" customHeight="true" outlineLevel="0" collapsed="false">
      <c r="A171" s="55" t="n">
        <v>170</v>
      </c>
      <c r="B171" s="55" t="s">
        <v>3328</v>
      </c>
      <c r="C171" s="55" t="str">
        <f aca="false">IF(02_Almuerzos!B79="","",02_Almuerzos!B79)</f>
        <v>Menú del día</v>
      </c>
      <c r="D171" s="56" t="str">
        <f aca="false">IF(02_Almuerzos!C79="","",02_Almuerzos!C79)</f>
        <v>Menú infantil</v>
      </c>
      <c r="E171" s="56" t="str">
        <f aca="false">IF(02_Almuerzos!D79="","",02_Almuerzos!D79)</f>
        <v>Porción reducida</v>
      </c>
      <c r="F171" s="56" t="str">
        <f aca="false">IF(02_Almuerzos!E79="","",02_Almuerzos!E79)</f>
        <v>sopa del día, segundo del día, refresco o bebida</v>
      </c>
      <c r="G171" s="55" t="str">
        <f aca="false">IF(02_Almuerzos!F79="","",02_Almuerzos!F79)</f>
        <v>Bandeja</v>
      </c>
      <c r="H171" s="55" t="str">
        <f aca="false">IF(02_Almuerzos!G79="","",02_Almuerzos!G79)</f>
        <v>Económico</v>
      </c>
      <c r="I171" s="58" t="n">
        <f aca="false">IF(02_Almuerzos!H79="","",02_Almuerzos!H79)</f>
        <v>6</v>
      </c>
      <c r="J171" s="58" t="n">
        <f aca="false">IF(02_Almuerzos!I79="","",02_Almuerzos!I79)</f>
        <v>10</v>
      </c>
      <c r="K171" s="58" t="n">
        <f aca="false">IF(02_Almuerzos!J79="","",02_Almuerzos!J79)</f>
        <v>8</v>
      </c>
      <c r="L171" s="58" t="n">
        <f aca="false">IF(02_Almuerzos!L79="","",02_Almuerzos!L79)</f>
        <v>9</v>
      </c>
      <c r="M171" s="58" t="n">
        <f aca="false">IF(02_Almuerzos!N79="","",02_Almuerzos!N79)</f>
        <v>0.56</v>
      </c>
      <c r="N171" s="58" t="n">
        <f aca="false">IF(02_Almuerzos!O79="","",02_Almuerzos!O79)</f>
        <v>7.44</v>
      </c>
      <c r="O171" s="55" t="str">
        <f aca="false">IF(02_Almuerzos!P79="","",02_Almuerzos!P79)</f>
        <v>12:00-14:30</v>
      </c>
      <c r="P171" s="55" t="n">
        <f aca="false">IF(02_Almuerzos!Q79="","",02_Almuerzos!Q79)</f>
        <v>8</v>
      </c>
      <c r="Q171" s="55" t="str">
        <f aca="false">IF(02_Almuerzos!R79="","",02_Almuerzos!R79)</f>
        <v>Alto</v>
      </c>
      <c r="R171" s="55" t="str">
        <f aca="false">IF(02_Almuerzos!S79="","",02_Almuerzos!S79)</f>
        <v>Todo el año</v>
      </c>
      <c r="S171" s="55" t="str">
        <f aca="false">IF(02_Almuerzos!T79="","",02_Almuerzos!T79)</f>
        <v>Menú, restaurante</v>
      </c>
      <c r="T171" s="56" t="str">
        <f aca="false">IF(02_Almuerzos!U79="","",02_Almuerzos!U79)</f>
        <v/>
      </c>
      <c r="U171" s="55" t="n">
        <v>79</v>
      </c>
      <c r="V171" s="55" t="n">
        <f aca="false">IF(AND(OR(LEN(13_Buscador!$C$5)=0,ISNUMBER(SEARCH(13_Buscador!$C$5,$C171&amp;" "&amp;$D171&amp;" "&amp;$E171&amp;" "&amp;$F171&amp;" "&amp;$S171))),OR(13_Buscador!$C$6="Todas las listas",LEN(13_Buscador!$C$6)=0,13_Buscador!$C$6=$B171)),1,0)</f>
        <v>0</v>
      </c>
      <c r="W171" s="55" t="str">
        <f aca="false">IF(V171=1,SUM($V$2:V171),"")</f>
        <v/>
      </c>
    </row>
    <row r="172" customFormat="false" ht="15" hidden="false" customHeight="true" outlineLevel="0" collapsed="false">
      <c r="A172" s="55" t="n">
        <v>171</v>
      </c>
      <c r="B172" s="55" t="s">
        <v>3328</v>
      </c>
      <c r="C172" s="55" t="str">
        <f aca="false">IF(02_Almuerzos!B80="","",02_Almuerzos!B80)</f>
        <v>Menú del día</v>
      </c>
      <c r="D172" s="56" t="str">
        <f aca="false">IF(02_Almuerzos!C80="","",02_Almuerzos!C80)</f>
        <v>Menú de pescado</v>
      </c>
      <c r="E172" s="56" t="str">
        <f aca="false">IF(02_Almuerzos!D80="","",02_Almuerzos!D80)</f>
        <v>Sopa + pescado + refresco</v>
      </c>
      <c r="F172" s="56" t="str">
        <f aca="false">IF(02_Almuerzos!E80="","",02_Almuerzos!E80)</f>
        <v>sopa del día, pescado del día, refresco</v>
      </c>
      <c r="G172" s="55" t="str">
        <f aca="false">IF(02_Almuerzos!F80="","",02_Almuerzos!F80)</f>
        <v>Bandeja</v>
      </c>
      <c r="H172" s="55" t="str">
        <f aca="false">IF(02_Almuerzos!G80="","",02_Almuerzos!G80)</f>
        <v>Estándar</v>
      </c>
      <c r="I172" s="58" t="n">
        <f aca="false">IF(02_Almuerzos!H80="","",02_Almuerzos!H80)</f>
        <v>12</v>
      </c>
      <c r="J172" s="58" t="n">
        <f aca="false">IF(02_Almuerzos!I80="","",02_Almuerzos!I80)</f>
        <v>18</v>
      </c>
      <c r="K172" s="58" t="n">
        <f aca="false">IF(02_Almuerzos!J80="","",02_Almuerzos!J80)</f>
        <v>15</v>
      </c>
      <c r="L172" s="58" t="n">
        <f aca="false">IF(02_Almuerzos!L80="","",02_Almuerzos!L80)</f>
        <v>16</v>
      </c>
      <c r="M172" s="58" t="n">
        <f aca="false">IF(02_Almuerzos!N80="","",02_Almuerzos!N80)</f>
        <v>1.35</v>
      </c>
      <c r="N172" s="58" t="n">
        <f aca="false">IF(02_Almuerzos!O80="","",02_Almuerzos!O80)</f>
        <v>13.65</v>
      </c>
      <c r="O172" s="55" t="str">
        <f aca="false">IF(02_Almuerzos!P80="","",02_Almuerzos!P80)</f>
        <v>12:00-14:30</v>
      </c>
      <c r="P172" s="55" t="n">
        <f aca="false">IF(02_Almuerzos!Q80="","",02_Almuerzos!Q80)</f>
        <v>12</v>
      </c>
      <c r="Q172" s="55" t="str">
        <f aca="false">IF(02_Almuerzos!R80="","",02_Almuerzos!R80)</f>
        <v>Medio</v>
      </c>
      <c r="R172" s="55" t="str">
        <f aca="false">IF(02_Almuerzos!S80="","",02_Almuerzos!S80)</f>
        <v>Todo el año</v>
      </c>
      <c r="S172" s="55" t="str">
        <f aca="false">IF(02_Almuerzos!T80="","",02_Almuerzos!T80)</f>
        <v>Cevichería, menú</v>
      </c>
      <c r="T172" s="56" t="str">
        <f aca="false">IF(02_Almuerzos!U80="","",02_Almuerzos!U80)</f>
        <v/>
      </c>
      <c r="U172" s="55" t="n">
        <v>80</v>
      </c>
      <c r="V172" s="55" t="n">
        <f aca="false">IF(AND(OR(LEN(13_Buscador!$C$5)=0,ISNUMBER(SEARCH(13_Buscador!$C$5,$C172&amp;" "&amp;$D172&amp;" "&amp;$E172&amp;" "&amp;$F172&amp;" "&amp;$S172))),OR(13_Buscador!$C$6="Todas las listas",LEN(13_Buscador!$C$6)=0,13_Buscador!$C$6=$B172)),1,0)</f>
        <v>0</v>
      </c>
      <c r="W172" s="55" t="str">
        <f aca="false">IF(V172=1,SUM($V$2:V172),"")</f>
        <v/>
      </c>
    </row>
    <row r="173" customFormat="false" ht="15" hidden="false" customHeight="true" outlineLevel="0" collapsed="false">
      <c r="A173" s="55" t="n">
        <v>172</v>
      </c>
      <c r="B173" s="55" t="s">
        <v>3328</v>
      </c>
      <c r="C173" s="55" t="str">
        <f aca="false">IF(02_Almuerzos!B81="","",02_Almuerzos!B81)</f>
        <v>Menú del día</v>
      </c>
      <c r="D173" s="56" t="str">
        <f aca="false">IF(02_Almuerzos!C81="","",02_Almuerzos!C81)</f>
        <v>Menú criollo del día</v>
      </c>
      <c r="E173" s="56" t="str">
        <f aca="false">IF(02_Almuerzos!D81="","",02_Almuerzos!D81)</f>
        <v>Rotativo por día de semana</v>
      </c>
      <c r="F173" s="56" t="str">
        <f aca="false">IF(02_Almuerzos!E81="","",02_Almuerzos!E81)</f>
        <v>sopa del día, segundo del día, refresco o bebida</v>
      </c>
      <c r="G173" s="55" t="str">
        <f aca="false">IF(02_Almuerzos!F81="","",02_Almuerzos!F81)</f>
        <v>Bandeja</v>
      </c>
      <c r="H173" s="55" t="str">
        <f aca="false">IF(02_Almuerzos!G81="","",02_Almuerzos!G81)</f>
        <v>Económico</v>
      </c>
      <c r="I173" s="58" t="n">
        <f aca="false">IF(02_Almuerzos!H81="","",02_Almuerzos!H81)</f>
        <v>9</v>
      </c>
      <c r="J173" s="58" t="n">
        <f aca="false">IF(02_Almuerzos!I81="","",02_Almuerzos!I81)</f>
        <v>13</v>
      </c>
      <c r="K173" s="58" t="n">
        <f aca="false">IF(02_Almuerzos!J81="","",02_Almuerzos!J81)</f>
        <v>11</v>
      </c>
      <c r="L173" s="58" t="n">
        <f aca="false">IF(02_Almuerzos!L81="","",02_Almuerzos!L81)</f>
        <v>12</v>
      </c>
      <c r="M173" s="58" t="n">
        <f aca="false">IF(02_Almuerzos!N81="","",02_Almuerzos!N81)</f>
        <v>0.77</v>
      </c>
      <c r="N173" s="58" t="n">
        <f aca="false">IF(02_Almuerzos!O81="","",02_Almuerzos!O81)</f>
        <v>10.23</v>
      </c>
      <c r="O173" s="55" t="str">
        <f aca="false">IF(02_Almuerzos!P81="","",02_Almuerzos!P81)</f>
        <v>12:00-14:30</v>
      </c>
      <c r="P173" s="55" t="n">
        <f aca="false">IF(02_Almuerzos!Q81="","",02_Almuerzos!Q81)</f>
        <v>8</v>
      </c>
      <c r="Q173" s="55" t="str">
        <f aca="false">IF(02_Almuerzos!R81="","",02_Almuerzos!R81)</f>
        <v>Alto</v>
      </c>
      <c r="R173" s="55" t="str">
        <f aca="false">IF(02_Almuerzos!S81="","",02_Almuerzos!S81)</f>
        <v>Todo el año</v>
      </c>
      <c r="S173" s="55" t="str">
        <f aca="false">IF(02_Almuerzos!T81="","",02_Almuerzos!T81)</f>
        <v>Menú popular</v>
      </c>
      <c r="T173" s="56" t="str">
        <f aca="false">IF(02_Almuerzos!U81="","",02_Almuerzos!U81)</f>
        <v>Publicar el rotativo semanal en la app fideliza</v>
      </c>
      <c r="U173" s="55" t="n">
        <v>81</v>
      </c>
      <c r="V173" s="55" t="n">
        <f aca="false">IF(AND(OR(LEN(13_Buscador!$C$5)=0,ISNUMBER(SEARCH(13_Buscador!$C$5,$C173&amp;" "&amp;$D173&amp;" "&amp;$E173&amp;" "&amp;$F173&amp;" "&amp;$S173))),OR(13_Buscador!$C$6="Todas las listas",LEN(13_Buscador!$C$6)=0,13_Buscador!$C$6=$B173)),1,0)</f>
        <v>0</v>
      </c>
      <c r="W173" s="55" t="str">
        <f aca="false">IF(V173=1,SUM($V$2:V173),"")</f>
        <v/>
      </c>
    </row>
    <row r="174" customFormat="false" ht="15" hidden="false" customHeight="true" outlineLevel="0" collapsed="false">
      <c r="A174" s="55" t="n">
        <v>173</v>
      </c>
      <c r="B174" s="55" t="s">
        <v>3328</v>
      </c>
      <c r="C174" s="55" t="str">
        <f aca="false">IF(02_Almuerzos!B82="","",02_Almuerzos!B82)</f>
        <v>Sopas</v>
      </c>
      <c r="D174" s="56" t="str">
        <f aca="false">IF(02_Almuerzos!C82="","",02_Almuerzos!C82)</f>
        <v>Sopa de mote</v>
      </c>
      <c r="E174" s="56" t="str">
        <f aca="false">IF(02_Almuerzos!D82="","",02_Almuerzos!D82)</f>
        <v>Mote, carne, verduras</v>
      </c>
      <c r="F174" s="56" t="str">
        <f aca="false">IF(02_Almuerzos!E82="","",02_Almuerzos!E82)</f>
        <v>mote, carne, papa, cebolla, sal</v>
      </c>
      <c r="G174" s="55" t="str">
        <f aca="false">IF(02_Almuerzos!F82="","",02_Almuerzos!F82)</f>
        <v>Plato hondo</v>
      </c>
      <c r="H174" s="55" t="str">
        <f aca="false">IF(02_Almuerzos!G82="","",02_Almuerzos!G82)</f>
        <v>Económico</v>
      </c>
      <c r="I174" s="58" t="n">
        <f aca="false">IF(02_Almuerzos!H82="","",02_Almuerzos!H82)</f>
        <v>7</v>
      </c>
      <c r="J174" s="58" t="n">
        <f aca="false">IF(02_Almuerzos!I82="","",02_Almuerzos!I82)</f>
        <v>12</v>
      </c>
      <c r="K174" s="58" t="n">
        <f aca="false">IF(02_Almuerzos!J82="","",02_Almuerzos!J82)</f>
        <v>9.5</v>
      </c>
      <c r="L174" s="58" t="n">
        <f aca="false">IF(02_Almuerzos!L82="","",02_Almuerzos!L82)</f>
        <v>10.5</v>
      </c>
      <c r="M174" s="58" t="n">
        <f aca="false">IF(02_Almuerzos!N82="","",02_Almuerzos!N82)</f>
        <v>0.67</v>
      </c>
      <c r="N174" s="58" t="n">
        <f aca="false">IF(02_Almuerzos!O82="","",02_Almuerzos!O82)</f>
        <v>8.83</v>
      </c>
      <c r="O174" s="55" t="str">
        <f aca="false">IF(02_Almuerzos!P82="","",02_Almuerzos!P82)</f>
        <v>12:00-14:30</v>
      </c>
      <c r="P174" s="55" t="n">
        <f aca="false">IF(02_Almuerzos!Q82="","",02_Almuerzos!Q82)</f>
        <v>10</v>
      </c>
      <c r="Q174" s="55" t="str">
        <f aca="false">IF(02_Almuerzos!R82="","",02_Almuerzos!R82)</f>
        <v>Medio</v>
      </c>
      <c r="R174" s="55" t="str">
        <f aca="false">IF(02_Almuerzos!S82="","",02_Almuerzos!S82)</f>
        <v>Todo el año</v>
      </c>
      <c r="S174" s="55" t="str">
        <f aca="false">IF(02_Almuerzos!T82="","",02_Almuerzos!T82)</f>
        <v>Menú</v>
      </c>
      <c r="T174" s="56" t="str">
        <f aca="false">IF(02_Almuerzos!U82="","",02_Almuerzos!U82)</f>
        <v/>
      </c>
      <c r="U174" s="55" t="n">
        <v>82</v>
      </c>
      <c r="V174" s="55" t="n">
        <f aca="false">IF(AND(OR(LEN(13_Buscador!$C$5)=0,ISNUMBER(SEARCH(13_Buscador!$C$5,$C174&amp;" "&amp;$D174&amp;" "&amp;$E174&amp;" "&amp;$F174&amp;" "&amp;$S174))),OR(13_Buscador!$C$6="Todas las listas",LEN(13_Buscador!$C$6)=0,13_Buscador!$C$6=$B174)),1,0)</f>
        <v>0</v>
      </c>
      <c r="W174" s="55" t="str">
        <f aca="false">IF(V174=1,SUM($V$2:V174),"")</f>
        <v/>
      </c>
    </row>
    <row r="175" customFormat="false" ht="15" hidden="false" customHeight="true" outlineLevel="0" collapsed="false">
      <c r="A175" s="55" t="n">
        <v>174</v>
      </c>
      <c r="B175" s="55" t="s">
        <v>3328</v>
      </c>
      <c r="C175" s="55" t="str">
        <f aca="false">IF(02_Almuerzos!B83="","",02_Almuerzos!B83)</f>
        <v>Sopas</v>
      </c>
      <c r="D175" s="56" t="str">
        <f aca="false">IF(02_Almuerzos!C83="","",02_Almuerzos!C83)</f>
        <v>Sopa de cebada</v>
      </c>
      <c r="E175" s="56" t="str">
        <f aca="false">IF(02_Almuerzos!D83="","",02_Almuerzos!D83)</f>
        <v>Cebada, verduras, carne</v>
      </c>
      <c r="F175" s="56" t="str">
        <f aca="false">IF(02_Almuerzos!E83="","",02_Almuerzos!E83)</f>
        <v>cebada, carne, papa, zanahoria, cebolla, sal</v>
      </c>
      <c r="G175" s="55" t="str">
        <f aca="false">IF(02_Almuerzos!F83="","",02_Almuerzos!F83)</f>
        <v>Plato hondo</v>
      </c>
      <c r="H175" s="55" t="str">
        <f aca="false">IF(02_Almuerzos!G83="","",02_Almuerzos!G83)</f>
        <v>Económico</v>
      </c>
      <c r="I175" s="58" t="n">
        <f aca="false">IF(02_Almuerzos!H83="","",02_Almuerzos!H83)</f>
        <v>7</v>
      </c>
      <c r="J175" s="58" t="n">
        <f aca="false">IF(02_Almuerzos!I83="","",02_Almuerzos!I83)</f>
        <v>12</v>
      </c>
      <c r="K175" s="58" t="n">
        <f aca="false">IF(02_Almuerzos!J83="","",02_Almuerzos!J83)</f>
        <v>9.5</v>
      </c>
      <c r="L175" s="58" t="n">
        <f aca="false">IF(02_Almuerzos!L83="","",02_Almuerzos!L83)</f>
        <v>10.5</v>
      </c>
      <c r="M175" s="58" t="n">
        <f aca="false">IF(02_Almuerzos!N83="","",02_Almuerzos!N83)</f>
        <v>0.67</v>
      </c>
      <c r="N175" s="58" t="n">
        <f aca="false">IF(02_Almuerzos!O83="","",02_Almuerzos!O83)</f>
        <v>8.83</v>
      </c>
      <c r="O175" s="55" t="str">
        <f aca="false">IF(02_Almuerzos!P83="","",02_Almuerzos!P83)</f>
        <v>12:00-14:30</v>
      </c>
      <c r="P175" s="55" t="n">
        <f aca="false">IF(02_Almuerzos!Q83="","",02_Almuerzos!Q83)</f>
        <v>10</v>
      </c>
      <c r="Q175" s="55" t="str">
        <f aca="false">IF(02_Almuerzos!R83="","",02_Almuerzos!R83)</f>
        <v>Medio</v>
      </c>
      <c r="R175" s="55" t="str">
        <f aca="false">IF(02_Almuerzos!S83="","",02_Almuerzos!S83)</f>
        <v>Todo el año</v>
      </c>
      <c r="S175" s="55" t="str">
        <f aca="false">IF(02_Almuerzos!T83="","",02_Almuerzos!T83)</f>
        <v>Menú</v>
      </c>
      <c r="T175" s="56" t="str">
        <f aca="false">IF(02_Almuerzos!U83="","",02_Almuerzos!U83)</f>
        <v/>
      </c>
      <c r="U175" s="55" t="n">
        <v>83</v>
      </c>
      <c r="V175" s="55" t="n">
        <f aca="false">IF(AND(OR(LEN(13_Buscador!$C$5)=0,ISNUMBER(SEARCH(13_Buscador!$C$5,$C175&amp;" "&amp;$D175&amp;" "&amp;$E175&amp;" "&amp;$F175&amp;" "&amp;$S175))),OR(13_Buscador!$C$6="Todas las listas",LEN(13_Buscador!$C$6)=0,13_Buscador!$C$6=$B175)),1,0)</f>
        <v>0</v>
      </c>
      <c r="W175" s="55" t="str">
        <f aca="false">IF(V175=1,SUM($V$2:V175),"")</f>
        <v/>
      </c>
    </row>
    <row r="176" customFormat="false" ht="15" hidden="false" customHeight="true" outlineLevel="0" collapsed="false">
      <c r="A176" s="55" t="n">
        <v>175</v>
      </c>
      <c r="B176" s="55" t="s">
        <v>3328</v>
      </c>
      <c r="C176" s="55" t="str">
        <f aca="false">IF(02_Almuerzos!B84="","",02_Almuerzos!B84)</f>
        <v>Sopas</v>
      </c>
      <c r="D176" s="56" t="str">
        <f aca="false">IF(02_Almuerzos!C84="","",02_Almuerzos!C84)</f>
        <v>Crema de espárragos</v>
      </c>
      <c r="E176" s="56" t="str">
        <f aca="false">IF(02_Almuerzos!D84="","",02_Almuerzos!D84)</f>
        <v>Crema</v>
      </c>
      <c r="F176" s="56" t="str">
        <f aca="false">IF(02_Almuerzos!E84="","",02_Almuerzos!E84)</f>
        <v>espárragos, leche, mantequilla, cebolla, sal</v>
      </c>
      <c r="G176" s="55" t="str">
        <f aca="false">IF(02_Almuerzos!F84="","",02_Almuerzos!F84)</f>
        <v>Plato hondo</v>
      </c>
      <c r="H176" s="55" t="str">
        <f aca="false">IF(02_Almuerzos!G84="","",02_Almuerzos!G84)</f>
        <v>Estándar</v>
      </c>
      <c r="I176" s="58" t="n">
        <f aca="false">IF(02_Almuerzos!H84="","",02_Almuerzos!H84)</f>
        <v>8</v>
      </c>
      <c r="J176" s="58" t="n">
        <f aca="false">IF(02_Almuerzos!I84="","",02_Almuerzos!I84)</f>
        <v>14</v>
      </c>
      <c r="K176" s="58" t="n">
        <f aca="false">IF(02_Almuerzos!J84="","",02_Almuerzos!J84)</f>
        <v>11</v>
      </c>
      <c r="L176" s="58" t="n">
        <f aca="false">IF(02_Almuerzos!L84="","",02_Almuerzos!L84)</f>
        <v>12</v>
      </c>
      <c r="M176" s="58" t="n">
        <f aca="false">IF(02_Almuerzos!N84="","",02_Almuerzos!N84)</f>
        <v>0.99</v>
      </c>
      <c r="N176" s="58" t="n">
        <f aca="false">IF(02_Almuerzos!O84="","",02_Almuerzos!O84)</f>
        <v>10.01</v>
      </c>
      <c r="O176" s="55" t="str">
        <f aca="false">IF(02_Almuerzos!P84="","",02_Almuerzos!P84)</f>
        <v>12:00-14:30</v>
      </c>
      <c r="P176" s="55" t="n">
        <f aca="false">IF(02_Almuerzos!Q84="","",02_Almuerzos!Q84)</f>
        <v>8</v>
      </c>
      <c r="Q176" s="55" t="str">
        <f aca="false">IF(02_Almuerzos!R84="","",02_Almuerzos!R84)</f>
        <v>Medio</v>
      </c>
      <c r="R176" s="55" t="str">
        <f aca="false">IF(02_Almuerzos!S84="","",02_Almuerzos!S84)</f>
        <v>Todo el año</v>
      </c>
      <c r="S176" s="55" t="str">
        <f aca="false">IF(02_Almuerzos!T84="","",02_Almuerzos!T84)</f>
        <v>Restaurante</v>
      </c>
      <c r="T176" s="56" t="str">
        <f aca="false">IF(02_Almuerzos!U84="","",02_Almuerzos!U84)</f>
        <v/>
      </c>
      <c r="U176" s="55" t="n">
        <v>84</v>
      </c>
      <c r="V176" s="55" t="n">
        <f aca="false">IF(AND(OR(LEN(13_Buscador!$C$5)=0,ISNUMBER(SEARCH(13_Buscador!$C$5,$C176&amp;" "&amp;$D176&amp;" "&amp;$E176&amp;" "&amp;$F176&amp;" "&amp;$S176))),OR(13_Buscador!$C$6="Todas las listas",LEN(13_Buscador!$C$6)=0,13_Buscador!$C$6=$B176)),1,0)</f>
        <v>0</v>
      </c>
      <c r="W176" s="55" t="str">
        <f aca="false">IF(V176=1,SUM($V$2:V176),"")</f>
        <v/>
      </c>
    </row>
    <row r="177" customFormat="false" ht="23.25" hidden="false" customHeight="true" outlineLevel="0" collapsed="false">
      <c r="A177" s="55" t="n">
        <v>176</v>
      </c>
      <c r="B177" s="55" t="s">
        <v>3328</v>
      </c>
      <c r="C177" s="55" t="str">
        <f aca="false">IF(02_Almuerzos!B85="","",02_Almuerzos!B85)</f>
        <v>Sopas</v>
      </c>
      <c r="D177" s="56" t="str">
        <f aca="false">IF(02_Almuerzos!C85="","",02_Almuerzos!C85)</f>
        <v>Parihuela</v>
      </c>
      <c r="E177" s="56" t="str">
        <f aca="false">IF(02_Almuerzos!D85="","",02_Almuerzos!D85)</f>
        <v>Caldo de mariscos</v>
      </c>
      <c r="F177" s="56" t="str">
        <f aca="false">IF(02_Almuerzos!E85="","",02_Almuerzos!E85)</f>
        <v>pescado, mariscos, ají panca, tomate, cebolla, chicha de jora, culantro</v>
      </c>
      <c r="G177" s="55" t="str">
        <f aca="false">IF(02_Almuerzos!F85="","",02_Almuerzos!F85)</f>
        <v>Plato hondo</v>
      </c>
      <c r="H177" s="55" t="str">
        <f aca="false">IF(02_Almuerzos!G85="","",02_Almuerzos!G85)</f>
        <v>Medio</v>
      </c>
      <c r="I177" s="58" t="n">
        <f aca="false">IF(02_Almuerzos!H85="","",02_Almuerzos!H85)</f>
        <v>18</v>
      </c>
      <c r="J177" s="58" t="n">
        <f aca="false">IF(02_Almuerzos!I85="","",02_Almuerzos!I85)</f>
        <v>32</v>
      </c>
      <c r="K177" s="58" t="n">
        <f aca="false">IF(02_Almuerzos!J85="","",02_Almuerzos!J85)</f>
        <v>25</v>
      </c>
      <c r="L177" s="58" t="n">
        <f aca="false">IF(02_Almuerzos!L85="","",02_Almuerzos!L85)</f>
        <v>26</v>
      </c>
      <c r="M177" s="58" t="n">
        <f aca="false">IF(02_Almuerzos!N85="","",02_Almuerzos!N85)</f>
        <v>2.75</v>
      </c>
      <c r="N177" s="58" t="n">
        <f aca="false">IF(02_Almuerzos!O85="","",02_Almuerzos!O85)</f>
        <v>22.25</v>
      </c>
      <c r="O177" s="55" t="str">
        <f aca="false">IF(02_Almuerzos!P85="","",02_Almuerzos!P85)</f>
        <v>12:00-16:00</v>
      </c>
      <c r="P177" s="55" t="n">
        <f aca="false">IF(02_Almuerzos!Q85="","",02_Almuerzos!Q85)</f>
        <v>18</v>
      </c>
      <c r="Q177" s="55" t="str">
        <f aca="false">IF(02_Almuerzos!R85="","",02_Almuerzos!R85)</f>
        <v>Medio</v>
      </c>
      <c r="R177" s="55" t="str">
        <f aca="false">IF(02_Almuerzos!S85="","",02_Almuerzos!S85)</f>
        <v>Todo el año</v>
      </c>
      <c r="S177" s="55" t="str">
        <f aca="false">IF(02_Almuerzos!T85="","",02_Almuerzos!T85)</f>
        <v>Cevichería</v>
      </c>
      <c r="T177" s="56" t="str">
        <f aca="false">IF(02_Almuerzos!U85="","",02_Almuerzos!U85)</f>
        <v>Se percibe reconstituyente</v>
      </c>
      <c r="U177" s="55" t="n">
        <v>85</v>
      </c>
      <c r="V177" s="55" t="n">
        <f aca="false">IF(AND(OR(LEN(13_Buscador!$C$5)=0,ISNUMBER(SEARCH(13_Buscador!$C$5,$C177&amp;" "&amp;$D177&amp;" "&amp;$E177&amp;" "&amp;$F177&amp;" "&amp;$S177))),OR(13_Buscador!$C$6="Todas las listas",LEN(13_Buscador!$C$6)=0,13_Buscador!$C$6=$B177)),1,0)</f>
        <v>0</v>
      </c>
      <c r="W177" s="55" t="str">
        <f aca="false">IF(V177=1,SUM($V$2:V177),"")</f>
        <v/>
      </c>
    </row>
    <row r="178" customFormat="false" ht="23.25" hidden="false" customHeight="true" outlineLevel="0" collapsed="false">
      <c r="A178" s="55" t="n">
        <v>177</v>
      </c>
      <c r="B178" s="55" t="s">
        <v>3328</v>
      </c>
      <c r="C178" s="55" t="str">
        <f aca="false">IF(02_Almuerzos!B86="","",02_Almuerzos!B86)</f>
        <v>Sopas</v>
      </c>
      <c r="D178" s="56" t="str">
        <f aca="false">IF(02_Almuerzos!C86="","",02_Almuerzos!C86)</f>
        <v>Chupe de camarones</v>
      </c>
      <c r="E178" s="56" t="str">
        <f aca="false">IF(02_Almuerzos!D86="","",02_Almuerzos!D86)</f>
        <v>Sopa cremosa con camarones</v>
      </c>
      <c r="F178" s="56" t="str">
        <f aca="false">IF(02_Almuerzos!E86="","",02_Almuerzos!E86)</f>
        <v>camarones, leche, huevo, papa, choclo, arroz, queso, ají panca</v>
      </c>
      <c r="G178" s="55" t="str">
        <f aca="false">IF(02_Almuerzos!F86="","",02_Almuerzos!F86)</f>
        <v>Plato hondo</v>
      </c>
      <c r="H178" s="55" t="str">
        <f aca="false">IF(02_Almuerzos!G86="","",02_Almuerzos!G86)</f>
        <v>Medio</v>
      </c>
      <c r="I178" s="58" t="n">
        <f aca="false">IF(02_Almuerzos!H86="","",02_Almuerzos!H86)</f>
        <v>20</v>
      </c>
      <c r="J178" s="58" t="n">
        <f aca="false">IF(02_Almuerzos!I86="","",02_Almuerzos!I86)</f>
        <v>35</v>
      </c>
      <c r="K178" s="58" t="n">
        <f aca="false">IF(02_Almuerzos!J86="","",02_Almuerzos!J86)</f>
        <v>27.5</v>
      </c>
      <c r="L178" s="58" t="n">
        <f aca="false">IF(02_Almuerzos!L86="","",02_Almuerzos!L86)</f>
        <v>28.5</v>
      </c>
      <c r="M178" s="58" t="n">
        <f aca="false">IF(02_Almuerzos!N86="","",02_Almuerzos!N86)</f>
        <v>3.03</v>
      </c>
      <c r="N178" s="58" t="n">
        <f aca="false">IF(02_Almuerzos!O86="","",02_Almuerzos!O86)</f>
        <v>24.47</v>
      </c>
      <c r="O178" s="55" t="str">
        <f aca="false">IF(02_Almuerzos!P86="","",02_Almuerzos!P86)</f>
        <v>12:00-16:00</v>
      </c>
      <c r="P178" s="55" t="n">
        <f aca="false">IF(02_Almuerzos!Q86="","",02_Almuerzos!Q86)</f>
        <v>20</v>
      </c>
      <c r="Q178" s="55" t="str">
        <f aca="false">IF(02_Almuerzos!R86="","",02_Almuerzos!R86)</f>
        <v>Medio</v>
      </c>
      <c r="R178" s="55" t="str">
        <f aca="false">IF(02_Almuerzos!S86="","",02_Almuerzos!S86)</f>
        <v>Todo el año</v>
      </c>
      <c r="S178" s="55" t="str">
        <f aca="false">IF(02_Almuerzos!T86="","",02_Almuerzos!T86)</f>
        <v>Restaurante</v>
      </c>
      <c r="T178" s="56" t="str">
        <f aca="false">IF(02_Almuerzos!U86="","",02_Almuerzos!U86)</f>
        <v/>
      </c>
      <c r="U178" s="55" t="n">
        <v>86</v>
      </c>
      <c r="V178" s="55" t="n">
        <f aca="false">IF(AND(OR(LEN(13_Buscador!$C$5)=0,ISNUMBER(SEARCH(13_Buscador!$C$5,$C178&amp;" "&amp;$D178&amp;" "&amp;$E178&amp;" "&amp;$F178&amp;" "&amp;$S178))),OR(13_Buscador!$C$6="Todas las listas",LEN(13_Buscador!$C$6)=0,13_Buscador!$C$6=$B178)),1,0)</f>
        <v>0</v>
      </c>
      <c r="W178" s="55" t="str">
        <f aca="false">IF(V178=1,SUM($V$2:V178),"")</f>
        <v/>
      </c>
    </row>
    <row r="179" customFormat="false" ht="23.25" hidden="false" customHeight="true" outlineLevel="0" collapsed="false">
      <c r="A179" s="55" t="n">
        <v>178</v>
      </c>
      <c r="B179" s="55" t="s">
        <v>3328</v>
      </c>
      <c r="C179" s="55" t="str">
        <f aca="false">IF(02_Almuerzos!B87="","",02_Almuerzos!B87)</f>
        <v>Segundos criollos</v>
      </c>
      <c r="D179" s="56" t="str">
        <f aca="false">IF(02_Almuerzos!C87="","",02_Almuerzos!C87)</f>
        <v>Pollo a la plancha</v>
      </c>
      <c r="E179" s="56" t="str">
        <f aca="false">IF(02_Almuerzos!D87="","",02_Almuerzos!D87)</f>
        <v>Pechuga, arroz, ensalada</v>
      </c>
      <c r="F179" s="56" t="str">
        <f aca="false">IF(02_Almuerzos!E87="","",02_Almuerzos!E87)</f>
        <v>pollo, ajo, sal, aceite, salsa correspondiente, guarnición</v>
      </c>
      <c r="G179" s="55" t="str">
        <f aca="false">IF(02_Almuerzos!F87="","",02_Almuerzos!F87)</f>
        <v>Plato</v>
      </c>
      <c r="H179" s="55" t="str">
        <f aca="false">IF(02_Almuerzos!G87="","",02_Almuerzos!G87)</f>
        <v>Estándar</v>
      </c>
      <c r="I179" s="58" t="n">
        <f aca="false">IF(02_Almuerzos!H87="","",02_Almuerzos!H87)</f>
        <v>10</v>
      </c>
      <c r="J179" s="58" t="n">
        <f aca="false">IF(02_Almuerzos!I87="","",02_Almuerzos!I87)</f>
        <v>17</v>
      </c>
      <c r="K179" s="58" t="n">
        <f aca="false">IF(02_Almuerzos!J87="","",02_Almuerzos!J87)</f>
        <v>13.5</v>
      </c>
      <c r="L179" s="58" t="n">
        <f aca="false">IF(02_Almuerzos!L87="","",02_Almuerzos!L87)</f>
        <v>14.5</v>
      </c>
      <c r="M179" s="58" t="n">
        <f aca="false">IF(02_Almuerzos!N87="","",02_Almuerzos!N87)</f>
        <v>1.22</v>
      </c>
      <c r="N179" s="58" t="n">
        <f aca="false">IF(02_Almuerzos!O87="","",02_Almuerzos!O87)</f>
        <v>12.28</v>
      </c>
      <c r="O179" s="55" t="str">
        <f aca="false">IF(02_Almuerzos!P87="","",02_Almuerzos!P87)</f>
        <v>12:00-15:00</v>
      </c>
      <c r="P179" s="55" t="n">
        <f aca="false">IF(02_Almuerzos!Q87="","",02_Almuerzos!Q87)</f>
        <v>10</v>
      </c>
      <c r="Q179" s="55" t="str">
        <f aca="false">IF(02_Almuerzos!R87="","",02_Almuerzos!R87)</f>
        <v>Alto</v>
      </c>
      <c r="R179" s="55" t="str">
        <f aca="false">IF(02_Almuerzos!S87="","",02_Almuerzos!S87)</f>
        <v>Todo el año</v>
      </c>
      <c r="S179" s="55" t="str">
        <f aca="false">IF(02_Almuerzos!T87="","",02_Almuerzos!T87)</f>
        <v>Menú, saludable</v>
      </c>
      <c r="T179" s="56" t="str">
        <f aca="false">IF(02_Almuerzos!U87="","",02_Almuerzos!U87)</f>
        <v/>
      </c>
      <c r="U179" s="55" t="n">
        <v>87</v>
      </c>
      <c r="V179" s="55" t="n">
        <f aca="false">IF(AND(OR(LEN(13_Buscador!$C$5)=0,ISNUMBER(SEARCH(13_Buscador!$C$5,$C179&amp;" "&amp;$D179&amp;" "&amp;$E179&amp;" "&amp;$F179&amp;" "&amp;$S179))),OR(13_Buscador!$C$6="Todas las listas",LEN(13_Buscador!$C$6)=0,13_Buscador!$C$6=$B179)),1,0)</f>
        <v>1</v>
      </c>
      <c r="W179" s="55" t="n">
        <f aca="false">IF(V179=1,SUM($V$2:V179),"")</f>
        <v>27</v>
      </c>
    </row>
    <row r="180" customFormat="false" ht="15" hidden="false" customHeight="true" outlineLevel="0" collapsed="false">
      <c r="A180" s="55" t="n">
        <v>179</v>
      </c>
      <c r="B180" s="55" t="s">
        <v>3328</v>
      </c>
      <c r="C180" s="55" t="str">
        <f aca="false">IF(02_Almuerzos!B88="","",02_Almuerzos!B88)</f>
        <v>Segundos criollos</v>
      </c>
      <c r="D180" s="56" t="str">
        <f aca="false">IF(02_Almuerzos!C88="","",02_Almuerzos!C88)</f>
        <v>Pescado frito con arroz</v>
      </c>
      <c r="E180" s="56" t="str">
        <f aca="false">IF(02_Almuerzos!D88="","",02_Almuerzos!D88)</f>
        <v>Filete frito</v>
      </c>
      <c r="F180" s="56" t="str">
        <f aca="false">IF(02_Almuerzos!E88="","",02_Almuerzos!E88)</f>
        <v>pescado, harina, limón, sal, aceite, arroz</v>
      </c>
      <c r="G180" s="55" t="str">
        <f aca="false">IF(02_Almuerzos!F88="","",02_Almuerzos!F88)</f>
        <v>Plato</v>
      </c>
      <c r="H180" s="55" t="str">
        <f aca="false">IF(02_Almuerzos!G88="","",02_Almuerzos!G88)</f>
        <v>Estándar</v>
      </c>
      <c r="I180" s="58" t="n">
        <f aca="false">IF(02_Almuerzos!H88="","",02_Almuerzos!H88)</f>
        <v>10</v>
      </c>
      <c r="J180" s="58" t="n">
        <f aca="false">IF(02_Almuerzos!I88="","",02_Almuerzos!I88)</f>
        <v>18</v>
      </c>
      <c r="K180" s="58" t="n">
        <f aca="false">IF(02_Almuerzos!J88="","",02_Almuerzos!J88)</f>
        <v>14</v>
      </c>
      <c r="L180" s="58" t="n">
        <f aca="false">IF(02_Almuerzos!L88="","",02_Almuerzos!L88)</f>
        <v>15</v>
      </c>
      <c r="M180" s="58" t="n">
        <f aca="false">IF(02_Almuerzos!N88="","",02_Almuerzos!N88)</f>
        <v>1.26</v>
      </c>
      <c r="N180" s="58" t="n">
        <f aca="false">IF(02_Almuerzos!O88="","",02_Almuerzos!O88)</f>
        <v>12.74</v>
      </c>
      <c r="O180" s="55" t="str">
        <f aca="false">IF(02_Almuerzos!P88="","",02_Almuerzos!P88)</f>
        <v>12:00-15:00</v>
      </c>
      <c r="P180" s="55" t="n">
        <f aca="false">IF(02_Almuerzos!Q88="","",02_Almuerzos!Q88)</f>
        <v>12</v>
      </c>
      <c r="Q180" s="55" t="str">
        <f aca="false">IF(02_Almuerzos!R88="","",02_Almuerzos!R88)</f>
        <v>Alto</v>
      </c>
      <c r="R180" s="55" t="str">
        <f aca="false">IF(02_Almuerzos!S88="","",02_Almuerzos!S88)</f>
        <v>Todo el año</v>
      </c>
      <c r="S180" s="55" t="str">
        <f aca="false">IF(02_Almuerzos!T88="","",02_Almuerzos!T88)</f>
        <v>Menú</v>
      </c>
      <c r="T180" s="56" t="str">
        <f aca="false">IF(02_Almuerzos!U88="","",02_Almuerzos!U88)</f>
        <v/>
      </c>
      <c r="U180" s="55" t="n">
        <v>88</v>
      </c>
      <c r="V180" s="55" t="n">
        <f aca="false">IF(AND(OR(LEN(13_Buscador!$C$5)=0,ISNUMBER(SEARCH(13_Buscador!$C$5,$C180&amp;" "&amp;$D180&amp;" "&amp;$E180&amp;" "&amp;$F180&amp;" "&amp;$S180))),OR(13_Buscador!$C$6="Todas las listas",LEN(13_Buscador!$C$6)=0,13_Buscador!$C$6=$B180)),1,0)</f>
        <v>0</v>
      </c>
      <c r="W180" s="55" t="str">
        <f aca="false">IF(V180=1,SUM($V$2:V180),"")</f>
        <v/>
      </c>
    </row>
    <row r="181" customFormat="false" ht="23.25" hidden="false" customHeight="true" outlineLevel="0" collapsed="false">
      <c r="A181" s="55" t="n">
        <v>180</v>
      </c>
      <c r="B181" s="55" t="s">
        <v>3328</v>
      </c>
      <c r="C181" s="55" t="str">
        <f aca="false">IF(02_Almuerzos!B89="","",02_Almuerzos!B89)</f>
        <v>Segundos criollos</v>
      </c>
      <c r="D181" s="56" t="str">
        <f aca="false">IF(02_Almuerzos!C89="","",02_Almuerzos!C89)</f>
        <v>Cau cau</v>
      </c>
      <c r="E181" s="56" t="str">
        <f aca="false">IF(02_Almuerzos!D89="","",02_Almuerzos!D89)</f>
        <v>Mondongo con papa amarilla</v>
      </c>
      <c r="F181" s="56" t="str">
        <f aca="false">IF(02_Almuerzos!E89="","",02_Almuerzos!E89)</f>
        <v>mondongo, papa amarilla, ají amarillo, palillo, hierbabuena, arroz</v>
      </c>
      <c r="G181" s="55" t="str">
        <f aca="false">IF(02_Almuerzos!F89="","",02_Almuerzos!F89)</f>
        <v>Plato</v>
      </c>
      <c r="H181" s="55" t="str">
        <f aca="false">IF(02_Almuerzos!G89="","",02_Almuerzos!G89)</f>
        <v>Económico</v>
      </c>
      <c r="I181" s="58" t="n">
        <f aca="false">IF(02_Almuerzos!H89="","",02_Almuerzos!H89)</f>
        <v>9</v>
      </c>
      <c r="J181" s="58" t="n">
        <f aca="false">IF(02_Almuerzos!I89="","",02_Almuerzos!I89)</f>
        <v>15</v>
      </c>
      <c r="K181" s="58" t="n">
        <f aca="false">IF(02_Almuerzos!J89="","",02_Almuerzos!J89)</f>
        <v>12</v>
      </c>
      <c r="L181" s="58" t="n">
        <f aca="false">IF(02_Almuerzos!L89="","",02_Almuerzos!L89)</f>
        <v>13</v>
      </c>
      <c r="M181" s="58" t="n">
        <f aca="false">IF(02_Almuerzos!N89="","",02_Almuerzos!N89)</f>
        <v>0.84</v>
      </c>
      <c r="N181" s="58" t="n">
        <f aca="false">IF(02_Almuerzos!O89="","",02_Almuerzos!O89)</f>
        <v>11.16</v>
      </c>
      <c r="O181" s="55" t="str">
        <f aca="false">IF(02_Almuerzos!P89="","",02_Almuerzos!P89)</f>
        <v>12:00-15:00</v>
      </c>
      <c r="P181" s="55" t="n">
        <f aca="false">IF(02_Almuerzos!Q89="","",02_Almuerzos!Q89)</f>
        <v>10</v>
      </c>
      <c r="Q181" s="55" t="str">
        <f aca="false">IF(02_Almuerzos!R89="","",02_Almuerzos!R89)</f>
        <v>Alto</v>
      </c>
      <c r="R181" s="55" t="str">
        <f aca="false">IF(02_Almuerzos!S89="","",02_Almuerzos!S89)</f>
        <v>Todo el año</v>
      </c>
      <c r="S181" s="55" t="str">
        <f aca="false">IF(02_Almuerzos!T89="","",02_Almuerzos!T89)</f>
        <v>Menú</v>
      </c>
      <c r="T181" s="56" t="str">
        <f aca="false">IF(02_Almuerzos!U89="","",02_Almuerzos!U89)</f>
        <v/>
      </c>
      <c r="U181" s="55" t="n">
        <v>89</v>
      </c>
      <c r="V181" s="55" t="n">
        <f aca="false">IF(AND(OR(LEN(13_Buscador!$C$5)=0,ISNUMBER(SEARCH(13_Buscador!$C$5,$C181&amp;" "&amp;$D181&amp;" "&amp;$E181&amp;" "&amp;$F181&amp;" "&amp;$S181))),OR(13_Buscador!$C$6="Todas las listas",LEN(13_Buscador!$C$6)=0,13_Buscador!$C$6=$B181)),1,0)</f>
        <v>0</v>
      </c>
      <c r="W181" s="55" t="str">
        <f aca="false">IF(V181=1,SUM($V$2:V181),"")</f>
        <v/>
      </c>
    </row>
    <row r="182" customFormat="false" ht="23.25" hidden="false" customHeight="true" outlineLevel="0" collapsed="false">
      <c r="A182" s="55" t="n">
        <v>181</v>
      </c>
      <c r="B182" s="55" t="s">
        <v>3328</v>
      </c>
      <c r="C182" s="55" t="str">
        <f aca="false">IF(02_Almuerzos!B90="","",02_Almuerzos!B90)</f>
        <v>Segundos criollos</v>
      </c>
      <c r="D182" s="56" t="str">
        <f aca="false">IF(02_Almuerzos!C90="","",02_Almuerzos!C90)</f>
        <v>Arroz tapado</v>
      </c>
      <c r="E182" s="56" t="str">
        <f aca="false">IF(02_Almuerzos!D90="","",02_Almuerzos!D90)</f>
        <v>Arroz con relleno de carne</v>
      </c>
      <c r="F182" s="56" t="str">
        <f aca="false">IF(02_Almuerzos!E90="","",02_Almuerzos!E90)</f>
        <v>arroz, carne molida, cebolla, tomate, aceituna, huevo, pasas</v>
      </c>
      <c r="G182" s="55" t="str">
        <f aca="false">IF(02_Almuerzos!F90="","",02_Almuerzos!F90)</f>
        <v>Plato</v>
      </c>
      <c r="H182" s="55" t="str">
        <f aca="false">IF(02_Almuerzos!G90="","",02_Almuerzos!G90)</f>
        <v>Económico</v>
      </c>
      <c r="I182" s="58" t="n">
        <f aca="false">IF(02_Almuerzos!H90="","",02_Almuerzos!H90)</f>
        <v>9</v>
      </c>
      <c r="J182" s="58" t="n">
        <f aca="false">IF(02_Almuerzos!I90="","",02_Almuerzos!I90)</f>
        <v>15</v>
      </c>
      <c r="K182" s="58" t="n">
        <f aca="false">IF(02_Almuerzos!J90="","",02_Almuerzos!J90)</f>
        <v>12</v>
      </c>
      <c r="L182" s="58" t="n">
        <f aca="false">IF(02_Almuerzos!L90="","",02_Almuerzos!L90)</f>
        <v>13</v>
      </c>
      <c r="M182" s="58" t="n">
        <f aca="false">IF(02_Almuerzos!N90="","",02_Almuerzos!N90)</f>
        <v>0.84</v>
      </c>
      <c r="N182" s="58" t="n">
        <f aca="false">IF(02_Almuerzos!O90="","",02_Almuerzos!O90)</f>
        <v>11.16</v>
      </c>
      <c r="O182" s="55" t="str">
        <f aca="false">IF(02_Almuerzos!P90="","",02_Almuerzos!P90)</f>
        <v>12:00-15:00</v>
      </c>
      <c r="P182" s="55" t="n">
        <f aca="false">IF(02_Almuerzos!Q90="","",02_Almuerzos!Q90)</f>
        <v>10</v>
      </c>
      <c r="Q182" s="55" t="str">
        <f aca="false">IF(02_Almuerzos!R90="","",02_Almuerzos!R90)</f>
        <v>Alto</v>
      </c>
      <c r="R182" s="55" t="str">
        <f aca="false">IF(02_Almuerzos!S90="","",02_Almuerzos!S90)</f>
        <v>Todo el año</v>
      </c>
      <c r="S182" s="55" t="str">
        <f aca="false">IF(02_Almuerzos!T90="","",02_Almuerzos!T90)</f>
        <v>Menú</v>
      </c>
      <c r="T182" s="56" t="str">
        <f aca="false">IF(02_Almuerzos!U90="","",02_Almuerzos!U90)</f>
        <v/>
      </c>
      <c r="U182" s="55" t="n">
        <v>90</v>
      </c>
      <c r="V182" s="55" t="n">
        <f aca="false">IF(AND(OR(LEN(13_Buscador!$C$5)=0,ISNUMBER(SEARCH(13_Buscador!$C$5,$C182&amp;" "&amp;$D182&amp;" "&amp;$E182&amp;" "&amp;$F182&amp;" "&amp;$S182))),OR(13_Buscador!$C$6="Todas las listas",LEN(13_Buscador!$C$6)=0,13_Buscador!$C$6=$B182)),1,0)</f>
        <v>0</v>
      </c>
      <c r="W182" s="55" t="str">
        <f aca="false">IF(V182=1,SUM($V$2:V182),"")</f>
        <v/>
      </c>
    </row>
    <row r="183" customFormat="false" ht="15" hidden="false" customHeight="true" outlineLevel="0" collapsed="false">
      <c r="A183" s="55" t="n">
        <v>182</v>
      </c>
      <c r="B183" s="55" t="s">
        <v>3328</v>
      </c>
      <c r="C183" s="55" t="str">
        <f aca="false">IF(02_Almuerzos!B91="","",02_Almuerzos!B91)</f>
        <v>Segundos criollos</v>
      </c>
      <c r="D183" s="56" t="str">
        <f aca="false">IF(02_Almuerzos!C91="","",02_Almuerzos!C91)</f>
        <v>Pepián de pollo</v>
      </c>
      <c r="E183" s="56" t="str">
        <f aca="false">IF(02_Almuerzos!D91="","",02_Almuerzos!D91)</f>
        <v>Guiso espeso con maíz</v>
      </c>
      <c r="F183" s="56" t="str">
        <f aca="false">IF(02_Almuerzos!E91="","",02_Almuerzos!E91)</f>
        <v>pollo, maíz molido, ají amarillo, ajo, comino, arroz</v>
      </c>
      <c r="G183" s="55" t="str">
        <f aca="false">IF(02_Almuerzos!F91="","",02_Almuerzos!F91)</f>
        <v>Plato</v>
      </c>
      <c r="H183" s="55" t="str">
        <f aca="false">IF(02_Almuerzos!G91="","",02_Almuerzos!G91)</f>
        <v>Económico</v>
      </c>
      <c r="I183" s="58" t="n">
        <f aca="false">IF(02_Almuerzos!H91="","",02_Almuerzos!H91)</f>
        <v>9</v>
      </c>
      <c r="J183" s="58" t="n">
        <f aca="false">IF(02_Almuerzos!I91="","",02_Almuerzos!I91)</f>
        <v>15</v>
      </c>
      <c r="K183" s="58" t="n">
        <f aca="false">IF(02_Almuerzos!J91="","",02_Almuerzos!J91)</f>
        <v>12</v>
      </c>
      <c r="L183" s="58" t="n">
        <f aca="false">IF(02_Almuerzos!L91="","",02_Almuerzos!L91)</f>
        <v>13</v>
      </c>
      <c r="M183" s="58" t="n">
        <f aca="false">IF(02_Almuerzos!N91="","",02_Almuerzos!N91)</f>
        <v>0.84</v>
      </c>
      <c r="N183" s="58" t="n">
        <f aca="false">IF(02_Almuerzos!O91="","",02_Almuerzos!O91)</f>
        <v>11.16</v>
      </c>
      <c r="O183" s="55" t="str">
        <f aca="false">IF(02_Almuerzos!P91="","",02_Almuerzos!P91)</f>
        <v>12:00-15:00</v>
      </c>
      <c r="P183" s="55" t="n">
        <f aca="false">IF(02_Almuerzos!Q91="","",02_Almuerzos!Q91)</f>
        <v>10</v>
      </c>
      <c r="Q183" s="55" t="str">
        <f aca="false">IF(02_Almuerzos!R91="","",02_Almuerzos!R91)</f>
        <v>Alto</v>
      </c>
      <c r="R183" s="55" t="str">
        <f aca="false">IF(02_Almuerzos!S91="","",02_Almuerzos!S91)</f>
        <v>Todo el año</v>
      </c>
      <c r="S183" s="55" t="str">
        <f aca="false">IF(02_Almuerzos!T91="","",02_Almuerzos!T91)</f>
        <v>Menú</v>
      </c>
      <c r="T183" s="56" t="str">
        <f aca="false">IF(02_Almuerzos!U91="","",02_Almuerzos!U91)</f>
        <v/>
      </c>
      <c r="U183" s="55" t="n">
        <v>91</v>
      </c>
      <c r="V183" s="55" t="n">
        <f aca="false">IF(AND(OR(LEN(13_Buscador!$C$5)=0,ISNUMBER(SEARCH(13_Buscador!$C$5,$C183&amp;" "&amp;$D183&amp;" "&amp;$E183&amp;" "&amp;$F183&amp;" "&amp;$S183))),OR(13_Buscador!$C$6="Todas las listas",LEN(13_Buscador!$C$6)=0,13_Buscador!$C$6=$B183)),1,0)</f>
        <v>1</v>
      </c>
      <c r="W183" s="55" t="n">
        <f aca="false">IF(V183=1,SUM($V$2:V183),"")</f>
        <v>28</v>
      </c>
    </row>
    <row r="184" customFormat="false" ht="23.25" hidden="false" customHeight="true" outlineLevel="0" collapsed="false">
      <c r="A184" s="55" t="n">
        <v>183</v>
      </c>
      <c r="B184" s="55" t="s">
        <v>3328</v>
      </c>
      <c r="C184" s="55" t="str">
        <f aca="false">IF(02_Almuerzos!B92="","",02_Almuerzos!B92)</f>
        <v>Segundos criollos</v>
      </c>
      <c r="D184" s="56" t="str">
        <f aca="false">IF(02_Almuerzos!C92="","",02_Almuerzos!C92)</f>
        <v>Rocoto relleno</v>
      </c>
      <c r="E184" s="56" t="str">
        <f aca="false">IF(02_Almuerzos!D92="","",02_Almuerzos!D92)</f>
        <v>Rocoto con carne y queso</v>
      </c>
      <c r="F184" s="56" t="str">
        <f aca="false">IF(02_Almuerzos!E92="","",02_Almuerzos!E92)</f>
        <v>rocoto, carne molida, queso, huevo, aceituna, leche, papa</v>
      </c>
      <c r="G184" s="55" t="str">
        <f aca="false">IF(02_Almuerzos!F92="","",02_Almuerzos!F92)</f>
        <v>Plato</v>
      </c>
      <c r="H184" s="55" t="str">
        <f aca="false">IF(02_Almuerzos!G92="","",02_Almuerzos!G92)</f>
        <v>Estándar</v>
      </c>
      <c r="I184" s="58" t="n">
        <f aca="false">IF(02_Almuerzos!H92="","",02_Almuerzos!H92)</f>
        <v>12</v>
      </c>
      <c r="J184" s="58" t="n">
        <f aca="false">IF(02_Almuerzos!I92="","",02_Almuerzos!I92)</f>
        <v>22</v>
      </c>
      <c r="K184" s="58" t="n">
        <f aca="false">IF(02_Almuerzos!J92="","",02_Almuerzos!J92)</f>
        <v>17</v>
      </c>
      <c r="L184" s="58" t="n">
        <f aca="false">IF(02_Almuerzos!L92="","",02_Almuerzos!L92)</f>
        <v>18</v>
      </c>
      <c r="M184" s="58" t="n">
        <f aca="false">IF(02_Almuerzos!N92="","",02_Almuerzos!N92)</f>
        <v>1.53</v>
      </c>
      <c r="N184" s="58" t="n">
        <f aca="false">IF(02_Almuerzos!O92="","",02_Almuerzos!O92)</f>
        <v>15.47</v>
      </c>
      <c r="O184" s="55" t="str">
        <f aca="false">IF(02_Almuerzos!P92="","",02_Almuerzos!P92)</f>
        <v>12:00-15:00</v>
      </c>
      <c r="P184" s="55" t="n">
        <f aca="false">IF(02_Almuerzos!Q92="","",02_Almuerzos!Q92)</f>
        <v>15</v>
      </c>
      <c r="Q184" s="55" t="str">
        <f aca="false">IF(02_Almuerzos!R92="","",02_Almuerzos!R92)</f>
        <v>Alto</v>
      </c>
      <c r="R184" s="55" t="str">
        <f aca="false">IF(02_Almuerzos!S92="","",02_Almuerzos!S92)</f>
        <v>Todo el año</v>
      </c>
      <c r="S184" s="55" t="str">
        <f aca="false">IF(02_Almuerzos!T92="","",02_Almuerzos!T92)</f>
        <v>Restaurante</v>
      </c>
      <c r="T184" s="56" t="str">
        <f aca="false">IF(02_Almuerzos!U92="","",02_Almuerzos!U92)</f>
        <v>Influencia arequipeña, buena aceptación</v>
      </c>
      <c r="U184" s="55" t="n">
        <v>92</v>
      </c>
      <c r="V184" s="55" t="n">
        <f aca="false">IF(AND(OR(LEN(13_Buscador!$C$5)=0,ISNUMBER(SEARCH(13_Buscador!$C$5,$C184&amp;" "&amp;$D184&amp;" "&amp;$E184&amp;" "&amp;$F184&amp;" "&amp;$S184))),OR(13_Buscador!$C$6="Todas las listas",LEN(13_Buscador!$C$6)=0,13_Buscador!$C$6=$B184)),1,0)</f>
        <v>0</v>
      </c>
      <c r="W184" s="55" t="str">
        <f aca="false">IF(V184=1,SUM($V$2:V184),"")</f>
        <v/>
      </c>
    </row>
    <row r="185" customFormat="false" ht="15" hidden="false" customHeight="true" outlineLevel="0" collapsed="false">
      <c r="A185" s="55" t="n">
        <v>184</v>
      </c>
      <c r="B185" s="55" t="s">
        <v>3328</v>
      </c>
      <c r="C185" s="55" t="str">
        <f aca="false">IF(02_Almuerzos!B93="","",02_Almuerzos!B93)</f>
        <v>Segundos criollos</v>
      </c>
      <c r="D185" s="56" t="str">
        <f aca="false">IF(02_Almuerzos!C93="","",02_Almuerzos!C93)</f>
        <v>Chanfainita</v>
      </c>
      <c r="E185" s="56" t="str">
        <f aca="false">IF(02_Almuerzos!D93="","",02_Almuerzos!D93)</f>
        <v>Bofe guisado con papa</v>
      </c>
      <c r="F185" s="56" t="str">
        <f aca="false">IF(02_Almuerzos!E93="","",02_Almuerzos!E93)</f>
        <v>bofe de res, papa, ají panca, hierbabuena, arroz</v>
      </c>
      <c r="G185" s="55" t="str">
        <f aca="false">IF(02_Almuerzos!F93="","",02_Almuerzos!F93)</f>
        <v>Plato</v>
      </c>
      <c r="H185" s="55" t="str">
        <f aca="false">IF(02_Almuerzos!G93="","",02_Almuerzos!G93)</f>
        <v>Económico</v>
      </c>
      <c r="I185" s="58" t="n">
        <f aca="false">IF(02_Almuerzos!H93="","",02_Almuerzos!H93)</f>
        <v>7</v>
      </c>
      <c r="J185" s="58" t="n">
        <f aca="false">IF(02_Almuerzos!I93="","",02_Almuerzos!I93)</f>
        <v>12</v>
      </c>
      <c r="K185" s="58" t="n">
        <f aca="false">IF(02_Almuerzos!J93="","",02_Almuerzos!J93)</f>
        <v>9.5</v>
      </c>
      <c r="L185" s="58" t="n">
        <f aca="false">IF(02_Almuerzos!L93="","",02_Almuerzos!L93)</f>
        <v>10.5</v>
      </c>
      <c r="M185" s="58" t="n">
        <f aca="false">IF(02_Almuerzos!N93="","",02_Almuerzos!N93)</f>
        <v>0.67</v>
      </c>
      <c r="N185" s="58" t="n">
        <f aca="false">IF(02_Almuerzos!O93="","",02_Almuerzos!O93)</f>
        <v>8.83</v>
      </c>
      <c r="O185" s="55" t="str">
        <f aca="false">IF(02_Almuerzos!P93="","",02_Almuerzos!P93)</f>
        <v>12:00-15:00</v>
      </c>
      <c r="P185" s="55" t="n">
        <f aca="false">IF(02_Almuerzos!Q93="","",02_Almuerzos!Q93)</f>
        <v>8</v>
      </c>
      <c r="Q185" s="55" t="str">
        <f aca="false">IF(02_Almuerzos!R93="","",02_Almuerzos!R93)</f>
        <v>Alto</v>
      </c>
      <c r="R185" s="55" t="str">
        <f aca="false">IF(02_Almuerzos!S93="","",02_Almuerzos!S93)</f>
        <v>Todo el año</v>
      </c>
      <c r="S185" s="55" t="str">
        <f aca="false">IF(02_Almuerzos!T93="","",02_Almuerzos!T93)</f>
        <v>Menú popular</v>
      </c>
      <c r="T185" s="56" t="str">
        <f aca="false">IF(02_Almuerzos!U93="","",02_Almuerzos!U93)</f>
        <v/>
      </c>
      <c r="U185" s="55" t="n">
        <v>93</v>
      </c>
      <c r="V185" s="55" t="n">
        <f aca="false">IF(AND(OR(LEN(13_Buscador!$C$5)=0,ISNUMBER(SEARCH(13_Buscador!$C$5,$C185&amp;" "&amp;$D185&amp;" "&amp;$E185&amp;" "&amp;$F185&amp;" "&amp;$S185))),OR(13_Buscador!$C$6="Todas las listas",LEN(13_Buscador!$C$6)=0,13_Buscador!$C$6=$B185)),1,0)</f>
        <v>0</v>
      </c>
      <c r="W185" s="55" t="str">
        <f aca="false">IF(V185=1,SUM($V$2:V185),"")</f>
        <v/>
      </c>
    </row>
    <row r="186" customFormat="false" ht="23.25" hidden="false" customHeight="true" outlineLevel="0" collapsed="false">
      <c r="A186" s="55" t="n">
        <v>185</v>
      </c>
      <c r="B186" s="55" t="s">
        <v>3328</v>
      </c>
      <c r="C186" s="55" t="str">
        <f aca="false">IF(02_Almuerzos!B94="","",02_Almuerzos!B94)</f>
        <v>Segundos criollos</v>
      </c>
      <c r="D186" s="56" t="str">
        <f aca="false">IF(02_Almuerzos!C94="","",02_Almuerzos!C94)</f>
        <v>Tallarín con pollo al horno</v>
      </c>
      <c r="E186" s="56" t="str">
        <f aca="false">IF(02_Almuerzos!D94="","",02_Almuerzos!D94)</f>
        <v>Pasta con presa horneada</v>
      </c>
      <c r="F186" s="56" t="str">
        <f aca="false">IF(02_Almuerzos!E94="","",02_Almuerzos!E94)</f>
        <v>pollo, ajo, sal, aceite, salsa correspondiente, guarnición</v>
      </c>
      <c r="G186" s="55" t="str">
        <f aca="false">IF(02_Almuerzos!F94="","",02_Almuerzos!F94)</f>
        <v>Plato</v>
      </c>
      <c r="H186" s="55" t="str">
        <f aca="false">IF(02_Almuerzos!G94="","",02_Almuerzos!G94)</f>
        <v>Estándar</v>
      </c>
      <c r="I186" s="58" t="n">
        <f aca="false">IF(02_Almuerzos!H94="","",02_Almuerzos!H94)</f>
        <v>11</v>
      </c>
      <c r="J186" s="58" t="n">
        <f aca="false">IF(02_Almuerzos!I94="","",02_Almuerzos!I94)</f>
        <v>18</v>
      </c>
      <c r="K186" s="58" t="n">
        <f aca="false">IF(02_Almuerzos!J94="","",02_Almuerzos!J94)</f>
        <v>14.5</v>
      </c>
      <c r="L186" s="58" t="n">
        <f aca="false">IF(02_Almuerzos!L94="","",02_Almuerzos!L94)</f>
        <v>15.5</v>
      </c>
      <c r="M186" s="58" t="n">
        <f aca="false">IF(02_Almuerzos!N94="","",02_Almuerzos!N94)</f>
        <v>1.31</v>
      </c>
      <c r="N186" s="58" t="n">
        <f aca="false">IF(02_Almuerzos!O94="","",02_Almuerzos!O94)</f>
        <v>13.19</v>
      </c>
      <c r="O186" s="55" t="str">
        <f aca="false">IF(02_Almuerzos!P94="","",02_Almuerzos!P94)</f>
        <v>12:00-15:00</v>
      </c>
      <c r="P186" s="55" t="n">
        <f aca="false">IF(02_Almuerzos!Q94="","",02_Almuerzos!Q94)</f>
        <v>10</v>
      </c>
      <c r="Q186" s="55" t="str">
        <f aca="false">IF(02_Almuerzos!R94="","",02_Almuerzos!R94)</f>
        <v>Alto</v>
      </c>
      <c r="R186" s="55" t="str">
        <f aca="false">IF(02_Almuerzos!S94="","",02_Almuerzos!S94)</f>
        <v>Todo el año</v>
      </c>
      <c r="S186" s="55" t="str">
        <f aca="false">IF(02_Almuerzos!T94="","",02_Almuerzos!T94)</f>
        <v>Menú</v>
      </c>
      <c r="T186" s="56" t="str">
        <f aca="false">IF(02_Almuerzos!U94="","",02_Almuerzos!U94)</f>
        <v/>
      </c>
      <c r="U186" s="55" t="n">
        <v>94</v>
      </c>
      <c r="V186" s="55" t="n">
        <f aca="false">IF(AND(OR(LEN(13_Buscador!$C$5)=0,ISNUMBER(SEARCH(13_Buscador!$C$5,$C186&amp;" "&amp;$D186&amp;" "&amp;$E186&amp;" "&amp;$F186&amp;" "&amp;$S186))),OR(13_Buscador!$C$6="Todas las listas",LEN(13_Buscador!$C$6)=0,13_Buscador!$C$6=$B186)),1,0)</f>
        <v>1</v>
      </c>
      <c r="W186" s="55" t="n">
        <f aca="false">IF(V186=1,SUM($V$2:V186),"")</f>
        <v>29</v>
      </c>
    </row>
    <row r="187" customFormat="false" ht="23.25" hidden="false" customHeight="true" outlineLevel="0" collapsed="false">
      <c r="A187" s="55" t="n">
        <v>186</v>
      </c>
      <c r="B187" s="55" t="s">
        <v>3328</v>
      </c>
      <c r="C187" s="55" t="str">
        <f aca="false">IF(02_Almuerzos!B95="","",02_Almuerzos!B95)</f>
        <v>Segundos criollos</v>
      </c>
      <c r="D187" s="56" t="str">
        <f aca="false">IF(02_Almuerzos!C95="","",02_Almuerzos!C95)</f>
        <v>Bistec apanado</v>
      </c>
      <c r="E187" s="56" t="str">
        <f aca="false">IF(02_Almuerzos!D95="","",02_Almuerzos!D95)</f>
        <v>Carne apanada, arroz, papas</v>
      </c>
      <c r="F187" s="56" t="str">
        <f aca="false">IF(02_Almuerzos!E95="","",02_Almuerzos!E95)</f>
        <v>carne o pollo, huevo, pan molido, harina, aceite, arroz, papas</v>
      </c>
      <c r="G187" s="55" t="str">
        <f aca="false">IF(02_Almuerzos!F95="","",02_Almuerzos!F95)</f>
        <v>Plato</v>
      </c>
      <c r="H187" s="55" t="str">
        <f aca="false">IF(02_Almuerzos!G95="","",02_Almuerzos!G95)</f>
        <v>Estándar</v>
      </c>
      <c r="I187" s="58" t="n">
        <f aca="false">IF(02_Almuerzos!H95="","",02_Almuerzos!H95)</f>
        <v>11</v>
      </c>
      <c r="J187" s="58" t="n">
        <f aca="false">IF(02_Almuerzos!I95="","",02_Almuerzos!I95)</f>
        <v>18</v>
      </c>
      <c r="K187" s="58" t="n">
        <f aca="false">IF(02_Almuerzos!J95="","",02_Almuerzos!J95)</f>
        <v>14.5</v>
      </c>
      <c r="L187" s="58" t="n">
        <f aca="false">IF(02_Almuerzos!L95="","",02_Almuerzos!L95)</f>
        <v>15.5</v>
      </c>
      <c r="M187" s="58" t="n">
        <f aca="false">IF(02_Almuerzos!N95="","",02_Almuerzos!N95)</f>
        <v>1.31</v>
      </c>
      <c r="N187" s="58" t="n">
        <f aca="false">IF(02_Almuerzos!O95="","",02_Almuerzos!O95)</f>
        <v>13.19</v>
      </c>
      <c r="O187" s="55" t="str">
        <f aca="false">IF(02_Almuerzos!P95="","",02_Almuerzos!P95)</f>
        <v>12:00-15:00</v>
      </c>
      <c r="P187" s="55" t="n">
        <f aca="false">IF(02_Almuerzos!Q95="","",02_Almuerzos!Q95)</f>
        <v>10</v>
      </c>
      <c r="Q187" s="55" t="str">
        <f aca="false">IF(02_Almuerzos!R95="","",02_Almuerzos!R95)</f>
        <v>Alto</v>
      </c>
      <c r="R187" s="55" t="str">
        <f aca="false">IF(02_Almuerzos!S95="","",02_Almuerzos!S95)</f>
        <v>Todo el año</v>
      </c>
      <c r="S187" s="55" t="str">
        <f aca="false">IF(02_Almuerzos!T95="","",02_Almuerzos!T95)</f>
        <v>Menú</v>
      </c>
      <c r="T187" s="56" t="str">
        <f aca="false">IF(02_Almuerzos!U95="","",02_Almuerzos!U95)</f>
        <v/>
      </c>
      <c r="U187" s="55" t="n">
        <v>95</v>
      </c>
      <c r="V187" s="55" t="n">
        <f aca="false">IF(AND(OR(LEN(13_Buscador!$C$5)=0,ISNUMBER(SEARCH(13_Buscador!$C$5,$C187&amp;" "&amp;$D187&amp;" "&amp;$E187&amp;" "&amp;$F187&amp;" "&amp;$S187))),OR(13_Buscador!$C$6="Todas las listas",LEN(13_Buscador!$C$6)=0,13_Buscador!$C$6=$B187)),1,0)</f>
        <v>1</v>
      </c>
      <c r="W187" s="55" t="n">
        <f aca="false">IF(V187=1,SUM($V$2:V187),"")</f>
        <v>30</v>
      </c>
    </row>
    <row r="188" customFormat="false" ht="23.25" hidden="false" customHeight="true" outlineLevel="0" collapsed="false">
      <c r="A188" s="55" t="n">
        <v>187</v>
      </c>
      <c r="B188" s="55" t="s">
        <v>3328</v>
      </c>
      <c r="C188" s="55" t="str">
        <f aca="false">IF(02_Almuerzos!B96="","",02_Almuerzos!B96)</f>
        <v>Segundos criollos</v>
      </c>
      <c r="D188" s="56" t="str">
        <f aca="false">IF(02_Almuerzos!C96="","",02_Almuerzos!C96)</f>
        <v>Pollo a la naranja</v>
      </c>
      <c r="E188" s="56" t="str">
        <f aca="false">IF(02_Almuerzos!D96="","",02_Almuerzos!D96)</f>
        <v>Pollo en salsa cítrica</v>
      </c>
      <c r="F188" s="56" t="str">
        <f aca="false">IF(02_Almuerzos!E96="","",02_Almuerzos!E96)</f>
        <v>pollo, ajo, sal, aceite, salsa correspondiente, guarnición</v>
      </c>
      <c r="G188" s="55" t="str">
        <f aca="false">IF(02_Almuerzos!F96="","",02_Almuerzos!F96)</f>
        <v>Plato</v>
      </c>
      <c r="H188" s="55" t="str">
        <f aca="false">IF(02_Almuerzos!G96="","",02_Almuerzos!G96)</f>
        <v>Estándar</v>
      </c>
      <c r="I188" s="58" t="n">
        <f aca="false">IF(02_Almuerzos!H96="","",02_Almuerzos!H96)</f>
        <v>12</v>
      </c>
      <c r="J188" s="58" t="n">
        <f aca="false">IF(02_Almuerzos!I96="","",02_Almuerzos!I96)</f>
        <v>20</v>
      </c>
      <c r="K188" s="58" t="n">
        <f aca="false">IF(02_Almuerzos!J96="","",02_Almuerzos!J96)</f>
        <v>16</v>
      </c>
      <c r="L188" s="58" t="n">
        <f aca="false">IF(02_Almuerzos!L96="","",02_Almuerzos!L96)</f>
        <v>17</v>
      </c>
      <c r="M188" s="58" t="n">
        <f aca="false">IF(02_Almuerzos!N96="","",02_Almuerzos!N96)</f>
        <v>1.44</v>
      </c>
      <c r="N188" s="58" t="n">
        <f aca="false">IF(02_Almuerzos!O96="","",02_Almuerzos!O96)</f>
        <v>14.56</v>
      </c>
      <c r="O188" s="55" t="str">
        <f aca="false">IF(02_Almuerzos!P96="","",02_Almuerzos!P96)</f>
        <v>12:00-15:00</v>
      </c>
      <c r="P188" s="55" t="n">
        <f aca="false">IF(02_Almuerzos!Q96="","",02_Almuerzos!Q96)</f>
        <v>12</v>
      </c>
      <c r="Q188" s="55" t="str">
        <f aca="false">IF(02_Almuerzos!R96="","",02_Almuerzos!R96)</f>
        <v>Alto</v>
      </c>
      <c r="R188" s="55" t="str">
        <f aca="false">IF(02_Almuerzos!S96="","",02_Almuerzos!S96)</f>
        <v>Todo el año</v>
      </c>
      <c r="S188" s="55" t="str">
        <f aca="false">IF(02_Almuerzos!T96="","",02_Almuerzos!T96)</f>
        <v>Restaurante</v>
      </c>
      <c r="T188" s="56" t="str">
        <f aca="false">IF(02_Almuerzos!U96="","",02_Almuerzos!U96)</f>
        <v/>
      </c>
      <c r="U188" s="55" t="n">
        <v>96</v>
      </c>
      <c r="V188" s="55" t="n">
        <f aca="false">IF(AND(OR(LEN(13_Buscador!$C$5)=0,ISNUMBER(SEARCH(13_Buscador!$C$5,$C188&amp;" "&amp;$D188&amp;" "&amp;$E188&amp;" "&amp;$F188&amp;" "&amp;$S188))),OR(13_Buscador!$C$6="Todas las listas",LEN(13_Buscador!$C$6)=0,13_Buscador!$C$6=$B188)),1,0)</f>
        <v>1</v>
      </c>
      <c r="W188" s="55" t="n">
        <f aca="false">IF(V188=1,SUM($V$2:V188),"")</f>
        <v>31</v>
      </c>
    </row>
    <row r="189" customFormat="false" ht="23.25" hidden="false" customHeight="true" outlineLevel="0" collapsed="false">
      <c r="A189" s="55" t="n">
        <v>188</v>
      </c>
      <c r="B189" s="55" t="s">
        <v>3328</v>
      </c>
      <c r="C189" s="55" t="str">
        <f aca="false">IF(02_Almuerzos!B97="","",02_Almuerzos!B97)</f>
        <v>Segundos criollos</v>
      </c>
      <c r="D189" s="56" t="str">
        <f aca="false">IF(02_Almuerzos!C97="","",02_Almuerzos!C97)</f>
        <v>Lomo a la pimienta</v>
      </c>
      <c r="E189" s="56" t="str">
        <f aca="false">IF(02_Almuerzos!D97="","",02_Almuerzos!D97)</f>
        <v>Lomo en salsa de pimienta</v>
      </c>
      <c r="F189" s="56" t="str">
        <f aca="false">IF(02_Almuerzos!E97="","",02_Almuerzos!E97)</f>
        <v>lomo de res, pimienta, crema de leche, papas fritas, arroz</v>
      </c>
      <c r="G189" s="55" t="str">
        <f aca="false">IF(02_Almuerzos!F97="","",02_Almuerzos!F97)</f>
        <v>Plato</v>
      </c>
      <c r="H189" s="55" t="str">
        <f aca="false">IF(02_Almuerzos!G97="","",02_Almuerzos!G97)</f>
        <v>Medio</v>
      </c>
      <c r="I189" s="58" t="n">
        <f aca="false">IF(02_Almuerzos!H97="","",02_Almuerzos!H97)</f>
        <v>18</v>
      </c>
      <c r="J189" s="58" t="n">
        <f aca="false">IF(02_Almuerzos!I97="","",02_Almuerzos!I97)</f>
        <v>32</v>
      </c>
      <c r="K189" s="58" t="n">
        <f aca="false">IF(02_Almuerzos!J97="","",02_Almuerzos!J97)</f>
        <v>25</v>
      </c>
      <c r="L189" s="58" t="n">
        <f aca="false">IF(02_Almuerzos!L97="","",02_Almuerzos!L97)</f>
        <v>26</v>
      </c>
      <c r="M189" s="58" t="n">
        <f aca="false">IF(02_Almuerzos!N97="","",02_Almuerzos!N97)</f>
        <v>2.75</v>
      </c>
      <c r="N189" s="58" t="n">
        <f aca="false">IF(02_Almuerzos!O97="","",02_Almuerzos!O97)</f>
        <v>22.25</v>
      </c>
      <c r="O189" s="55" t="str">
        <f aca="false">IF(02_Almuerzos!P97="","",02_Almuerzos!P97)</f>
        <v>12:00-15:00</v>
      </c>
      <c r="P189" s="55" t="n">
        <f aca="false">IF(02_Almuerzos!Q97="","",02_Almuerzos!Q97)</f>
        <v>15</v>
      </c>
      <c r="Q189" s="55" t="str">
        <f aca="false">IF(02_Almuerzos!R97="","",02_Almuerzos!R97)</f>
        <v>Alto</v>
      </c>
      <c r="R189" s="55" t="str">
        <f aca="false">IF(02_Almuerzos!S97="","",02_Almuerzos!S97)</f>
        <v>Todo el año</v>
      </c>
      <c r="S189" s="55" t="str">
        <f aca="false">IF(02_Almuerzos!T97="","",02_Almuerzos!T97)</f>
        <v>Restaurante</v>
      </c>
      <c r="T189" s="56" t="str">
        <f aca="false">IF(02_Almuerzos!U97="","",02_Almuerzos!U97)</f>
        <v/>
      </c>
      <c r="U189" s="55" t="n">
        <v>97</v>
      </c>
      <c r="V189" s="55" t="n">
        <f aca="false">IF(AND(OR(LEN(13_Buscador!$C$5)=0,ISNUMBER(SEARCH(13_Buscador!$C$5,$C189&amp;" "&amp;$D189&amp;" "&amp;$E189&amp;" "&amp;$F189&amp;" "&amp;$S189))),OR(13_Buscador!$C$6="Todas las listas",LEN(13_Buscador!$C$6)=0,13_Buscador!$C$6=$B189)),1,0)</f>
        <v>0</v>
      </c>
      <c r="W189" s="55" t="str">
        <f aca="false">IF(V189=1,SUM($V$2:V189),"")</f>
        <v/>
      </c>
    </row>
    <row r="190" customFormat="false" ht="23.25" hidden="false" customHeight="true" outlineLevel="0" collapsed="false">
      <c r="A190" s="55" t="n">
        <v>189</v>
      </c>
      <c r="B190" s="55" t="s">
        <v>3328</v>
      </c>
      <c r="C190" s="55" t="str">
        <f aca="false">IF(02_Almuerzos!B98="","",02_Almuerzos!B98)</f>
        <v>Regional puneño</v>
      </c>
      <c r="D190" s="56" t="str">
        <f aca="false">IF(02_Almuerzos!C98="","",02_Almuerzos!C98)</f>
        <v>Trucha al ajo</v>
      </c>
      <c r="E190" s="56" t="str">
        <f aca="false">IF(02_Almuerzos!D98="","",02_Almuerzos!D98)</f>
        <v>Trucha en salsa de ajo</v>
      </c>
      <c r="F190" s="56" t="str">
        <f aca="false">IF(02_Almuerzos!E98="","",02_Almuerzos!E98)</f>
        <v>trucha del lago Titicaca, sal, limón, harina o hierbas, guarnición de papa o arroz</v>
      </c>
      <c r="G190" s="55" t="str">
        <f aca="false">IF(02_Almuerzos!F98="","",02_Almuerzos!F98)</f>
        <v>Plato</v>
      </c>
      <c r="H190" s="55" t="str">
        <f aca="false">IF(02_Almuerzos!G98="","",02_Almuerzos!G98)</f>
        <v>Medio</v>
      </c>
      <c r="I190" s="58" t="n">
        <f aca="false">IF(02_Almuerzos!H98="","",02_Almuerzos!H98)</f>
        <v>18</v>
      </c>
      <c r="J190" s="58" t="n">
        <f aca="false">IF(02_Almuerzos!I98="","",02_Almuerzos!I98)</f>
        <v>30</v>
      </c>
      <c r="K190" s="58" t="n">
        <f aca="false">IF(02_Almuerzos!J98="","",02_Almuerzos!J98)</f>
        <v>24</v>
      </c>
      <c r="L190" s="58" t="n">
        <f aca="false">IF(02_Almuerzos!L98="","",02_Almuerzos!L98)</f>
        <v>25</v>
      </c>
      <c r="M190" s="58" t="n">
        <f aca="false">IF(02_Almuerzos!N98="","",02_Almuerzos!N98)</f>
        <v>2.64</v>
      </c>
      <c r="N190" s="58" t="n">
        <f aca="false">IF(02_Almuerzos!O98="","",02_Almuerzos!O98)</f>
        <v>21.36</v>
      </c>
      <c r="O190" s="55" t="str">
        <f aca="false">IF(02_Almuerzos!P98="","",02_Almuerzos!P98)</f>
        <v>12:00-16:00</v>
      </c>
      <c r="P190" s="55" t="n">
        <f aca="false">IF(02_Almuerzos!Q98="","",02_Almuerzos!Q98)</f>
        <v>15</v>
      </c>
      <c r="Q190" s="55" t="str">
        <f aca="false">IF(02_Almuerzos!R98="","",02_Almuerzos!R98)</f>
        <v>Medio</v>
      </c>
      <c r="R190" s="55" t="str">
        <f aca="false">IF(02_Almuerzos!S98="","",02_Almuerzos!S98)</f>
        <v>Todo el año</v>
      </c>
      <c r="S190" s="55" t="str">
        <f aca="false">IF(02_Almuerzos!T98="","",02_Almuerzos!T98)</f>
        <v>Regional</v>
      </c>
      <c r="T190" s="56" t="str">
        <f aca="false">IF(02_Almuerzos!U98="","",02_Almuerzos!U98)</f>
        <v/>
      </c>
      <c r="U190" s="55" t="n">
        <v>98</v>
      </c>
      <c r="V190" s="55" t="n">
        <f aca="false">IF(AND(OR(LEN(13_Buscador!$C$5)=0,ISNUMBER(SEARCH(13_Buscador!$C$5,$C190&amp;" "&amp;$D190&amp;" "&amp;$E190&amp;" "&amp;$F190&amp;" "&amp;$S190))),OR(13_Buscador!$C$6="Todas las listas",LEN(13_Buscador!$C$6)=0,13_Buscador!$C$6=$B190)),1,0)</f>
        <v>0</v>
      </c>
      <c r="W190" s="55" t="str">
        <f aca="false">IF(V190=1,SUM($V$2:V190),"")</f>
        <v/>
      </c>
    </row>
    <row r="191" customFormat="false" ht="23.25" hidden="false" customHeight="true" outlineLevel="0" collapsed="false">
      <c r="A191" s="55" t="n">
        <v>190</v>
      </c>
      <c r="B191" s="55" t="s">
        <v>3328</v>
      </c>
      <c r="C191" s="55" t="str">
        <f aca="false">IF(02_Almuerzos!B99="","",02_Almuerzos!B99)</f>
        <v>Regional puneño</v>
      </c>
      <c r="D191" s="56" t="str">
        <f aca="false">IF(02_Almuerzos!C99="","",02_Almuerzos!C99)</f>
        <v>Chairo paceño</v>
      </c>
      <c r="E191" s="56" t="str">
        <f aca="false">IF(02_Almuerzos!D99="","",02_Almuerzos!D99)</f>
        <v>Variante con más carne</v>
      </c>
      <c r="F191" s="56" t="str">
        <f aca="false">IF(02_Almuerzos!E99="","",02_Almuerzos!E99)</f>
        <v>chuño, carne de cordero o res, trigo, habas, zanahoria, papa, cebolla, hierbabuena</v>
      </c>
      <c r="G191" s="55" t="str">
        <f aca="false">IF(02_Almuerzos!F99="","",02_Almuerzos!F99)</f>
        <v>Plato hondo</v>
      </c>
      <c r="H191" s="55" t="str">
        <f aca="false">IF(02_Almuerzos!G99="","",02_Almuerzos!G99)</f>
        <v>Estándar</v>
      </c>
      <c r="I191" s="58" t="n">
        <f aca="false">IF(02_Almuerzos!H99="","",02_Almuerzos!H99)</f>
        <v>12</v>
      </c>
      <c r="J191" s="58" t="n">
        <f aca="false">IF(02_Almuerzos!I99="","",02_Almuerzos!I99)</f>
        <v>20</v>
      </c>
      <c r="K191" s="58" t="n">
        <f aca="false">IF(02_Almuerzos!J99="","",02_Almuerzos!J99)</f>
        <v>16</v>
      </c>
      <c r="L191" s="58" t="n">
        <f aca="false">IF(02_Almuerzos!L99="","",02_Almuerzos!L99)</f>
        <v>17</v>
      </c>
      <c r="M191" s="58" t="n">
        <f aca="false">IF(02_Almuerzos!N99="","",02_Almuerzos!N99)</f>
        <v>1.44</v>
      </c>
      <c r="N191" s="58" t="n">
        <f aca="false">IF(02_Almuerzos!O99="","",02_Almuerzos!O99)</f>
        <v>14.56</v>
      </c>
      <c r="O191" s="55" t="str">
        <f aca="false">IF(02_Almuerzos!P99="","",02_Almuerzos!P99)</f>
        <v>12:00-15:00</v>
      </c>
      <c r="P191" s="55" t="n">
        <f aca="false">IF(02_Almuerzos!Q99="","",02_Almuerzos!Q99)</f>
        <v>15</v>
      </c>
      <c r="Q191" s="55" t="str">
        <f aca="false">IF(02_Almuerzos!R99="","",02_Almuerzos!R99)</f>
        <v>Medio</v>
      </c>
      <c r="R191" s="55" t="str">
        <f aca="false">IF(02_Almuerzos!S99="","",02_Almuerzos!S99)</f>
        <v>Mayor demanda en frío</v>
      </c>
      <c r="S191" s="55" t="str">
        <f aca="false">IF(02_Almuerzos!T99="","",02_Almuerzos!T99)</f>
        <v>Regional</v>
      </c>
      <c r="T191" s="56" t="str">
        <f aca="false">IF(02_Almuerzos!U99="","",02_Almuerzos!U99)</f>
        <v/>
      </c>
      <c r="U191" s="55" t="n">
        <v>99</v>
      </c>
      <c r="V191" s="55" t="n">
        <f aca="false">IF(AND(OR(LEN(13_Buscador!$C$5)=0,ISNUMBER(SEARCH(13_Buscador!$C$5,$C191&amp;" "&amp;$D191&amp;" "&amp;$E191&amp;" "&amp;$F191&amp;" "&amp;$S191))),OR(13_Buscador!$C$6="Todas las listas",LEN(13_Buscador!$C$6)=0,13_Buscador!$C$6=$B191)),1,0)</f>
        <v>0</v>
      </c>
      <c r="W191" s="55" t="str">
        <f aca="false">IF(V191=1,SUM($V$2:V191),"")</f>
        <v/>
      </c>
    </row>
    <row r="192" customFormat="false" ht="23.25" hidden="false" customHeight="true" outlineLevel="0" collapsed="false">
      <c r="A192" s="55" t="n">
        <v>191</v>
      </c>
      <c r="B192" s="55" t="s">
        <v>3328</v>
      </c>
      <c r="C192" s="55" t="str">
        <f aca="false">IF(02_Almuerzos!B100="","",02_Almuerzos!B100)</f>
        <v>Regional puneño</v>
      </c>
      <c r="D192" s="56" t="str">
        <f aca="false">IF(02_Almuerzos!C100="","",02_Almuerzos!C100)</f>
        <v>Wallake</v>
      </c>
      <c r="E192" s="56" t="str">
        <f aca="false">IF(02_Almuerzos!D100="","",02_Almuerzos!D100)</f>
        <v>Caldo de carachi con chaco</v>
      </c>
      <c r="F192" s="56" t="str">
        <f aca="false">IF(02_Almuerzos!E100="","",02_Almuerzos!E100)</f>
        <v>carachi del lago, chaco (arcilla comestible), papa, muña, cebolla</v>
      </c>
      <c r="G192" s="55" t="str">
        <f aca="false">IF(02_Almuerzos!F100="","",02_Almuerzos!F100)</f>
        <v>Plato hondo</v>
      </c>
      <c r="H192" s="55" t="str">
        <f aca="false">IF(02_Almuerzos!G100="","",02_Almuerzos!G100)</f>
        <v>Estándar</v>
      </c>
      <c r="I192" s="58" t="n">
        <f aca="false">IF(02_Almuerzos!H100="","",02_Almuerzos!H100)</f>
        <v>12</v>
      </c>
      <c r="J192" s="58" t="n">
        <f aca="false">IF(02_Almuerzos!I100="","",02_Almuerzos!I100)</f>
        <v>22</v>
      </c>
      <c r="K192" s="58" t="n">
        <f aca="false">IF(02_Almuerzos!J100="","",02_Almuerzos!J100)</f>
        <v>17</v>
      </c>
      <c r="L192" s="58" t="n">
        <f aca="false">IF(02_Almuerzos!L100="","",02_Almuerzos!L100)</f>
        <v>18</v>
      </c>
      <c r="M192" s="58" t="n">
        <f aca="false">IF(02_Almuerzos!N100="","",02_Almuerzos!N100)</f>
        <v>1.53</v>
      </c>
      <c r="N192" s="58" t="n">
        <f aca="false">IF(02_Almuerzos!O100="","",02_Almuerzos!O100)</f>
        <v>15.47</v>
      </c>
      <c r="O192" s="55" t="str">
        <f aca="false">IF(02_Almuerzos!P100="","",02_Almuerzos!P100)</f>
        <v>12:00-16:00</v>
      </c>
      <c r="P192" s="55" t="n">
        <f aca="false">IF(02_Almuerzos!Q100="","",02_Almuerzos!Q100)</f>
        <v>15</v>
      </c>
      <c r="Q192" s="55" t="str">
        <f aca="false">IF(02_Almuerzos!R100="","",02_Almuerzos!R100)</f>
        <v>Medio</v>
      </c>
      <c r="R192" s="55" t="str">
        <f aca="false">IF(02_Almuerzos!S100="","",02_Almuerzos!S100)</f>
        <v>Todo el año</v>
      </c>
      <c r="S192" s="55" t="str">
        <f aca="false">IF(02_Almuerzos!T100="","",02_Almuerzos!T100)</f>
        <v>Regional</v>
      </c>
      <c r="T192" s="56" t="str">
        <f aca="false">IF(02_Almuerzos!U100="","",02_Almuerzos!U100)</f>
        <v>Plato tradicional del lago, muy identitario</v>
      </c>
      <c r="U192" s="55" t="n">
        <v>100</v>
      </c>
      <c r="V192" s="55" t="n">
        <f aca="false">IF(AND(OR(LEN(13_Buscador!$C$5)=0,ISNUMBER(SEARCH(13_Buscador!$C$5,$C192&amp;" "&amp;$D192&amp;" "&amp;$E192&amp;" "&amp;$F192&amp;" "&amp;$S192))),OR(13_Buscador!$C$6="Todas las listas",LEN(13_Buscador!$C$6)=0,13_Buscador!$C$6=$B192)),1,0)</f>
        <v>0</v>
      </c>
      <c r="W192" s="55" t="str">
        <f aca="false">IF(V192=1,SUM($V$2:V192),"")</f>
        <v/>
      </c>
    </row>
    <row r="193" customFormat="false" ht="15" hidden="false" customHeight="true" outlineLevel="0" collapsed="false">
      <c r="A193" s="55" t="n">
        <v>192</v>
      </c>
      <c r="B193" s="55" t="s">
        <v>3328</v>
      </c>
      <c r="C193" s="55" t="str">
        <f aca="false">IF(02_Almuerzos!B101="","",02_Almuerzos!B101)</f>
        <v>Regional puneño</v>
      </c>
      <c r="D193" s="56" t="str">
        <f aca="false">IF(02_Almuerzos!C101="","",02_Almuerzos!C101)</f>
        <v>Carachi frito</v>
      </c>
      <c r="E193" s="56" t="str">
        <f aca="false">IF(02_Almuerzos!D101="","",02_Almuerzos!D101)</f>
        <v>Pescado del lago frito</v>
      </c>
      <c r="F193" s="56" t="str">
        <f aca="false">IF(02_Almuerzos!E101="","",02_Almuerzos!E101)</f>
        <v>pescado del lago, sal, harina, aceite, mote</v>
      </c>
      <c r="G193" s="55" t="str">
        <f aca="false">IF(02_Almuerzos!F101="","",02_Almuerzos!F101)</f>
        <v>Plato</v>
      </c>
      <c r="H193" s="55" t="str">
        <f aca="false">IF(02_Almuerzos!G101="","",02_Almuerzos!G101)</f>
        <v>Estándar</v>
      </c>
      <c r="I193" s="58" t="n">
        <f aca="false">IF(02_Almuerzos!H101="","",02_Almuerzos!H101)</f>
        <v>10</v>
      </c>
      <c r="J193" s="58" t="n">
        <f aca="false">IF(02_Almuerzos!I101="","",02_Almuerzos!I101)</f>
        <v>20</v>
      </c>
      <c r="K193" s="58" t="n">
        <f aca="false">IF(02_Almuerzos!J101="","",02_Almuerzos!J101)</f>
        <v>15</v>
      </c>
      <c r="L193" s="58" t="n">
        <f aca="false">IF(02_Almuerzos!L101="","",02_Almuerzos!L101)</f>
        <v>16</v>
      </c>
      <c r="M193" s="58" t="n">
        <f aca="false">IF(02_Almuerzos!N101="","",02_Almuerzos!N101)</f>
        <v>1.35</v>
      </c>
      <c r="N193" s="58" t="n">
        <f aca="false">IF(02_Almuerzos!O101="","",02_Almuerzos!O101)</f>
        <v>13.65</v>
      </c>
      <c r="O193" s="55" t="str">
        <f aca="false">IF(02_Almuerzos!P101="","",02_Almuerzos!P101)</f>
        <v>12:00-16:00</v>
      </c>
      <c r="P193" s="55" t="n">
        <f aca="false">IF(02_Almuerzos!Q101="","",02_Almuerzos!Q101)</f>
        <v>12</v>
      </c>
      <c r="Q193" s="55" t="str">
        <f aca="false">IF(02_Almuerzos!R101="","",02_Almuerzos!R101)</f>
        <v>Medio</v>
      </c>
      <c r="R193" s="55" t="str">
        <f aca="false">IF(02_Almuerzos!S101="","",02_Almuerzos!S101)</f>
        <v>Todo el año</v>
      </c>
      <c r="S193" s="55" t="str">
        <f aca="false">IF(02_Almuerzos!T101="","",02_Almuerzos!T101)</f>
        <v>Regional</v>
      </c>
      <c r="T193" s="56" t="str">
        <f aca="false">IF(02_Almuerzos!U101="","",02_Almuerzos!U101)</f>
        <v/>
      </c>
      <c r="U193" s="55" t="n">
        <v>101</v>
      </c>
      <c r="V193" s="55" t="n">
        <f aca="false">IF(AND(OR(LEN(13_Buscador!$C$5)=0,ISNUMBER(SEARCH(13_Buscador!$C$5,$C193&amp;" "&amp;$D193&amp;" "&amp;$E193&amp;" "&amp;$F193&amp;" "&amp;$S193))),OR(13_Buscador!$C$6="Todas las listas",LEN(13_Buscador!$C$6)=0,13_Buscador!$C$6=$B193)),1,0)</f>
        <v>0</v>
      </c>
      <c r="W193" s="55" t="str">
        <f aca="false">IF(V193=1,SUM($V$2:V193),"")</f>
        <v/>
      </c>
    </row>
    <row r="194" customFormat="false" ht="15" hidden="false" customHeight="true" outlineLevel="0" collapsed="false">
      <c r="A194" s="55" t="n">
        <v>193</v>
      </c>
      <c r="B194" s="55" t="s">
        <v>3328</v>
      </c>
      <c r="C194" s="55" t="str">
        <f aca="false">IF(02_Almuerzos!B102="","",02_Almuerzos!B102)</f>
        <v>Regional puneño</v>
      </c>
      <c r="D194" s="56" t="str">
        <f aca="false">IF(02_Almuerzos!C102="","",02_Almuerzos!C102)</f>
        <v>Ispi frito</v>
      </c>
      <c r="E194" s="56" t="str">
        <f aca="false">IF(02_Almuerzos!D102="","",02_Almuerzos!D102)</f>
        <v>Pescadito del lago frito</v>
      </c>
      <c r="F194" s="56" t="str">
        <f aca="false">IF(02_Almuerzos!E102="","",02_Almuerzos!E102)</f>
        <v>pescado del lago, sal, harina, aceite, mote</v>
      </c>
      <c r="G194" s="55" t="str">
        <f aca="false">IF(02_Almuerzos!F102="","",02_Almuerzos!F102)</f>
        <v>Porción</v>
      </c>
      <c r="H194" s="55" t="str">
        <f aca="false">IF(02_Almuerzos!G102="","",02_Almuerzos!G102)</f>
        <v>Económico</v>
      </c>
      <c r="I194" s="58" t="n">
        <f aca="false">IF(02_Almuerzos!H102="","",02_Almuerzos!H102)</f>
        <v>8</v>
      </c>
      <c r="J194" s="58" t="n">
        <f aca="false">IF(02_Almuerzos!I102="","",02_Almuerzos!I102)</f>
        <v>16</v>
      </c>
      <c r="K194" s="58" t="n">
        <f aca="false">IF(02_Almuerzos!J102="","",02_Almuerzos!J102)</f>
        <v>12</v>
      </c>
      <c r="L194" s="58" t="n">
        <f aca="false">IF(02_Almuerzos!L102="","",02_Almuerzos!L102)</f>
        <v>13</v>
      </c>
      <c r="M194" s="58" t="n">
        <f aca="false">IF(02_Almuerzos!N102="","",02_Almuerzos!N102)</f>
        <v>0.84</v>
      </c>
      <c r="N194" s="58" t="n">
        <f aca="false">IF(02_Almuerzos!O102="","",02_Almuerzos!O102)</f>
        <v>11.16</v>
      </c>
      <c r="O194" s="55" t="str">
        <f aca="false">IF(02_Almuerzos!P102="","",02_Almuerzos!P102)</f>
        <v>12:00-16:00</v>
      </c>
      <c r="P194" s="55" t="n">
        <f aca="false">IF(02_Almuerzos!Q102="","",02_Almuerzos!Q102)</f>
        <v>12</v>
      </c>
      <c r="Q194" s="55" t="str">
        <f aca="false">IF(02_Almuerzos!R102="","",02_Almuerzos!R102)</f>
        <v>Alto</v>
      </c>
      <c r="R194" s="55" t="str">
        <f aca="false">IF(02_Almuerzos!S102="","",02_Almuerzos!S102)</f>
        <v>Todo el año</v>
      </c>
      <c r="S194" s="55" t="str">
        <f aca="false">IF(02_Almuerzos!T102="","",02_Almuerzos!T102)</f>
        <v>Regional, mercado</v>
      </c>
      <c r="T194" s="56" t="str">
        <f aca="false">IF(02_Almuerzos!U102="","",02_Almuerzos!U102)</f>
        <v>Snack-plato muy típico de Puno</v>
      </c>
      <c r="U194" s="55" t="n">
        <v>102</v>
      </c>
      <c r="V194" s="55" t="n">
        <f aca="false">IF(AND(OR(LEN(13_Buscador!$C$5)=0,ISNUMBER(SEARCH(13_Buscador!$C$5,$C194&amp;" "&amp;$D194&amp;" "&amp;$E194&amp;" "&amp;$F194&amp;" "&amp;$S194))),OR(13_Buscador!$C$6="Todas las listas",LEN(13_Buscador!$C$6)=0,13_Buscador!$C$6=$B194)),1,0)</f>
        <v>0</v>
      </c>
      <c r="W194" s="55" t="str">
        <f aca="false">IF(V194=1,SUM($V$2:V194),"")</f>
        <v/>
      </c>
    </row>
    <row r="195" customFormat="false" ht="15" hidden="false" customHeight="true" outlineLevel="0" collapsed="false">
      <c r="A195" s="55" t="n">
        <v>194</v>
      </c>
      <c r="B195" s="55" t="s">
        <v>3328</v>
      </c>
      <c r="C195" s="55" t="str">
        <f aca="false">IF(02_Almuerzos!B103="","",02_Almuerzos!B103)</f>
        <v>Regional puneño</v>
      </c>
      <c r="D195" s="56" t="str">
        <f aca="false">IF(02_Almuerzos!C103="","",02_Almuerzos!C103)</f>
        <v>Mazamorra de quinua</v>
      </c>
      <c r="E195" s="56" t="str">
        <f aca="false">IF(02_Almuerzos!D103="","",02_Almuerzos!D103)</f>
        <v>Postre-plato de quinua</v>
      </c>
      <c r="F195" s="56" t="str">
        <f aca="false">IF(02_Almuerzos!E103="","",02_Almuerzos!E103)</f>
        <v>quinua, azúcar, canela, clavo, leche</v>
      </c>
      <c r="G195" s="55" t="str">
        <f aca="false">IF(02_Almuerzos!F103="","",02_Almuerzos!F103)</f>
        <v>Plato</v>
      </c>
      <c r="H195" s="55" t="str">
        <f aca="false">IF(02_Almuerzos!G103="","",02_Almuerzos!G103)</f>
        <v>Económico</v>
      </c>
      <c r="I195" s="58" t="n">
        <f aca="false">IF(02_Almuerzos!H103="","",02_Almuerzos!H103)</f>
        <v>5</v>
      </c>
      <c r="J195" s="58" t="n">
        <f aca="false">IF(02_Almuerzos!I103="","",02_Almuerzos!I103)</f>
        <v>10</v>
      </c>
      <c r="K195" s="58" t="n">
        <f aca="false">IF(02_Almuerzos!J103="","",02_Almuerzos!J103)</f>
        <v>7.5</v>
      </c>
      <c r="L195" s="58" t="n">
        <f aca="false">IF(02_Almuerzos!L103="","",02_Almuerzos!L103)</f>
        <v>8.5</v>
      </c>
      <c r="M195" s="58" t="n">
        <f aca="false">IF(02_Almuerzos!N103="","",02_Almuerzos!N103)</f>
        <v>0.53</v>
      </c>
      <c r="N195" s="58" t="n">
        <f aca="false">IF(02_Almuerzos!O103="","",02_Almuerzos!O103)</f>
        <v>6.97</v>
      </c>
      <c r="O195" s="55" t="str">
        <f aca="false">IF(02_Almuerzos!P103="","",02_Almuerzos!P103)</f>
        <v>12:00-16:00</v>
      </c>
      <c r="P195" s="55" t="n">
        <f aca="false">IF(02_Almuerzos!Q103="","",02_Almuerzos!Q103)</f>
        <v>8</v>
      </c>
      <c r="Q195" s="55" t="str">
        <f aca="false">IF(02_Almuerzos!R103="","",02_Almuerzos!R103)</f>
        <v>Alto</v>
      </c>
      <c r="R195" s="55" t="str">
        <f aca="false">IF(02_Almuerzos!S103="","",02_Almuerzos!S103)</f>
        <v>Todo el año</v>
      </c>
      <c r="S195" s="55" t="str">
        <f aca="false">IF(02_Almuerzos!T103="","",02_Almuerzos!T103)</f>
        <v>Regional</v>
      </c>
      <c r="T195" s="56" t="str">
        <f aca="false">IF(02_Almuerzos!U103="","",02_Almuerzos!U103)</f>
        <v/>
      </c>
      <c r="U195" s="55" t="n">
        <v>103</v>
      </c>
      <c r="V195" s="55" t="n">
        <f aca="false">IF(AND(OR(LEN(13_Buscador!$C$5)=0,ISNUMBER(SEARCH(13_Buscador!$C$5,$C195&amp;" "&amp;$D195&amp;" "&amp;$E195&amp;" "&amp;$F195&amp;" "&amp;$S195))),OR(13_Buscador!$C$6="Todas las listas",LEN(13_Buscador!$C$6)=0,13_Buscador!$C$6=$B195)),1,0)</f>
        <v>0</v>
      </c>
      <c r="W195" s="55" t="str">
        <f aca="false">IF(V195=1,SUM($V$2:V195),"")</f>
        <v/>
      </c>
    </row>
    <row r="196" customFormat="false" ht="23.25" hidden="false" customHeight="true" outlineLevel="0" collapsed="false">
      <c r="A196" s="55" t="n">
        <v>195</v>
      </c>
      <c r="B196" s="55" t="s">
        <v>3328</v>
      </c>
      <c r="C196" s="55" t="str">
        <f aca="false">IF(02_Almuerzos!B104="","",02_Almuerzos!B104)</f>
        <v>Chifa</v>
      </c>
      <c r="D196" s="56" t="str">
        <f aca="false">IF(02_Almuerzos!C104="","",02_Almuerzos!C104)</f>
        <v>Chaufa de mariscos</v>
      </c>
      <c r="E196" s="56" t="str">
        <f aca="false">IF(02_Almuerzos!D104="","",02_Almuerzos!D104)</f>
        <v>Chaufa con mariscos</v>
      </c>
      <c r="F196" s="56" t="str">
        <f aca="false">IF(02_Almuerzos!E104="","",02_Almuerzos!E104)</f>
        <v>arroz, huevo, cebolla china, sillao, aceite de ajonjolí, carne o pollo</v>
      </c>
      <c r="G196" s="55" t="str">
        <f aca="false">IF(02_Almuerzos!F104="","",02_Almuerzos!F104)</f>
        <v>Plato</v>
      </c>
      <c r="H196" s="55" t="str">
        <f aca="false">IF(02_Almuerzos!G104="","",02_Almuerzos!G104)</f>
        <v>Medio</v>
      </c>
      <c r="I196" s="58" t="n">
        <f aca="false">IF(02_Almuerzos!H104="","",02_Almuerzos!H104)</f>
        <v>16</v>
      </c>
      <c r="J196" s="58" t="n">
        <f aca="false">IF(02_Almuerzos!I104="","",02_Almuerzos!I104)</f>
        <v>28</v>
      </c>
      <c r="K196" s="58" t="n">
        <f aca="false">IF(02_Almuerzos!J104="","",02_Almuerzos!J104)</f>
        <v>22</v>
      </c>
      <c r="L196" s="58" t="n">
        <f aca="false">IF(02_Almuerzos!L104="","",02_Almuerzos!L104)</f>
        <v>23</v>
      </c>
      <c r="M196" s="58" t="n">
        <f aca="false">IF(02_Almuerzos!N104="","",02_Almuerzos!N104)</f>
        <v>2.42</v>
      </c>
      <c r="N196" s="58" t="n">
        <f aca="false">IF(02_Almuerzos!O104="","",02_Almuerzos!O104)</f>
        <v>19.58</v>
      </c>
      <c r="O196" s="55" t="str">
        <f aca="false">IF(02_Almuerzos!P104="","",02_Almuerzos!P104)</f>
        <v>12:00-15:00</v>
      </c>
      <c r="P196" s="55" t="n">
        <f aca="false">IF(02_Almuerzos!Q104="","",02_Almuerzos!Q104)</f>
        <v>12</v>
      </c>
      <c r="Q196" s="55" t="str">
        <f aca="false">IF(02_Almuerzos!R104="","",02_Almuerzos!R104)</f>
        <v>Alto</v>
      </c>
      <c r="R196" s="55" t="str">
        <f aca="false">IF(02_Almuerzos!S104="","",02_Almuerzos!S104)</f>
        <v>Todo el año</v>
      </c>
      <c r="S196" s="55" t="str">
        <f aca="false">IF(02_Almuerzos!T104="","",02_Almuerzos!T104)</f>
        <v>Chifa</v>
      </c>
      <c r="T196" s="56" t="str">
        <f aca="false">IF(02_Almuerzos!U104="","",02_Almuerzos!U104)</f>
        <v/>
      </c>
      <c r="U196" s="55" t="n">
        <v>104</v>
      </c>
      <c r="V196" s="55" t="n">
        <f aca="false">IF(AND(OR(LEN(13_Buscador!$C$5)=0,ISNUMBER(SEARCH(13_Buscador!$C$5,$C196&amp;" "&amp;$D196&amp;" "&amp;$E196&amp;" "&amp;$F196&amp;" "&amp;$S196))),OR(13_Buscador!$C$6="Todas las listas",LEN(13_Buscador!$C$6)=0,13_Buscador!$C$6=$B196)),1,0)</f>
        <v>1</v>
      </c>
      <c r="W196" s="55" t="n">
        <f aca="false">IF(V196=1,SUM($V$2:V196),"")</f>
        <v>32</v>
      </c>
    </row>
    <row r="197" customFormat="false" ht="15" hidden="false" customHeight="true" outlineLevel="0" collapsed="false">
      <c r="A197" s="55" t="n">
        <v>196</v>
      </c>
      <c r="B197" s="55" t="s">
        <v>3328</v>
      </c>
      <c r="C197" s="55" t="str">
        <f aca="false">IF(02_Almuerzos!B105="","",02_Almuerzos!B105)</f>
        <v>Chifa</v>
      </c>
      <c r="D197" s="56" t="str">
        <f aca="false">IF(02_Almuerzos!C105="","",02_Almuerzos!C105)</f>
        <v>Tipakay</v>
      </c>
      <c r="E197" s="56" t="str">
        <f aca="false">IF(02_Almuerzos!D105="","",02_Almuerzos!D105)</f>
        <v>Pollo apanado en salsa dulce</v>
      </c>
      <c r="F197" s="56" t="str">
        <f aca="false">IF(02_Almuerzos!E105="","",02_Almuerzos!E105)</f>
        <v>pollo apanado, salsa dulce, piña, ají dulce</v>
      </c>
      <c r="G197" s="55" t="str">
        <f aca="false">IF(02_Almuerzos!F105="","",02_Almuerzos!F105)</f>
        <v>Plato</v>
      </c>
      <c r="H197" s="55" t="str">
        <f aca="false">IF(02_Almuerzos!G105="","",02_Almuerzos!G105)</f>
        <v>Estándar</v>
      </c>
      <c r="I197" s="58" t="n">
        <f aca="false">IF(02_Almuerzos!H105="","",02_Almuerzos!H105)</f>
        <v>13</v>
      </c>
      <c r="J197" s="58" t="n">
        <f aca="false">IF(02_Almuerzos!I105="","",02_Almuerzos!I105)</f>
        <v>22</v>
      </c>
      <c r="K197" s="58" t="n">
        <f aca="false">IF(02_Almuerzos!J105="","",02_Almuerzos!J105)</f>
        <v>17.5</v>
      </c>
      <c r="L197" s="58" t="n">
        <f aca="false">IF(02_Almuerzos!L105="","",02_Almuerzos!L105)</f>
        <v>18.5</v>
      </c>
      <c r="M197" s="58" t="n">
        <f aca="false">IF(02_Almuerzos!N105="","",02_Almuerzos!N105)</f>
        <v>1.58</v>
      </c>
      <c r="N197" s="58" t="n">
        <f aca="false">IF(02_Almuerzos!O105="","",02_Almuerzos!O105)</f>
        <v>15.92</v>
      </c>
      <c r="O197" s="55" t="str">
        <f aca="false">IF(02_Almuerzos!P105="","",02_Almuerzos!P105)</f>
        <v>12:00-15:00</v>
      </c>
      <c r="P197" s="55" t="n">
        <f aca="false">IF(02_Almuerzos!Q105="","",02_Almuerzos!Q105)</f>
        <v>12</v>
      </c>
      <c r="Q197" s="55" t="str">
        <f aca="false">IF(02_Almuerzos!R105="","",02_Almuerzos!R105)</f>
        <v>Alto</v>
      </c>
      <c r="R197" s="55" t="str">
        <f aca="false">IF(02_Almuerzos!S105="","",02_Almuerzos!S105)</f>
        <v>Todo el año</v>
      </c>
      <c r="S197" s="55" t="str">
        <f aca="false">IF(02_Almuerzos!T105="","",02_Almuerzos!T105)</f>
        <v>Chifa</v>
      </c>
      <c r="T197" s="56" t="str">
        <f aca="false">IF(02_Almuerzos!U105="","",02_Almuerzos!U105)</f>
        <v/>
      </c>
      <c r="U197" s="55" t="n">
        <v>105</v>
      </c>
      <c r="V197" s="55" t="n">
        <f aca="false">IF(AND(OR(LEN(13_Buscador!$C$5)=0,ISNUMBER(SEARCH(13_Buscador!$C$5,$C197&amp;" "&amp;$D197&amp;" "&amp;$E197&amp;" "&amp;$F197&amp;" "&amp;$S197))),OR(13_Buscador!$C$6="Todas las listas",LEN(13_Buscador!$C$6)=0,13_Buscador!$C$6=$B197)),1,0)</f>
        <v>1</v>
      </c>
      <c r="W197" s="55" t="n">
        <f aca="false">IF(V197=1,SUM($V$2:V197),"")</f>
        <v>33</v>
      </c>
    </row>
    <row r="198" customFormat="false" ht="23.25" hidden="false" customHeight="true" outlineLevel="0" collapsed="false">
      <c r="A198" s="55" t="n">
        <v>197</v>
      </c>
      <c r="B198" s="55" t="s">
        <v>3328</v>
      </c>
      <c r="C198" s="55" t="str">
        <f aca="false">IF(02_Almuerzos!B106="","",02_Almuerzos!B106)</f>
        <v>Chifa</v>
      </c>
      <c r="D198" s="56" t="str">
        <f aca="false">IF(02_Almuerzos!C106="","",02_Almuerzos!C106)</f>
        <v>Kam lu wantán</v>
      </c>
      <c r="E198" s="56" t="str">
        <f aca="false">IF(02_Almuerzos!D106="","",02_Almuerzos!D106)</f>
        <v>Wantán con verduras y salsa</v>
      </c>
      <c r="F198" s="56" t="str">
        <f aca="false">IF(02_Almuerzos!E106="","",02_Almuerzos!E106)</f>
        <v>masa wantán, carne de cerdo, cebolla china, salsa tamarindo, aceite</v>
      </c>
      <c r="G198" s="55" t="str">
        <f aca="false">IF(02_Almuerzos!F106="","",02_Almuerzos!F106)</f>
        <v>Plato</v>
      </c>
      <c r="H198" s="55" t="str">
        <f aca="false">IF(02_Almuerzos!G106="","",02_Almuerzos!G106)</f>
        <v>Medio</v>
      </c>
      <c r="I198" s="58" t="n">
        <f aca="false">IF(02_Almuerzos!H106="","",02_Almuerzos!H106)</f>
        <v>15</v>
      </c>
      <c r="J198" s="58" t="n">
        <f aca="false">IF(02_Almuerzos!I106="","",02_Almuerzos!I106)</f>
        <v>25</v>
      </c>
      <c r="K198" s="58" t="n">
        <f aca="false">IF(02_Almuerzos!J106="","",02_Almuerzos!J106)</f>
        <v>20</v>
      </c>
      <c r="L198" s="58" t="n">
        <f aca="false">IF(02_Almuerzos!L106="","",02_Almuerzos!L106)</f>
        <v>21</v>
      </c>
      <c r="M198" s="58" t="n">
        <f aca="false">IF(02_Almuerzos!N106="","",02_Almuerzos!N106)</f>
        <v>2.2</v>
      </c>
      <c r="N198" s="58" t="n">
        <f aca="false">IF(02_Almuerzos!O106="","",02_Almuerzos!O106)</f>
        <v>17.8</v>
      </c>
      <c r="O198" s="55" t="str">
        <f aca="false">IF(02_Almuerzos!P106="","",02_Almuerzos!P106)</f>
        <v>12:00-15:00</v>
      </c>
      <c r="P198" s="55" t="n">
        <f aca="false">IF(02_Almuerzos!Q106="","",02_Almuerzos!Q106)</f>
        <v>14</v>
      </c>
      <c r="Q198" s="55" t="str">
        <f aca="false">IF(02_Almuerzos!R106="","",02_Almuerzos!R106)</f>
        <v>Medio</v>
      </c>
      <c r="R198" s="55" t="str">
        <f aca="false">IF(02_Almuerzos!S106="","",02_Almuerzos!S106)</f>
        <v>Todo el año</v>
      </c>
      <c r="S198" s="55" t="str">
        <f aca="false">IF(02_Almuerzos!T106="","",02_Almuerzos!T106)</f>
        <v>Chifa</v>
      </c>
      <c r="T198" s="56" t="str">
        <f aca="false">IF(02_Almuerzos!U106="","",02_Almuerzos!U106)</f>
        <v/>
      </c>
      <c r="U198" s="55" t="n">
        <v>106</v>
      </c>
      <c r="V198" s="55" t="n">
        <f aca="false">IF(AND(OR(LEN(13_Buscador!$C$5)=0,ISNUMBER(SEARCH(13_Buscador!$C$5,$C198&amp;" "&amp;$D198&amp;" "&amp;$E198&amp;" "&amp;$F198&amp;" "&amp;$S198))),OR(13_Buscador!$C$6="Todas las listas",LEN(13_Buscador!$C$6)=0,13_Buscador!$C$6=$B198)),1,0)</f>
        <v>0</v>
      </c>
      <c r="W198" s="55" t="str">
        <f aca="false">IF(V198=1,SUM($V$2:V198),"")</f>
        <v/>
      </c>
    </row>
    <row r="199" customFormat="false" ht="23.25" hidden="false" customHeight="true" outlineLevel="0" collapsed="false">
      <c r="A199" s="55" t="n">
        <v>198</v>
      </c>
      <c r="B199" s="55" t="s">
        <v>3328</v>
      </c>
      <c r="C199" s="55" t="str">
        <f aca="false">IF(02_Almuerzos!B107="","",02_Almuerzos!B107)</f>
        <v>Chifa</v>
      </c>
      <c r="D199" s="56" t="str">
        <f aca="false">IF(02_Almuerzos!C107="","",02_Almuerzos!C107)</f>
        <v>Arroz chaufa familiar</v>
      </c>
      <c r="E199" s="56" t="str">
        <f aca="false">IF(02_Almuerzos!D107="","",02_Almuerzos!D107)</f>
        <v>Porción para 3-4</v>
      </c>
      <c r="F199" s="56" t="str">
        <f aca="false">IF(02_Almuerzos!E107="","",02_Almuerzos!E107)</f>
        <v>arroz, huevo, cebolla china, sillao, aceite de ajonjolí, carne o pollo</v>
      </c>
      <c r="G199" s="55" t="str">
        <f aca="false">IF(02_Almuerzos!F107="","",02_Almuerzos!F107)</f>
        <v>Fuente</v>
      </c>
      <c r="H199" s="55" t="str">
        <f aca="false">IF(02_Almuerzos!G107="","",02_Almuerzos!G107)</f>
        <v>Medio</v>
      </c>
      <c r="I199" s="58" t="n">
        <f aca="false">IF(02_Almuerzos!H107="","",02_Almuerzos!H107)</f>
        <v>25</v>
      </c>
      <c r="J199" s="58" t="n">
        <f aca="false">IF(02_Almuerzos!I107="","",02_Almuerzos!I107)</f>
        <v>45</v>
      </c>
      <c r="K199" s="58" t="n">
        <f aca="false">IF(02_Almuerzos!J107="","",02_Almuerzos!J107)</f>
        <v>35</v>
      </c>
      <c r="L199" s="58" t="n">
        <f aca="false">IF(02_Almuerzos!L107="","",02_Almuerzos!L107)</f>
        <v>36</v>
      </c>
      <c r="M199" s="58" t="n">
        <f aca="false">IF(02_Almuerzos!N107="","",02_Almuerzos!N107)</f>
        <v>3.85</v>
      </c>
      <c r="N199" s="58" t="n">
        <f aca="false">IF(02_Almuerzos!O107="","",02_Almuerzos!O107)</f>
        <v>31.15</v>
      </c>
      <c r="O199" s="55" t="str">
        <f aca="false">IF(02_Almuerzos!P107="","",02_Almuerzos!P107)</f>
        <v>12:00-15:00</v>
      </c>
      <c r="P199" s="55" t="n">
        <f aca="false">IF(02_Almuerzos!Q107="","",02_Almuerzos!Q107)</f>
        <v>15</v>
      </c>
      <c r="Q199" s="55" t="str">
        <f aca="false">IF(02_Almuerzos!R107="","",02_Almuerzos!R107)</f>
        <v>Alto</v>
      </c>
      <c r="R199" s="55" t="str">
        <f aca="false">IF(02_Almuerzos!S107="","",02_Almuerzos!S107)</f>
        <v>Fin de semana</v>
      </c>
      <c r="S199" s="55" t="str">
        <f aca="false">IF(02_Almuerzos!T107="","",02_Almuerzos!T107)</f>
        <v>Chifa</v>
      </c>
      <c r="T199" s="56" t="str">
        <f aca="false">IF(02_Almuerzos!U107="","",02_Almuerzos!U107)</f>
        <v>Ticket alto para almuerzo familiar</v>
      </c>
      <c r="U199" s="55" t="n">
        <v>107</v>
      </c>
      <c r="V199" s="55" t="n">
        <f aca="false">IF(AND(OR(LEN(13_Buscador!$C$5)=0,ISNUMBER(SEARCH(13_Buscador!$C$5,$C199&amp;" "&amp;$D199&amp;" "&amp;$E199&amp;" "&amp;$F199&amp;" "&amp;$S199))),OR(13_Buscador!$C$6="Todas las listas",LEN(13_Buscador!$C$6)=0,13_Buscador!$C$6=$B199)),1,0)</f>
        <v>1</v>
      </c>
      <c r="W199" s="55" t="n">
        <f aca="false">IF(V199=1,SUM($V$2:V199),"")</f>
        <v>34</v>
      </c>
    </row>
    <row r="200" customFormat="false" ht="23.25" hidden="false" customHeight="true" outlineLevel="0" collapsed="false">
      <c r="A200" s="55" t="n">
        <v>199</v>
      </c>
      <c r="B200" s="55" t="s">
        <v>3328</v>
      </c>
      <c r="C200" s="55" t="str">
        <f aca="false">IF(02_Almuerzos!B108="","",02_Almuerzos!B108)</f>
        <v>Vegetariano</v>
      </c>
      <c r="D200" s="56" t="str">
        <f aca="false">IF(02_Almuerzos!C108="","",02_Almuerzos!C108)</f>
        <v>Quinua atamalada</v>
      </c>
      <c r="E200" s="56" t="str">
        <f aca="false">IF(02_Almuerzos!D108="","",02_Almuerzos!D108)</f>
        <v>Quinua guisada con queso</v>
      </c>
      <c r="F200" s="56" t="str">
        <f aca="false">IF(02_Almuerzos!E108="","",02_Almuerzos!E108)</f>
        <v>maíz pelado, carne de cerdo o pollo, ají, manteca, hoja de plátano</v>
      </c>
      <c r="G200" s="55" t="str">
        <f aca="false">IF(02_Almuerzos!F108="","",02_Almuerzos!F108)</f>
        <v>Plato</v>
      </c>
      <c r="H200" s="55" t="str">
        <f aca="false">IF(02_Almuerzos!G108="","",02_Almuerzos!G108)</f>
        <v>Estándar</v>
      </c>
      <c r="I200" s="58" t="n">
        <f aca="false">IF(02_Almuerzos!H108="","",02_Almuerzos!H108)</f>
        <v>9</v>
      </c>
      <c r="J200" s="58" t="n">
        <f aca="false">IF(02_Almuerzos!I108="","",02_Almuerzos!I108)</f>
        <v>16</v>
      </c>
      <c r="K200" s="58" t="n">
        <f aca="false">IF(02_Almuerzos!J108="","",02_Almuerzos!J108)</f>
        <v>12.5</v>
      </c>
      <c r="L200" s="58" t="n">
        <f aca="false">IF(02_Almuerzos!L108="","",02_Almuerzos!L108)</f>
        <v>13.5</v>
      </c>
      <c r="M200" s="58" t="n">
        <f aca="false">IF(02_Almuerzos!N108="","",02_Almuerzos!N108)</f>
        <v>1.13</v>
      </c>
      <c r="N200" s="58" t="n">
        <f aca="false">IF(02_Almuerzos!O108="","",02_Almuerzos!O108)</f>
        <v>11.37</v>
      </c>
      <c r="O200" s="55" t="str">
        <f aca="false">IF(02_Almuerzos!P108="","",02_Almuerzos!P108)</f>
        <v>12:00-15:00</v>
      </c>
      <c r="P200" s="55" t="n">
        <f aca="false">IF(02_Almuerzos!Q108="","",02_Almuerzos!Q108)</f>
        <v>12</v>
      </c>
      <c r="Q200" s="55" t="str">
        <f aca="false">IF(02_Almuerzos!R108="","",02_Almuerzos!R108)</f>
        <v>Alto</v>
      </c>
      <c r="R200" s="55" t="str">
        <f aca="false">IF(02_Almuerzos!S108="","",02_Almuerzos!S108)</f>
        <v>Todo el año</v>
      </c>
      <c r="S200" s="55" t="str">
        <f aca="false">IF(02_Almuerzos!T108="","",02_Almuerzos!T108)</f>
        <v>Vegetariano, regional</v>
      </c>
      <c r="T200" s="56" t="str">
        <f aca="false">IF(02_Almuerzos!U108="","",02_Almuerzos!U108)</f>
        <v/>
      </c>
      <c r="U200" s="55" t="n">
        <v>108</v>
      </c>
      <c r="V200" s="55" t="n">
        <f aca="false">IF(AND(OR(LEN(13_Buscador!$C$5)=0,ISNUMBER(SEARCH(13_Buscador!$C$5,$C200&amp;" "&amp;$D200&amp;" "&amp;$E200&amp;" "&amp;$F200&amp;" "&amp;$S200))),OR(13_Buscador!$C$6="Todas las listas",LEN(13_Buscador!$C$6)=0,13_Buscador!$C$6=$B200)),1,0)</f>
        <v>1</v>
      </c>
      <c r="W200" s="55" t="n">
        <f aca="false">IF(V200=1,SUM($V$2:V200),"")</f>
        <v>35</v>
      </c>
    </row>
    <row r="201" customFormat="false" ht="23.25" hidden="false" customHeight="true" outlineLevel="0" collapsed="false">
      <c r="A201" s="55" t="n">
        <v>200</v>
      </c>
      <c r="B201" s="55" t="s">
        <v>3328</v>
      </c>
      <c r="C201" s="55" t="str">
        <f aca="false">IF(02_Almuerzos!B109="","",02_Almuerzos!B109)</f>
        <v>Vegetariano</v>
      </c>
      <c r="D201" s="56" t="str">
        <f aca="false">IF(02_Almuerzos!C109="","",02_Almuerzos!C109)</f>
        <v>Milanesa de soya</v>
      </c>
      <c r="E201" s="56" t="str">
        <f aca="false">IF(02_Almuerzos!D109="","",02_Almuerzos!D109)</f>
        <v>Soya apanada, arroz</v>
      </c>
      <c r="F201" s="56" t="str">
        <f aca="false">IF(02_Almuerzos!E109="","",02_Almuerzos!E109)</f>
        <v>carne o pollo, huevo, pan molido, harina, aceite, arroz, papas</v>
      </c>
      <c r="G201" s="55" t="str">
        <f aca="false">IF(02_Almuerzos!F109="","",02_Almuerzos!F109)</f>
        <v>Plato</v>
      </c>
      <c r="H201" s="55" t="str">
        <f aca="false">IF(02_Almuerzos!G109="","",02_Almuerzos!G109)</f>
        <v>Estándar</v>
      </c>
      <c r="I201" s="58" t="n">
        <f aca="false">IF(02_Almuerzos!H109="","",02_Almuerzos!H109)</f>
        <v>9</v>
      </c>
      <c r="J201" s="58" t="n">
        <f aca="false">IF(02_Almuerzos!I109="","",02_Almuerzos!I109)</f>
        <v>15</v>
      </c>
      <c r="K201" s="58" t="n">
        <f aca="false">IF(02_Almuerzos!J109="","",02_Almuerzos!J109)</f>
        <v>12</v>
      </c>
      <c r="L201" s="58" t="n">
        <f aca="false">IF(02_Almuerzos!L109="","",02_Almuerzos!L109)</f>
        <v>13</v>
      </c>
      <c r="M201" s="58" t="n">
        <f aca="false">IF(02_Almuerzos!N109="","",02_Almuerzos!N109)</f>
        <v>1.08</v>
      </c>
      <c r="N201" s="58" t="n">
        <f aca="false">IF(02_Almuerzos!O109="","",02_Almuerzos!O109)</f>
        <v>10.92</v>
      </c>
      <c r="O201" s="55" t="str">
        <f aca="false">IF(02_Almuerzos!P109="","",02_Almuerzos!P109)</f>
        <v>12:00-15:00</v>
      </c>
      <c r="P201" s="55" t="n">
        <f aca="false">IF(02_Almuerzos!Q109="","",02_Almuerzos!Q109)</f>
        <v>10</v>
      </c>
      <c r="Q201" s="55" t="str">
        <f aca="false">IF(02_Almuerzos!R109="","",02_Almuerzos!R109)</f>
        <v>Alto</v>
      </c>
      <c r="R201" s="55" t="str">
        <f aca="false">IF(02_Almuerzos!S109="","",02_Almuerzos!S109)</f>
        <v>Todo el año</v>
      </c>
      <c r="S201" s="55" t="str">
        <f aca="false">IF(02_Almuerzos!T109="","",02_Almuerzos!T109)</f>
        <v>Vegetariano</v>
      </c>
      <c r="T201" s="56" t="str">
        <f aca="false">IF(02_Almuerzos!U109="","",02_Almuerzos!U109)</f>
        <v/>
      </c>
      <c r="U201" s="55" t="n">
        <v>109</v>
      </c>
      <c r="V201" s="55" t="n">
        <f aca="false">IF(AND(OR(LEN(13_Buscador!$C$5)=0,ISNUMBER(SEARCH(13_Buscador!$C$5,$C201&amp;" "&amp;$D201&amp;" "&amp;$E201&amp;" "&amp;$F201&amp;" "&amp;$S201))),OR(13_Buscador!$C$6="Todas las listas",LEN(13_Buscador!$C$6)=0,13_Buscador!$C$6=$B201)),1,0)</f>
        <v>1</v>
      </c>
      <c r="W201" s="55" t="n">
        <f aca="false">IF(V201=1,SUM($V$2:V201),"")</f>
        <v>36</v>
      </c>
    </row>
    <row r="202" customFormat="false" ht="23.25" hidden="false" customHeight="true" outlineLevel="0" collapsed="false">
      <c r="A202" s="55" t="n">
        <v>201</v>
      </c>
      <c r="B202" s="55" t="s">
        <v>3328</v>
      </c>
      <c r="C202" s="55" t="str">
        <f aca="false">IF(02_Almuerzos!B110="","",02_Almuerzos!B110)</f>
        <v>Vegetariano</v>
      </c>
      <c r="D202" s="56" t="str">
        <f aca="false">IF(02_Almuerzos!C110="","",02_Almuerzos!C110)</f>
        <v>Ají de soya</v>
      </c>
      <c r="E202" s="56" t="str">
        <f aca="false">IF(02_Almuerzos!D110="","",02_Almuerzos!D110)</f>
        <v>Versión sin carne del ají de gallina</v>
      </c>
      <c r="F202" s="56" t="str">
        <f aca="false">IF(02_Almuerzos!E110="","",02_Almuerzos!E110)</f>
        <v>soya texturizada, ají amarillo, pan, leche, nueces, papa, arroz</v>
      </c>
      <c r="G202" s="55" t="str">
        <f aca="false">IF(02_Almuerzos!F110="","",02_Almuerzos!F110)</f>
        <v>Plato</v>
      </c>
      <c r="H202" s="55" t="str">
        <f aca="false">IF(02_Almuerzos!G110="","",02_Almuerzos!G110)</f>
        <v>Estándar</v>
      </c>
      <c r="I202" s="58" t="n">
        <f aca="false">IF(02_Almuerzos!H110="","",02_Almuerzos!H110)</f>
        <v>9</v>
      </c>
      <c r="J202" s="58" t="n">
        <f aca="false">IF(02_Almuerzos!I110="","",02_Almuerzos!I110)</f>
        <v>16</v>
      </c>
      <c r="K202" s="58" t="n">
        <f aca="false">IF(02_Almuerzos!J110="","",02_Almuerzos!J110)</f>
        <v>12.5</v>
      </c>
      <c r="L202" s="58" t="n">
        <f aca="false">IF(02_Almuerzos!L110="","",02_Almuerzos!L110)</f>
        <v>13.5</v>
      </c>
      <c r="M202" s="58" t="n">
        <f aca="false">IF(02_Almuerzos!N110="","",02_Almuerzos!N110)</f>
        <v>1.13</v>
      </c>
      <c r="N202" s="58" t="n">
        <f aca="false">IF(02_Almuerzos!O110="","",02_Almuerzos!O110)</f>
        <v>11.37</v>
      </c>
      <c r="O202" s="55" t="str">
        <f aca="false">IF(02_Almuerzos!P110="","",02_Almuerzos!P110)</f>
        <v>12:00-15:00</v>
      </c>
      <c r="P202" s="55" t="n">
        <f aca="false">IF(02_Almuerzos!Q110="","",02_Almuerzos!Q110)</f>
        <v>10</v>
      </c>
      <c r="Q202" s="55" t="str">
        <f aca="false">IF(02_Almuerzos!R110="","",02_Almuerzos!R110)</f>
        <v>Alto</v>
      </c>
      <c r="R202" s="55" t="str">
        <f aca="false">IF(02_Almuerzos!S110="","",02_Almuerzos!S110)</f>
        <v>Todo el año</v>
      </c>
      <c r="S202" s="55" t="str">
        <f aca="false">IF(02_Almuerzos!T110="","",02_Almuerzos!T110)</f>
        <v>Vegetariano</v>
      </c>
      <c r="T202" s="56" t="str">
        <f aca="false">IF(02_Almuerzos!U110="","",02_Almuerzos!U110)</f>
        <v/>
      </c>
      <c r="U202" s="55" t="n">
        <v>110</v>
      </c>
      <c r="V202" s="55" t="n">
        <f aca="false">IF(AND(OR(LEN(13_Buscador!$C$5)=0,ISNUMBER(SEARCH(13_Buscador!$C$5,$C202&amp;" "&amp;$D202&amp;" "&amp;$E202&amp;" "&amp;$F202&amp;" "&amp;$S202))),OR(13_Buscador!$C$6="Todas las listas",LEN(13_Buscador!$C$6)=0,13_Buscador!$C$6=$B202)),1,0)</f>
        <v>0</v>
      </c>
      <c r="W202" s="55" t="str">
        <f aca="false">IF(V202=1,SUM($V$2:V202),"")</f>
        <v/>
      </c>
    </row>
    <row r="203" customFormat="false" ht="15" hidden="false" customHeight="true" outlineLevel="0" collapsed="false">
      <c r="A203" s="55" t="n">
        <v>202</v>
      </c>
      <c r="B203" s="55" t="s">
        <v>3328</v>
      </c>
      <c r="C203" s="55" t="str">
        <f aca="false">IF(02_Almuerzos!B111="","",02_Almuerzos!B111)</f>
        <v>Vegetariano</v>
      </c>
      <c r="D203" s="56" t="str">
        <f aca="false">IF(02_Almuerzos!C111="","",02_Almuerzos!C111)</f>
        <v>Ensalada mixta grande</v>
      </c>
      <c r="E203" s="56" t="str">
        <f aca="false">IF(02_Almuerzos!D111="","",02_Almuerzos!D111)</f>
        <v>Verduras, palta, huevo</v>
      </c>
      <c r="F203" s="56" t="str">
        <f aca="false">IF(02_Almuerzos!E111="","",02_Almuerzos!E111)</f>
        <v>verduras frescas de estación, limón, aceite, sal</v>
      </c>
      <c r="G203" s="55" t="str">
        <f aca="false">IF(02_Almuerzos!F111="","",02_Almuerzos!F111)</f>
        <v>Plato</v>
      </c>
      <c r="H203" s="55" t="str">
        <f aca="false">IF(02_Almuerzos!G111="","",02_Almuerzos!G111)</f>
        <v>Económico</v>
      </c>
      <c r="I203" s="58" t="n">
        <f aca="false">IF(02_Almuerzos!H111="","",02_Almuerzos!H111)</f>
        <v>8</v>
      </c>
      <c r="J203" s="58" t="n">
        <f aca="false">IF(02_Almuerzos!I111="","",02_Almuerzos!I111)</f>
        <v>15</v>
      </c>
      <c r="K203" s="58" t="n">
        <f aca="false">IF(02_Almuerzos!J111="","",02_Almuerzos!J111)</f>
        <v>11.5</v>
      </c>
      <c r="L203" s="58" t="n">
        <f aca="false">IF(02_Almuerzos!L111="","",02_Almuerzos!L111)</f>
        <v>12.5</v>
      </c>
      <c r="M203" s="58" t="n">
        <f aca="false">IF(02_Almuerzos!N111="","",02_Almuerzos!N111)</f>
        <v>0.81</v>
      </c>
      <c r="N203" s="58" t="n">
        <f aca="false">IF(02_Almuerzos!O111="","",02_Almuerzos!O111)</f>
        <v>10.69</v>
      </c>
      <c r="O203" s="55" t="str">
        <f aca="false">IF(02_Almuerzos!P111="","",02_Almuerzos!P111)</f>
        <v>12:00-15:00</v>
      </c>
      <c r="P203" s="55" t="n">
        <f aca="false">IF(02_Almuerzos!Q111="","",02_Almuerzos!Q111)</f>
        <v>6</v>
      </c>
      <c r="Q203" s="55" t="str">
        <f aca="false">IF(02_Almuerzos!R111="","",02_Almuerzos!R111)</f>
        <v>Alto</v>
      </c>
      <c r="R203" s="55" t="str">
        <f aca="false">IF(02_Almuerzos!S111="","",02_Almuerzos!S111)</f>
        <v>Todo el año</v>
      </c>
      <c r="S203" s="55" t="str">
        <f aca="false">IF(02_Almuerzos!T111="","",02_Almuerzos!T111)</f>
        <v>Saludable</v>
      </c>
      <c r="T203" s="56" t="str">
        <f aca="false">IF(02_Almuerzos!U111="","",02_Almuerzos!U111)</f>
        <v/>
      </c>
      <c r="U203" s="55" t="n">
        <v>111</v>
      </c>
      <c r="V203" s="55" t="n">
        <f aca="false">IF(AND(OR(LEN(13_Buscador!$C$5)=0,ISNUMBER(SEARCH(13_Buscador!$C$5,$C203&amp;" "&amp;$D203&amp;" "&amp;$E203&amp;" "&amp;$F203&amp;" "&amp;$S203))),OR(13_Buscador!$C$6="Todas las listas",LEN(13_Buscador!$C$6)=0,13_Buscador!$C$6=$B203)),1,0)</f>
        <v>0</v>
      </c>
      <c r="W203" s="55" t="str">
        <f aca="false">IF(V203=1,SUM($V$2:V203),"")</f>
        <v/>
      </c>
    </row>
    <row r="204" customFormat="false" ht="15" hidden="false" customHeight="true" outlineLevel="0" collapsed="false">
      <c r="A204" s="55" t="n">
        <v>203</v>
      </c>
      <c r="B204" s="55" t="s">
        <v>3328</v>
      </c>
      <c r="C204" s="55" t="str">
        <f aca="false">IF(02_Almuerzos!B112="","",02_Almuerzos!B112)</f>
        <v>Acompañamientos</v>
      </c>
      <c r="D204" s="56" t="str">
        <f aca="false">IF(02_Almuerzos!C112="","",02_Almuerzos!C112)</f>
        <v>Porción de chuño</v>
      </c>
      <c r="E204" s="56" t="str">
        <f aca="false">IF(02_Almuerzos!D112="","",02_Almuerzos!D112)</f>
        <v>Chuño cocido</v>
      </c>
      <c r="F204" s="56" t="str">
        <f aca="false">IF(02_Almuerzos!E112="","",02_Almuerzos!E112)</f>
        <v>chuño cocido, sal</v>
      </c>
      <c r="G204" s="55" t="str">
        <f aca="false">IF(02_Almuerzos!F112="","",02_Almuerzos!F112)</f>
        <v>Porción</v>
      </c>
      <c r="H204" s="55" t="str">
        <f aca="false">IF(02_Almuerzos!G112="","",02_Almuerzos!G112)</f>
        <v>Económico</v>
      </c>
      <c r="I204" s="58" t="n">
        <f aca="false">IF(02_Almuerzos!H112="","",02_Almuerzos!H112)</f>
        <v>3</v>
      </c>
      <c r="J204" s="58" t="n">
        <f aca="false">IF(02_Almuerzos!I112="","",02_Almuerzos!I112)</f>
        <v>6</v>
      </c>
      <c r="K204" s="58" t="n">
        <f aca="false">IF(02_Almuerzos!J112="","",02_Almuerzos!J112)</f>
        <v>4.5</v>
      </c>
      <c r="L204" s="58" t="n">
        <f aca="false">IF(02_Almuerzos!L112="","",02_Almuerzos!L112)</f>
        <v>5.5</v>
      </c>
      <c r="M204" s="58" t="n">
        <f aca="false">IF(02_Almuerzos!N112="","",02_Almuerzos!N112)</f>
        <v>0.32</v>
      </c>
      <c r="N204" s="58" t="n">
        <f aca="false">IF(02_Almuerzos!O112="","",02_Almuerzos!O112)</f>
        <v>4.18</v>
      </c>
      <c r="O204" s="55" t="str">
        <f aca="false">IF(02_Almuerzos!P112="","",02_Almuerzos!P112)</f>
        <v>12:00-16:00</v>
      </c>
      <c r="P204" s="55" t="n">
        <f aca="false">IF(02_Almuerzos!Q112="","",02_Almuerzos!Q112)</f>
        <v>3</v>
      </c>
      <c r="Q204" s="55" t="str">
        <f aca="false">IF(02_Almuerzos!R112="","",02_Almuerzos!R112)</f>
        <v>Alto</v>
      </c>
      <c r="R204" s="55" t="str">
        <f aca="false">IF(02_Almuerzos!S112="","",02_Almuerzos!S112)</f>
        <v>Todo el año</v>
      </c>
      <c r="S204" s="55" t="str">
        <f aca="false">IF(02_Almuerzos!T112="","",02_Almuerzos!T112)</f>
        <v>Regional</v>
      </c>
      <c r="T204" s="56" t="str">
        <f aca="false">IF(02_Almuerzos!U112="","",02_Almuerzos!U112)</f>
        <v/>
      </c>
      <c r="U204" s="55" t="n">
        <v>112</v>
      </c>
      <c r="V204" s="55" t="n">
        <f aca="false">IF(AND(OR(LEN(13_Buscador!$C$5)=0,ISNUMBER(SEARCH(13_Buscador!$C$5,$C204&amp;" "&amp;$D204&amp;" "&amp;$E204&amp;" "&amp;$F204&amp;" "&amp;$S204))),OR(13_Buscador!$C$6="Todas las listas",LEN(13_Buscador!$C$6)=0,13_Buscador!$C$6=$B204)),1,0)</f>
        <v>0</v>
      </c>
      <c r="W204" s="55" t="str">
        <f aca="false">IF(V204=1,SUM($V$2:V204),"")</f>
        <v/>
      </c>
    </row>
    <row r="205" customFormat="false" ht="15" hidden="false" customHeight="true" outlineLevel="0" collapsed="false">
      <c r="A205" s="55" t="n">
        <v>204</v>
      </c>
      <c r="B205" s="55" t="s">
        <v>3328</v>
      </c>
      <c r="C205" s="55" t="str">
        <f aca="false">IF(02_Almuerzos!B113="","",02_Almuerzos!B113)</f>
        <v>Acompañamientos</v>
      </c>
      <c r="D205" s="56" t="str">
        <f aca="false">IF(02_Almuerzos!C113="","",02_Almuerzos!C113)</f>
        <v>Porción de queso frito</v>
      </c>
      <c r="E205" s="56" t="str">
        <f aca="false">IF(02_Almuerzos!D113="","",02_Almuerzos!D113)</f>
        <v>Queso local frito</v>
      </c>
      <c r="F205" s="56" t="str">
        <f aca="false">IF(02_Almuerzos!E113="","",02_Almuerzos!E113)</f>
        <v>queso fresco, aceite</v>
      </c>
      <c r="G205" s="55" t="str">
        <f aca="false">IF(02_Almuerzos!F113="","",02_Almuerzos!F113)</f>
        <v>Porción</v>
      </c>
      <c r="H205" s="55" t="str">
        <f aca="false">IF(02_Almuerzos!G113="","",02_Almuerzos!G113)</f>
        <v>Económico</v>
      </c>
      <c r="I205" s="58" t="n">
        <f aca="false">IF(02_Almuerzos!H113="","",02_Almuerzos!H113)</f>
        <v>4</v>
      </c>
      <c r="J205" s="58" t="n">
        <f aca="false">IF(02_Almuerzos!I113="","",02_Almuerzos!I113)</f>
        <v>9</v>
      </c>
      <c r="K205" s="58" t="n">
        <f aca="false">IF(02_Almuerzos!J113="","",02_Almuerzos!J113)</f>
        <v>6.5</v>
      </c>
      <c r="L205" s="58" t="n">
        <f aca="false">IF(02_Almuerzos!L113="","",02_Almuerzos!L113)</f>
        <v>7.5</v>
      </c>
      <c r="M205" s="58" t="n">
        <f aca="false">IF(02_Almuerzos!N113="","",02_Almuerzos!N113)</f>
        <v>0.46</v>
      </c>
      <c r="N205" s="58" t="n">
        <f aca="false">IF(02_Almuerzos!O113="","",02_Almuerzos!O113)</f>
        <v>6.04</v>
      </c>
      <c r="O205" s="55" t="str">
        <f aca="false">IF(02_Almuerzos!P113="","",02_Almuerzos!P113)</f>
        <v>12:00-16:00</v>
      </c>
      <c r="P205" s="55" t="n">
        <f aca="false">IF(02_Almuerzos!Q113="","",02_Almuerzos!Q113)</f>
        <v>5</v>
      </c>
      <c r="Q205" s="55" t="str">
        <f aca="false">IF(02_Almuerzos!R113="","",02_Almuerzos!R113)</f>
        <v>Alto</v>
      </c>
      <c r="R205" s="55" t="str">
        <f aca="false">IF(02_Almuerzos!S113="","",02_Almuerzos!S113)</f>
        <v>Todo el año</v>
      </c>
      <c r="S205" s="55" t="str">
        <f aca="false">IF(02_Almuerzos!T113="","",02_Almuerzos!T113)</f>
        <v>Regional</v>
      </c>
      <c r="T205" s="56" t="str">
        <f aca="false">IF(02_Almuerzos!U113="","",02_Almuerzos!U113)</f>
        <v/>
      </c>
      <c r="U205" s="55" t="n">
        <v>113</v>
      </c>
      <c r="V205" s="55" t="n">
        <f aca="false">IF(AND(OR(LEN(13_Buscador!$C$5)=0,ISNUMBER(SEARCH(13_Buscador!$C$5,$C205&amp;" "&amp;$D205&amp;" "&amp;$E205&amp;" "&amp;$F205&amp;" "&amp;$S205))),OR(13_Buscador!$C$6="Todas las listas",LEN(13_Buscador!$C$6)=0,13_Buscador!$C$6=$B205)),1,0)</f>
        <v>0</v>
      </c>
      <c r="W205" s="55" t="str">
        <f aca="false">IF(V205=1,SUM($V$2:V205),"")</f>
        <v/>
      </c>
    </row>
    <row r="206" customFormat="false" ht="15" hidden="false" customHeight="true" outlineLevel="0" collapsed="false">
      <c r="A206" s="55" t="n">
        <v>205</v>
      </c>
      <c r="B206" s="55" t="s">
        <v>3328</v>
      </c>
      <c r="C206" s="55" t="str">
        <f aca="false">IF(02_Almuerzos!B114="","",02_Almuerzos!B114)</f>
        <v>Acompañamientos</v>
      </c>
      <c r="D206" s="56" t="str">
        <f aca="false">IF(02_Almuerzos!C114="","",02_Almuerzos!C114)</f>
        <v>Porción de yuca frita</v>
      </c>
      <c r="E206" s="56" t="str">
        <f aca="false">IF(02_Almuerzos!D114="","",02_Almuerzos!D114)</f>
        <v>Yuca frita</v>
      </c>
      <c r="F206" s="56" t="str">
        <f aca="false">IF(02_Almuerzos!E114="","",02_Almuerzos!E114)</f>
        <v>yuca, aceite, sal, queso</v>
      </c>
      <c r="G206" s="55" t="str">
        <f aca="false">IF(02_Almuerzos!F114="","",02_Almuerzos!F114)</f>
        <v>Porción</v>
      </c>
      <c r="H206" s="55" t="str">
        <f aca="false">IF(02_Almuerzos!G114="","",02_Almuerzos!G114)</f>
        <v>Económico</v>
      </c>
      <c r="I206" s="58" t="n">
        <f aca="false">IF(02_Almuerzos!H114="","",02_Almuerzos!H114)</f>
        <v>4</v>
      </c>
      <c r="J206" s="58" t="n">
        <f aca="false">IF(02_Almuerzos!I114="","",02_Almuerzos!I114)</f>
        <v>8</v>
      </c>
      <c r="K206" s="58" t="n">
        <f aca="false">IF(02_Almuerzos!J114="","",02_Almuerzos!J114)</f>
        <v>6</v>
      </c>
      <c r="L206" s="58" t="n">
        <f aca="false">IF(02_Almuerzos!L114="","",02_Almuerzos!L114)</f>
        <v>7</v>
      </c>
      <c r="M206" s="58" t="n">
        <f aca="false">IF(02_Almuerzos!N114="","",02_Almuerzos!N114)</f>
        <v>0.42</v>
      </c>
      <c r="N206" s="58" t="n">
        <f aca="false">IF(02_Almuerzos!O114="","",02_Almuerzos!O114)</f>
        <v>5.58</v>
      </c>
      <c r="O206" s="55" t="str">
        <f aca="false">IF(02_Almuerzos!P114="","",02_Almuerzos!P114)</f>
        <v>12:00-20:00</v>
      </c>
      <c r="P206" s="55" t="n">
        <f aca="false">IF(02_Almuerzos!Q114="","",02_Almuerzos!Q114)</f>
        <v>6</v>
      </c>
      <c r="Q206" s="55" t="str">
        <f aca="false">IF(02_Almuerzos!R114="","",02_Almuerzos!R114)</f>
        <v>Medio</v>
      </c>
      <c r="R206" s="55" t="str">
        <f aca="false">IF(02_Almuerzos!S114="","",02_Almuerzos!S114)</f>
        <v>Todo el año</v>
      </c>
      <c r="S206" s="55" t="str">
        <f aca="false">IF(02_Almuerzos!T114="","",02_Almuerzos!T114)</f>
        <v>Todos</v>
      </c>
      <c r="T206" s="56" t="str">
        <f aca="false">IF(02_Almuerzos!U114="","",02_Almuerzos!U114)</f>
        <v/>
      </c>
      <c r="U206" s="55" t="n">
        <v>114</v>
      </c>
      <c r="V206" s="55" t="n">
        <f aca="false">IF(AND(OR(LEN(13_Buscador!$C$5)=0,ISNUMBER(SEARCH(13_Buscador!$C$5,$C206&amp;" "&amp;$D206&amp;" "&amp;$E206&amp;" "&amp;$F206&amp;" "&amp;$S206))),OR(13_Buscador!$C$6="Todas las listas",LEN(13_Buscador!$C$6)=0,13_Buscador!$C$6=$B206)),1,0)</f>
        <v>0</v>
      </c>
      <c r="W206" s="55" t="str">
        <f aca="false">IF(V206=1,SUM($V$2:V206),"")</f>
        <v/>
      </c>
    </row>
    <row r="207" customFormat="false" ht="23.25" hidden="false" customHeight="true" outlineLevel="0" collapsed="false">
      <c r="A207" s="55" t="n">
        <v>206</v>
      </c>
      <c r="B207" s="55" t="s">
        <v>3328</v>
      </c>
      <c r="C207" s="55" t="str">
        <f aca="false">IF(02_Almuerzos!B115="","",02_Almuerzos!B115)</f>
        <v>Acompañamientos</v>
      </c>
      <c r="D207" s="56" t="str">
        <f aca="false">IF(02_Almuerzos!C115="","",02_Almuerzos!C115)</f>
        <v>Táper adicional</v>
      </c>
      <c r="E207" s="56" t="str">
        <f aca="false">IF(02_Almuerzos!D115="","",02_Almuerzos!D115)</f>
        <v>Envase extra</v>
      </c>
      <c r="F207" s="56" t="str">
        <f aca="false">IF(02_Almuerzos!E115="","",02_Almuerzos!E115)</f>
        <v>envase descartable</v>
      </c>
      <c r="G207" s="55" t="str">
        <f aca="false">IF(02_Almuerzos!F115="","",02_Almuerzos!F115)</f>
        <v>Unidad</v>
      </c>
      <c r="H207" s="55" t="str">
        <f aca="false">IF(02_Almuerzos!G115="","",02_Almuerzos!G115)</f>
        <v>Económico</v>
      </c>
      <c r="I207" s="58" t="n">
        <f aca="false">IF(02_Almuerzos!H115="","",02_Almuerzos!H115)</f>
        <v>1</v>
      </c>
      <c r="J207" s="58" t="n">
        <f aca="false">IF(02_Almuerzos!I115="","",02_Almuerzos!I115)</f>
        <v>2</v>
      </c>
      <c r="K207" s="58" t="n">
        <f aca="false">IF(02_Almuerzos!J115="","",02_Almuerzos!J115)</f>
        <v>1.5</v>
      </c>
      <c r="L207" s="58" t="n">
        <f aca="false">IF(02_Almuerzos!L115="","",02_Almuerzos!L115)</f>
        <v>2.5</v>
      </c>
      <c r="M207" s="58" t="n">
        <f aca="false">IF(02_Almuerzos!N115="","",02_Almuerzos!N115)</f>
        <v>0.11</v>
      </c>
      <c r="N207" s="58" t="n">
        <f aca="false">IF(02_Almuerzos!O115="","",02_Almuerzos!O115)</f>
        <v>1.39</v>
      </c>
      <c r="O207" s="55" t="str">
        <f aca="false">IF(02_Almuerzos!P115="","",02_Almuerzos!P115)</f>
        <v>Todo el día</v>
      </c>
      <c r="P207" s="55" t="n">
        <f aca="false">IF(02_Almuerzos!Q115="","",02_Almuerzos!Q115)</f>
        <v>1</v>
      </c>
      <c r="Q207" s="55" t="str">
        <f aca="false">IF(02_Almuerzos!R115="","",02_Almuerzos!R115)</f>
        <v>Alto</v>
      </c>
      <c r="R207" s="55" t="str">
        <f aca="false">IF(02_Almuerzos!S115="","",02_Almuerzos!S115)</f>
        <v>Todo el año</v>
      </c>
      <c r="S207" s="55" t="str">
        <f aca="false">IF(02_Almuerzos!T115="","",02_Almuerzos!T115)</f>
        <v>Todos</v>
      </c>
      <c r="T207" s="56" t="str">
        <f aca="false">IF(02_Almuerzos!U115="","",02_Almuerzos!U115)</f>
        <v>Cobrarlo aparte evita que el restaurante suba el precio del plato</v>
      </c>
      <c r="U207" s="55" t="n">
        <v>115</v>
      </c>
      <c r="V207" s="55" t="n">
        <f aca="false">IF(AND(OR(LEN(13_Buscador!$C$5)=0,ISNUMBER(SEARCH(13_Buscador!$C$5,$C207&amp;" "&amp;$D207&amp;" "&amp;$E207&amp;" "&amp;$F207&amp;" "&amp;$S207))),OR(13_Buscador!$C$6="Todas las listas",LEN(13_Buscador!$C$6)=0,13_Buscador!$C$6=$B207)),1,0)</f>
        <v>0</v>
      </c>
      <c r="W207" s="55" t="str">
        <f aca="false">IF(V207=1,SUM($V$2:V207),"")</f>
        <v/>
      </c>
    </row>
    <row r="208" customFormat="false" ht="15" hidden="false" customHeight="true" outlineLevel="0" collapsed="false">
      <c r="A208" s="55" t="n">
        <v>207</v>
      </c>
      <c r="B208" s="55" t="s">
        <v>3328</v>
      </c>
      <c r="C208" s="55" t="str">
        <f aca="false">IF(02_Almuerzos!B116="","",02_Almuerzos!B116)</f>
        <v>Menú del día</v>
      </c>
      <c r="D208" s="56" t="str">
        <f aca="false">IF(02_Almuerzos!C116="","",02_Almuerzos!C116)</f>
        <v>Menú de tres tiempos</v>
      </c>
      <c r="E208" s="56" t="str">
        <f aca="false">IF(02_Almuerzos!D116="","",02_Almuerzos!D116)</f>
        <v>Entrada + segundo + postre</v>
      </c>
      <c r="F208" s="56" t="str">
        <f aca="false">IF(02_Almuerzos!E116="","",02_Almuerzos!E116)</f>
        <v>sopa del día, segundo del día, refresco o bebida</v>
      </c>
      <c r="G208" s="55" t="str">
        <f aca="false">IF(02_Almuerzos!F116="","",02_Almuerzos!F116)</f>
        <v>Bandeja</v>
      </c>
      <c r="H208" s="55" t="str">
        <f aca="false">IF(02_Almuerzos!G116="","",02_Almuerzos!G116)</f>
        <v>Estándar</v>
      </c>
      <c r="I208" s="58" t="n">
        <f aca="false">IF(02_Almuerzos!H116="","",02_Almuerzos!H116)</f>
        <v>13</v>
      </c>
      <c r="J208" s="58" t="n">
        <f aca="false">IF(02_Almuerzos!I116="","",02_Almuerzos!I116)</f>
        <v>20</v>
      </c>
      <c r="K208" s="58" t="n">
        <f aca="false">IF(02_Almuerzos!J116="","",02_Almuerzos!J116)</f>
        <v>16.5</v>
      </c>
      <c r="L208" s="58" t="n">
        <f aca="false">IF(02_Almuerzos!L116="","",02_Almuerzos!L116)</f>
        <v>17.5</v>
      </c>
      <c r="M208" s="58" t="n">
        <f aca="false">IF(02_Almuerzos!N116="","",02_Almuerzos!N116)</f>
        <v>1.49</v>
      </c>
      <c r="N208" s="58" t="n">
        <f aca="false">IF(02_Almuerzos!O116="","",02_Almuerzos!O116)</f>
        <v>15.01</v>
      </c>
      <c r="O208" s="55" t="str">
        <f aca="false">IF(02_Almuerzos!P116="","",02_Almuerzos!P116)</f>
        <v>12:00-14:30</v>
      </c>
      <c r="P208" s="55" t="n">
        <f aca="false">IF(02_Almuerzos!Q116="","",02_Almuerzos!Q116)</f>
        <v>12</v>
      </c>
      <c r="Q208" s="55" t="str">
        <f aca="false">IF(02_Almuerzos!R116="","",02_Almuerzos!R116)</f>
        <v>Alto</v>
      </c>
      <c r="R208" s="55" t="str">
        <f aca="false">IF(02_Almuerzos!S116="","",02_Almuerzos!S116)</f>
        <v>Todo el año</v>
      </c>
      <c r="S208" s="55" t="str">
        <f aca="false">IF(02_Almuerzos!T116="","",02_Almuerzos!T116)</f>
        <v>Menú, restaurante</v>
      </c>
      <c r="T208" s="56" t="str">
        <f aca="false">IF(02_Almuerzos!U116="","",02_Almuerzos!U116)</f>
        <v/>
      </c>
      <c r="U208" s="55" t="n">
        <v>116</v>
      </c>
      <c r="V208" s="55" t="n">
        <f aca="false">IF(AND(OR(LEN(13_Buscador!$C$5)=0,ISNUMBER(SEARCH(13_Buscador!$C$5,$C208&amp;" "&amp;$D208&amp;" "&amp;$E208&amp;" "&amp;$F208&amp;" "&amp;$S208))),OR(13_Buscador!$C$6="Todas las listas",LEN(13_Buscador!$C$6)=0,13_Buscador!$C$6=$B208)),1,0)</f>
        <v>0</v>
      </c>
      <c r="W208" s="55" t="str">
        <f aca="false">IF(V208=1,SUM($V$2:V208),"")</f>
        <v/>
      </c>
    </row>
    <row r="209" customFormat="false" ht="15" hidden="false" customHeight="true" outlineLevel="0" collapsed="false">
      <c r="A209" s="55" t="n">
        <v>208</v>
      </c>
      <c r="B209" s="55" t="s">
        <v>3328</v>
      </c>
      <c r="C209" s="55" t="str">
        <f aca="false">IF(02_Almuerzos!B117="","",02_Almuerzos!B117)</f>
        <v>Menú del día</v>
      </c>
      <c r="D209" s="56" t="str">
        <f aca="false">IF(02_Almuerzos!C117="","",02_Almuerzos!C117)</f>
        <v>Menú light</v>
      </c>
      <c r="E209" s="56" t="str">
        <f aca="false">IF(02_Almuerzos!D117="","",02_Almuerzos!D117)</f>
        <v>Porción controlada, sin fritura</v>
      </c>
      <c r="F209" s="56" t="str">
        <f aca="false">IF(02_Almuerzos!E117="","",02_Almuerzos!E117)</f>
        <v>sopa del día, segundo del día, refresco o bebida</v>
      </c>
      <c r="G209" s="55" t="str">
        <f aca="false">IF(02_Almuerzos!F117="","",02_Almuerzos!F117)</f>
        <v>Bandeja</v>
      </c>
      <c r="H209" s="55" t="str">
        <f aca="false">IF(02_Almuerzos!G117="","",02_Almuerzos!G117)</f>
        <v>Estándar</v>
      </c>
      <c r="I209" s="58" t="n">
        <f aca="false">IF(02_Almuerzos!H117="","",02_Almuerzos!H117)</f>
        <v>12</v>
      </c>
      <c r="J209" s="58" t="n">
        <f aca="false">IF(02_Almuerzos!I117="","",02_Almuerzos!I117)</f>
        <v>20</v>
      </c>
      <c r="K209" s="58" t="n">
        <f aca="false">IF(02_Almuerzos!J117="","",02_Almuerzos!J117)</f>
        <v>16</v>
      </c>
      <c r="L209" s="58" t="n">
        <f aca="false">IF(02_Almuerzos!L117="","",02_Almuerzos!L117)</f>
        <v>17</v>
      </c>
      <c r="M209" s="58" t="n">
        <f aca="false">IF(02_Almuerzos!N117="","",02_Almuerzos!N117)</f>
        <v>1.44</v>
      </c>
      <c r="N209" s="58" t="n">
        <f aca="false">IF(02_Almuerzos!O117="","",02_Almuerzos!O117)</f>
        <v>14.56</v>
      </c>
      <c r="O209" s="55" t="str">
        <f aca="false">IF(02_Almuerzos!P117="","",02_Almuerzos!P117)</f>
        <v>12:00-14:30</v>
      </c>
      <c r="P209" s="55" t="n">
        <f aca="false">IF(02_Almuerzos!Q117="","",02_Almuerzos!Q117)</f>
        <v>12</v>
      </c>
      <c r="Q209" s="55" t="str">
        <f aca="false">IF(02_Almuerzos!R117="","",02_Almuerzos!R117)</f>
        <v>Alto</v>
      </c>
      <c r="R209" s="55" t="str">
        <f aca="false">IF(02_Almuerzos!S117="","",02_Almuerzos!S117)</f>
        <v>Todo el año</v>
      </c>
      <c r="S209" s="55" t="str">
        <f aca="false">IF(02_Almuerzos!T117="","",02_Almuerzos!T117)</f>
        <v>Saludable</v>
      </c>
      <c r="T209" s="56" t="str">
        <f aca="false">IF(02_Almuerzos!U117="","",02_Almuerzos!U117)</f>
        <v/>
      </c>
      <c r="U209" s="55" t="n">
        <v>117</v>
      </c>
      <c r="V209" s="55" t="n">
        <f aca="false">IF(AND(OR(LEN(13_Buscador!$C$5)=0,ISNUMBER(SEARCH(13_Buscador!$C$5,$C209&amp;" "&amp;$D209&amp;" "&amp;$E209&amp;" "&amp;$F209&amp;" "&amp;$S209))),OR(13_Buscador!$C$6="Todas las listas",LEN(13_Buscador!$C$6)=0,13_Buscador!$C$6=$B209)),1,0)</f>
        <v>0</v>
      </c>
      <c r="W209" s="55" t="str">
        <f aca="false">IF(V209=1,SUM($V$2:V209),"")</f>
        <v/>
      </c>
    </row>
    <row r="210" customFormat="false" ht="15" hidden="false" customHeight="true" outlineLevel="0" collapsed="false">
      <c r="A210" s="55" t="n">
        <v>209</v>
      </c>
      <c r="B210" s="55" t="s">
        <v>3328</v>
      </c>
      <c r="C210" s="55" t="str">
        <f aca="false">IF(02_Almuerzos!B118="","",02_Almuerzos!B118)</f>
        <v>Menú del día</v>
      </c>
      <c r="D210" s="56" t="str">
        <f aca="false">IF(02_Almuerzos!C118="","",02_Almuerzos!C118)</f>
        <v>Menú con jugo en vez de refresco</v>
      </c>
      <c r="E210" s="56" t="str">
        <f aca="false">IF(02_Almuerzos!D118="","",02_Almuerzos!D118)</f>
        <v>Menú con bebida natural</v>
      </c>
      <c r="F210" s="56" t="str">
        <f aca="false">IF(02_Almuerzos!E118="","",02_Almuerzos!E118)</f>
        <v>fruta o cebada del día, agua, azúcar</v>
      </c>
      <c r="G210" s="55" t="str">
        <f aca="false">IF(02_Almuerzos!F118="","",02_Almuerzos!F118)</f>
        <v>Bandeja</v>
      </c>
      <c r="H210" s="55" t="str">
        <f aca="false">IF(02_Almuerzos!G118="","",02_Almuerzos!G118)</f>
        <v>Estándar</v>
      </c>
      <c r="I210" s="58" t="n">
        <f aca="false">IF(02_Almuerzos!H118="","",02_Almuerzos!H118)</f>
        <v>11</v>
      </c>
      <c r="J210" s="58" t="n">
        <f aca="false">IF(02_Almuerzos!I118="","",02_Almuerzos!I118)</f>
        <v>16</v>
      </c>
      <c r="K210" s="58" t="n">
        <f aca="false">IF(02_Almuerzos!J118="","",02_Almuerzos!J118)</f>
        <v>13.5</v>
      </c>
      <c r="L210" s="58" t="n">
        <f aca="false">IF(02_Almuerzos!L118="","",02_Almuerzos!L118)</f>
        <v>14.5</v>
      </c>
      <c r="M210" s="58" t="n">
        <f aca="false">IF(02_Almuerzos!N118="","",02_Almuerzos!N118)</f>
        <v>1.22</v>
      </c>
      <c r="N210" s="58" t="n">
        <f aca="false">IF(02_Almuerzos!O118="","",02_Almuerzos!O118)</f>
        <v>12.28</v>
      </c>
      <c r="O210" s="55" t="str">
        <f aca="false">IF(02_Almuerzos!P118="","",02_Almuerzos!P118)</f>
        <v>12:00-14:30</v>
      </c>
      <c r="P210" s="55" t="n">
        <f aca="false">IF(02_Almuerzos!Q118="","",02_Almuerzos!Q118)</f>
        <v>10</v>
      </c>
      <c r="Q210" s="55" t="str">
        <f aca="false">IF(02_Almuerzos!R118="","",02_Almuerzos!R118)</f>
        <v>Alto</v>
      </c>
      <c r="R210" s="55" t="str">
        <f aca="false">IF(02_Almuerzos!S118="","",02_Almuerzos!S118)</f>
        <v>Todo el año</v>
      </c>
      <c r="S210" s="55" t="str">
        <f aca="false">IF(02_Almuerzos!T118="","",02_Almuerzos!T118)</f>
        <v>Menú</v>
      </c>
      <c r="T210" s="56" t="str">
        <f aca="false">IF(02_Almuerzos!U118="","",02_Almuerzos!U118)</f>
        <v>Upsell simple: S/ 2 más por el jugo</v>
      </c>
      <c r="U210" s="55" t="n">
        <v>118</v>
      </c>
      <c r="V210" s="55" t="n">
        <f aca="false">IF(AND(OR(LEN(13_Buscador!$C$5)=0,ISNUMBER(SEARCH(13_Buscador!$C$5,$C210&amp;" "&amp;$D210&amp;" "&amp;$E210&amp;" "&amp;$F210&amp;" "&amp;$S210))),OR(13_Buscador!$C$6="Todas las listas",LEN(13_Buscador!$C$6)=0,13_Buscador!$C$6=$B210)),1,0)</f>
        <v>0</v>
      </c>
      <c r="W210" s="55" t="str">
        <f aca="false">IF(V210=1,SUM($V$2:V210),"")</f>
        <v/>
      </c>
    </row>
    <row r="211" customFormat="false" ht="15" hidden="false" customHeight="true" outlineLevel="0" collapsed="false">
      <c r="A211" s="55" t="n">
        <v>210</v>
      </c>
      <c r="B211" s="55" t="s">
        <v>3328</v>
      </c>
      <c r="C211" s="55" t="str">
        <f aca="false">IF(02_Almuerzos!B119="","",02_Almuerzos!B119)</f>
        <v>Menú del día</v>
      </c>
      <c r="D211" s="56" t="str">
        <f aca="false">IF(02_Almuerzos!C119="","",02_Almuerzos!C119)</f>
        <v>Menú familiar para 4</v>
      </c>
      <c r="E211" s="56" t="str">
        <f aca="false">IF(02_Almuerzos!D119="","",02_Almuerzos!D119)</f>
        <v>4 menús completos</v>
      </c>
      <c r="F211" s="56" t="str">
        <f aca="false">IF(02_Almuerzos!E119="","",02_Almuerzos!E119)</f>
        <v>sopa del día, segundo del día, refresco o bebida</v>
      </c>
      <c r="G211" s="55" t="str">
        <f aca="false">IF(02_Almuerzos!F119="","",02_Almuerzos!F119)</f>
        <v>Pedido</v>
      </c>
      <c r="H211" s="55" t="str">
        <f aca="false">IF(02_Almuerzos!G119="","",02_Almuerzos!G119)</f>
        <v>Medio</v>
      </c>
      <c r="I211" s="58" t="n">
        <f aca="false">IF(02_Almuerzos!H119="","",02_Almuerzos!H119)</f>
        <v>36</v>
      </c>
      <c r="J211" s="58" t="n">
        <f aca="false">IF(02_Almuerzos!I119="","",02_Almuerzos!I119)</f>
        <v>56</v>
      </c>
      <c r="K211" s="58" t="n">
        <f aca="false">IF(02_Almuerzos!J119="","",02_Almuerzos!J119)</f>
        <v>46</v>
      </c>
      <c r="L211" s="58" t="n">
        <f aca="false">IF(02_Almuerzos!L119="","",02_Almuerzos!L119)</f>
        <v>47</v>
      </c>
      <c r="M211" s="58" t="n">
        <f aca="false">IF(02_Almuerzos!N119="","",02_Almuerzos!N119)</f>
        <v>5.06</v>
      </c>
      <c r="N211" s="58" t="n">
        <f aca="false">IF(02_Almuerzos!O119="","",02_Almuerzos!O119)</f>
        <v>40.94</v>
      </c>
      <c r="O211" s="55" t="str">
        <f aca="false">IF(02_Almuerzos!P119="","",02_Almuerzos!P119)</f>
        <v>12:00-14:30</v>
      </c>
      <c r="P211" s="55" t="n">
        <f aca="false">IF(02_Almuerzos!Q119="","",02_Almuerzos!Q119)</f>
        <v>25</v>
      </c>
      <c r="Q211" s="55" t="str">
        <f aca="false">IF(02_Almuerzos!R119="","",02_Almuerzos!R119)</f>
        <v>Alto</v>
      </c>
      <c r="R211" s="55" t="str">
        <f aca="false">IF(02_Almuerzos!S119="","",02_Almuerzos!S119)</f>
        <v>Fin de semana</v>
      </c>
      <c r="S211" s="55" t="str">
        <f aca="false">IF(02_Almuerzos!T119="","",02_Almuerzos!T119)</f>
        <v>Menú popular</v>
      </c>
      <c r="T211" s="56" t="str">
        <f aca="false">IF(02_Almuerzos!U119="","",02_Almuerzos!U119)</f>
        <v>Ticket alto sin cambiar de cocina</v>
      </c>
      <c r="U211" s="55" t="n">
        <v>119</v>
      </c>
      <c r="V211" s="55" t="n">
        <f aca="false">IF(AND(OR(LEN(13_Buscador!$C$5)=0,ISNUMBER(SEARCH(13_Buscador!$C$5,$C211&amp;" "&amp;$D211&amp;" "&amp;$E211&amp;" "&amp;$F211&amp;" "&amp;$S211))),OR(13_Buscador!$C$6="Todas las listas",LEN(13_Buscador!$C$6)=0,13_Buscador!$C$6=$B211)),1,0)</f>
        <v>0</v>
      </c>
      <c r="W211" s="55" t="str">
        <f aca="false">IF(V211=1,SUM($V$2:V211),"")</f>
        <v/>
      </c>
    </row>
    <row r="212" customFormat="false" ht="15" hidden="false" customHeight="true" outlineLevel="0" collapsed="false">
      <c r="A212" s="55" t="n">
        <v>211</v>
      </c>
      <c r="B212" s="55" t="s">
        <v>3328</v>
      </c>
      <c r="C212" s="55" t="str">
        <f aca="false">IF(02_Almuerzos!B120="","",02_Almuerzos!B120)</f>
        <v>Menú del día</v>
      </c>
      <c r="D212" s="56" t="str">
        <f aca="false">IF(02_Almuerzos!C120="","",02_Almuerzos!C120)</f>
        <v>Media porción de menú</v>
      </c>
      <c r="E212" s="56" t="str">
        <f aca="false">IF(02_Almuerzos!D120="","",02_Almuerzos!D120)</f>
        <v>Porción reducida</v>
      </c>
      <c r="F212" s="56" t="str">
        <f aca="false">IF(02_Almuerzos!E120="","",02_Almuerzos!E120)</f>
        <v>sopa del día, segundo del día, refresco o bebida</v>
      </c>
      <c r="G212" s="55" t="str">
        <f aca="false">IF(02_Almuerzos!F120="","",02_Almuerzos!F120)</f>
        <v>Bandeja</v>
      </c>
      <c r="H212" s="55" t="str">
        <f aca="false">IF(02_Almuerzos!G120="","",02_Almuerzos!G120)</f>
        <v>Económico</v>
      </c>
      <c r="I212" s="58" t="n">
        <f aca="false">IF(02_Almuerzos!H120="","",02_Almuerzos!H120)</f>
        <v>6</v>
      </c>
      <c r="J212" s="58" t="n">
        <f aca="false">IF(02_Almuerzos!I120="","",02_Almuerzos!I120)</f>
        <v>10</v>
      </c>
      <c r="K212" s="58" t="n">
        <f aca="false">IF(02_Almuerzos!J120="","",02_Almuerzos!J120)</f>
        <v>8</v>
      </c>
      <c r="L212" s="58" t="n">
        <f aca="false">IF(02_Almuerzos!L120="","",02_Almuerzos!L120)</f>
        <v>9</v>
      </c>
      <c r="M212" s="58" t="n">
        <f aca="false">IF(02_Almuerzos!N120="","",02_Almuerzos!N120)</f>
        <v>0.56</v>
      </c>
      <c r="N212" s="58" t="n">
        <f aca="false">IF(02_Almuerzos!O120="","",02_Almuerzos!O120)</f>
        <v>7.44</v>
      </c>
      <c r="O212" s="55" t="str">
        <f aca="false">IF(02_Almuerzos!P120="","",02_Almuerzos!P120)</f>
        <v>12:00-14:30</v>
      </c>
      <c r="P212" s="55" t="n">
        <f aca="false">IF(02_Almuerzos!Q120="","",02_Almuerzos!Q120)</f>
        <v>8</v>
      </c>
      <c r="Q212" s="55" t="str">
        <f aca="false">IF(02_Almuerzos!R120="","",02_Almuerzos!R120)</f>
        <v>Alto</v>
      </c>
      <c r="R212" s="55" t="str">
        <f aca="false">IF(02_Almuerzos!S120="","",02_Almuerzos!S120)</f>
        <v>Todo el año</v>
      </c>
      <c r="S212" s="55" t="str">
        <f aca="false">IF(02_Almuerzos!T120="","",02_Almuerzos!T120)</f>
        <v>Menú popular</v>
      </c>
      <c r="T212" s="56" t="str">
        <f aca="false">IF(02_Almuerzos!U120="","",02_Almuerzos!U120)</f>
        <v/>
      </c>
      <c r="U212" s="55" t="n">
        <v>120</v>
      </c>
      <c r="V212" s="55" t="n">
        <f aca="false">IF(AND(OR(LEN(13_Buscador!$C$5)=0,ISNUMBER(SEARCH(13_Buscador!$C$5,$C212&amp;" "&amp;$D212&amp;" "&amp;$E212&amp;" "&amp;$F212&amp;" "&amp;$S212))),OR(13_Buscador!$C$6="Todas las listas",LEN(13_Buscador!$C$6)=0,13_Buscador!$C$6=$B212)),1,0)</f>
        <v>0</v>
      </c>
      <c r="W212" s="55" t="str">
        <f aca="false">IF(V212=1,SUM($V$2:V212),"")</f>
        <v/>
      </c>
    </row>
    <row r="213" customFormat="false" ht="15" hidden="false" customHeight="true" outlineLevel="0" collapsed="false">
      <c r="A213" s="55" t="n">
        <v>212</v>
      </c>
      <c r="B213" s="55" t="s">
        <v>3328</v>
      </c>
      <c r="C213" s="55" t="str">
        <f aca="false">IF(02_Almuerzos!B121="","",02_Almuerzos!B121)</f>
        <v>Sopas</v>
      </c>
      <c r="D213" s="56" t="str">
        <f aca="false">IF(02_Almuerzos!C121="","",02_Almuerzos!C121)</f>
        <v>Sopa de verduras</v>
      </c>
      <c r="E213" s="56" t="str">
        <f aca="false">IF(02_Almuerzos!D121="","",02_Almuerzos!D121)</f>
        <v>Caldo con verduras de estación</v>
      </c>
      <c r="F213" s="56" t="str">
        <f aca="false">IF(02_Almuerzos!E121="","",02_Almuerzos!E121)</f>
        <v>zanahoria, apio, poro, papa, zapallo, sal</v>
      </c>
      <c r="G213" s="55" t="str">
        <f aca="false">IF(02_Almuerzos!F121="","",02_Almuerzos!F121)</f>
        <v>Plato hondo</v>
      </c>
      <c r="H213" s="55" t="str">
        <f aca="false">IF(02_Almuerzos!G121="","",02_Almuerzos!G121)</f>
        <v>Económico</v>
      </c>
      <c r="I213" s="58" t="n">
        <f aca="false">IF(02_Almuerzos!H121="","",02_Almuerzos!H121)</f>
        <v>6</v>
      </c>
      <c r="J213" s="58" t="n">
        <f aca="false">IF(02_Almuerzos!I121="","",02_Almuerzos!I121)</f>
        <v>11</v>
      </c>
      <c r="K213" s="58" t="n">
        <f aca="false">IF(02_Almuerzos!J121="","",02_Almuerzos!J121)</f>
        <v>8.5</v>
      </c>
      <c r="L213" s="58" t="n">
        <f aca="false">IF(02_Almuerzos!L121="","",02_Almuerzos!L121)</f>
        <v>9.5</v>
      </c>
      <c r="M213" s="58" t="n">
        <f aca="false">IF(02_Almuerzos!N121="","",02_Almuerzos!N121)</f>
        <v>0.6</v>
      </c>
      <c r="N213" s="58" t="n">
        <f aca="false">IF(02_Almuerzos!O121="","",02_Almuerzos!O121)</f>
        <v>7.9</v>
      </c>
      <c r="O213" s="55" t="str">
        <f aca="false">IF(02_Almuerzos!P121="","",02_Almuerzos!P121)</f>
        <v>12:00-14:30</v>
      </c>
      <c r="P213" s="55" t="n">
        <f aca="false">IF(02_Almuerzos!Q121="","",02_Almuerzos!Q121)</f>
        <v>8</v>
      </c>
      <c r="Q213" s="55" t="str">
        <f aca="false">IF(02_Almuerzos!R121="","",02_Almuerzos!R121)</f>
        <v>Medio</v>
      </c>
      <c r="R213" s="55" t="str">
        <f aca="false">IF(02_Almuerzos!S121="","",02_Almuerzos!S121)</f>
        <v>Todo el año</v>
      </c>
      <c r="S213" s="55" t="str">
        <f aca="false">IF(02_Almuerzos!T121="","",02_Almuerzos!T121)</f>
        <v>Menú, vegetariano</v>
      </c>
      <c r="T213" s="56" t="str">
        <f aca="false">IF(02_Almuerzos!U121="","",02_Almuerzos!U121)</f>
        <v/>
      </c>
      <c r="U213" s="55" t="n">
        <v>121</v>
      </c>
      <c r="V213" s="55" t="n">
        <f aca="false">IF(AND(OR(LEN(13_Buscador!$C$5)=0,ISNUMBER(SEARCH(13_Buscador!$C$5,$C213&amp;" "&amp;$D213&amp;" "&amp;$E213&amp;" "&amp;$F213&amp;" "&amp;$S213))),OR(13_Buscador!$C$6="Todas las listas",LEN(13_Buscador!$C$6)=0,13_Buscador!$C$6=$B213)),1,0)</f>
        <v>0</v>
      </c>
      <c r="W213" s="55" t="str">
        <f aca="false">IF(V213=1,SUM($V$2:V213),"")</f>
        <v/>
      </c>
    </row>
    <row r="214" customFormat="false" ht="15" hidden="false" customHeight="true" outlineLevel="0" collapsed="false">
      <c r="A214" s="55" t="n">
        <v>213</v>
      </c>
      <c r="B214" s="55" t="s">
        <v>3328</v>
      </c>
      <c r="C214" s="55" t="str">
        <f aca="false">IF(02_Almuerzos!B122="","",02_Almuerzos!B122)</f>
        <v>Sopas</v>
      </c>
      <c r="D214" s="56" t="str">
        <f aca="false">IF(02_Almuerzos!C122="","",02_Almuerzos!C122)</f>
        <v>Sopa de pollo con arroz</v>
      </c>
      <c r="E214" s="56" t="str">
        <f aca="false">IF(02_Almuerzos!D122="","",02_Almuerzos!D122)</f>
        <v>Caldo con arroz y presa</v>
      </c>
      <c r="F214" s="56" t="str">
        <f aca="false">IF(02_Almuerzos!E122="","",02_Almuerzos!E122)</f>
        <v>caldo, verduras, papa, presa, sal</v>
      </c>
      <c r="G214" s="55" t="str">
        <f aca="false">IF(02_Almuerzos!F122="","",02_Almuerzos!F122)</f>
        <v>Plato hondo</v>
      </c>
      <c r="H214" s="55" t="str">
        <f aca="false">IF(02_Almuerzos!G122="","",02_Almuerzos!G122)</f>
        <v>Económico</v>
      </c>
      <c r="I214" s="58" t="n">
        <f aca="false">IF(02_Almuerzos!H122="","",02_Almuerzos!H122)</f>
        <v>7</v>
      </c>
      <c r="J214" s="58" t="n">
        <f aca="false">IF(02_Almuerzos!I122="","",02_Almuerzos!I122)</f>
        <v>13</v>
      </c>
      <c r="K214" s="58" t="n">
        <f aca="false">IF(02_Almuerzos!J122="","",02_Almuerzos!J122)</f>
        <v>10</v>
      </c>
      <c r="L214" s="58" t="n">
        <f aca="false">IF(02_Almuerzos!L122="","",02_Almuerzos!L122)</f>
        <v>11</v>
      </c>
      <c r="M214" s="58" t="n">
        <f aca="false">IF(02_Almuerzos!N122="","",02_Almuerzos!N122)</f>
        <v>0.7</v>
      </c>
      <c r="N214" s="58" t="n">
        <f aca="false">IF(02_Almuerzos!O122="","",02_Almuerzos!O122)</f>
        <v>9.3</v>
      </c>
      <c r="O214" s="55" t="str">
        <f aca="false">IF(02_Almuerzos!P122="","",02_Almuerzos!P122)</f>
        <v>12:00-14:30</v>
      </c>
      <c r="P214" s="55" t="n">
        <f aca="false">IF(02_Almuerzos!Q122="","",02_Almuerzos!Q122)</f>
        <v>10</v>
      </c>
      <c r="Q214" s="55" t="str">
        <f aca="false">IF(02_Almuerzos!R122="","",02_Almuerzos!R122)</f>
        <v>Medio</v>
      </c>
      <c r="R214" s="55" t="str">
        <f aca="false">IF(02_Almuerzos!S122="","",02_Almuerzos!S122)</f>
        <v>Todo el año</v>
      </c>
      <c r="S214" s="55" t="str">
        <f aca="false">IF(02_Almuerzos!T122="","",02_Almuerzos!T122)</f>
        <v>Menú</v>
      </c>
      <c r="T214" s="56" t="str">
        <f aca="false">IF(02_Almuerzos!U122="","",02_Almuerzos!U122)</f>
        <v/>
      </c>
      <c r="U214" s="55" t="n">
        <v>122</v>
      </c>
      <c r="V214" s="55" t="n">
        <f aca="false">IF(AND(OR(LEN(13_Buscador!$C$5)=0,ISNUMBER(SEARCH(13_Buscador!$C$5,$C214&amp;" "&amp;$D214&amp;" "&amp;$E214&amp;" "&amp;$F214&amp;" "&amp;$S214))),OR(13_Buscador!$C$6="Todas las listas",LEN(13_Buscador!$C$6)=0,13_Buscador!$C$6=$B214)),1,0)</f>
        <v>1</v>
      </c>
      <c r="W214" s="55" t="n">
        <f aca="false">IF(V214=1,SUM($V$2:V214),"")</f>
        <v>37</v>
      </c>
    </row>
    <row r="215" customFormat="false" ht="15" hidden="false" customHeight="true" outlineLevel="0" collapsed="false">
      <c r="A215" s="55" t="n">
        <v>214</v>
      </c>
      <c r="B215" s="55" t="s">
        <v>3328</v>
      </c>
      <c r="C215" s="55" t="str">
        <f aca="false">IF(02_Almuerzos!B123="","",02_Almuerzos!B123)</f>
        <v>Sopas</v>
      </c>
      <c r="D215" s="56" t="str">
        <f aca="false">IF(02_Almuerzos!C123="","",02_Almuerzos!C123)</f>
        <v>Crema de choclo</v>
      </c>
      <c r="E215" s="56" t="str">
        <f aca="false">IF(02_Almuerzos!D123="","",02_Almuerzos!D123)</f>
        <v>Crema de maíz</v>
      </c>
      <c r="F215" s="56" t="str">
        <f aca="false">IF(02_Almuerzos!E123="","",02_Almuerzos!E123)</f>
        <v>choclo, leche, mantequilla, cebolla, sal</v>
      </c>
      <c r="G215" s="55" t="str">
        <f aca="false">IF(02_Almuerzos!F123="","",02_Almuerzos!F123)</f>
        <v>Plato hondo</v>
      </c>
      <c r="H215" s="55" t="str">
        <f aca="false">IF(02_Almuerzos!G123="","",02_Almuerzos!G123)</f>
        <v>Económico</v>
      </c>
      <c r="I215" s="58" t="n">
        <f aca="false">IF(02_Almuerzos!H123="","",02_Almuerzos!H123)</f>
        <v>7</v>
      </c>
      <c r="J215" s="58" t="n">
        <f aca="false">IF(02_Almuerzos!I123="","",02_Almuerzos!I123)</f>
        <v>13</v>
      </c>
      <c r="K215" s="58" t="n">
        <f aca="false">IF(02_Almuerzos!J123="","",02_Almuerzos!J123)</f>
        <v>10</v>
      </c>
      <c r="L215" s="58" t="n">
        <f aca="false">IF(02_Almuerzos!L123="","",02_Almuerzos!L123)</f>
        <v>11</v>
      </c>
      <c r="M215" s="58" t="n">
        <f aca="false">IF(02_Almuerzos!N123="","",02_Almuerzos!N123)</f>
        <v>0.7</v>
      </c>
      <c r="N215" s="58" t="n">
        <f aca="false">IF(02_Almuerzos!O123="","",02_Almuerzos!O123)</f>
        <v>9.3</v>
      </c>
      <c r="O215" s="55" t="str">
        <f aca="false">IF(02_Almuerzos!P123="","",02_Almuerzos!P123)</f>
        <v>12:00-14:30</v>
      </c>
      <c r="P215" s="55" t="n">
        <f aca="false">IF(02_Almuerzos!Q123="","",02_Almuerzos!Q123)</f>
        <v>10</v>
      </c>
      <c r="Q215" s="55" t="str">
        <f aca="false">IF(02_Almuerzos!R123="","",02_Almuerzos!R123)</f>
        <v>Medio</v>
      </c>
      <c r="R215" s="55" t="str">
        <f aca="false">IF(02_Almuerzos!S123="","",02_Almuerzos!S123)</f>
        <v>Todo el año</v>
      </c>
      <c r="S215" s="55" t="str">
        <f aca="false">IF(02_Almuerzos!T123="","",02_Almuerzos!T123)</f>
        <v>Menú</v>
      </c>
      <c r="T215" s="56" t="str">
        <f aca="false">IF(02_Almuerzos!U123="","",02_Almuerzos!U123)</f>
        <v/>
      </c>
      <c r="U215" s="55" t="n">
        <v>123</v>
      </c>
      <c r="V215" s="55" t="n">
        <f aca="false">IF(AND(OR(LEN(13_Buscador!$C$5)=0,ISNUMBER(SEARCH(13_Buscador!$C$5,$C215&amp;" "&amp;$D215&amp;" "&amp;$E215&amp;" "&amp;$F215&amp;" "&amp;$S215))),OR(13_Buscador!$C$6="Todas las listas",LEN(13_Buscador!$C$6)=0,13_Buscador!$C$6=$B215)),1,0)</f>
        <v>0</v>
      </c>
      <c r="W215" s="55" t="str">
        <f aca="false">IF(V215=1,SUM($V$2:V215),"")</f>
        <v/>
      </c>
    </row>
    <row r="216" customFormat="false" ht="23.25" hidden="false" customHeight="true" outlineLevel="0" collapsed="false">
      <c r="A216" s="55" t="n">
        <v>215</v>
      </c>
      <c r="B216" s="55" t="s">
        <v>3328</v>
      </c>
      <c r="C216" s="55" t="str">
        <f aca="false">IF(02_Almuerzos!B124="","",02_Almuerzos!B124)</f>
        <v>Sopas</v>
      </c>
      <c r="D216" s="56" t="str">
        <f aca="false">IF(02_Almuerzos!C124="","",02_Almuerzos!C124)</f>
        <v>Aguadito de pollo</v>
      </c>
      <c r="E216" s="56" t="str">
        <f aca="false">IF(02_Almuerzos!D124="","",02_Almuerzos!D124)</f>
        <v>Caldo verde con arroz</v>
      </c>
      <c r="F216" s="56" t="str">
        <f aca="false">IF(02_Almuerzos!E124="","",02_Almuerzos!E124)</f>
        <v>arroz, pollo, culantro, arveja, ají amarillo, cebolla, zanahoria</v>
      </c>
      <c r="G216" s="55" t="str">
        <f aca="false">IF(02_Almuerzos!F124="","",02_Almuerzos!F124)</f>
        <v>Plato hondo</v>
      </c>
      <c r="H216" s="55" t="str">
        <f aca="false">IF(02_Almuerzos!G124="","",02_Almuerzos!G124)</f>
        <v>Económico</v>
      </c>
      <c r="I216" s="58" t="n">
        <f aca="false">IF(02_Almuerzos!H124="","",02_Almuerzos!H124)</f>
        <v>8</v>
      </c>
      <c r="J216" s="58" t="n">
        <f aca="false">IF(02_Almuerzos!I124="","",02_Almuerzos!I124)</f>
        <v>14</v>
      </c>
      <c r="K216" s="58" t="n">
        <f aca="false">IF(02_Almuerzos!J124="","",02_Almuerzos!J124)</f>
        <v>11</v>
      </c>
      <c r="L216" s="58" t="n">
        <f aca="false">IF(02_Almuerzos!L124="","",02_Almuerzos!L124)</f>
        <v>12</v>
      </c>
      <c r="M216" s="58" t="n">
        <f aca="false">IF(02_Almuerzos!N124="","",02_Almuerzos!N124)</f>
        <v>0.77</v>
      </c>
      <c r="N216" s="58" t="n">
        <f aca="false">IF(02_Almuerzos!O124="","",02_Almuerzos!O124)</f>
        <v>10.23</v>
      </c>
      <c r="O216" s="55" t="str">
        <f aca="false">IF(02_Almuerzos!P124="","",02_Almuerzos!P124)</f>
        <v>12:00-15:00</v>
      </c>
      <c r="P216" s="55" t="n">
        <f aca="false">IF(02_Almuerzos!Q124="","",02_Almuerzos!Q124)</f>
        <v>12</v>
      </c>
      <c r="Q216" s="55" t="str">
        <f aca="false">IF(02_Almuerzos!R124="","",02_Almuerzos!R124)</f>
        <v>Medio</v>
      </c>
      <c r="R216" s="55" t="str">
        <f aca="false">IF(02_Almuerzos!S124="","",02_Almuerzos!S124)</f>
        <v>Todo el año</v>
      </c>
      <c r="S216" s="55" t="str">
        <f aca="false">IF(02_Almuerzos!T124="","",02_Almuerzos!T124)</f>
        <v>Menú</v>
      </c>
      <c r="T216" s="56" t="str">
        <f aca="false">IF(02_Almuerzos!U124="","",02_Almuerzos!U124)</f>
        <v>También se pide de madrugada</v>
      </c>
      <c r="U216" s="55" t="n">
        <v>124</v>
      </c>
      <c r="V216" s="55" t="n">
        <f aca="false">IF(AND(OR(LEN(13_Buscador!$C$5)=0,ISNUMBER(SEARCH(13_Buscador!$C$5,$C216&amp;" "&amp;$D216&amp;" "&amp;$E216&amp;" "&amp;$F216&amp;" "&amp;$S216))),OR(13_Buscador!$C$6="Todas las listas",LEN(13_Buscador!$C$6)=0,13_Buscador!$C$6=$B216)),1,0)</f>
        <v>1</v>
      </c>
      <c r="W216" s="55" t="n">
        <f aca="false">IF(V216=1,SUM($V$2:V216),"")</f>
        <v>38</v>
      </c>
    </row>
    <row r="217" customFormat="false" ht="23.25" hidden="false" customHeight="true" outlineLevel="0" collapsed="false">
      <c r="A217" s="55" t="n">
        <v>216</v>
      </c>
      <c r="B217" s="55" t="s">
        <v>3328</v>
      </c>
      <c r="C217" s="55" t="str">
        <f aca="false">IF(02_Almuerzos!B125="","",02_Almuerzos!B125)</f>
        <v>Sopas</v>
      </c>
      <c r="D217" s="56" t="str">
        <f aca="false">IF(02_Almuerzos!C125="","",02_Almuerzos!C125)</f>
        <v>Sopa de pescado del lago</v>
      </c>
      <c r="E217" s="56" t="str">
        <f aca="false">IF(02_Almuerzos!D125="","",02_Almuerzos!D125)</f>
        <v>Caldo con pescado local</v>
      </c>
      <c r="F217" s="56" t="str">
        <f aca="false">IF(02_Almuerzos!E125="","",02_Almuerzos!E125)</f>
        <v>pescado del lago, papa, zanahoria, cebolla, culantro, sal</v>
      </c>
      <c r="G217" s="55" t="str">
        <f aca="false">IF(02_Almuerzos!F125="","",02_Almuerzos!F125)</f>
        <v>Plato hondo</v>
      </c>
      <c r="H217" s="55" t="str">
        <f aca="false">IF(02_Almuerzos!G125="","",02_Almuerzos!G125)</f>
        <v>Estándar</v>
      </c>
      <c r="I217" s="58" t="n">
        <f aca="false">IF(02_Almuerzos!H125="","",02_Almuerzos!H125)</f>
        <v>10</v>
      </c>
      <c r="J217" s="58" t="n">
        <f aca="false">IF(02_Almuerzos!I125="","",02_Almuerzos!I125)</f>
        <v>18</v>
      </c>
      <c r="K217" s="58" t="n">
        <f aca="false">IF(02_Almuerzos!J125="","",02_Almuerzos!J125)</f>
        <v>14</v>
      </c>
      <c r="L217" s="58" t="n">
        <f aca="false">IF(02_Almuerzos!L125="","",02_Almuerzos!L125)</f>
        <v>15</v>
      </c>
      <c r="M217" s="58" t="n">
        <f aca="false">IF(02_Almuerzos!N125="","",02_Almuerzos!N125)</f>
        <v>1.26</v>
      </c>
      <c r="N217" s="58" t="n">
        <f aca="false">IF(02_Almuerzos!O125="","",02_Almuerzos!O125)</f>
        <v>12.74</v>
      </c>
      <c r="O217" s="55" t="str">
        <f aca="false">IF(02_Almuerzos!P125="","",02_Almuerzos!P125)</f>
        <v>12:00-16:00</v>
      </c>
      <c r="P217" s="55" t="n">
        <f aca="false">IF(02_Almuerzos!Q125="","",02_Almuerzos!Q125)</f>
        <v>12</v>
      </c>
      <c r="Q217" s="55" t="str">
        <f aca="false">IF(02_Almuerzos!R125="","",02_Almuerzos!R125)</f>
        <v>Medio</v>
      </c>
      <c r="R217" s="55" t="str">
        <f aca="false">IF(02_Almuerzos!S125="","",02_Almuerzos!S125)</f>
        <v>Todo el año</v>
      </c>
      <c r="S217" s="55" t="str">
        <f aca="false">IF(02_Almuerzos!T125="","",02_Almuerzos!T125)</f>
        <v>Cevichería, regional</v>
      </c>
      <c r="T217" s="56" t="str">
        <f aca="false">IF(02_Almuerzos!U125="","",02_Almuerzos!U125)</f>
        <v/>
      </c>
      <c r="U217" s="55" t="n">
        <v>125</v>
      </c>
      <c r="V217" s="55" t="n">
        <f aca="false">IF(AND(OR(LEN(13_Buscador!$C$5)=0,ISNUMBER(SEARCH(13_Buscador!$C$5,$C217&amp;" "&amp;$D217&amp;" "&amp;$E217&amp;" "&amp;$F217&amp;" "&amp;$S217))),OR(13_Buscador!$C$6="Todas las listas",LEN(13_Buscador!$C$6)=0,13_Buscador!$C$6=$B217)),1,0)</f>
        <v>0</v>
      </c>
      <c r="W217" s="55" t="str">
        <f aca="false">IF(V217=1,SUM($V$2:V217),"")</f>
        <v/>
      </c>
    </row>
    <row r="218" customFormat="false" ht="23.25" hidden="false" customHeight="true" outlineLevel="0" collapsed="false">
      <c r="A218" s="55" t="n">
        <v>217</v>
      </c>
      <c r="B218" s="55" t="s">
        <v>3328</v>
      </c>
      <c r="C218" s="55" t="str">
        <f aca="false">IF(02_Almuerzos!B126="","",02_Almuerzos!B126)</f>
        <v>Sopas</v>
      </c>
      <c r="D218" s="56" t="str">
        <f aca="false">IF(02_Almuerzos!C126="","",02_Almuerzos!C126)</f>
        <v>Sopa seca</v>
      </c>
      <c r="E218" s="56" t="str">
        <f aca="false">IF(02_Almuerzos!D126="","",02_Almuerzos!D126)</f>
        <v>Fideo seco con pollo</v>
      </c>
      <c r="F218" s="56" t="str">
        <f aca="false">IF(02_Almuerzos!E126="","",02_Almuerzos!E126)</f>
        <v>fideo, presa de pollo, ají panca, tomate, cebolla, albahaca</v>
      </c>
      <c r="G218" s="55" t="str">
        <f aca="false">IF(02_Almuerzos!F126="","",02_Almuerzos!F126)</f>
        <v>Plato</v>
      </c>
      <c r="H218" s="55" t="str">
        <f aca="false">IF(02_Almuerzos!G126="","",02_Almuerzos!G126)</f>
        <v>Económico</v>
      </c>
      <c r="I218" s="58" t="n">
        <f aca="false">IF(02_Almuerzos!H126="","",02_Almuerzos!H126)</f>
        <v>8</v>
      </c>
      <c r="J218" s="58" t="n">
        <f aca="false">IF(02_Almuerzos!I126="","",02_Almuerzos!I126)</f>
        <v>14</v>
      </c>
      <c r="K218" s="58" t="n">
        <f aca="false">IF(02_Almuerzos!J126="","",02_Almuerzos!J126)</f>
        <v>11</v>
      </c>
      <c r="L218" s="58" t="n">
        <f aca="false">IF(02_Almuerzos!L126="","",02_Almuerzos!L126)</f>
        <v>12</v>
      </c>
      <c r="M218" s="58" t="n">
        <f aca="false">IF(02_Almuerzos!N126="","",02_Almuerzos!N126)</f>
        <v>0.77</v>
      </c>
      <c r="N218" s="58" t="n">
        <f aca="false">IF(02_Almuerzos!O126="","",02_Almuerzos!O126)</f>
        <v>10.23</v>
      </c>
      <c r="O218" s="55" t="str">
        <f aca="false">IF(02_Almuerzos!P126="","",02_Almuerzos!P126)</f>
        <v>12:00-15:00</v>
      </c>
      <c r="P218" s="55" t="n">
        <f aca="false">IF(02_Almuerzos!Q126="","",02_Almuerzos!Q126)</f>
        <v>10</v>
      </c>
      <c r="Q218" s="55" t="str">
        <f aca="false">IF(02_Almuerzos!R126="","",02_Almuerzos!R126)</f>
        <v>Alto</v>
      </c>
      <c r="R218" s="55" t="str">
        <f aca="false">IF(02_Almuerzos!S126="","",02_Almuerzos!S126)</f>
        <v>Todo el año</v>
      </c>
      <c r="S218" s="55" t="str">
        <f aca="false">IF(02_Almuerzos!T126="","",02_Almuerzos!T126)</f>
        <v>Menú</v>
      </c>
      <c r="T218" s="56" t="str">
        <f aca="false">IF(02_Almuerzos!U126="","",02_Almuerzos!U126)</f>
        <v/>
      </c>
      <c r="U218" s="55" t="n">
        <v>126</v>
      </c>
      <c r="V218" s="55" t="n">
        <f aca="false">IF(AND(OR(LEN(13_Buscador!$C$5)=0,ISNUMBER(SEARCH(13_Buscador!$C$5,$C218&amp;" "&amp;$D218&amp;" "&amp;$E218&amp;" "&amp;$F218&amp;" "&amp;$S218))),OR(13_Buscador!$C$6="Todas las listas",LEN(13_Buscador!$C$6)=0,13_Buscador!$C$6=$B218)),1,0)</f>
        <v>1</v>
      </c>
      <c r="W218" s="55" t="n">
        <f aca="false">IF(V218=1,SUM($V$2:V218),"")</f>
        <v>39</v>
      </c>
    </row>
    <row r="219" customFormat="false" ht="23.25" hidden="false" customHeight="true" outlineLevel="0" collapsed="false">
      <c r="A219" s="55" t="n">
        <v>218</v>
      </c>
      <c r="B219" s="55" t="s">
        <v>3328</v>
      </c>
      <c r="C219" s="55" t="str">
        <f aca="false">IF(02_Almuerzos!B127="","",02_Almuerzos!B127)</f>
        <v>Segundos criollos</v>
      </c>
      <c r="D219" s="56" t="str">
        <f aca="false">IF(02_Almuerzos!C127="","",02_Almuerzos!C127)</f>
        <v>Pollo al sillao</v>
      </c>
      <c r="E219" s="56" t="str">
        <f aca="false">IF(02_Almuerzos!D127="","",02_Almuerzos!D127)</f>
        <v>Pollo en salsa oscura</v>
      </c>
      <c r="F219" s="56" t="str">
        <f aca="false">IF(02_Almuerzos!E127="","",02_Almuerzos!E127)</f>
        <v>pollo, ajo, sal, aceite, salsa correspondiente, guarnición</v>
      </c>
      <c r="G219" s="55" t="str">
        <f aca="false">IF(02_Almuerzos!F127="","",02_Almuerzos!F127)</f>
        <v>Plato</v>
      </c>
      <c r="H219" s="55" t="str">
        <f aca="false">IF(02_Almuerzos!G127="","",02_Almuerzos!G127)</f>
        <v>Estándar</v>
      </c>
      <c r="I219" s="58" t="n">
        <f aca="false">IF(02_Almuerzos!H127="","",02_Almuerzos!H127)</f>
        <v>10</v>
      </c>
      <c r="J219" s="58" t="n">
        <f aca="false">IF(02_Almuerzos!I127="","",02_Almuerzos!I127)</f>
        <v>17</v>
      </c>
      <c r="K219" s="58" t="n">
        <f aca="false">IF(02_Almuerzos!J127="","",02_Almuerzos!J127)</f>
        <v>13.5</v>
      </c>
      <c r="L219" s="58" t="n">
        <f aca="false">IF(02_Almuerzos!L127="","",02_Almuerzos!L127)</f>
        <v>14.5</v>
      </c>
      <c r="M219" s="58" t="n">
        <f aca="false">IF(02_Almuerzos!N127="","",02_Almuerzos!N127)</f>
        <v>1.22</v>
      </c>
      <c r="N219" s="58" t="n">
        <f aca="false">IF(02_Almuerzos!O127="","",02_Almuerzos!O127)</f>
        <v>12.28</v>
      </c>
      <c r="O219" s="55" t="str">
        <f aca="false">IF(02_Almuerzos!P127="","",02_Almuerzos!P127)</f>
        <v>12:00-15:00</v>
      </c>
      <c r="P219" s="55" t="n">
        <f aca="false">IF(02_Almuerzos!Q127="","",02_Almuerzos!Q127)</f>
        <v>10</v>
      </c>
      <c r="Q219" s="55" t="str">
        <f aca="false">IF(02_Almuerzos!R127="","",02_Almuerzos!R127)</f>
        <v>Alto</v>
      </c>
      <c r="R219" s="55" t="str">
        <f aca="false">IF(02_Almuerzos!S127="","",02_Almuerzos!S127)</f>
        <v>Todo el año</v>
      </c>
      <c r="S219" s="55" t="str">
        <f aca="false">IF(02_Almuerzos!T127="","",02_Almuerzos!T127)</f>
        <v>Menú</v>
      </c>
      <c r="T219" s="56" t="str">
        <f aca="false">IF(02_Almuerzos!U127="","",02_Almuerzos!U127)</f>
        <v/>
      </c>
      <c r="U219" s="55" t="n">
        <v>127</v>
      </c>
      <c r="V219" s="55" t="n">
        <f aca="false">IF(AND(OR(LEN(13_Buscador!$C$5)=0,ISNUMBER(SEARCH(13_Buscador!$C$5,$C219&amp;" "&amp;$D219&amp;" "&amp;$E219&amp;" "&amp;$F219&amp;" "&amp;$S219))),OR(13_Buscador!$C$6="Todas las listas",LEN(13_Buscador!$C$6)=0,13_Buscador!$C$6=$B219)),1,0)</f>
        <v>1</v>
      </c>
      <c r="W219" s="55" t="n">
        <f aca="false">IF(V219=1,SUM($V$2:V219),"")</f>
        <v>40</v>
      </c>
    </row>
    <row r="220" customFormat="false" ht="23.25" hidden="false" customHeight="true" outlineLevel="0" collapsed="false">
      <c r="A220" s="55" t="n">
        <v>219</v>
      </c>
      <c r="B220" s="55" t="s">
        <v>3328</v>
      </c>
      <c r="C220" s="55" t="str">
        <f aca="false">IF(02_Almuerzos!B128="","",02_Almuerzos!B128)</f>
        <v>Segundos criollos</v>
      </c>
      <c r="D220" s="56" t="str">
        <f aca="false">IF(02_Almuerzos!C128="","",02_Almuerzos!C128)</f>
        <v>Pollo a la cacerola</v>
      </c>
      <c r="E220" s="56" t="str">
        <f aca="false">IF(02_Almuerzos!D128="","",02_Almuerzos!D128)</f>
        <v>Pollo guisado con verduras</v>
      </c>
      <c r="F220" s="56" t="str">
        <f aca="false">IF(02_Almuerzos!E128="","",02_Almuerzos!E128)</f>
        <v>pollo, ajo, sal, aceite, salsa correspondiente, guarnición</v>
      </c>
      <c r="G220" s="55" t="str">
        <f aca="false">IF(02_Almuerzos!F128="","",02_Almuerzos!F128)</f>
        <v>Plato</v>
      </c>
      <c r="H220" s="55" t="str">
        <f aca="false">IF(02_Almuerzos!G128="","",02_Almuerzos!G128)</f>
        <v>Estándar</v>
      </c>
      <c r="I220" s="58" t="n">
        <f aca="false">IF(02_Almuerzos!H128="","",02_Almuerzos!H128)</f>
        <v>10</v>
      </c>
      <c r="J220" s="58" t="n">
        <f aca="false">IF(02_Almuerzos!I128="","",02_Almuerzos!I128)</f>
        <v>16</v>
      </c>
      <c r="K220" s="58" t="n">
        <f aca="false">IF(02_Almuerzos!J128="","",02_Almuerzos!J128)</f>
        <v>13</v>
      </c>
      <c r="L220" s="58" t="n">
        <f aca="false">IF(02_Almuerzos!L128="","",02_Almuerzos!L128)</f>
        <v>14</v>
      </c>
      <c r="M220" s="58" t="n">
        <f aca="false">IF(02_Almuerzos!N128="","",02_Almuerzos!N128)</f>
        <v>1.17</v>
      </c>
      <c r="N220" s="58" t="n">
        <f aca="false">IF(02_Almuerzos!O128="","",02_Almuerzos!O128)</f>
        <v>11.83</v>
      </c>
      <c r="O220" s="55" t="str">
        <f aca="false">IF(02_Almuerzos!P128="","",02_Almuerzos!P128)</f>
        <v>12:00-15:00</v>
      </c>
      <c r="P220" s="55" t="n">
        <f aca="false">IF(02_Almuerzos!Q128="","",02_Almuerzos!Q128)</f>
        <v>12</v>
      </c>
      <c r="Q220" s="55" t="str">
        <f aca="false">IF(02_Almuerzos!R128="","",02_Almuerzos!R128)</f>
        <v>Alto</v>
      </c>
      <c r="R220" s="55" t="str">
        <f aca="false">IF(02_Almuerzos!S128="","",02_Almuerzos!S128)</f>
        <v>Todo el año</v>
      </c>
      <c r="S220" s="55" t="str">
        <f aca="false">IF(02_Almuerzos!T128="","",02_Almuerzos!T128)</f>
        <v>Menú</v>
      </c>
      <c r="T220" s="56" t="str">
        <f aca="false">IF(02_Almuerzos!U128="","",02_Almuerzos!U128)</f>
        <v/>
      </c>
      <c r="U220" s="55" t="n">
        <v>128</v>
      </c>
      <c r="V220" s="55" t="n">
        <f aca="false">IF(AND(OR(LEN(13_Buscador!$C$5)=0,ISNUMBER(SEARCH(13_Buscador!$C$5,$C220&amp;" "&amp;$D220&amp;" "&amp;$E220&amp;" "&amp;$F220&amp;" "&amp;$S220))),OR(13_Buscador!$C$6="Todas las listas",LEN(13_Buscador!$C$6)=0,13_Buscador!$C$6=$B220)),1,0)</f>
        <v>1</v>
      </c>
      <c r="W220" s="55" t="n">
        <f aca="false">IF(V220=1,SUM($V$2:V220),"")</f>
        <v>41</v>
      </c>
    </row>
    <row r="221" customFormat="false" ht="23.25" hidden="false" customHeight="true" outlineLevel="0" collapsed="false">
      <c r="A221" s="55" t="n">
        <v>220</v>
      </c>
      <c r="B221" s="55" t="s">
        <v>3328</v>
      </c>
      <c r="C221" s="55" t="str">
        <f aca="false">IF(02_Almuerzos!B129="","",02_Almuerzos!B129)</f>
        <v>Segundos criollos</v>
      </c>
      <c r="D221" s="56" t="str">
        <f aca="false">IF(02_Almuerzos!C129="","",02_Almuerzos!C129)</f>
        <v>Carne guisada con papas</v>
      </c>
      <c r="E221" s="56" t="str">
        <f aca="false">IF(02_Almuerzos!D129="","",02_Almuerzos!D129)</f>
        <v>Guiso de res</v>
      </c>
      <c r="F221" s="56" t="str">
        <f aca="false">IF(02_Almuerzos!E129="","",02_Almuerzos!E129)</f>
        <v>carne de res, cebolla, tomate, zanahoria, papa, especias</v>
      </c>
      <c r="G221" s="55" t="str">
        <f aca="false">IF(02_Almuerzos!F129="","",02_Almuerzos!F129)</f>
        <v>Plato</v>
      </c>
      <c r="H221" s="55" t="str">
        <f aca="false">IF(02_Almuerzos!G129="","",02_Almuerzos!G129)</f>
        <v>Estándar</v>
      </c>
      <c r="I221" s="58" t="n">
        <f aca="false">IF(02_Almuerzos!H129="","",02_Almuerzos!H129)</f>
        <v>11</v>
      </c>
      <c r="J221" s="58" t="n">
        <f aca="false">IF(02_Almuerzos!I129="","",02_Almuerzos!I129)</f>
        <v>18</v>
      </c>
      <c r="K221" s="58" t="n">
        <f aca="false">IF(02_Almuerzos!J129="","",02_Almuerzos!J129)</f>
        <v>14.5</v>
      </c>
      <c r="L221" s="58" t="n">
        <f aca="false">IF(02_Almuerzos!L129="","",02_Almuerzos!L129)</f>
        <v>15.5</v>
      </c>
      <c r="M221" s="58" t="n">
        <f aca="false">IF(02_Almuerzos!N129="","",02_Almuerzos!N129)</f>
        <v>1.31</v>
      </c>
      <c r="N221" s="58" t="n">
        <f aca="false">IF(02_Almuerzos!O129="","",02_Almuerzos!O129)</f>
        <v>13.19</v>
      </c>
      <c r="O221" s="55" t="str">
        <f aca="false">IF(02_Almuerzos!P129="","",02_Almuerzos!P129)</f>
        <v>12:00-15:00</v>
      </c>
      <c r="P221" s="55" t="n">
        <f aca="false">IF(02_Almuerzos!Q129="","",02_Almuerzos!Q129)</f>
        <v>12</v>
      </c>
      <c r="Q221" s="55" t="str">
        <f aca="false">IF(02_Almuerzos!R129="","",02_Almuerzos!R129)</f>
        <v>Alto</v>
      </c>
      <c r="R221" s="55" t="str">
        <f aca="false">IF(02_Almuerzos!S129="","",02_Almuerzos!S129)</f>
        <v>Todo el año</v>
      </c>
      <c r="S221" s="55" t="str">
        <f aca="false">IF(02_Almuerzos!T129="","",02_Almuerzos!T129)</f>
        <v>Menú</v>
      </c>
      <c r="T221" s="56" t="str">
        <f aca="false">IF(02_Almuerzos!U129="","",02_Almuerzos!U129)</f>
        <v/>
      </c>
      <c r="U221" s="55" t="n">
        <v>129</v>
      </c>
      <c r="V221" s="55" t="n">
        <f aca="false">IF(AND(OR(LEN(13_Buscador!$C$5)=0,ISNUMBER(SEARCH(13_Buscador!$C$5,$C221&amp;" "&amp;$D221&amp;" "&amp;$E221&amp;" "&amp;$F221&amp;" "&amp;$S221))),OR(13_Buscador!$C$6="Todas las listas",LEN(13_Buscador!$C$6)=0,13_Buscador!$C$6=$B221)),1,0)</f>
        <v>0</v>
      </c>
      <c r="W221" s="55" t="str">
        <f aca="false">IF(V221=1,SUM($V$2:V221),"")</f>
        <v/>
      </c>
    </row>
    <row r="222" customFormat="false" ht="23.25" hidden="false" customHeight="true" outlineLevel="0" collapsed="false">
      <c r="A222" s="55" t="n">
        <v>221</v>
      </c>
      <c r="B222" s="55" t="s">
        <v>3328</v>
      </c>
      <c r="C222" s="55" t="str">
        <f aca="false">IF(02_Almuerzos!B130="","",02_Almuerzos!B130)</f>
        <v>Segundos criollos</v>
      </c>
      <c r="D222" s="56" t="str">
        <f aca="false">IF(02_Almuerzos!C130="","",02_Almuerzos!C130)</f>
        <v>Estofado de carne</v>
      </c>
      <c r="E222" s="56" t="str">
        <f aca="false">IF(02_Almuerzos!D130="","",02_Almuerzos!D130)</f>
        <v>Res guisada con verduras</v>
      </c>
      <c r="F222" s="56" t="str">
        <f aca="false">IF(02_Almuerzos!E130="","",02_Almuerzos!E130)</f>
        <v>carne o pollo, tomate, cebolla, zanahoria, arveja, laurel, papa, arroz</v>
      </c>
      <c r="G222" s="55" t="str">
        <f aca="false">IF(02_Almuerzos!F130="","",02_Almuerzos!F130)</f>
        <v>Plato</v>
      </c>
      <c r="H222" s="55" t="str">
        <f aca="false">IF(02_Almuerzos!G130="","",02_Almuerzos!G130)</f>
        <v>Estándar</v>
      </c>
      <c r="I222" s="58" t="n">
        <f aca="false">IF(02_Almuerzos!H130="","",02_Almuerzos!H130)</f>
        <v>11</v>
      </c>
      <c r="J222" s="58" t="n">
        <f aca="false">IF(02_Almuerzos!I130="","",02_Almuerzos!I130)</f>
        <v>18</v>
      </c>
      <c r="K222" s="58" t="n">
        <f aca="false">IF(02_Almuerzos!J130="","",02_Almuerzos!J130)</f>
        <v>14.5</v>
      </c>
      <c r="L222" s="58" t="n">
        <f aca="false">IF(02_Almuerzos!L130="","",02_Almuerzos!L130)</f>
        <v>15.5</v>
      </c>
      <c r="M222" s="58" t="n">
        <f aca="false">IF(02_Almuerzos!N130="","",02_Almuerzos!N130)</f>
        <v>1.31</v>
      </c>
      <c r="N222" s="58" t="n">
        <f aca="false">IF(02_Almuerzos!O130="","",02_Almuerzos!O130)</f>
        <v>13.19</v>
      </c>
      <c r="O222" s="55" t="str">
        <f aca="false">IF(02_Almuerzos!P130="","",02_Almuerzos!P130)</f>
        <v>12:00-15:00</v>
      </c>
      <c r="P222" s="55" t="n">
        <f aca="false">IF(02_Almuerzos!Q130="","",02_Almuerzos!Q130)</f>
        <v>12</v>
      </c>
      <c r="Q222" s="55" t="str">
        <f aca="false">IF(02_Almuerzos!R130="","",02_Almuerzos!R130)</f>
        <v>Alto</v>
      </c>
      <c r="R222" s="55" t="str">
        <f aca="false">IF(02_Almuerzos!S130="","",02_Almuerzos!S130)</f>
        <v>Todo el año</v>
      </c>
      <c r="S222" s="55" t="str">
        <f aca="false">IF(02_Almuerzos!T130="","",02_Almuerzos!T130)</f>
        <v>Menú</v>
      </c>
      <c r="T222" s="56" t="str">
        <f aca="false">IF(02_Almuerzos!U130="","",02_Almuerzos!U130)</f>
        <v/>
      </c>
      <c r="U222" s="55" t="n">
        <v>130</v>
      </c>
      <c r="V222" s="55" t="n">
        <f aca="false">IF(AND(OR(LEN(13_Buscador!$C$5)=0,ISNUMBER(SEARCH(13_Buscador!$C$5,$C222&amp;" "&amp;$D222&amp;" "&amp;$E222&amp;" "&amp;$F222&amp;" "&amp;$S222))),OR(13_Buscador!$C$6="Todas las listas",LEN(13_Buscador!$C$6)=0,13_Buscador!$C$6=$B222)),1,0)</f>
        <v>1</v>
      </c>
      <c r="W222" s="55" t="n">
        <f aca="false">IF(V222=1,SUM($V$2:V222),"")</f>
        <v>42</v>
      </c>
    </row>
    <row r="223" customFormat="false" ht="23.25" hidden="false" customHeight="true" outlineLevel="0" collapsed="false">
      <c r="A223" s="55" t="n">
        <v>222</v>
      </c>
      <c r="B223" s="55" t="s">
        <v>3328</v>
      </c>
      <c r="C223" s="55" t="str">
        <f aca="false">IF(02_Almuerzos!B131="","",02_Almuerzos!B131)</f>
        <v>Segundos criollos</v>
      </c>
      <c r="D223" s="56" t="str">
        <f aca="false">IF(02_Almuerzos!C131="","",02_Almuerzos!C131)</f>
        <v>Albóndigas en salsa</v>
      </c>
      <c r="E223" s="56" t="str">
        <f aca="false">IF(02_Almuerzos!D131="","",02_Almuerzos!D131)</f>
        <v>Bolitas de carne en salsa</v>
      </c>
      <c r="F223" s="56" t="str">
        <f aca="false">IF(02_Almuerzos!E131="","",02_Almuerzos!E131)</f>
        <v>carne molida, pan remojado, huevo, salsa de tomate, arroz</v>
      </c>
      <c r="G223" s="55" t="str">
        <f aca="false">IF(02_Almuerzos!F131="","",02_Almuerzos!F131)</f>
        <v>Plato</v>
      </c>
      <c r="H223" s="55" t="str">
        <f aca="false">IF(02_Almuerzos!G131="","",02_Almuerzos!G131)</f>
        <v>Económico</v>
      </c>
      <c r="I223" s="58" t="n">
        <f aca="false">IF(02_Almuerzos!H131="","",02_Almuerzos!H131)</f>
        <v>9</v>
      </c>
      <c r="J223" s="58" t="n">
        <f aca="false">IF(02_Almuerzos!I131="","",02_Almuerzos!I131)</f>
        <v>15</v>
      </c>
      <c r="K223" s="58" t="n">
        <f aca="false">IF(02_Almuerzos!J131="","",02_Almuerzos!J131)</f>
        <v>12</v>
      </c>
      <c r="L223" s="58" t="n">
        <f aca="false">IF(02_Almuerzos!L131="","",02_Almuerzos!L131)</f>
        <v>13</v>
      </c>
      <c r="M223" s="58" t="n">
        <f aca="false">IF(02_Almuerzos!N131="","",02_Almuerzos!N131)</f>
        <v>0.84</v>
      </c>
      <c r="N223" s="58" t="n">
        <f aca="false">IF(02_Almuerzos!O131="","",02_Almuerzos!O131)</f>
        <v>11.16</v>
      </c>
      <c r="O223" s="55" t="str">
        <f aca="false">IF(02_Almuerzos!P131="","",02_Almuerzos!P131)</f>
        <v>12:00-15:00</v>
      </c>
      <c r="P223" s="55" t="n">
        <f aca="false">IF(02_Almuerzos!Q131="","",02_Almuerzos!Q131)</f>
        <v>12</v>
      </c>
      <c r="Q223" s="55" t="str">
        <f aca="false">IF(02_Almuerzos!R131="","",02_Almuerzos!R131)</f>
        <v>Alto</v>
      </c>
      <c r="R223" s="55" t="str">
        <f aca="false">IF(02_Almuerzos!S131="","",02_Almuerzos!S131)</f>
        <v>Todo el año</v>
      </c>
      <c r="S223" s="55" t="str">
        <f aca="false">IF(02_Almuerzos!T131="","",02_Almuerzos!T131)</f>
        <v>Menú</v>
      </c>
      <c r="T223" s="56" t="str">
        <f aca="false">IF(02_Almuerzos!U131="","",02_Almuerzos!U131)</f>
        <v/>
      </c>
      <c r="U223" s="55" t="n">
        <v>131</v>
      </c>
      <c r="V223" s="55" t="n">
        <f aca="false">IF(AND(OR(LEN(13_Buscador!$C$5)=0,ISNUMBER(SEARCH(13_Buscador!$C$5,$C223&amp;" "&amp;$D223&amp;" "&amp;$E223&amp;" "&amp;$F223&amp;" "&amp;$S223))),OR(13_Buscador!$C$6="Todas las listas",LEN(13_Buscador!$C$6)=0,13_Buscador!$C$6=$B223)),1,0)</f>
        <v>0</v>
      </c>
      <c r="W223" s="55" t="str">
        <f aca="false">IF(V223=1,SUM($V$2:V223),"")</f>
        <v/>
      </c>
    </row>
    <row r="224" customFormat="false" ht="15" hidden="false" customHeight="true" outlineLevel="0" collapsed="false">
      <c r="A224" s="55" t="n">
        <v>223</v>
      </c>
      <c r="B224" s="55" t="s">
        <v>3328</v>
      </c>
      <c r="C224" s="55" t="str">
        <f aca="false">IF(02_Almuerzos!B132="","",02_Almuerzos!B132)</f>
        <v>Segundos criollos</v>
      </c>
      <c r="D224" s="56" t="str">
        <f aca="false">IF(02_Almuerzos!C132="","",02_Almuerzos!C132)</f>
        <v>Croquetas de pollo</v>
      </c>
      <c r="E224" s="56" t="str">
        <f aca="false">IF(02_Almuerzos!D132="","",02_Almuerzos!D132)</f>
        <v>Croquetas con arroz</v>
      </c>
      <c r="F224" s="56" t="str">
        <f aca="false">IF(02_Almuerzos!E132="","",02_Almuerzos!E132)</f>
        <v>pollo, papa, huevo, pan molido, aceite</v>
      </c>
      <c r="G224" s="55" t="str">
        <f aca="false">IF(02_Almuerzos!F132="","",02_Almuerzos!F132)</f>
        <v>Plato</v>
      </c>
      <c r="H224" s="55" t="str">
        <f aca="false">IF(02_Almuerzos!G132="","",02_Almuerzos!G132)</f>
        <v>Económico</v>
      </c>
      <c r="I224" s="58" t="n">
        <f aca="false">IF(02_Almuerzos!H132="","",02_Almuerzos!H132)</f>
        <v>8</v>
      </c>
      <c r="J224" s="58" t="n">
        <f aca="false">IF(02_Almuerzos!I132="","",02_Almuerzos!I132)</f>
        <v>14</v>
      </c>
      <c r="K224" s="58" t="n">
        <f aca="false">IF(02_Almuerzos!J132="","",02_Almuerzos!J132)</f>
        <v>11</v>
      </c>
      <c r="L224" s="58" t="n">
        <f aca="false">IF(02_Almuerzos!L132="","",02_Almuerzos!L132)</f>
        <v>12</v>
      </c>
      <c r="M224" s="58" t="n">
        <f aca="false">IF(02_Almuerzos!N132="","",02_Almuerzos!N132)</f>
        <v>0.77</v>
      </c>
      <c r="N224" s="58" t="n">
        <f aca="false">IF(02_Almuerzos!O132="","",02_Almuerzos!O132)</f>
        <v>10.23</v>
      </c>
      <c r="O224" s="55" t="str">
        <f aca="false">IF(02_Almuerzos!P132="","",02_Almuerzos!P132)</f>
        <v>12:00-15:00</v>
      </c>
      <c r="P224" s="55" t="n">
        <f aca="false">IF(02_Almuerzos!Q132="","",02_Almuerzos!Q132)</f>
        <v>10</v>
      </c>
      <c r="Q224" s="55" t="str">
        <f aca="false">IF(02_Almuerzos!R132="","",02_Almuerzos!R132)</f>
        <v>Alto</v>
      </c>
      <c r="R224" s="55" t="str">
        <f aca="false">IF(02_Almuerzos!S132="","",02_Almuerzos!S132)</f>
        <v>Todo el año</v>
      </c>
      <c r="S224" s="55" t="str">
        <f aca="false">IF(02_Almuerzos!T132="","",02_Almuerzos!T132)</f>
        <v>Menú</v>
      </c>
      <c r="T224" s="56" t="str">
        <f aca="false">IF(02_Almuerzos!U132="","",02_Almuerzos!U132)</f>
        <v/>
      </c>
      <c r="U224" s="55" t="n">
        <v>132</v>
      </c>
      <c r="V224" s="55" t="n">
        <f aca="false">IF(AND(OR(LEN(13_Buscador!$C$5)=0,ISNUMBER(SEARCH(13_Buscador!$C$5,$C224&amp;" "&amp;$D224&amp;" "&amp;$E224&amp;" "&amp;$F224&amp;" "&amp;$S224))),OR(13_Buscador!$C$6="Todas las listas",LEN(13_Buscador!$C$6)=0,13_Buscador!$C$6=$B224)),1,0)</f>
        <v>1</v>
      </c>
      <c r="W224" s="55" t="n">
        <f aca="false">IF(V224=1,SUM($V$2:V224),"")</f>
        <v>43</v>
      </c>
    </row>
    <row r="225" customFormat="false" ht="15" hidden="false" customHeight="true" outlineLevel="0" collapsed="false">
      <c r="A225" s="55" t="n">
        <v>224</v>
      </c>
      <c r="B225" s="55" t="s">
        <v>3328</v>
      </c>
      <c r="C225" s="55" t="str">
        <f aca="false">IF(02_Almuerzos!B133="","",02_Almuerzos!B133)</f>
        <v>Segundos criollos</v>
      </c>
      <c r="D225" s="56" t="str">
        <f aca="false">IF(02_Almuerzos!C133="","",02_Almuerzos!C133)</f>
        <v>Chuleta a la plancha</v>
      </c>
      <c r="E225" s="56" t="str">
        <f aca="false">IF(02_Almuerzos!D133="","",02_Almuerzos!D133)</f>
        <v>Cerdo a la plancha</v>
      </c>
      <c r="F225" s="56" t="str">
        <f aca="false">IF(02_Almuerzos!E133="","",02_Almuerzos!E133)</f>
        <v>chuleta de cerdo, ajo, comino, sal, arroz, ensalada</v>
      </c>
      <c r="G225" s="55" t="str">
        <f aca="false">IF(02_Almuerzos!F133="","",02_Almuerzos!F133)</f>
        <v>Plato</v>
      </c>
      <c r="H225" s="55" t="str">
        <f aca="false">IF(02_Almuerzos!G133="","",02_Almuerzos!G133)</f>
        <v>Estándar</v>
      </c>
      <c r="I225" s="58" t="n">
        <f aca="false">IF(02_Almuerzos!H133="","",02_Almuerzos!H133)</f>
        <v>11</v>
      </c>
      <c r="J225" s="58" t="n">
        <f aca="false">IF(02_Almuerzos!I133="","",02_Almuerzos!I133)</f>
        <v>18</v>
      </c>
      <c r="K225" s="58" t="n">
        <f aca="false">IF(02_Almuerzos!J133="","",02_Almuerzos!J133)</f>
        <v>14.5</v>
      </c>
      <c r="L225" s="58" t="n">
        <f aca="false">IF(02_Almuerzos!L133="","",02_Almuerzos!L133)</f>
        <v>15.5</v>
      </c>
      <c r="M225" s="58" t="n">
        <f aca="false">IF(02_Almuerzos!N133="","",02_Almuerzos!N133)</f>
        <v>1.31</v>
      </c>
      <c r="N225" s="58" t="n">
        <f aca="false">IF(02_Almuerzos!O133="","",02_Almuerzos!O133)</f>
        <v>13.19</v>
      </c>
      <c r="O225" s="55" t="str">
        <f aca="false">IF(02_Almuerzos!P133="","",02_Almuerzos!P133)</f>
        <v>12:00-15:00</v>
      </c>
      <c r="P225" s="55" t="n">
        <f aca="false">IF(02_Almuerzos!Q133="","",02_Almuerzos!Q133)</f>
        <v>10</v>
      </c>
      <c r="Q225" s="55" t="str">
        <f aca="false">IF(02_Almuerzos!R133="","",02_Almuerzos!R133)</f>
        <v>Alto</v>
      </c>
      <c r="R225" s="55" t="str">
        <f aca="false">IF(02_Almuerzos!S133="","",02_Almuerzos!S133)</f>
        <v>Todo el año</v>
      </c>
      <c r="S225" s="55" t="str">
        <f aca="false">IF(02_Almuerzos!T133="","",02_Almuerzos!T133)</f>
        <v>Menú</v>
      </c>
      <c r="T225" s="56" t="str">
        <f aca="false">IF(02_Almuerzos!U133="","",02_Almuerzos!U133)</f>
        <v/>
      </c>
      <c r="U225" s="55" t="n">
        <v>133</v>
      </c>
      <c r="V225" s="55" t="n">
        <f aca="false">IF(AND(OR(LEN(13_Buscador!$C$5)=0,ISNUMBER(SEARCH(13_Buscador!$C$5,$C225&amp;" "&amp;$D225&amp;" "&amp;$E225&amp;" "&amp;$F225&amp;" "&amp;$S225))),OR(13_Buscador!$C$6="Todas las listas",LEN(13_Buscador!$C$6)=0,13_Buscador!$C$6=$B225)),1,0)</f>
        <v>0</v>
      </c>
      <c r="W225" s="55" t="str">
        <f aca="false">IF(V225=1,SUM($V$2:V225),"")</f>
        <v/>
      </c>
    </row>
    <row r="226" customFormat="false" ht="23.25" hidden="false" customHeight="true" outlineLevel="0" collapsed="false">
      <c r="A226" s="55" t="n">
        <v>225</v>
      </c>
      <c r="B226" s="55" t="s">
        <v>3328</v>
      </c>
      <c r="C226" s="55" t="str">
        <f aca="false">IF(02_Almuerzos!B134="","",02_Almuerzos!B134)</f>
        <v>Segundos criollos</v>
      </c>
      <c r="D226" s="56" t="str">
        <f aca="false">IF(02_Almuerzos!C134="","",02_Almuerzos!C134)</f>
        <v>Pollo a la brasa de almuerzo</v>
      </c>
      <c r="E226" s="56" t="str">
        <f aca="false">IF(02_Almuerzos!D134="","",02_Almuerzos!D134)</f>
        <v>1/4 con papas al mediodía</v>
      </c>
      <c r="F226" s="56" t="str">
        <f aca="false">IF(02_Almuerzos!E134="","",02_Almuerzos!E134)</f>
        <v>pollo entero o en presas, sillao, ají panca, romero, comino, papas fritas, ensalada</v>
      </c>
      <c r="G226" s="55" t="str">
        <f aca="false">IF(02_Almuerzos!F134="","",02_Almuerzos!F134)</f>
        <v>Porción</v>
      </c>
      <c r="H226" s="55" t="str">
        <f aca="false">IF(02_Almuerzos!G134="","",02_Almuerzos!G134)</f>
        <v>Estándar</v>
      </c>
      <c r="I226" s="58" t="n">
        <f aca="false">IF(02_Almuerzos!H134="","",02_Almuerzos!H134)</f>
        <v>12</v>
      </c>
      <c r="J226" s="58" t="n">
        <f aca="false">IF(02_Almuerzos!I134="","",02_Almuerzos!I134)</f>
        <v>18</v>
      </c>
      <c r="K226" s="58" t="n">
        <f aca="false">IF(02_Almuerzos!J134="","",02_Almuerzos!J134)</f>
        <v>15</v>
      </c>
      <c r="L226" s="58" t="n">
        <f aca="false">IF(02_Almuerzos!L134="","",02_Almuerzos!L134)</f>
        <v>16</v>
      </c>
      <c r="M226" s="58" t="n">
        <f aca="false">IF(02_Almuerzos!N134="","",02_Almuerzos!N134)</f>
        <v>1.35</v>
      </c>
      <c r="N226" s="58" t="n">
        <f aca="false">IF(02_Almuerzos!O134="","",02_Almuerzos!O134)</f>
        <v>13.65</v>
      </c>
      <c r="O226" s="55" t="str">
        <f aca="false">IF(02_Almuerzos!P134="","",02_Almuerzos!P134)</f>
        <v>12:00-15:00</v>
      </c>
      <c r="P226" s="55" t="n">
        <f aca="false">IF(02_Almuerzos!Q134="","",02_Almuerzos!Q134)</f>
        <v>10</v>
      </c>
      <c r="Q226" s="55" t="str">
        <f aca="false">IF(02_Almuerzos!R134="","",02_Almuerzos!R134)</f>
        <v>Medio</v>
      </c>
      <c r="R226" s="55" t="str">
        <f aca="false">IF(02_Almuerzos!S134="","",02_Almuerzos!S134)</f>
        <v>Todo el año</v>
      </c>
      <c r="S226" s="55" t="str">
        <f aca="false">IF(02_Almuerzos!T134="","",02_Almuerzos!T134)</f>
        <v>Pollería</v>
      </c>
      <c r="T226" s="56" t="str">
        <f aca="false">IF(02_Almuerzos!U134="","",02_Almuerzos!U134)</f>
        <v>Algunas pollerías abren desde el mediodía</v>
      </c>
      <c r="U226" s="55" t="n">
        <v>134</v>
      </c>
      <c r="V226" s="55" t="n">
        <f aca="false">IF(AND(OR(LEN(13_Buscador!$C$5)=0,ISNUMBER(SEARCH(13_Buscador!$C$5,$C226&amp;" "&amp;$D226&amp;" "&amp;$E226&amp;" "&amp;$F226&amp;" "&amp;$S226))),OR(13_Buscador!$C$6="Todas las listas",LEN(13_Buscador!$C$6)=0,13_Buscador!$C$6=$B226)),1,0)</f>
        <v>1</v>
      </c>
      <c r="W226" s="55" t="n">
        <f aca="false">IF(V226=1,SUM($V$2:V226),"")</f>
        <v>44</v>
      </c>
    </row>
    <row r="227" customFormat="false" ht="15" hidden="false" customHeight="true" outlineLevel="0" collapsed="false">
      <c r="A227" s="55" t="n">
        <v>226</v>
      </c>
      <c r="B227" s="55" t="s">
        <v>3328</v>
      </c>
      <c r="C227" s="55" t="str">
        <f aca="false">IF(02_Almuerzos!B135="","",02_Almuerzos!B135)</f>
        <v>Segundos criollos</v>
      </c>
      <c r="D227" s="56" t="str">
        <f aca="false">IF(02_Almuerzos!C135="","",02_Almuerzos!C135)</f>
        <v>Tallarín saltado criollo</v>
      </c>
      <c r="E227" s="56" t="str">
        <f aca="false">IF(02_Almuerzos!D135="","",02_Almuerzos!D135)</f>
        <v>Fideo salteado con carne</v>
      </c>
      <c r="F227" s="56" t="str">
        <f aca="false">IF(02_Almuerzos!E135="","",02_Almuerzos!E135)</f>
        <v>fideo, carne o pollo, cebolla, tomate, sillao, ají amarillo</v>
      </c>
      <c r="G227" s="55" t="str">
        <f aca="false">IF(02_Almuerzos!F135="","",02_Almuerzos!F135)</f>
        <v>Plato</v>
      </c>
      <c r="H227" s="55" t="str">
        <f aca="false">IF(02_Almuerzos!G135="","",02_Almuerzos!G135)</f>
        <v>Estándar</v>
      </c>
      <c r="I227" s="58" t="n">
        <f aca="false">IF(02_Almuerzos!H135="","",02_Almuerzos!H135)</f>
        <v>11</v>
      </c>
      <c r="J227" s="58" t="n">
        <f aca="false">IF(02_Almuerzos!I135="","",02_Almuerzos!I135)</f>
        <v>18</v>
      </c>
      <c r="K227" s="58" t="n">
        <f aca="false">IF(02_Almuerzos!J135="","",02_Almuerzos!J135)</f>
        <v>14.5</v>
      </c>
      <c r="L227" s="58" t="n">
        <f aca="false">IF(02_Almuerzos!L135="","",02_Almuerzos!L135)</f>
        <v>15.5</v>
      </c>
      <c r="M227" s="58" t="n">
        <f aca="false">IF(02_Almuerzos!N135="","",02_Almuerzos!N135)</f>
        <v>1.31</v>
      </c>
      <c r="N227" s="58" t="n">
        <f aca="false">IF(02_Almuerzos!O135="","",02_Almuerzos!O135)</f>
        <v>13.19</v>
      </c>
      <c r="O227" s="55" t="str">
        <f aca="false">IF(02_Almuerzos!P135="","",02_Almuerzos!P135)</f>
        <v>12:00-15:00</v>
      </c>
      <c r="P227" s="55" t="n">
        <f aca="false">IF(02_Almuerzos!Q135="","",02_Almuerzos!Q135)</f>
        <v>10</v>
      </c>
      <c r="Q227" s="55" t="str">
        <f aca="false">IF(02_Almuerzos!R135="","",02_Almuerzos!R135)</f>
        <v>Alto</v>
      </c>
      <c r="R227" s="55" t="str">
        <f aca="false">IF(02_Almuerzos!S135="","",02_Almuerzos!S135)</f>
        <v>Todo el año</v>
      </c>
      <c r="S227" s="55" t="str">
        <f aca="false">IF(02_Almuerzos!T135="","",02_Almuerzos!T135)</f>
        <v>Menú</v>
      </c>
      <c r="T227" s="56" t="str">
        <f aca="false">IF(02_Almuerzos!U135="","",02_Almuerzos!U135)</f>
        <v/>
      </c>
      <c r="U227" s="55" t="n">
        <v>135</v>
      </c>
      <c r="V227" s="55" t="n">
        <f aca="false">IF(AND(OR(LEN(13_Buscador!$C$5)=0,ISNUMBER(SEARCH(13_Buscador!$C$5,$C227&amp;" "&amp;$D227&amp;" "&amp;$E227&amp;" "&amp;$F227&amp;" "&amp;$S227))),OR(13_Buscador!$C$6="Todas las listas",LEN(13_Buscador!$C$6)=0,13_Buscador!$C$6=$B227)),1,0)</f>
        <v>1</v>
      </c>
      <c r="W227" s="55" t="n">
        <f aca="false">IF(V227=1,SUM($V$2:V227),"")</f>
        <v>45</v>
      </c>
    </row>
    <row r="228" customFormat="false" ht="15" hidden="false" customHeight="true" outlineLevel="0" collapsed="false">
      <c r="A228" s="55" t="n">
        <v>227</v>
      </c>
      <c r="B228" s="55" t="s">
        <v>3328</v>
      </c>
      <c r="C228" s="55" t="str">
        <f aca="false">IF(02_Almuerzos!B136="","",02_Almuerzos!B136)</f>
        <v>Segundos criollos</v>
      </c>
      <c r="D228" s="56" t="str">
        <f aca="false">IF(02_Almuerzos!C136="","",02_Almuerzos!C136)</f>
        <v>Tallarín a la huancaína con bistec</v>
      </c>
      <c r="E228" s="56" t="str">
        <f aca="false">IF(02_Almuerzos!D136="","",02_Almuerzos!D136)</f>
        <v>Pasta en crema de ají</v>
      </c>
      <c r="F228" s="56" t="str">
        <f aca="false">IF(02_Almuerzos!E136="","",02_Almuerzos!E136)</f>
        <v>fideo, ají amarillo, queso fresco, leche, galleta, bistec</v>
      </c>
      <c r="G228" s="55" t="str">
        <f aca="false">IF(02_Almuerzos!F136="","",02_Almuerzos!F136)</f>
        <v>Plato</v>
      </c>
      <c r="H228" s="55" t="str">
        <f aca="false">IF(02_Almuerzos!G136="","",02_Almuerzos!G136)</f>
        <v>Estándar</v>
      </c>
      <c r="I228" s="58" t="n">
        <f aca="false">IF(02_Almuerzos!H136="","",02_Almuerzos!H136)</f>
        <v>12</v>
      </c>
      <c r="J228" s="58" t="n">
        <f aca="false">IF(02_Almuerzos!I136="","",02_Almuerzos!I136)</f>
        <v>20</v>
      </c>
      <c r="K228" s="58" t="n">
        <f aca="false">IF(02_Almuerzos!J136="","",02_Almuerzos!J136)</f>
        <v>16</v>
      </c>
      <c r="L228" s="58" t="n">
        <f aca="false">IF(02_Almuerzos!L136="","",02_Almuerzos!L136)</f>
        <v>17</v>
      </c>
      <c r="M228" s="58" t="n">
        <f aca="false">IF(02_Almuerzos!N136="","",02_Almuerzos!N136)</f>
        <v>1.44</v>
      </c>
      <c r="N228" s="58" t="n">
        <f aca="false">IF(02_Almuerzos!O136="","",02_Almuerzos!O136)</f>
        <v>14.56</v>
      </c>
      <c r="O228" s="55" t="str">
        <f aca="false">IF(02_Almuerzos!P136="","",02_Almuerzos!P136)</f>
        <v>12:00-15:00</v>
      </c>
      <c r="P228" s="55" t="n">
        <f aca="false">IF(02_Almuerzos!Q136="","",02_Almuerzos!Q136)</f>
        <v>12</v>
      </c>
      <c r="Q228" s="55" t="str">
        <f aca="false">IF(02_Almuerzos!R136="","",02_Almuerzos!R136)</f>
        <v>Alto</v>
      </c>
      <c r="R228" s="55" t="str">
        <f aca="false">IF(02_Almuerzos!S136="","",02_Almuerzos!S136)</f>
        <v>Todo el año</v>
      </c>
      <c r="S228" s="55" t="str">
        <f aca="false">IF(02_Almuerzos!T136="","",02_Almuerzos!T136)</f>
        <v>Menú</v>
      </c>
      <c r="T228" s="56" t="str">
        <f aca="false">IF(02_Almuerzos!U136="","",02_Almuerzos!U136)</f>
        <v/>
      </c>
      <c r="U228" s="55" t="n">
        <v>136</v>
      </c>
      <c r="V228" s="55" t="n">
        <f aca="false">IF(AND(OR(LEN(13_Buscador!$C$5)=0,ISNUMBER(SEARCH(13_Buscador!$C$5,$C228&amp;" "&amp;$D228&amp;" "&amp;$E228&amp;" "&amp;$F228&amp;" "&amp;$S228))),OR(13_Buscador!$C$6="Todas las listas",LEN(13_Buscador!$C$6)=0,13_Buscador!$C$6=$B228)),1,0)</f>
        <v>0</v>
      </c>
      <c r="W228" s="55" t="str">
        <f aca="false">IF(V228=1,SUM($V$2:V228),"")</f>
        <v/>
      </c>
    </row>
    <row r="229" customFormat="false" ht="15" hidden="false" customHeight="true" outlineLevel="0" collapsed="false">
      <c r="A229" s="55" t="n">
        <v>228</v>
      </c>
      <c r="B229" s="55" t="s">
        <v>3328</v>
      </c>
      <c r="C229" s="55" t="str">
        <f aca="false">IF(02_Almuerzos!B137="","",02_Almuerzos!B137)</f>
        <v>Segundos criollos</v>
      </c>
      <c r="D229" s="56" t="str">
        <f aca="false">IF(02_Almuerzos!C137="","",02_Almuerzos!C137)</f>
        <v>Puré con bistec</v>
      </c>
      <c r="E229" s="56" t="str">
        <f aca="false">IF(02_Almuerzos!D137="","",02_Almuerzos!D137)</f>
        <v>Puré de papa y carne</v>
      </c>
      <c r="F229" s="56" t="str">
        <f aca="false">IF(02_Almuerzos!E137="","",02_Almuerzos!E137)</f>
        <v>papa, leche, mantequilla, bistec, cebolla</v>
      </c>
      <c r="G229" s="55" t="str">
        <f aca="false">IF(02_Almuerzos!F137="","",02_Almuerzos!F137)</f>
        <v>Plato</v>
      </c>
      <c r="H229" s="55" t="str">
        <f aca="false">IF(02_Almuerzos!G137="","",02_Almuerzos!G137)</f>
        <v>Estándar</v>
      </c>
      <c r="I229" s="58" t="n">
        <f aca="false">IF(02_Almuerzos!H137="","",02_Almuerzos!H137)</f>
        <v>11</v>
      </c>
      <c r="J229" s="58" t="n">
        <f aca="false">IF(02_Almuerzos!I137="","",02_Almuerzos!I137)</f>
        <v>18</v>
      </c>
      <c r="K229" s="58" t="n">
        <f aca="false">IF(02_Almuerzos!J137="","",02_Almuerzos!J137)</f>
        <v>14.5</v>
      </c>
      <c r="L229" s="58" t="n">
        <f aca="false">IF(02_Almuerzos!L137="","",02_Almuerzos!L137)</f>
        <v>15.5</v>
      </c>
      <c r="M229" s="58" t="n">
        <f aca="false">IF(02_Almuerzos!N137="","",02_Almuerzos!N137)</f>
        <v>1.31</v>
      </c>
      <c r="N229" s="58" t="n">
        <f aca="false">IF(02_Almuerzos!O137="","",02_Almuerzos!O137)</f>
        <v>13.19</v>
      </c>
      <c r="O229" s="55" t="str">
        <f aca="false">IF(02_Almuerzos!P137="","",02_Almuerzos!P137)</f>
        <v>12:00-15:00</v>
      </c>
      <c r="P229" s="55" t="n">
        <f aca="false">IF(02_Almuerzos!Q137="","",02_Almuerzos!Q137)</f>
        <v>12</v>
      </c>
      <c r="Q229" s="55" t="str">
        <f aca="false">IF(02_Almuerzos!R137="","",02_Almuerzos!R137)</f>
        <v>Alto</v>
      </c>
      <c r="R229" s="55" t="str">
        <f aca="false">IF(02_Almuerzos!S137="","",02_Almuerzos!S137)</f>
        <v>Todo el año</v>
      </c>
      <c r="S229" s="55" t="str">
        <f aca="false">IF(02_Almuerzos!T137="","",02_Almuerzos!T137)</f>
        <v>Menú</v>
      </c>
      <c r="T229" s="56" t="str">
        <f aca="false">IF(02_Almuerzos!U137="","",02_Almuerzos!U137)</f>
        <v/>
      </c>
      <c r="U229" s="55" t="n">
        <v>137</v>
      </c>
      <c r="V229" s="55" t="n">
        <f aca="false">IF(AND(OR(LEN(13_Buscador!$C$5)=0,ISNUMBER(SEARCH(13_Buscador!$C$5,$C229&amp;" "&amp;$D229&amp;" "&amp;$E229&amp;" "&amp;$F229&amp;" "&amp;$S229))),OR(13_Buscador!$C$6="Todas las listas",LEN(13_Buscador!$C$6)=0,13_Buscador!$C$6=$B229)),1,0)</f>
        <v>0</v>
      </c>
      <c r="W229" s="55" t="str">
        <f aca="false">IF(V229=1,SUM($V$2:V229),"")</f>
        <v/>
      </c>
    </row>
    <row r="230" customFormat="false" ht="23.25" hidden="false" customHeight="true" outlineLevel="0" collapsed="false">
      <c r="A230" s="55" t="n">
        <v>229</v>
      </c>
      <c r="B230" s="55" t="s">
        <v>3328</v>
      </c>
      <c r="C230" s="55" t="str">
        <f aca="false">IF(02_Almuerzos!B138="","",02_Almuerzos!B138)</f>
        <v>Segundos criollos</v>
      </c>
      <c r="D230" s="56" t="str">
        <f aca="false">IF(02_Almuerzos!C138="","",02_Almuerzos!C138)</f>
        <v>Arroz chaufa criollo</v>
      </c>
      <c r="E230" s="56" t="str">
        <f aca="false">IF(02_Almuerzos!D138="","",02_Almuerzos!D138)</f>
        <v>Chaufa estilo casero</v>
      </c>
      <c r="F230" s="56" t="str">
        <f aca="false">IF(02_Almuerzos!E138="","",02_Almuerzos!E138)</f>
        <v>arroz, huevo, cebolla china, sillao, aceite de ajonjolí, carne o pollo</v>
      </c>
      <c r="G230" s="55" t="str">
        <f aca="false">IF(02_Almuerzos!F138="","",02_Almuerzos!F138)</f>
        <v>Plato</v>
      </c>
      <c r="H230" s="55" t="str">
        <f aca="false">IF(02_Almuerzos!G138="","",02_Almuerzos!G138)</f>
        <v>Económico</v>
      </c>
      <c r="I230" s="58" t="n">
        <f aca="false">IF(02_Almuerzos!H138="","",02_Almuerzos!H138)</f>
        <v>9</v>
      </c>
      <c r="J230" s="58" t="n">
        <f aca="false">IF(02_Almuerzos!I138="","",02_Almuerzos!I138)</f>
        <v>15</v>
      </c>
      <c r="K230" s="58" t="n">
        <f aca="false">IF(02_Almuerzos!J138="","",02_Almuerzos!J138)</f>
        <v>12</v>
      </c>
      <c r="L230" s="58" t="n">
        <f aca="false">IF(02_Almuerzos!L138="","",02_Almuerzos!L138)</f>
        <v>13</v>
      </c>
      <c r="M230" s="58" t="n">
        <f aca="false">IF(02_Almuerzos!N138="","",02_Almuerzos!N138)</f>
        <v>0.84</v>
      </c>
      <c r="N230" s="58" t="n">
        <f aca="false">IF(02_Almuerzos!O138="","",02_Almuerzos!O138)</f>
        <v>11.16</v>
      </c>
      <c r="O230" s="55" t="str">
        <f aca="false">IF(02_Almuerzos!P138="","",02_Almuerzos!P138)</f>
        <v>12:00-15:00</v>
      </c>
      <c r="P230" s="55" t="n">
        <f aca="false">IF(02_Almuerzos!Q138="","",02_Almuerzos!Q138)</f>
        <v>10</v>
      </c>
      <c r="Q230" s="55" t="str">
        <f aca="false">IF(02_Almuerzos!R138="","",02_Almuerzos!R138)</f>
        <v>Alto</v>
      </c>
      <c r="R230" s="55" t="str">
        <f aca="false">IF(02_Almuerzos!S138="","",02_Almuerzos!S138)</f>
        <v>Todo el año</v>
      </c>
      <c r="S230" s="55" t="str">
        <f aca="false">IF(02_Almuerzos!T138="","",02_Almuerzos!T138)</f>
        <v>Menú</v>
      </c>
      <c r="T230" s="56" t="str">
        <f aca="false">IF(02_Almuerzos!U138="","",02_Almuerzos!U138)</f>
        <v/>
      </c>
      <c r="U230" s="55" t="n">
        <v>138</v>
      </c>
      <c r="V230" s="55" t="n">
        <f aca="false">IF(AND(OR(LEN(13_Buscador!$C$5)=0,ISNUMBER(SEARCH(13_Buscador!$C$5,$C230&amp;" "&amp;$D230&amp;" "&amp;$E230&amp;" "&amp;$F230&amp;" "&amp;$S230))),OR(13_Buscador!$C$6="Todas las listas",LEN(13_Buscador!$C$6)=0,13_Buscador!$C$6=$B230)),1,0)</f>
        <v>1</v>
      </c>
      <c r="W230" s="55" t="n">
        <f aca="false">IF(V230=1,SUM($V$2:V230),"")</f>
        <v>46</v>
      </c>
    </row>
    <row r="231" customFormat="false" ht="15" hidden="false" customHeight="true" outlineLevel="0" collapsed="false">
      <c r="A231" s="55" t="n">
        <v>230</v>
      </c>
      <c r="B231" s="55" t="s">
        <v>3328</v>
      </c>
      <c r="C231" s="55" t="str">
        <f aca="false">IF(02_Almuerzos!B139="","",02_Almuerzos!B139)</f>
        <v>Segundos criollos</v>
      </c>
      <c r="D231" s="56" t="str">
        <f aca="false">IF(02_Almuerzos!C139="","",02_Almuerzos!C139)</f>
        <v>Guiso de quinua con carne</v>
      </c>
      <c r="E231" s="56" t="str">
        <f aca="false">IF(02_Almuerzos!D139="","",02_Almuerzos!D139)</f>
        <v>Quinua guisada</v>
      </c>
      <c r="F231" s="56" t="str">
        <f aca="false">IF(02_Almuerzos!E139="","",02_Almuerzos!E139)</f>
        <v>quinua, carne, cebolla, zanahoria, ají</v>
      </c>
      <c r="G231" s="55" t="str">
        <f aca="false">IF(02_Almuerzos!F139="","",02_Almuerzos!F139)</f>
        <v>Plato</v>
      </c>
      <c r="H231" s="55" t="str">
        <f aca="false">IF(02_Almuerzos!G139="","",02_Almuerzos!G139)</f>
        <v>Económico</v>
      </c>
      <c r="I231" s="58" t="n">
        <f aca="false">IF(02_Almuerzos!H139="","",02_Almuerzos!H139)</f>
        <v>9</v>
      </c>
      <c r="J231" s="58" t="n">
        <f aca="false">IF(02_Almuerzos!I139="","",02_Almuerzos!I139)</f>
        <v>15</v>
      </c>
      <c r="K231" s="58" t="n">
        <f aca="false">IF(02_Almuerzos!J139="","",02_Almuerzos!J139)</f>
        <v>12</v>
      </c>
      <c r="L231" s="58" t="n">
        <f aca="false">IF(02_Almuerzos!L139="","",02_Almuerzos!L139)</f>
        <v>13</v>
      </c>
      <c r="M231" s="58" t="n">
        <f aca="false">IF(02_Almuerzos!N139="","",02_Almuerzos!N139)</f>
        <v>0.84</v>
      </c>
      <c r="N231" s="58" t="n">
        <f aca="false">IF(02_Almuerzos!O139="","",02_Almuerzos!O139)</f>
        <v>11.16</v>
      </c>
      <c r="O231" s="55" t="str">
        <f aca="false">IF(02_Almuerzos!P139="","",02_Almuerzos!P139)</f>
        <v>12:00-15:00</v>
      </c>
      <c r="P231" s="55" t="n">
        <f aca="false">IF(02_Almuerzos!Q139="","",02_Almuerzos!Q139)</f>
        <v>12</v>
      </c>
      <c r="Q231" s="55" t="str">
        <f aca="false">IF(02_Almuerzos!R139="","",02_Almuerzos!R139)</f>
        <v>Alto</v>
      </c>
      <c r="R231" s="55" t="str">
        <f aca="false">IF(02_Almuerzos!S139="","",02_Almuerzos!S139)</f>
        <v>Todo el año</v>
      </c>
      <c r="S231" s="55" t="str">
        <f aca="false">IF(02_Almuerzos!T139="","",02_Almuerzos!T139)</f>
        <v>Menú, regional</v>
      </c>
      <c r="T231" s="56" t="str">
        <f aca="false">IF(02_Almuerzos!U139="","",02_Almuerzos!U139)</f>
        <v/>
      </c>
      <c r="U231" s="55" t="n">
        <v>139</v>
      </c>
      <c r="V231" s="55" t="n">
        <f aca="false">IF(AND(OR(LEN(13_Buscador!$C$5)=0,ISNUMBER(SEARCH(13_Buscador!$C$5,$C231&amp;" "&amp;$D231&amp;" "&amp;$E231&amp;" "&amp;$F231&amp;" "&amp;$S231))),OR(13_Buscador!$C$6="Todas las listas",LEN(13_Buscador!$C$6)=0,13_Buscador!$C$6=$B231)),1,0)</f>
        <v>0</v>
      </c>
      <c r="W231" s="55" t="str">
        <f aca="false">IF(V231=1,SUM($V$2:V231),"")</f>
        <v/>
      </c>
    </row>
    <row r="232" customFormat="false" ht="15" hidden="false" customHeight="true" outlineLevel="0" collapsed="false">
      <c r="A232" s="55" t="n">
        <v>231</v>
      </c>
      <c r="B232" s="55" t="s">
        <v>3328</v>
      </c>
      <c r="C232" s="55" t="str">
        <f aca="false">IF(02_Almuerzos!B140="","",02_Almuerzos!B140)</f>
        <v>Segundos criollos</v>
      </c>
      <c r="D232" s="56" t="str">
        <f aca="false">IF(02_Almuerzos!C140="","",02_Almuerzos!C140)</f>
        <v>Locro de zapallo</v>
      </c>
      <c r="E232" s="56" t="str">
        <f aca="false">IF(02_Almuerzos!D140="","",02_Almuerzos!D140)</f>
        <v>Guiso de zapallo con queso</v>
      </c>
      <c r="F232" s="56" t="str">
        <f aca="false">IF(02_Almuerzos!E140="","",02_Almuerzos!E140)</f>
        <v>zapallo, papa, choclo, queso, leche, ají amarillo</v>
      </c>
      <c r="G232" s="55" t="str">
        <f aca="false">IF(02_Almuerzos!F140="","",02_Almuerzos!F140)</f>
        <v>Plato</v>
      </c>
      <c r="H232" s="55" t="str">
        <f aca="false">IF(02_Almuerzos!G140="","",02_Almuerzos!G140)</f>
        <v>Económico</v>
      </c>
      <c r="I232" s="58" t="n">
        <f aca="false">IF(02_Almuerzos!H140="","",02_Almuerzos!H140)</f>
        <v>8</v>
      </c>
      <c r="J232" s="58" t="n">
        <f aca="false">IF(02_Almuerzos!I140="","",02_Almuerzos!I140)</f>
        <v>14</v>
      </c>
      <c r="K232" s="58" t="n">
        <f aca="false">IF(02_Almuerzos!J140="","",02_Almuerzos!J140)</f>
        <v>11</v>
      </c>
      <c r="L232" s="58" t="n">
        <f aca="false">IF(02_Almuerzos!L140="","",02_Almuerzos!L140)</f>
        <v>12</v>
      </c>
      <c r="M232" s="58" t="n">
        <f aca="false">IF(02_Almuerzos!N140="","",02_Almuerzos!N140)</f>
        <v>0.77</v>
      </c>
      <c r="N232" s="58" t="n">
        <f aca="false">IF(02_Almuerzos!O140="","",02_Almuerzos!O140)</f>
        <v>10.23</v>
      </c>
      <c r="O232" s="55" t="str">
        <f aca="false">IF(02_Almuerzos!P140="","",02_Almuerzos!P140)</f>
        <v>12:00-15:00</v>
      </c>
      <c r="P232" s="55" t="n">
        <f aca="false">IF(02_Almuerzos!Q140="","",02_Almuerzos!Q140)</f>
        <v>12</v>
      </c>
      <c r="Q232" s="55" t="str">
        <f aca="false">IF(02_Almuerzos!R140="","",02_Almuerzos!R140)</f>
        <v>Alto</v>
      </c>
      <c r="R232" s="55" t="str">
        <f aca="false">IF(02_Almuerzos!S140="","",02_Almuerzos!S140)</f>
        <v>Todo el año</v>
      </c>
      <c r="S232" s="55" t="str">
        <f aca="false">IF(02_Almuerzos!T140="","",02_Almuerzos!T140)</f>
        <v>Menú</v>
      </c>
      <c r="T232" s="56" t="str">
        <f aca="false">IF(02_Almuerzos!U140="","",02_Almuerzos!U140)</f>
        <v/>
      </c>
      <c r="U232" s="55" t="n">
        <v>140</v>
      </c>
      <c r="V232" s="55" t="n">
        <f aca="false">IF(AND(OR(LEN(13_Buscador!$C$5)=0,ISNUMBER(SEARCH(13_Buscador!$C$5,$C232&amp;" "&amp;$D232&amp;" "&amp;$E232&amp;" "&amp;$F232&amp;" "&amp;$S232))),OR(13_Buscador!$C$6="Todas las listas",LEN(13_Buscador!$C$6)=0,13_Buscador!$C$6=$B232)),1,0)</f>
        <v>0</v>
      </c>
      <c r="W232" s="55" t="str">
        <f aca="false">IF(V232=1,SUM($V$2:V232),"")</f>
        <v/>
      </c>
    </row>
    <row r="233" customFormat="false" ht="15" hidden="false" customHeight="true" outlineLevel="0" collapsed="false">
      <c r="A233" s="55" t="n">
        <v>232</v>
      </c>
      <c r="B233" s="55" t="s">
        <v>3328</v>
      </c>
      <c r="C233" s="55" t="str">
        <f aca="false">IF(02_Almuerzos!B141="","",02_Almuerzos!B141)</f>
        <v>Segundos criollos</v>
      </c>
      <c r="D233" s="56" t="str">
        <f aca="false">IF(02_Almuerzos!C141="","",02_Almuerzos!C141)</f>
        <v>Frejolada</v>
      </c>
      <c r="E233" s="56" t="str">
        <f aca="false">IF(02_Almuerzos!D141="","",02_Almuerzos!D141)</f>
        <v>Frejol con arroz y carne</v>
      </c>
      <c r="F233" s="56" t="str">
        <f aca="false">IF(02_Almuerzos!E141="","",02_Almuerzos!E141)</f>
        <v>frejol, cebolla, ajo, arroz, carne</v>
      </c>
      <c r="G233" s="55" t="str">
        <f aca="false">IF(02_Almuerzos!F141="","",02_Almuerzos!F141)</f>
        <v>Plato</v>
      </c>
      <c r="H233" s="55" t="str">
        <f aca="false">IF(02_Almuerzos!G141="","",02_Almuerzos!G141)</f>
        <v>Económico</v>
      </c>
      <c r="I233" s="58" t="n">
        <f aca="false">IF(02_Almuerzos!H141="","",02_Almuerzos!H141)</f>
        <v>8</v>
      </c>
      <c r="J233" s="58" t="n">
        <f aca="false">IF(02_Almuerzos!I141="","",02_Almuerzos!I141)</f>
        <v>14</v>
      </c>
      <c r="K233" s="58" t="n">
        <f aca="false">IF(02_Almuerzos!J141="","",02_Almuerzos!J141)</f>
        <v>11</v>
      </c>
      <c r="L233" s="58" t="n">
        <f aca="false">IF(02_Almuerzos!L141="","",02_Almuerzos!L141)</f>
        <v>12</v>
      </c>
      <c r="M233" s="58" t="n">
        <f aca="false">IF(02_Almuerzos!N141="","",02_Almuerzos!N141)</f>
        <v>0.77</v>
      </c>
      <c r="N233" s="58" t="n">
        <f aca="false">IF(02_Almuerzos!O141="","",02_Almuerzos!O141)</f>
        <v>10.23</v>
      </c>
      <c r="O233" s="55" t="str">
        <f aca="false">IF(02_Almuerzos!P141="","",02_Almuerzos!P141)</f>
        <v>12:00-15:00</v>
      </c>
      <c r="P233" s="55" t="n">
        <f aca="false">IF(02_Almuerzos!Q141="","",02_Almuerzos!Q141)</f>
        <v>10</v>
      </c>
      <c r="Q233" s="55" t="str">
        <f aca="false">IF(02_Almuerzos!R141="","",02_Almuerzos!R141)</f>
        <v>Alto</v>
      </c>
      <c r="R233" s="55" t="str">
        <f aca="false">IF(02_Almuerzos!S141="","",02_Almuerzos!S141)</f>
        <v>Todo el año</v>
      </c>
      <c r="S233" s="55" t="str">
        <f aca="false">IF(02_Almuerzos!T141="","",02_Almuerzos!T141)</f>
        <v>Menú</v>
      </c>
      <c r="T233" s="56" t="str">
        <f aca="false">IF(02_Almuerzos!U141="","",02_Almuerzos!U141)</f>
        <v/>
      </c>
      <c r="U233" s="55" t="n">
        <v>141</v>
      </c>
      <c r="V233" s="55" t="n">
        <f aca="false">IF(AND(OR(LEN(13_Buscador!$C$5)=0,ISNUMBER(SEARCH(13_Buscador!$C$5,$C233&amp;" "&amp;$D233&amp;" "&amp;$E233&amp;" "&amp;$F233&amp;" "&amp;$S233))),OR(13_Buscador!$C$6="Todas las listas",LEN(13_Buscador!$C$6)=0,13_Buscador!$C$6=$B233)),1,0)</f>
        <v>0</v>
      </c>
      <c r="W233" s="55" t="str">
        <f aca="false">IF(V233=1,SUM($V$2:V233),"")</f>
        <v/>
      </c>
    </row>
    <row r="234" customFormat="false" ht="15" hidden="false" customHeight="true" outlineLevel="0" collapsed="false">
      <c r="A234" s="55" t="n">
        <v>233</v>
      </c>
      <c r="B234" s="55" t="s">
        <v>3328</v>
      </c>
      <c r="C234" s="55" t="str">
        <f aca="false">IF(02_Almuerzos!B142="","",02_Almuerzos!B142)</f>
        <v>Segundos criollos</v>
      </c>
      <c r="D234" s="56" t="str">
        <f aca="false">IF(02_Almuerzos!C142="","",02_Almuerzos!C142)</f>
        <v>Tacu tacu con bistec</v>
      </c>
      <c r="E234" s="56" t="str">
        <f aca="false">IF(02_Almuerzos!D142="","",02_Almuerzos!D142)</f>
        <v>Frejol y arroz refrito</v>
      </c>
      <c r="F234" s="56" t="str">
        <f aca="false">IF(02_Almuerzos!E142="","",02_Almuerzos!E142)</f>
        <v>frejol, arroz, cebolla, ají amarillo, aceite, bistec</v>
      </c>
      <c r="G234" s="55" t="str">
        <f aca="false">IF(02_Almuerzos!F142="","",02_Almuerzos!F142)</f>
        <v>Plato</v>
      </c>
      <c r="H234" s="55" t="str">
        <f aca="false">IF(02_Almuerzos!G142="","",02_Almuerzos!G142)</f>
        <v>Estándar</v>
      </c>
      <c r="I234" s="58" t="n">
        <f aca="false">IF(02_Almuerzos!H142="","",02_Almuerzos!H142)</f>
        <v>13</v>
      </c>
      <c r="J234" s="58" t="n">
        <f aca="false">IF(02_Almuerzos!I142="","",02_Almuerzos!I142)</f>
        <v>22</v>
      </c>
      <c r="K234" s="58" t="n">
        <f aca="false">IF(02_Almuerzos!J142="","",02_Almuerzos!J142)</f>
        <v>17.5</v>
      </c>
      <c r="L234" s="58" t="n">
        <f aca="false">IF(02_Almuerzos!L142="","",02_Almuerzos!L142)</f>
        <v>18.5</v>
      </c>
      <c r="M234" s="58" t="n">
        <f aca="false">IF(02_Almuerzos!N142="","",02_Almuerzos!N142)</f>
        <v>1.58</v>
      </c>
      <c r="N234" s="58" t="n">
        <f aca="false">IF(02_Almuerzos!O142="","",02_Almuerzos!O142)</f>
        <v>15.92</v>
      </c>
      <c r="O234" s="55" t="str">
        <f aca="false">IF(02_Almuerzos!P142="","",02_Almuerzos!P142)</f>
        <v>12:00-15:00</v>
      </c>
      <c r="P234" s="55" t="n">
        <f aca="false">IF(02_Almuerzos!Q142="","",02_Almuerzos!Q142)</f>
        <v>14</v>
      </c>
      <c r="Q234" s="55" t="str">
        <f aca="false">IF(02_Almuerzos!R142="","",02_Almuerzos!R142)</f>
        <v>Alto</v>
      </c>
      <c r="R234" s="55" t="str">
        <f aca="false">IF(02_Almuerzos!S142="","",02_Almuerzos!S142)</f>
        <v>Todo el año</v>
      </c>
      <c r="S234" s="55" t="str">
        <f aca="false">IF(02_Almuerzos!T142="","",02_Almuerzos!T142)</f>
        <v>Restaurante</v>
      </c>
      <c r="T234" s="56" t="str">
        <f aca="false">IF(02_Almuerzos!U142="","",02_Almuerzos!U142)</f>
        <v/>
      </c>
      <c r="U234" s="55" t="n">
        <v>142</v>
      </c>
      <c r="V234" s="55" t="n">
        <f aca="false">IF(AND(OR(LEN(13_Buscador!$C$5)=0,ISNUMBER(SEARCH(13_Buscador!$C$5,$C234&amp;" "&amp;$D234&amp;" "&amp;$E234&amp;" "&amp;$F234&amp;" "&amp;$S234))),OR(13_Buscador!$C$6="Todas las listas",LEN(13_Buscador!$C$6)=0,13_Buscador!$C$6=$B234)),1,0)</f>
        <v>0</v>
      </c>
      <c r="W234" s="55" t="str">
        <f aca="false">IF(V234=1,SUM($V$2:V234),"")</f>
        <v/>
      </c>
    </row>
    <row r="235" customFormat="false" ht="23.25" hidden="false" customHeight="true" outlineLevel="0" collapsed="false">
      <c r="A235" s="55" t="n">
        <v>234</v>
      </c>
      <c r="B235" s="55" t="s">
        <v>3328</v>
      </c>
      <c r="C235" s="55" t="str">
        <f aca="false">IF(02_Almuerzos!B143="","",02_Almuerzos!B143)</f>
        <v>Segundos criollos</v>
      </c>
      <c r="D235" s="56" t="str">
        <f aca="false">IF(02_Almuerzos!C143="","",02_Almuerzos!C143)</f>
        <v>Pollo a la mostaza</v>
      </c>
      <c r="E235" s="56" t="str">
        <f aca="false">IF(02_Almuerzos!D143="","",02_Almuerzos!D143)</f>
        <v>Pollo en salsa de mostaza</v>
      </c>
      <c r="F235" s="56" t="str">
        <f aca="false">IF(02_Almuerzos!E143="","",02_Almuerzos!E143)</f>
        <v>pollo, ajo, sal, aceite, salsa correspondiente, guarnición</v>
      </c>
      <c r="G235" s="55" t="str">
        <f aca="false">IF(02_Almuerzos!F143="","",02_Almuerzos!F143)</f>
        <v>Plato</v>
      </c>
      <c r="H235" s="55" t="str">
        <f aca="false">IF(02_Almuerzos!G143="","",02_Almuerzos!G143)</f>
        <v>Estándar</v>
      </c>
      <c r="I235" s="58" t="n">
        <f aca="false">IF(02_Almuerzos!H143="","",02_Almuerzos!H143)</f>
        <v>12</v>
      </c>
      <c r="J235" s="58" t="n">
        <f aca="false">IF(02_Almuerzos!I143="","",02_Almuerzos!I143)</f>
        <v>20</v>
      </c>
      <c r="K235" s="58" t="n">
        <f aca="false">IF(02_Almuerzos!J143="","",02_Almuerzos!J143)</f>
        <v>16</v>
      </c>
      <c r="L235" s="58" t="n">
        <f aca="false">IF(02_Almuerzos!L143="","",02_Almuerzos!L143)</f>
        <v>17</v>
      </c>
      <c r="M235" s="58" t="n">
        <f aca="false">IF(02_Almuerzos!N143="","",02_Almuerzos!N143)</f>
        <v>1.44</v>
      </c>
      <c r="N235" s="58" t="n">
        <f aca="false">IF(02_Almuerzos!O143="","",02_Almuerzos!O143)</f>
        <v>14.56</v>
      </c>
      <c r="O235" s="55" t="str">
        <f aca="false">IF(02_Almuerzos!P143="","",02_Almuerzos!P143)</f>
        <v>12:00-15:00</v>
      </c>
      <c r="P235" s="55" t="n">
        <f aca="false">IF(02_Almuerzos!Q143="","",02_Almuerzos!Q143)</f>
        <v>12</v>
      </c>
      <c r="Q235" s="55" t="str">
        <f aca="false">IF(02_Almuerzos!R143="","",02_Almuerzos!R143)</f>
        <v>Alto</v>
      </c>
      <c r="R235" s="55" t="str">
        <f aca="false">IF(02_Almuerzos!S143="","",02_Almuerzos!S143)</f>
        <v>Todo el año</v>
      </c>
      <c r="S235" s="55" t="str">
        <f aca="false">IF(02_Almuerzos!T143="","",02_Almuerzos!T143)</f>
        <v>Restaurante</v>
      </c>
      <c r="T235" s="56" t="str">
        <f aca="false">IF(02_Almuerzos!U143="","",02_Almuerzos!U143)</f>
        <v/>
      </c>
      <c r="U235" s="55" t="n">
        <v>143</v>
      </c>
      <c r="V235" s="55" t="n">
        <f aca="false">IF(AND(OR(LEN(13_Buscador!$C$5)=0,ISNUMBER(SEARCH(13_Buscador!$C$5,$C235&amp;" "&amp;$D235&amp;" "&amp;$E235&amp;" "&amp;$F235&amp;" "&amp;$S235))),OR(13_Buscador!$C$6="Todas las listas",LEN(13_Buscador!$C$6)=0,13_Buscador!$C$6=$B235)),1,0)</f>
        <v>1</v>
      </c>
      <c r="W235" s="55" t="n">
        <f aca="false">IF(V235=1,SUM($V$2:V235),"")</f>
        <v>47</v>
      </c>
    </row>
    <row r="236" customFormat="false" ht="23.25" hidden="false" customHeight="true" outlineLevel="0" collapsed="false">
      <c r="A236" s="55" t="n">
        <v>235</v>
      </c>
      <c r="B236" s="55" t="s">
        <v>3328</v>
      </c>
      <c r="C236" s="55" t="str">
        <f aca="false">IF(02_Almuerzos!B144="","",02_Almuerzos!B144)</f>
        <v>Segundos criollos</v>
      </c>
      <c r="D236" s="56" t="str">
        <f aca="false">IF(02_Almuerzos!C144="","",02_Almuerzos!C144)</f>
        <v>Saltado de hígado</v>
      </c>
      <c r="E236" s="56" t="str">
        <f aca="false">IF(02_Almuerzos!D144="","",02_Almuerzos!D144)</f>
        <v>Hígado salteado con papas</v>
      </c>
      <c r="F236" s="56" t="str">
        <f aca="false">IF(02_Almuerzos!E144="","",02_Almuerzos!E144)</f>
        <v>carne, pollo o hígado, cebolla, tomate, sillao, vinagre, papas fritas, arroz</v>
      </c>
      <c r="G236" s="55" t="str">
        <f aca="false">IF(02_Almuerzos!F144="","",02_Almuerzos!F144)</f>
        <v>Plato</v>
      </c>
      <c r="H236" s="55" t="str">
        <f aca="false">IF(02_Almuerzos!G144="","",02_Almuerzos!G144)</f>
        <v>Económico</v>
      </c>
      <c r="I236" s="58" t="n">
        <f aca="false">IF(02_Almuerzos!H144="","",02_Almuerzos!H144)</f>
        <v>9</v>
      </c>
      <c r="J236" s="58" t="n">
        <f aca="false">IF(02_Almuerzos!I144="","",02_Almuerzos!I144)</f>
        <v>15</v>
      </c>
      <c r="K236" s="58" t="n">
        <f aca="false">IF(02_Almuerzos!J144="","",02_Almuerzos!J144)</f>
        <v>12</v>
      </c>
      <c r="L236" s="58" t="n">
        <f aca="false">IF(02_Almuerzos!L144="","",02_Almuerzos!L144)</f>
        <v>13</v>
      </c>
      <c r="M236" s="58" t="n">
        <f aca="false">IF(02_Almuerzos!N144="","",02_Almuerzos!N144)</f>
        <v>0.84</v>
      </c>
      <c r="N236" s="58" t="n">
        <f aca="false">IF(02_Almuerzos!O144="","",02_Almuerzos!O144)</f>
        <v>11.16</v>
      </c>
      <c r="O236" s="55" t="str">
        <f aca="false">IF(02_Almuerzos!P144="","",02_Almuerzos!P144)</f>
        <v>12:00-15:00</v>
      </c>
      <c r="P236" s="55" t="n">
        <f aca="false">IF(02_Almuerzos!Q144="","",02_Almuerzos!Q144)</f>
        <v>10</v>
      </c>
      <c r="Q236" s="55" t="str">
        <f aca="false">IF(02_Almuerzos!R144="","",02_Almuerzos!R144)</f>
        <v>Alto</v>
      </c>
      <c r="R236" s="55" t="str">
        <f aca="false">IF(02_Almuerzos!S144="","",02_Almuerzos!S144)</f>
        <v>Todo el año</v>
      </c>
      <c r="S236" s="55" t="str">
        <f aca="false">IF(02_Almuerzos!T144="","",02_Almuerzos!T144)</f>
        <v>Menú</v>
      </c>
      <c r="T236" s="56" t="str">
        <f aca="false">IF(02_Almuerzos!U144="","",02_Almuerzos!U144)</f>
        <v/>
      </c>
      <c r="U236" s="55" t="n">
        <v>144</v>
      </c>
      <c r="V236" s="55" t="n">
        <f aca="false">IF(AND(OR(LEN(13_Buscador!$C$5)=0,ISNUMBER(SEARCH(13_Buscador!$C$5,$C236&amp;" "&amp;$D236&amp;" "&amp;$E236&amp;" "&amp;$F236&amp;" "&amp;$S236))),OR(13_Buscador!$C$6="Todas las listas",LEN(13_Buscador!$C$6)=0,13_Buscador!$C$6=$B236)),1,0)</f>
        <v>1</v>
      </c>
      <c r="W236" s="55" t="n">
        <f aca="false">IF(V236=1,SUM($V$2:V236),"")</f>
        <v>48</v>
      </c>
    </row>
    <row r="237" customFormat="false" ht="15" hidden="false" customHeight="true" outlineLevel="0" collapsed="false">
      <c r="A237" s="55" t="n">
        <v>236</v>
      </c>
      <c r="B237" s="55" t="s">
        <v>3328</v>
      </c>
      <c r="C237" s="55" t="str">
        <f aca="false">IF(02_Almuerzos!B145="","",02_Almuerzos!B145)</f>
        <v>Segundos criollos</v>
      </c>
      <c r="D237" s="56" t="str">
        <f aca="false">IF(02_Almuerzos!C145="","",02_Almuerzos!C145)</f>
        <v>Pescado a la chorrillana</v>
      </c>
      <c r="E237" s="56" t="str">
        <f aca="false">IF(02_Almuerzos!D145="","",02_Almuerzos!D145)</f>
        <v>Pescado con salsa de cebolla</v>
      </c>
      <c r="F237" s="56" t="str">
        <f aca="false">IF(02_Almuerzos!E145="","",02_Almuerzos!E145)</f>
        <v>pescado, mariscos, tomate, cebolla, ají panca, vino</v>
      </c>
      <c r="G237" s="55" t="str">
        <f aca="false">IF(02_Almuerzos!F145="","",02_Almuerzos!F145)</f>
        <v>Plato</v>
      </c>
      <c r="H237" s="55" t="str">
        <f aca="false">IF(02_Almuerzos!G145="","",02_Almuerzos!G145)</f>
        <v>Estándar</v>
      </c>
      <c r="I237" s="58" t="n">
        <f aca="false">IF(02_Almuerzos!H145="","",02_Almuerzos!H145)</f>
        <v>13</v>
      </c>
      <c r="J237" s="58" t="n">
        <f aca="false">IF(02_Almuerzos!I145="","",02_Almuerzos!I145)</f>
        <v>22</v>
      </c>
      <c r="K237" s="58" t="n">
        <f aca="false">IF(02_Almuerzos!J145="","",02_Almuerzos!J145)</f>
        <v>17.5</v>
      </c>
      <c r="L237" s="58" t="n">
        <f aca="false">IF(02_Almuerzos!L145="","",02_Almuerzos!L145)</f>
        <v>18.5</v>
      </c>
      <c r="M237" s="58" t="n">
        <f aca="false">IF(02_Almuerzos!N145="","",02_Almuerzos!N145)</f>
        <v>1.58</v>
      </c>
      <c r="N237" s="58" t="n">
        <f aca="false">IF(02_Almuerzos!O145="","",02_Almuerzos!O145)</f>
        <v>15.92</v>
      </c>
      <c r="O237" s="55" t="str">
        <f aca="false">IF(02_Almuerzos!P145="","",02_Almuerzos!P145)</f>
        <v>12:00-16:00</v>
      </c>
      <c r="P237" s="55" t="n">
        <f aca="false">IF(02_Almuerzos!Q145="","",02_Almuerzos!Q145)</f>
        <v>14</v>
      </c>
      <c r="Q237" s="55" t="str">
        <f aca="false">IF(02_Almuerzos!R145="","",02_Almuerzos!R145)</f>
        <v>Alto</v>
      </c>
      <c r="R237" s="55" t="str">
        <f aca="false">IF(02_Almuerzos!S145="","",02_Almuerzos!S145)</f>
        <v>Todo el año</v>
      </c>
      <c r="S237" s="55" t="str">
        <f aca="false">IF(02_Almuerzos!T145="","",02_Almuerzos!T145)</f>
        <v>Cevichería</v>
      </c>
      <c r="T237" s="56" t="str">
        <f aca="false">IF(02_Almuerzos!U145="","",02_Almuerzos!U145)</f>
        <v/>
      </c>
      <c r="U237" s="55" t="n">
        <v>145</v>
      </c>
      <c r="V237" s="55" t="n">
        <f aca="false">IF(AND(OR(LEN(13_Buscador!$C$5)=0,ISNUMBER(SEARCH(13_Buscador!$C$5,$C237&amp;" "&amp;$D237&amp;" "&amp;$E237&amp;" "&amp;$F237&amp;" "&amp;$S237))),OR(13_Buscador!$C$6="Todas las listas",LEN(13_Buscador!$C$6)=0,13_Buscador!$C$6=$B237)),1,0)</f>
        <v>0</v>
      </c>
      <c r="W237" s="55" t="str">
        <f aca="false">IF(V237=1,SUM($V$2:V237),"")</f>
        <v/>
      </c>
    </row>
    <row r="238" customFormat="false" ht="15" hidden="false" customHeight="true" outlineLevel="0" collapsed="false">
      <c r="A238" s="55" t="n">
        <v>237</v>
      </c>
      <c r="B238" s="55" t="s">
        <v>3328</v>
      </c>
      <c r="C238" s="55" t="str">
        <f aca="false">IF(02_Almuerzos!B146="","",02_Almuerzos!B146)</f>
        <v>Regional puneño</v>
      </c>
      <c r="D238" s="56" t="str">
        <f aca="false">IF(02_Almuerzos!C146="","",02_Almuerzos!C146)</f>
        <v>Pesque con charqui</v>
      </c>
      <c r="E238" s="56" t="str">
        <f aca="false">IF(02_Almuerzos!D146="","",02_Almuerzos!D146)</f>
        <v>Quinua con carne seca</v>
      </c>
      <c r="F238" s="56" t="str">
        <f aca="false">IF(02_Almuerzos!E146="","",02_Almuerzos!E146)</f>
        <v>quinua, leche, queso fresco, mantequilla, sal</v>
      </c>
      <c r="G238" s="55" t="str">
        <f aca="false">IF(02_Almuerzos!F146="","",02_Almuerzos!F146)</f>
        <v>Plato</v>
      </c>
      <c r="H238" s="55" t="str">
        <f aca="false">IF(02_Almuerzos!G146="","",02_Almuerzos!G146)</f>
        <v>Estándar</v>
      </c>
      <c r="I238" s="58" t="n">
        <f aca="false">IF(02_Almuerzos!H146="","",02_Almuerzos!H146)</f>
        <v>12</v>
      </c>
      <c r="J238" s="58" t="n">
        <f aca="false">IF(02_Almuerzos!I146="","",02_Almuerzos!I146)</f>
        <v>20</v>
      </c>
      <c r="K238" s="58" t="n">
        <f aca="false">IF(02_Almuerzos!J146="","",02_Almuerzos!J146)</f>
        <v>16</v>
      </c>
      <c r="L238" s="58" t="n">
        <f aca="false">IF(02_Almuerzos!L146="","",02_Almuerzos!L146)</f>
        <v>17</v>
      </c>
      <c r="M238" s="58" t="n">
        <f aca="false">IF(02_Almuerzos!N146="","",02_Almuerzos!N146)</f>
        <v>1.44</v>
      </c>
      <c r="N238" s="58" t="n">
        <f aca="false">IF(02_Almuerzos!O146="","",02_Almuerzos!O146)</f>
        <v>14.56</v>
      </c>
      <c r="O238" s="55" t="str">
        <f aca="false">IF(02_Almuerzos!P146="","",02_Almuerzos!P146)</f>
        <v>12:00-15:00</v>
      </c>
      <c r="P238" s="55" t="n">
        <f aca="false">IF(02_Almuerzos!Q146="","",02_Almuerzos!Q146)</f>
        <v>15</v>
      </c>
      <c r="Q238" s="55" t="str">
        <f aca="false">IF(02_Almuerzos!R146="","",02_Almuerzos!R146)</f>
        <v>Alto</v>
      </c>
      <c r="R238" s="55" t="str">
        <f aca="false">IF(02_Almuerzos!S146="","",02_Almuerzos!S146)</f>
        <v>Todo el año</v>
      </c>
      <c r="S238" s="55" t="str">
        <f aca="false">IF(02_Almuerzos!T146="","",02_Almuerzos!T146)</f>
        <v>Regional</v>
      </c>
      <c r="T238" s="56" t="str">
        <f aca="false">IF(02_Almuerzos!U146="","",02_Almuerzos!U146)</f>
        <v/>
      </c>
      <c r="U238" s="55" t="n">
        <v>146</v>
      </c>
      <c r="V238" s="55" t="n">
        <f aca="false">IF(AND(OR(LEN(13_Buscador!$C$5)=0,ISNUMBER(SEARCH(13_Buscador!$C$5,$C238&amp;" "&amp;$D238&amp;" "&amp;$E238&amp;" "&amp;$F238&amp;" "&amp;$S238))),OR(13_Buscador!$C$6="Todas las listas",LEN(13_Buscador!$C$6)=0,13_Buscador!$C$6=$B238)),1,0)</f>
        <v>0</v>
      </c>
      <c r="W238" s="55" t="str">
        <f aca="false">IF(V238=1,SUM($V$2:V238),"")</f>
        <v/>
      </c>
    </row>
    <row r="239" customFormat="false" ht="15" hidden="false" customHeight="true" outlineLevel="0" collapsed="false">
      <c r="A239" s="55" t="n">
        <v>238</v>
      </c>
      <c r="B239" s="55" t="s">
        <v>3328</v>
      </c>
      <c r="C239" s="55" t="str">
        <f aca="false">IF(02_Almuerzos!B147="","",02_Almuerzos!B147)</f>
        <v>Regional puneño</v>
      </c>
      <c r="D239" s="56" t="str">
        <f aca="false">IF(02_Almuerzos!C147="","",02_Almuerzos!C147)</f>
        <v>Chuño con queso y huevo</v>
      </c>
      <c r="E239" s="56" t="str">
        <f aca="false">IF(02_Almuerzos!D147="","",02_Almuerzos!D147)</f>
        <v>Plato tradicional</v>
      </c>
      <c r="F239" s="56" t="str">
        <f aca="false">IF(02_Almuerzos!E147="","",02_Almuerzos!E147)</f>
        <v>chuño, queso fresco, huevo, sal</v>
      </c>
      <c r="G239" s="55" t="str">
        <f aca="false">IF(02_Almuerzos!F147="","",02_Almuerzos!F147)</f>
        <v>Plato</v>
      </c>
      <c r="H239" s="55" t="str">
        <f aca="false">IF(02_Almuerzos!G147="","",02_Almuerzos!G147)</f>
        <v>Económico</v>
      </c>
      <c r="I239" s="58" t="n">
        <f aca="false">IF(02_Almuerzos!H147="","",02_Almuerzos!H147)</f>
        <v>8</v>
      </c>
      <c r="J239" s="58" t="n">
        <f aca="false">IF(02_Almuerzos!I147="","",02_Almuerzos!I147)</f>
        <v>15</v>
      </c>
      <c r="K239" s="58" t="n">
        <f aca="false">IF(02_Almuerzos!J147="","",02_Almuerzos!J147)</f>
        <v>11.5</v>
      </c>
      <c r="L239" s="58" t="n">
        <f aca="false">IF(02_Almuerzos!L147="","",02_Almuerzos!L147)</f>
        <v>12.5</v>
      </c>
      <c r="M239" s="58" t="n">
        <f aca="false">IF(02_Almuerzos!N147="","",02_Almuerzos!N147)</f>
        <v>0.81</v>
      </c>
      <c r="N239" s="58" t="n">
        <f aca="false">IF(02_Almuerzos!O147="","",02_Almuerzos!O147)</f>
        <v>10.69</v>
      </c>
      <c r="O239" s="55" t="str">
        <f aca="false">IF(02_Almuerzos!P147="","",02_Almuerzos!P147)</f>
        <v>12:00-16:00</v>
      </c>
      <c r="P239" s="55" t="n">
        <f aca="false">IF(02_Almuerzos!Q147="","",02_Almuerzos!Q147)</f>
        <v>10</v>
      </c>
      <c r="Q239" s="55" t="str">
        <f aca="false">IF(02_Almuerzos!R147="","",02_Almuerzos!R147)</f>
        <v>Alto</v>
      </c>
      <c r="R239" s="55" t="str">
        <f aca="false">IF(02_Almuerzos!S147="","",02_Almuerzos!S147)</f>
        <v>Todo el año</v>
      </c>
      <c r="S239" s="55" t="str">
        <f aca="false">IF(02_Almuerzos!T147="","",02_Almuerzos!T147)</f>
        <v>Regional</v>
      </c>
      <c r="T239" s="56" t="str">
        <f aca="false">IF(02_Almuerzos!U147="","",02_Almuerzos!U147)</f>
        <v/>
      </c>
      <c r="U239" s="55" t="n">
        <v>147</v>
      </c>
      <c r="V239" s="55" t="n">
        <f aca="false">IF(AND(OR(LEN(13_Buscador!$C$5)=0,ISNUMBER(SEARCH(13_Buscador!$C$5,$C239&amp;" "&amp;$D239&amp;" "&amp;$E239&amp;" "&amp;$F239&amp;" "&amp;$S239))),OR(13_Buscador!$C$6="Todas las listas",LEN(13_Buscador!$C$6)=0,13_Buscador!$C$6=$B239)),1,0)</f>
        <v>0</v>
      </c>
      <c r="W239" s="55" t="str">
        <f aca="false">IF(V239=1,SUM($V$2:V239),"")</f>
        <v/>
      </c>
    </row>
    <row r="240" customFormat="false" ht="15" hidden="false" customHeight="true" outlineLevel="0" collapsed="false">
      <c r="A240" s="55" t="n">
        <v>239</v>
      </c>
      <c r="B240" s="55" t="s">
        <v>3328</v>
      </c>
      <c r="C240" s="55" t="str">
        <f aca="false">IF(02_Almuerzos!B148="","",02_Almuerzos!B148)</f>
        <v>Regional puneño</v>
      </c>
      <c r="D240" s="56" t="str">
        <f aca="false">IF(02_Almuerzos!C148="","",02_Almuerzos!C148)</f>
        <v>Kispiño con mate</v>
      </c>
      <c r="E240" s="56" t="str">
        <f aca="false">IF(02_Almuerzos!D148="","",02_Almuerzos!D148)</f>
        <v>Combo tradicional</v>
      </c>
      <c r="F240" s="56" t="str">
        <f aca="false">IF(02_Almuerzos!E148="","",02_Almuerzos!E148)</f>
        <v>harina de quinua, agua, sal, cal o ceniza</v>
      </c>
      <c r="G240" s="55" t="str">
        <f aca="false">IF(02_Almuerzos!F148="","",02_Almuerzos!F148)</f>
        <v>Combo</v>
      </c>
      <c r="H240" s="55" t="str">
        <f aca="false">IF(02_Almuerzos!G148="","",02_Almuerzos!G148)</f>
        <v>Económico</v>
      </c>
      <c r="I240" s="58" t="n">
        <f aca="false">IF(02_Almuerzos!H148="","",02_Almuerzos!H148)</f>
        <v>5</v>
      </c>
      <c r="J240" s="58" t="n">
        <f aca="false">IF(02_Almuerzos!I148="","",02_Almuerzos!I148)</f>
        <v>10</v>
      </c>
      <c r="K240" s="58" t="n">
        <f aca="false">IF(02_Almuerzos!J148="","",02_Almuerzos!J148)</f>
        <v>7.5</v>
      </c>
      <c r="L240" s="58" t="n">
        <f aca="false">IF(02_Almuerzos!L148="","",02_Almuerzos!L148)</f>
        <v>8.5</v>
      </c>
      <c r="M240" s="58" t="n">
        <f aca="false">IF(02_Almuerzos!N148="","",02_Almuerzos!N148)</f>
        <v>0.53</v>
      </c>
      <c r="N240" s="58" t="n">
        <f aca="false">IF(02_Almuerzos!O148="","",02_Almuerzos!O148)</f>
        <v>6.97</v>
      </c>
      <c r="O240" s="55" t="str">
        <f aca="false">IF(02_Almuerzos!P148="","",02_Almuerzos!P148)</f>
        <v>06:00-16:00</v>
      </c>
      <c r="P240" s="55" t="n">
        <f aca="false">IF(02_Almuerzos!Q148="","",02_Almuerzos!Q148)</f>
        <v>5</v>
      </c>
      <c r="Q240" s="55" t="str">
        <f aca="false">IF(02_Almuerzos!R148="","",02_Almuerzos!R148)</f>
        <v>Alto</v>
      </c>
      <c r="R240" s="55" t="str">
        <f aca="false">IF(02_Almuerzos!S148="","",02_Almuerzos!S148)</f>
        <v>Todo el año</v>
      </c>
      <c r="S240" s="55" t="str">
        <f aca="false">IF(02_Almuerzos!T148="","",02_Almuerzos!T148)</f>
        <v>Regional</v>
      </c>
      <c r="T240" s="56" t="str">
        <f aca="false">IF(02_Almuerzos!U148="","",02_Almuerzos!U148)</f>
        <v/>
      </c>
      <c r="U240" s="55" t="n">
        <v>148</v>
      </c>
      <c r="V240" s="55" t="n">
        <f aca="false">IF(AND(OR(LEN(13_Buscador!$C$5)=0,ISNUMBER(SEARCH(13_Buscador!$C$5,$C240&amp;" "&amp;$D240&amp;" "&amp;$E240&amp;" "&amp;$F240&amp;" "&amp;$S240))),OR(13_Buscador!$C$6="Todas las listas",LEN(13_Buscador!$C$6)=0,13_Buscador!$C$6=$B240)),1,0)</f>
        <v>0</v>
      </c>
      <c r="W240" s="55" t="str">
        <f aca="false">IF(V240=1,SUM($V$2:V240),"")</f>
        <v/>
      </c>
    </row>
    <row r="241" customFormat="false" ht="15" hidden="false" customHeight="true" outlineLevel="0" collapsed="false">
      <c r="A241" s="55" t="n">
        <v>240</v>
      </c>
      <c r="B241" s="55" t="s">
        <v>3328</v>
      </c>
      <c r="C241" s="55" t="str">
        <f aca="false">IF(02_Almuerzos!B149="","",02_Almuerzos!B149)</f>
        <v>Regional puneño</v>
      </c>
      <c r="D241" s="56" t="str">
        <f aca="false">IF(02_Almuerzos!C149="","",02_Almuerzos!C149)</f>
        <v>Sopa de chuño blanco</v>
      </c>
      <c r="E241" s="56" t="str">
        <f aca="false">IF(02_Almuerzos!D149="","",02_Almuerzos!D149)</f>
        <v>Caldo con moraya</v>
      </c>
      <c r="F241" s="56" t="str">
        <f aca="false">IF(02_Almuerzos!E149="","",02_Almuerzos!E149)</f>
        <v>moraya, carne, papa, zanahoria, cebolla, sal</v>
      </c>
      <c r="G241" s="55" t="str">
        <f aca="false">IF(02_Almuerzos!F149="","",02_Almuerzos!F149)</f>
        <v>Plato hondo</v>
      </c>
      <c r="H241" s="55" t="str">
        <f aca="false">IF(02_Almuerzos!G149="","",02_Almuerzos!G149)</f>
        <v>Económico</v>
      </c>
      <c r="I241" s="58" t="n">
        <f aca="false">IF(02_Almuerzos!H149="","",02_Almuerzos!H149)</f>
        <v>8</v>
      </c>
      <c r="J241" s="58" t="n">
        <f aca="false">IF(02_Almuerzos!I149="","",02_Almuerzos!I149)</f>
        <v>14</v>
      </c>
      <c r="K241" s="58" t="n">
        <f aca="false">IF(02_Almuerzos!J149="","",02_Almuerzos!J149)</f>
        <v>11</v>
      </c>
      <c r="L241" s="58" t="n">
        <f aca="false">IF(02_Almuerzos!L149="","",02_Almuerzos!L149)</f>
        <v>12</v>
      </c>
      <c r="M241" s="58" t="n">
        <f aca="false">IF(02_Almuerzos!N149="","",02_Almuerzos!N149)</f>
        <v>0.77</v>
      </c>
      <c r="N241" s="58" t="n">
        <f aca="false">IF(02_Almuerzos!O149="","",02_Almuerzos!O149)</f>
        <v>10.23</v>
      </c>
      <c r="O241" s="55" t="str">
        <f aca="false">IF(02_Almuerzos!P149="","",02_Almuerzos!P149)</f>
        <v>12:00-15:00</v>
      </c>
      <c r="P241" s="55" t="n">
        <f aca="false">IF(02_Almuerzos!Q149="","",02_Almuerzos!Q149)</f>
        <v>12</v>
      </c>
      <c r="Q241" s="55" t="str">
        <f aca="false">IF(02_Almuerzos!R149="","",02_Almuerzos!R149)</f>
        <v>Medio</v>
      </c>
      <c r="R241" s="55" t="str">
        <f aca="false">IF(02_Almuerzos!S149="","",02_Almuerzos!S149)</f>
        <v>Mayor demanda en frío</v>
      </c>
      <c r="S241" s="55" t="str">
        <f aca="false">IF(02_Almuerzos!T149="","",02_Almuerzos!T149)</f>
        <v>Regional</v>
      </c>
      <c r="T241" s="56" t="str">
        <f aca="false">IF(02_Almuerzos!U149="","",02_Almuerzos!U149)</f>
        <v/>
      </c>
      <c r="U241" s="55" t="n">
        <v>149</v>
      </c>
      <c r="V241" s="55" t="n">
        <f aca="false">IF(AND(OR(LEN(13_Buscador!$C$5)=0,ISNUMBER(SEARCH(13_Buscador!$C$5,$C241&amp;" "&amp;$D241&amp;" "&amp;$E241&amp;" "&amp;$F241&amp;" "&amp;$S241))),OR(13_Buscador!$C$6="Todas las listas",LEN(13_Buscador!$C$6)=0,13_Buscador!$C$6=$B241)),1,0)</f>
        <v>0</v>
      </c>
      <c r="W241" s="55" t="str">
        <f aca="false">IF(V241=1,SUM($V$2:V241),"")</f>
        <v/>
      </c>
    </row>
    <row r="242" customFormat="false" ht="23.25" hidden="false" customHeight="true" outlineLevel="0" collapsed="false">
      <c r="A242" s="55" t="n">
        <v>241</v>
      </c>
      <c r="B242" s="55" t="s">
        <v>3328</v>
      </c>
      <c r="C242" s="55" t="str">
        <f aca="false">IF(02_Almuerzos!B150="","",02_Almuerzos!B150)</f>
        <v>Regional puneño</v>
      </c>
      <c r="D242" s="56" t="str">
        <f aca="false">IF(02_Almuerzos!C150="","",02_Almuerzos!C150)</f>
        <v>Trucha al horno</v>
      </c>
      <c r="E242" s="56" t="str">
        <f aca="false">IF(02_Almuerzos!D150="","",02_Almuerzos!D150)</f>
        <v>Trucha horneada con hierbas</v>
      </c>
      <c r="F242" s="56" t="str">
        <f aca="false">IF(02_Almuerzos!E150="","",02_Almuerzos!E150)</f>
        <v>trucha del lago Titicaca, sal, limón, harina o hierbas, guarnición de papa o arroz</v>
      </c>
      <c r="G242" s="55" t="str">
        <f aca="false">IF(02_Almuerzos!F150="","",02_Almuerzos!F150)</f>
        <v>Plato</v>
      </c>
      <c r="H242" s="55" t="str">
        <f aca="false">IF(02_Almuerzos!G150="","",02_Almuerzos!G150)</f>
        <v>Medio</v>
      </c>
      <c r="I242" s="58" t="n">
        <f aca="false">IF(02_Almuerzos!H150="","",02_Almuerzos!H150)</f>
        <v>18</v>
      </c>
      <c r="J242" s="58" t="n">
        <f aca="false">IF(02_Almuerzos!I150="","",02_Almuerzos!I150)</f>
        <v>30</v>
      </c>
      <c r="K242" s="58" t="n">
        <f aca="false">IF(02_Almuerzos!J150="","",02_Almuerzos!J150)</f>
        <v>24</v>
      </c>
      <c r="L242" s="58" t="n">
        <f aca="false">IF(02_Almuerzos!L150="","",02_Almuerzos!L150)</f>
        <v>25</v>
      </c>
      <c r="M242" s="58" t="n">
        <f aca="false">IF(02_Almuerzos!N150="","",02_Almuerzos!N150)</f>
        <v>2.64</v>
      </c>
      <c r="N242" s="58" t="n">
        <f aca="false">IF(02_Almuerzos!O150="","",02_Almuerzos!O150)</f>
        <v>21.36</v>
      </c>
      <c r="O242" s="55" t="str">
        <f aca="false">IF(02_Almuerzos!P150="","",02_Almuerzos!P150)</f>
        <v>12:00-16:00</v>
      </c>
      <c r="P242" s="55" t="n">
        <f aca="false">IF(02_Almuerzos!Q150="","",02_Almuerzos!Q150)</f>
        <v>20</v>
      </c>
      <c r="Q242" s="55" t="str">
        <f aca="false">IF(02_Almuerzos!R150="","",02_Almuerzos!R150)</f>
        <v>Medio</v>
      </c>
      <c r="R242" s="55" t="str">
        <f aca="false">IF(02_Almuerzos!S150="","",02_Almuerzos!S150)</f>
        <v>Todo el año</v>
      </c>
      <c r="S242" s="55" t="str">
        <f aca="false">IF(02_Almuerzos!T150="","",02_Almuerzos!T150)</f>
        <v>Regional</v>
      </c>
      <c r="T242" s="56" t="str">
        <f aca="false">IF(02_Almuerzos!U150="","",02_Almuerzos!U150)</f>
        <v/>
      </c>
      <c r="U242" s="55" t="n">
        <v>150</v>
      </c>
      <c r="V242" s="55" t="n">
        <f aca="false">IF(AND(OR(LEN(13_Buscador!$C$5)=0,ISNUMBER(SEARCH(13_Buscador!$C$5,$C242&amp;" "&amp;$D242&amp;" "&amp;$E242&amp;" "&amp;$F242&amp;" "&amp;$S242))),OR(13_Buscador!$C$6="Todas las listas",LEN(13_Buscador!$C$6)=0,13_Buscador!$C$6=$B242)),1,0)</f>
        <v>0</v>
      </c>
      <c r="W242" s="55" t="str">
        <f aca="false">IF(V242=1,SUM($V$2:V242),"")</f>
        <v/>
      </c>
    </row>
    <row r="243" customFormat="false" ht="15" hidden="false" customHeight="true" outlineLevel="0" collapsed="false">
      <c r="A243" s="55" t="n">
        <v>242</v>
      </c>
      <c r="B243" s="55" t="s">
        <v>3328</v>
      </c>
      <c r="C243" s="55" t="str">
        <f aca="false">IF(02_Almuerzos!B151="","",02_Almuerzos!B151)</f>
        <v>Regional puneño</v>
      </c>
      <c r="D243" s="56" t="str">
        <f aca="false">IF(02_Almuerzos!C151="","",02_Almuerzos!C151)</f>
        <v>Mauka o chuño phuti</v>
      </c>
      <c r="E243" s="56" t="str">
        <f aca="false">IF(02_Almuerzos!D151="","",02_Almuerzos!D151)</f>
        <v>Chuño salteado con huevo</v>
      </c>
      <c r="F243" s="56" t="str">
        <f aca="false">IF(02_Almuerzos!E151="","",02_Almuerzos!E151)</f>
        <v>chuño, huevo, queso, cebolla, sal</v>
      </c>
      <c r="G243" s="55" t="str">
        <f aca="false">IF(02_Almuerzos!F151="","",02_Almuerzos!F151)</f>
        <v>Plato</v>
      </c>
      <c r="H243" s="55" t="str">
        <f aca="false">IF(02_Almuerzos!G151="","",02_Almuerzos!G151)</f>
        <v>Económico</v>
      </c>
      <c r="I243" s="58" t="n">
        <f aca="false">IF(02_Almuerzos!H151="","",02_Almuerzos!H151)</f>
        <v>7</v>
      </c>
      <c r="J243" s="58" t="n">
        <f aca="false">IF(02_Almuerzos!I151="","",02_Almuerzos!I151)</f>
        <v>13</v>
      </c>
      <c r="K243" s="58" t="n">
        <f aca="false">IF(02_Almuerzos!J151="","",02_Almuerzos!J151)</f>
        <v>10</v>
      </c>
      <c r="L243" s="58" t="n">
        <f aca="false">IF(02_Almuerzos!L151="","",02_Almuerzos!L151)</f>
        <v>11</v>
      </c>
      <c r="M243" s="58" t="n">
        <f aca="false">IF(02_Almuerzos!N151="","",02_Almuerzos!N151)</f>
        <v>0.7</v>
      </c>
      <c r="N243" s="58" t="n">
        <f aca="false">IF(02_Almuerzos!O151="","",02_Almuerzos!O151)</f>
        <v>9.3</v>
      </c>
      <c r="O243" s="55" t="str">
        <f aca="false">IF(02_Almuerzos!P151="","",02_Almuerzos!P151)</f>
        <v>12:00-16:00</v>
      </c>
      <c r="P243" s="55" t="n">
        <f aca="false">IF(02_Almuerzos!Q151="","",02_Almuerzos!Q151)</f>
        <v>10</v>
      </c>
      <c r="Q243" s="55" t="str">
        <f aca="false">IF(02_Almuerzos!R151="","",02_Almuerzos!R151)</f>
        <v>Alto</v>
      </c>
      <c r="R243" s="55" t="str">
        <f aca="false">IF(02_Almuerzos!S151="","",02_Almuerzos!S151)</f>
        <v>Todo el año</v>
      </c>
      <c r="S243" s="55" t="str">
        <f aca="false">IF(02_Almuerzos!T151="","",02_Almuerzos!T151)</f>
        <v>Regional</v>
      </c>
      <c r="T243" s="56" t="str">
        <f aca="false">IF(02_Almuerzos!U151="","",02_Almuerzos!U151)</f>
        <v/>
      </c>
      <c r="U243" s="55" t="n">
        <v>151</v>
      </c>
      <c r="V243" s="55" t="n">
        <f aca="false">IF(AND(OR(LEN(13_Buscador!$C$5)=0,ISNUMBER(SEARCH(13_Buscador!$C$5,$C243&amp;" "&amp;$D243&amp;" "&amp;$E243&amp;" "&amp;$F243&amp;" "&amp;$S243))),OR(13_Buscador!$C$6="Todas las listas",LEN(13_Buscador!$C$6)=0,13_Buscador!$C$6=$B243)),1,0)</f>
        <v>0</v>
      </c>
      <c r="W243" s="55" t="str">
        <f aca="false">IF(V243=1,SUM($V$2:V243),"")</f>
        <v/>
      </c>
    </row>
    <row r="244" customFormat="false" ht="15" hidden="false" customHeight="true" outlineLevel="0" collapsed="false">
      <c r="A244" s="55" t="n">
        <v>243</v>
      </c>
      <c r="B244" s="55" t="s">
        <v>3328</v>
      </c>
      <c r="C244" s="55" t="str">
        <f aca="false">IF(02_Almuerzos!B152="","",02_Almuerzos!B152)</f>
        <v>Regional puneño</v>
      </c>
      <c r="D244" s="56" t="str">
        <f aca="false">IF(02_Almuerzos!C152="","",02_Almuerzos!C152)</f>
        <v>Fritura de ispi con mote</v>
      </c>
      <c r="E244" s="56" t="str">
        <f aca="false">IF(02_Almuerzos!D152="","",02_Almuerzos!D152)</f>
        <v>Pescadito frito con maíz</v>
      </c>
      <c r="F244" s="56" t="str">
        <f aca="false">IF(02_Almuerzos!E152="","",02_Almuerzos!E152)</f>
        <v>pescado del lago, sal, harina, aceite, mote</v>
      </c>
      <c r="G244" s="55" t="str">
        <f aca="false">IF(02_Almuerzos!F152="","",02_Almuerzos!F152)</f>
        <v>Porción</v>
      </c>
      <c r="H244" s="55" t="str">
        <f aca="false">IF(02_Almuerzos!G152="","",02_Almuerzos!G152)</f>
        <v>Económico</v>
      </c>
      <c r="I244" s="58" t="n">
        <f aca="false">IF(02_Almuerzos!H152="","",02_Almuerzos!H152)</f>
        <v>8</v>
      </c>
      <c r="J244" s="58" t="n">
        <f aca="false">IF(02_Almuerzos!I152="","",02_Almuerzos!I152)</f>
        <v>16</v>
      </c>
      <c r="K244" s="58" t="n">
        <f aca="false">IF(02_Almuerzos!J152="","",02_Almuerzos!J152)</f>
        <v>12</v>
      </c>
      <c r="L244" s="58" t="n">
        <f aca="false">IF(02_Almuerzos!L152="","",02_Almuerzos!L152)</f>
        <v>13</v>
      </c>
      <c r="M244" s="58" t="n">
        <f aca="false">IF(02_Almuerzos!N152="","",02_Almuerzos!N152)</f>
        <v>0.84</v>
      </c>
      <c r="N244" s="58" t="n">
        <f aca="false">IF(02_Almuerzos!O152="","",02_Almuerzos!O152)</f>
        <v>11.16</v>
      </c>
      <c r="O244" s="55" t="str">
        <f aca="false">IF(02_Almuerzos!P152="","",02_Almuerzos!P152)</f>
        <v>12:00-16:00</v>
      </c>
      <c r="P244" s="55" t="n">
        <f aca="false">IF(02_Almuerzos!Q152="","",02_Almuerzos!Q152)</f>
        <v>12</v>
      </c>
      <c r="Q244" s="55" t="str">
        <f aca="false">IF(02_Almuerzos!R152="","",02_Almuerzos!R152)</f>
        <v>Alto</v>
      </c>
      <c r="R244" s="55" t="str">
        <f aca="false">IF(02_Almuerzos!S152="","",02_Almuerzos!S152)</f>
        <v>Todo el año</v>
      </c>
      <c r="S244" s="55" t="str">
        <f aca="false">IF(02_Almuerzos!T152="","",02_Almuerzos!T152)</f>
        <v>Regional, mercado</v>
      </c>
      <c r="T244" s="56" t="str">
        <f aca="false">IF(02_Almuerzos!U152="","",02_Almuerzos!U152)</f>
        <v/>
      </c>
      <c r="U244" s="55" t="n">
        <v>152</v>
      </c>
      <c r="V244" s="55" t="n">
        <f aca="false">IF(AND(OR(LEN(13_Buscador!$C$5)=0,ISNUMBER(SEARCH(13_Buscador!$C$5,$C244&amp;" "&amp;$D244&amp;" "&amp;$E244&amp;" "&amp;$F244&amp;" "&amp;$S244))),OR(13_Buscador!$C$6="Todas las listas",LEN(13_Buscador!$C$6)=0,13_Buscador!$C$6=$B244)),1,0)</f>
        <v>0</v>
      </c>
      <c r="W244" s="55" t="str">
        <f aca="false">IF(V244=1,SUM($V$2:V244),"")</f>
        <v/>
      </c>
    </row>
    <row r="245" customFormat="false" ht="15" hidden="false" customHeight="true" outlineLevel="0" collapsed="false">
      <c r="A245" s="55" t="n">
        <v>244</v>
      </c>
      <c r="B245" s="55" t="s">
        <v>3328</v>
      </c>
      <c r="C245" s="55" t="str">
        <f aca="false">IF(02_Almuerzos!B153="","",02_Almuerzos!B153)</f>
        <v>Chifa</v>
      </c>
      <c r="D245" s="56" t="str">
        <f aca="false">IF(02_Almuerzos!C153="","",02_Almuerzos!C153)</f>
        <v>Pollo con verduras</v>
      </c>
      <c r="E245" s="56" t="str">
        <f aca="false">IF(02_Almuerzos!D153="","",02_Almuerzos!D153)</f>
        <v>Salteado de pollo y verduras</v>
      </c>
      <c r="F245" s="56" t="str">
        <f aca="false">IF(02_Almuerzos!E153="","",02_Almuerzos!E153)</f>
        <v>carne o pollo, verduras salteadas, sillao, kion, aceite</v>
      </c>
      <c r="G245" s="55" t="str">
        <f aca="false">IF(02_Almuerzos!F153="","",02_Almuerzos!F153)</f>
        <v>Plato</v>
      </c>
      <c r="H245" s="55" t="str">
        <f aca="false">IF(02_Almuerzos!G153="","",02_Almuerzos!G153)</f>
        <v>Estándar</v>
      </c>
      <c r="I245" s="58" t="n">
        <f aca="false">IF(02_Almuerzos!H153="","",02_Almuerzos!H153)</f>
        <v>12</v>
      </c>
      <c r="J245" s="58" t="n">
        <f aca="false">IF(02_Almuerzos!I153="","",02_Almuerzos!I153)</f>
        <v>20</v>
      </c>
      <c r="K245" s="58" t="n">
        <f aca="false">IF(02_Almuerzos!J153="","",02_Almuerzos!J153)</f>
        <v>16</v>
      </c>
      <c r="L245" s="58" t="n">
        <f aca="false">IF(02_Almuerzos!L153="","",02_Almuerzos!L153)</f>
        <v>17</v>
      </c>
      <c r="M245" s="58" t="n">
        <f aca="false">IF(02_Almuerzos!N153="","",02_Almuerzos!N153)</f>
        <v>1.44</v>
      </c>
      <c r="N245" s="58" t="n">
        <f aca="false">IF(02_Almuerzos!O153="","",02_Almuerzos!O153)</f>
        <v>14.56</v>
      </c>
      <c r="O245" s="55" t="str">
        <f aca="false">IF(02_Almuerzos!P153="","",02_Almuerzos!P153)</f>
        <v>12:00-15:00</v>
      </c>
      <c r="P245" s="55" t="n">
        <f aca="false">IF(02_Almuerzos!Q153="","",02_Almuerzos!Q153)</f>
        <v>12</v>
      </c>
      <c r="Q245" s="55" t="str">
        <f aca="false">IF(02_Almuerzos!R153="","",02_Almuerzos!R153)</f>
        <v>Alto</v>
      </c>
      <c r="R245" s="55" t="str">
        <f aca="false">IF(02_Almuerzos!S153="","",02_Almuerzos!S153)</f>
        <v>Todo el año</v>
      </c>
      <c r="S245" s="55" t="str">
        <f aca="false">IF(02_Almuerzos!T153="","",02_Almuerzos!T153)</f>
        <v>Chifa</v>
      </c>
      <c r="T245" s="56" t="str">
        <f aca="false">IF(02_Almuerzos!U153="","",02_Almuerzos!U153)</f>
        <v/>
      </c>
      <c r="U245" s="55" t="n">
        <v>153</v>
      </c>
      <c r="V245" s="55" t="n">
        <f aca="false">IF(AND(OR(LEN(13_Buscador!$C$5)=0,ISNUMBER(SEARCH(13_Buscador!$C$5,$C245&amp;" "&amp;$D245&amp;" "&amp;$E245&amp;" "&amp;$F245&amp;" "&amp;$S245))),OR(13_Buscador!$C$6="Todas las listas",LEN(13_Buscador!$C$6)=0,13_Buscador!$C$6=$B245)),1,0)</f>
        <v>1</v>
      </c>
      <c r="W245" s="55" t="n">
        <f aca="false">IF(V245=1,SUM($V$2:V245),"")</f>
        <v>49</v>
      </c>
    </row>
    <row r="246" customFormat="false" ht="23.25" hidden="false" customHeight="true" outlineLevel="0" collapsed="false">
      <c r="A246" s="55" t="n">
        <v>245</v>
      </c>
      <c r="B246" s="55" t="s">
        <v>3328</v>
      </c>
      <c r="C246" s="55" t="str">
        <f aca="false">IF(02_Almuerzos!B154="","",02_Almuerzos!B154)</f>
        <v>Chifa</v>
      </c>
      <c r="D246" s="56" t="str">
        <f aca="false">IF(02_Almuerzos!C154="","",02_Almuerzos!C154)</f>
        <v>Carne con champiñones</v>
      </c>
      <c r="E246" s="56" t="str">
        <f aca="false">IF(02_Almuerzos!D154="","",02_Almuerzos!D154)</f>
        <v>Res salteada con hongos</v>
      </c>
      <c r="F246" s="56" t="str">
        <f aca="false">IF(02_Almuerzos!E154="","",02_Almuerzos!E154)</f>
        <v>carne de res, cebolla, tomate, zanahoria, papa, especias</v>
      </c>
      <c r="G246" s="55" t="str">
        <f aca="false">IF(02_Almuerzos!F154="","",02_Almuerzos!F154)</f>
        <v>Plato</v>
      </c>
      <c r="H246" s="55" t="str">
        <f aca="false">IF(02_Almuerzos!G154="","",02_Almuerzos!G154)</f>
        <v>Medio</v>
      </c>
      <c r="I246" s="58" t="n">
        <f aca="false">IF(02_Almuerzos!H154="","",02_Almuerzos!H154)</f>
        <v>15</v>
      </c>
      <c r="J246" s="58" t="n">
        <f aca="false">IF(02_Almuerzos!I154="","",02_Almuerzos!I154)</f>
        <v>26</v>
      </c>
      <c r="K246" s="58" t="n">
        <f aca="false">IF(02_Almuerzos!J154="","",02_Almuerzos!J154)</f>
        <v>20.5</v>
      </c>
      <c r="L246" s="58" t="n">
        <f aca="false">IF(02_Almuerzos!L154="","",02_Almuerzos!L154)</f>
        <v>21.5</v>
      </c>
      <c r="M246" s="58" t="n">
        <f aca="false">IF(02_Almuerzos!N154="","",02_Almuerzos!N154)</f>
        <v>2.26</v>
      </c>
      <c r="N246" s="58" t="n">
        <f aca="false">IF(02_Almuerzos!O154="","",02_Almuerzos!O154)</f>
        <v>18.24</v>
      </c>
      <c r="O246" s="55" t="str">
        <f aca="false">IF(02_Almuerzos!P154="","",02_Almuerzos!P154)</f>
        <v>12:00-15:00</v>
      </c>
      <c r="P246" s="55" t="n">
        <f aca="false">IF(02_Almuerzos!Q154="","",02_Almuerzos!Q154)</f>
        <v>14</v>
      </c>
      <c r="Q246" s="55" t="str">
        <f aca="false">IF(02_Almuerzos!R154="","",02_Almuerzos!R154)</f>
        <v>Alto</v>
      </c>
      <c r="R246" s="55" t="str">
        <f aca="false">IF(02_Almuerzos!S154="","",02_Almuerzos!S154)</f>
        <v>Todo el año</v>
      </c>
      <c r="S246" s="55" t="str">
        <f aca="false">IF(02_Almuerzos!T154="","",02_Almuerzos!T154)</f>
        <v>Chifa</v>
      </c>
      <c r="T246" s="56" t="str">
        <f aca="false">IF(02_Almuerzos!U154="","",02_Almuerzos!U154)</f>
        <v/>
      </c>
      <c r="U246" s="55" t="n">
        <v>154</v>
      </c>
      <c r="V246" s="55" t="n">
        <f aca="false">IF(AND(OR(LEN(13_Buscador!$C$5)=0,ISNUMBER(SEARCH(13_Buscador!$C$5,$C246&amp;" "&amp;$D246&amp;" "&amp;$E246&amp;" "&amp;$F246&amp;" "&amp;$S246))),OR(13_Buscador!$C$6="Todas las listas",LEN(13_Buscador!$C$6)=0,13_Buscador!$C$6=$B246)),1,0)</f>
        <v>0</v>
      </c>
      <c r="W246" s="55" t="str">
        <f aca="false">IF(V246=1,SUM($V$2:V246),"")</f>
        <v/>
      </c>
    </row>
    <row r="247" customFormat="false" ht="23.25" hidden="false" customHeight="true" outlineLevel="0" collapsed="false">
      <c r="A247" s="55" t="n">
        <v>246</v>
      </c>
      <c r="B247" s="55" t="s">
        <v>3328</v>
      </c>
      <c r="C247" s="55" t="str">
        <f aca="false">IF(02_Almuerzos!B155="","",02_Almuerzos!B155)</f>
        <v>Chifa</v>
      </c>
      <c r="D247" s="56" t="str">
        <f aca="false">IF(02_Almuerzos!C155="","",02_Almuerzos!C155)</f>
        <v>Chaufa de chancho</v>
      </c>
      <c r="E247" s="56" t="str">
        <f aca="false">IF(02_Almuerzos!D155="","",02_Almuerzos!D155)</f>
        <v>Chaufa con cerdo</v>
      </c>
      <c r="F247" s="56" t="str">
        <f aca="false">IF(02_Almuerzos!E155="","",02_Almuerzos!E155)</f>
        <v>arroz, huevo, cebolla china, sillao, aceite de ajonjolí, carne o pollo</v>
      </c>
      <c r="G247" s="55" t="str">
        <f aca="false">IF(02_Almuerzos!F155="","",02_Almuerzos!F155)</f>
        <v>Plato</v>
      </c>
      <c r="H247" s="55" t="str">
        <f aca="false">IF(02_Almuerzos!G155="","",02_Almuerzos!G155)</f>
        <v>Estándar</v>
      </c>
      <c r="I247" s="58" t="n">
        <f aca="false">IF(02_Almuerzos!H155="","",02_Almuerzos!H155)</f>
        <v>11</v>
      </c>
      <c r="J247" s="58" t="n">
        <f aca="false">IF(02_Almuerzos!I155="","",02_Almuerzos!I155)</f>
        <v>18</v>
      </c>
      <c r="K247" s="58" t="n">
        <f aca="false">IF(02_Almuerzos!J155="","",02_Almuerzos!J155)</f>
        <v>14.5</v>
      </c>
      <c r="L247" s="58" t="n">
        <f aca="false">IF(02_Almuerzos!L155="","",02_Almuerzos!L155)</f>
        <v>15.5</v>
      </c>
      <c r="M247" s="58" t="n">
        <f aca="false">IF(02_Almuerzos!N155="","",02_Almuerzos!N155)</f>
        <v>1.31</v>
      </c>
      <c r="N247" s="58" t="n">
        <f aca="false">IF(02_Almuerzos!O155="","",02_Almuerzos!O155)</f>
        <v>13.19</v>
      </c>
      <c r="O247" s="55" t="str">
        <f aca="false">IF(02_Almuerzos!P155="","",02_Almuerzos!P155)</f>
        <v>12:00-15:00</v>
      </c>
      <c r="P247" s="55" t="n">
        <f aca="false">IF(02_Almuerzos!Q155="","",02_Almuerzos!Q155)</f>
        <v>10</v>
      </c>
      <c r="Q247" s="55" t="str">
        <f aca="false">IF(02_Almuerzos!R155="","",02_Almuerzos!R155)</f>
        <v>Alto</v>
      </c>
      <c r="R247" s="55" t="str">
        <f aca="false">IF(02_Almuerzos!S155="","",02_Almuerzos!S155)</f>
        <v>Todo el año</v>
      </c>
      <c r="S247" s="55" t="str">
        <f aca="false">IF(02_Almuerzos!T155="","",02_Almuerzos!T155)</f>
        <v>Chifa</v>
      </c>
      <c r="T247" s="56" t="str">
        <f aca="false">IF(02_Almuerzos!U155="","",02_Almuerzos!U155)</f>
        <v/>
      </c>
      <c r="U247" s="55" t="n">
        <v>155</v>
      </c>
      <c r="V247" s="55" t="n">
        <f aca="false">IF(AND(OR(LEN(13_Buscador!$C$5)=0,ISNUMBER(SEARCH(13_Buscador!$C$5,$C247&amp;" "&amp;$D247&amp;" "&amp;$E247&amp;" "&amp;$F247&amp;" "&amp;$S247))),OR(13_Buscador!$C$6="Todas las listas",LEN(13_Buscador!$C$6)=0,13_Buscador!$C$6=$B247)),1,0)</f>
        <v>1</v>
      </c>
      <c r="W247" s="55" t="n">
        <f aca="false">IF(V247=1,SUM($V$2:V247),"")</f>
        <v>50</v>
      </c>
    </row>
    <row r="248" customFormat="false" ht="15" hidden="false" customHeight="true" outlineLevel="0" collapsed="false">
      <c r="A248" s="55" t="n">
        <v>247</v>
      </c>
      <c r="B248" s="55" t="s">
        <v>3328</v>
      </c>
      <c r="C248" s="55" t="str">
        <f aca="false">IF(02_Almuerzos!B156="","",02_Almuerzos!B156)</f>
        <v>Chifa</v>
      </c>
      <c r="D248" s="56" t="str">
        <f aca="false">IF(02_Almuerzos!C156="","",02_Almuerzos!C156)</f>
        <v>Min pao / pan chino</v>
      </c>
      <c r="E248" s="56" t="str">
        <f aca="false">IF(02_Almuerzos!D156="","",02_Almuerzos!D156)</f>
        <v>Pan al vapor relleno</v>
      </c>
      <c r="F248" s="56" t="str">
        <f aca="false">IF(02_Almuerzos!E156="","",02_Almuerzos!E156)</f>
        <v>harina, levadura, relleno de cerdo o pollo</v>
      </c>
      <c r="G248" s="55" t="str">
        <f aca="false">IF(02_Almuerzos!F156="","",02_Almuerzos!F156)</f>
        <v>Unidad</v>
      </c>
      <c r="H248" s="55" t="str">
        <f aca="false">IF(02_Almuerzos!G156="","",02_Almuerzos!G156)</f>
        <v>Económico</v>
      </c>
      <c r="I248" s="58" t="n">
        <f aca="false">IF(02_Almuerzos!H156="","",02_Almuerzos!H156)</f>
        <v>4</v>
      </c>
      <c r="J248" s="58" t="n">
        <f aca="false">IF(02_Almuerzos!I156="","",02_Almuerzos!I156)</f>
        <v>9</v>
      </c>
      <c r="K248" s="58" t="n">
        <f aca="false">IF(02_Almuerzos!J156="","",02_Almuerzos!J156)</f>
        <v>6.5</v>
      </c>
      <c r="L248" s="58" t="n">
        <f aca="false">IF(02_Almuerzos!L156="","",02_Almuerzos!L156)</f>
        <v>7.5</v>
      </c>
      <c r="M248" s="58" t="n">
        <f aca="false">IF(02_Almuerzos!N156="","",02_Almuerzos!N156)</f>
        <v>0.46</v>
      </c>
      <c r="N248" s="58" t="n">
        <f aca="false">IF(02_Almuerzos!O156="","",02_Almuerzos!O156)</f>
        <v>6.04</v>
      </c>
      <c r="O248" s="55" t="str">
        <f aca="false">IF(02_Almuerzos!P156="","",02_Almuerzos!P156)</f>
        <v>12:00-20:00</v>
      </c>
      <c r="P248" s="55" t="n">
        <f aca="false">IF(02_Almuerzos!Q156="","",02_Almuerzos!Q156)</f>
        <v>6</v>
      </c>
      <c r="Q248" s="55" t="str">
        <f aca="false">IF(02_Almuerzos!R156="","",02_Almuerzos!R156)</f>
        <v>Alto</v>
      </c>
      <c r="R248" s="55" t="str">
        <f aca="false">IF(02_Almuerzos!S156="","",02_Almuerzos!S156)</f>
        <v>Todo el año</v>
      </c>
      <c r="S248" s="55" t="str">
        <f aca="false">IF(02_Almuerzos!T156="","",02_Almuerzos!T156)</f>
        <v>Chifa</v>
      </c>
      <c r="T248" s="56" t="str">
        <f aca="false">IF(02_Almuerzos!U156="","",02_Almuerzos!U156)</f>
        <v/>
      </c>
      <c r="U248" s="55" t="n">
        <v>156</v>
      </c>
      <c r="V248" s="55" t="n">
        <f aca="false">IF(AND(OR(LEN(13_Buscador!$C$5)=0,ISNUMBER(SEARCH(13_Buscador!$C$5,$C248&amp;" "&amp;$D248&amp;" "&amp;$E248&amp;" "&amp;$F248&amp;" "&amp;$S248))),OR(13_Buscador!$C$6="Todas las listas",LEN(13_Buscador!$C$6)=0,13_Buscador!$C$6=$B248)),1,0)</f>
        <v>1</v>
      </c>
      <c r="W248" s="55" t="n">
        <f aca="false">IF(V248=1,SUM($V$2:V248),"")</f>
        <v>51</v>
      </c>
    </row>
    <row r="249" customFormat="false" ht="15" hidden="false" customHeight="true" outlineLevel="0" collapsed="false">
      <c r="A249" s="55" t="n">
        <v>248</v>
      </c>
      <c r="B249" s="55" t="s">
        <v>3328</v>
      </c>
      <c r="C249" s="55" t="str">
        <f aca="false">IF(02_Almuerzos!B157="","",02_Almuerzos!B157)</f>
        <v>Chifa</v>
      </c>
      <c r="D249" s="56" t="str">
        <f aca="false">IF(02_Almuerzos!C157="","",02_Almuerzos!C157)</f>
        <v>Sopa de fideo chino</v>
      </c>
      <c r="E249" s="56" t="str">
        <f aca="false">IF(02_Almuerzos!D157="","",02_Almuerzos!D157)</f>
        <v>Caldo con fideo y verduras</v>
      </c>
      <c r="F249" s="56" t="str">
        <f aca="false">IF(02_Almuerzos!E157="","",02_Almuerzos!E157)</f>
        <v>fideo chino, verduras, pollo, sillao, caldo</v>
      </c>
      <c r="G249" s="55" t="str">
        <f aca="false">IF(02_Almuerzos!F157="","",02_Almuerzos!F157)</f>
        <v>Plato hondo</v>
      </c>
      <c r="H249" s="55" t="str">
        <f aca="false">IF(02_Almuerzos!G157="","",02_Almuerzos!G157)</f>
        <v>Económico</v>
      </c>
      <c r="I249" s="58" t="n">
        <f aca="false">IF(02_Almuerzos!H157="","",02_Almuerzos!H157)</f>
        <v>8</v>
      </c>
      <c r="J249" s="58" t="n">
        <f aca="false">IF(02_Almuerzos!I157="","",02_Almuerzos!I157)</f>
        <v>15</v>
      </c>
      <c r="K249" s="58" t="n">
        <f aca="false">IF(02_Almuerzos!J157="","",02_Almuerzos!J157)</f>
        <v>11.5</v>
      </c>
      <c r="L249" s="58" t="n">
        <f aca="false">IF(02_Almuerzos!L157="","",02_Almuerzos!L157)</f>
        <v>12.5</v>
      </c>
      <c r="M249" s="58" t="n">
        <f aca="false">IF(02_Almuerzos!N157="","",02_Almuerzos!N157)</f>
        <v>0.81</v>
      </c>
      <c r="N249" s="58" t="n">
        <f aca="false">IF(02_Almuerzos!O157="","",02_Almuerzos!O157)</f>
        <v>10.69</v>
      </c>
      <c r="O249" s="55" t="str">
        <f aca="false">IF(02_Almuerzos!P157="","",02_Almuerzos!P157)</f>
        <v>12:00-15:00</v>
      </c>
      <c r="P249" s="55" t="n">
        <f aca="false">IF(02_Almuerzos!Q157="","",02_Almuerzos!Q157)</f>
        <v>10</v>
      </c>
      <c r="Q249" s="55" t="str">
        <f aca="false">IF(02_Almuerzos!R157="","",02_Almuerzos!R157)</f>
        <v>Medio</v>
      </c>
      <c r="R249" s="55" t="str">
        <f aca="false">IF(02_Almuerzos!S157="","",02_Almuerzos!S157)</f>
        <v>Todo el año</v>
      </c>
      <c r="S249" s="55" t="str">
        <f aca="false">IF(02_Almuerzos!T157="","",02_Almuerzos!T157)</f>
        <v>Chifa</v>
      </c>
      <c r="T249" s="56" t="str">
        <f aca="false">IF(02_Almuerzos!U157="","",02_Almuerzos!U157)</f>
        <v/>
      </c>
      <c r="U249" s="55" t="n">
        <v>157</v>
      </c>
      <c r="V249" s="55" t="n">
        <f aca="false">IF(AND(OR(LEN(13_Buscador!$C$5)=0,ISNUMBER(SEARCH(13_Buscador!$C$5,$C249&amp;" "&amp;$D249&amp;" "&amp;$E249&amp;" "&amp;$F249&amp;" "&amp;$S249))),OR(13_Buscador!$C$6="Todas las listas",LEN(13_Buscador!$C$6)=0,13_Buscador!$C$6=$B249)),1,0)</f>
        <v>1</v>
      </c>
      <c r="W249" s="55" t="n">
        <f aca="false">IF(V249=1,SUM($V$2:V249),"")</f>
        <v>52</v>
      </c>
    </row>
    <row r="250" customFormat="false" ht="23.25" hidden="false" customHeight="true" outlineLevel="0" collapsed="false">
      <c r="A250" s="55" t="n">
        <v>249</v>
      </c>
      <c r="B250" s="55" t="s">
        <v>3328</v>
      </c>
      <c r="C250" s="55" t="str">
        <f aca="false">IF(02_Almuerzos!B158="","",02_Almuerzos!B158)</f>
        <v>Pescados</v>
      </c>
      <c r="D250" s="56" t="str">
        <f aca="false">IF(02_Almuerzos!C158="","",02_Almuerzos!C158)</f>
        <v>Ceviche mixto</v>
      </c>
      <c r="E250" s="56" t="str">
        <f aca="false">IF(02_Almuerzos!D158="","",02_Almuerzos!D158)</f>
        <v>Pescado y mariscos</v>
      </c>
      <c r="F250" s="56" t="str">
        <f aca="false">IF(02_Almuerzos!E158="","",02_Almuerzos!E158)</f>
        <v>pescado o trucha fresca, limón, cebolla, ají limo, culantro, camote, choclo</v>
      </c>
      <c r="G250" s="55" t="str">
        <f aca="false">IF(02_Almuerzos!F158="","",02_Almuerzos!F158)</f>
        <v>Plato</v>
      </c>
      <c r="H250" s="55" t="str">
        <f aca="false">IF(02_Almuerzos!G158="","",02_Almuerzos!G158)</f>
        <v>Medio</v>
      </c>
      <c r="I250" s="58" t="n">
        <f aca="false">IF(02_Almuerzos!H158="","",02_Almuerzos!H158)</f>
        <v>18</v>
      </c>
      <c r="J250" s="58" t="n">
        <f aca="false">IF(02_Almuerzos!I158="","",02_Almuerzos!I158)</f>
        <v>32</v>
      </c>
      <c r="K250" s="58" t="n">
        <f aca="false">IF(02_Almuerzos!J158="","",02_Almuerzos!J158)</f>
        <v>25</v>
      </c>
      <c r="L250" s="58" t="n">
        <f aca="false">IF(02_Almuerzos!L158="","",02_Almuerzos!L158)</f>
        <v>26</v>
      </c>
      <c r="M250" s="58" t="n">
        <f aca="false">IF(02_Almuerzos!N158="","",02_Almuerzos!N158)</f>
        <v>2.75</v>
      </c>
      <c r="N250" s="58" t="n">
        <f aca="false">IF(02_Almuerzos!O158="","",02_Almuerzos!O158)</f>
        <v>22.25</v>
      </c>
      <c r="O250" s="55" t="str">
        <f aca="false">IF(02_Almuerzos!P158="","",02_Almuerzos!P158)</f>
        <v>11:00-16:00</v>
      </c>
      <c r="P250" s="55" t="n">
        <f aca="false">IF(02_Almuerzos!Q158="","",02_Almuerzos!Q158)</f>
        <v>14</v>
      </c>
      <c r="Q250" s="55" t="str">
        <f aca="false">IF(02_Almuerzos!R158="","",02_Almuerzos!R158)</f>
        <v>Bajo</v>
      </c>
      <c r="R250" s="55" t="str">
        <f aca="false">IF(02_Almuerzos!S158="","",02_Almuerzos!S158)</f>
        <v>Todo el año</v>
      </c>
      <c r="S250" s="55" t="str">
        <f aca="false">IF(02_Almuerzos!T158="","",02_Almuerzos!T158)</f>
        <v>Cevichería</v>
      </c>
      <c r="T250" s="56" t="str">
        <f aca="false">IF(02_Almuerzos!U158="","",02_Almuerzos!U158)</f>
        <v>Entrega máxima 20 minutos</v>
      </c>
      <c r="U250" s="55" t="n">
        <v>158</v>
      </c>
      <c r="V250" s="55" t="n">
        <f aca="false">IF(AND(OR(LEN(13_Buscador!$C$5)=0,ISNUMBER(SEARCH(13_Buscador!$C$5,$C250&amp;" "&amp;$D250&amp;" "&amp;$E250&amp;" "&amp;$F250&amp;" "&amp;$S250))),OR(13_Buscador!$C$6="Todas las listas",LEN(13_Buscador!$C$6)=0,13_Buscador!$C$6=$B250)),1,0)</f>
        <v>0</v>
      </c>
      <c r="W250" s="55" t="str">
        <f aca="false">IF(V250=1,SUM($V$2:V250),"")</f>
        <v/>
      </c>
    </row>
    <row r="251" customFormat="false" ht="23.25" hidden="false" customHeight="true" outlineLevel="0" collapsed="false">
      <c r="A251" s="55" t="n">
        <v>250</v>
      </c>
      <c r="B251" s="55" t="s">
        <v>3328</v>
      </c>
      <c r="C251" s="55" t="str">
        <f aca="false">IF(02_Almuerzos!B159="","",02_Almuerzos!B159)</f>
        <v>Pescados</v>
      </c>
      <c r="D251" s="56" t="str">
        <f aca="false">IF(02_Almuerzos!C159="","",02_Almuerzos!C159)</f>
        <v>Leche de tigre</v>
      </c>
      <c r="E251" s="56" t="str">
        <f aca="false">IF(02_Almuerzos!D159="","",02_Almuerzos!D159)</f>
        <v>Vaso de jugo de ceviche</v>
      </c>
      <c r="F251" s="56" t="str">
        <f aca="false">IF(02_Almuerzos!E159="","",02_Almuerzos!E159)</f>
        <v>jugo de limón del ceviche, pescado, ají, cebolla, culantro</v>
      </c>
      <c r="G251" s="55" t="str">
        <f aca="false">IF(02_Almuerzos!F159="","",02_Almuerzos!F159)</f>
        <v>Vaso</v>
      </c>
      <c r="H251" s="55" t="str">
        <f aca="false">IF(02_Almuerzos!G159="","",02_Almuerzos!G159)</f>
        <v>Económico</v>
      </c>
      <c r="I251" s="58" t="n">
        <f aca="false">IF(02_Almuerzos!H159="","",02_Almuerzos!H159)</f>
        <v>8</v>
      </c>
      <c r="J251" s="58" t="n">
        <f aca="false">IF(02_Almuerzos!I159="","",02_Almuerzos!I159)</f>
        <v>16</v>
      </c>
      <c r="K251" s="58" t="n">
        <f aca="false">IF(02_Almuerzos!J159="","",02_Almuerzos!J159)</f>
        <v>12</v>
      </c>
      <c r="L251" s="58" t="n">
        <f aca="false">IF(02_Almuerzos!L159="","",02_Almuerzos!L159)</f>
        <v>13</v>
      </c>
      <c r="M251" s="58" t="n">
        <f aca="false">IF(02_Almuerzos!N159="","",02_Almuerzos!N159)</f>
        <v>0.84</v>
      </c>
      <c r="N251" s="58" t="n">
        <f aca="false">IF(02_Almuerzos!O159="","",02_Almuerzos!O159)</f>
        <v>11.16</v>
      </c>
      <c r="O251" s="55" t="str">
        <f aca="false">IF(02_Almuerzos!P159="","",02_Almuerzos!P159)</f>
        <v>11:00-16:00</v>
      </c>
      <c r="P251" s="55" t="n">
        <f aca="false">IF(02_Almuerzos!Q159="","",02_Almuerzos!Q159)</f>
        <v>8</v>
      </c>
      <c r="Q251" s="55" t="str">
        <f aca="false">IF(02_Almuerzos!R159="","",02_Almuerzos!R159)</f>
        <v>Bajo</v>
      </c>
      <c r="R251" s="55" t="str">
        <f aca="false">IF(02_Almuerzos!S159="","",02_Almuerzos!S159)</f>
        <v>Todo el año</v>
      </c>
      <c r="S251" s="55" t="str">
        <f aca="false">IF(02_Almuerzos!T159="","",02_Almuerzos!T159)</f>
        <v>Cevichería</v>
      </c>
      <c r="T251" s="56" t="str">
        <f aca="false">IF(02_Almuerzos!U159="","",02_Almuerzos!U159)</f>
        <v/>
      </c>
      <c r="U251" s="55" t="n">
        <v>159</v>
      </c>
      <c r="V251" s="55" t="n">
        <f aca="false">IF(AND(OR(LEN(13_Buscador!$C$5)=0,ISNUMBER(SEARCH(13_Buscador!$C$5,$C251&amp;" "&amp;$D251&amp;" "&amp;$E251&amp;" "&amp;$F251&amp;" "&amp;$S251))),OR(13_Buscador!$C$6="Todas las listas",LEN(13_Buscador!$C$6)=0,13_Buscador!$C$6=$B251)),1,0)</f>
        <v>0</v>
      </c>
      <c r="W251" s="55" t="str">
        <f aca="false">IF(V251=1,SUM($V$2:V251),"")</f>
        <v/>
      </c>
    </row>
    <row r="252" customFormat="false" ht="23.25" hidden="false" customHeight="true" outlineLevel="0" collapsed="false">
      <c r="A252" s="55" t="n">
        <v>251</v>
      </c>
      <c r="B252" s="55" t="s">
        <v>3328</v>
      </c>
      <c r="C252" s="55" t="str">
        <f aca="false">IF(02_Almuerzos!B160="","",02_Almuerzos!B160)</f>
        <v>Pescados</v>
      </c>
      <c r="D252" s="56" t="str">
        <f aca="false">IF(02_Almuerzos!C160="","",02_Almuerzos!C160)</f>
        <v>Arroz con mariscos</v>
      </c>
      <c r="E252" s="56" t="str">
        <f aca="false">IF(02_Almuerzos!D160="","",02_Almuerzos!D160)</f>
        <v>Arroz meloso con mariscos</v>
      </c>
      <c r="F252" s="56" t="str">
        <f aca="false">IF(02_Almuerzos!E160="","",02_Almuerzos!E160)</f>
        <v>arroz, mariscos surtidos, ají amarillo, ají panca, pimiento, culantro</v>
      </c>
      <c r="G252" s="55" t="str">
        <f aca="false">IF(02_Almuerzos!F160="","",02_Almuerzos!F160)</f>
        <v>Plato</v>
      </c>
      <c r="H252" s="55" t="str">
        <f aca="false">IF(02_Almuerzos!G160="","",02_Almuerzos!G160)</f>
        <v>Medio</v>
      </c>
      <c r="I252" s="58" t="n">
        <f aca="false">IF(02_Almuerzos!H160="","",02_Almuerzos!H160)</f>
        <v>18</v>
      </c>
      <c r="J252" s="58" t="n">
        <f aca="false">IF(02_Almuerzos!I160="","",02_Almuerzos!I160)</f>
        <v>32</v>
      </c>
      <c r="K252" s="58" t="n">
        <f aca="false">IF(02_Almuerzos!J160="","",02_Almuerzos!J160)</f>
        <v>25</v>
      </c>
      <c r="L252" s="58" t="n">
        <f aca="false">IF(02_Almuerzos!L160="","",02_Almuerzos!L160)</f>
        <v>26</v>
      </c>
      <c r="M252" s="58" t="n">
        <f aca="false">IF(02_Almuerzos!N160="","",02_Almuerzos!N160)</f>
        <v>2.75</v>
      </c>
      <c r="N252" s="58" t="n">
        <f aca="false">IF(02_Almuerzos!O160="","",02_Almuerzos!O160)</f>
        <v>22.25</v>
      </c>
      <c r="O252" s="55" t="str">
        <f aca="false">IF(02_Almuerzos!P160="","",02_Almuerzos!P160)</f>
        <v>12:00-16:00</v>
      </c>
      <c r="P252" s="55" t="n">
        <f aca="false">IF(02_Almuerzos!Q160="","",02_Almuerzos!Q160)</f>
        <v>18</v>
      </c>
      <c r="Q252" s="55" t="str">
        <f aca="false">IF(02_Almuerzos!R160="","",02_Almuerzos!R160)</f>
        <v>Alto</v>
      </c>
      <c r="R252" s="55" t="str">
        <f aca="false">IF(02_Almuerzos!S160="","",02_Almuerzos!S160)</f>
        <v>Todo el año</v>
      </c>
      <c r="S252" s="55" t="str">
        <f aca="false">IF(02_Almuerzos!T160="","",02_Almuerzos!T160)</f>
        <v>Cevichería</v>
      </c>
      <c r="T252" s="56" t="str">
        <f aca="false">IF(02_Almuerzos!U160="","",02_Almuerzos!U160)</f>
        <v/>
      </c>
      <c r="U252" s="55" t="n">
        <v>160</v>
      </c>
      <c r="V252" s="55" t="n">
        <f aca="false">IF(AND(OR(LEN(13_Buscador!$C$5)=0,ISNUMBER(SEARCH(13_Buscador!$C$5,$C252&amp;" "&amp;$D252&amp;" "&amp;$E252&amp;" "&amp;$F252&amp;" "&amp;$S252))),OR(13_Buscador!$C$6="Todas las listas",LEN(13_Buscador!$C$6)=0,13_Buscador!$C$6=$B252)),1,0)</f>
        <v>0</v>
      </c>
      <c r="W252" s="55" t="str">
        <f aca="false">IF(V252=1,SUM($V$2:V252),"")</f>
        <v/>
      </c>
    </row>
    <row r="253" customFormat="false" ht="15" hidden="false" customHeight="true" outlineLevel="0" collapsed="false">
      <c r="A253" s="55" t="n">
        <v>252</v>
      </c>
      <c r="B253" s="55" t="s">
        <v>3328</v>
      </c>
      <c r="C253" s="55" t="str">
        <f aca="false">IF(02_Almuerzos!B161="","",02_Almuerzos!B161)</f>
        <v>Pescados</v>
      </c>
      <c r="D253" s="56" t="str">
        <f aca="false">IF(02_Almuerzos!C161="","",02_Almuerzos!C161)</f>
        <v>Pescado a la macho</v>
      </c>
      <c r="E253" s="56" t="str">
        <f aca="false">IF(02_Almuerzos!D161="","",02_Almuerzos!D161)</f>
        <v>Pescado con salsa de mariscos</v>
      </c>
      <c r="F253" s="56" t="str">
        <f aca="false">IF(02_Almuerzos!E161="","",02_Almuerzos!E161)</f>
        <v>pescado, mariscos, tomate, cebolla, ají panca, vino</v>
      </c>
      <c r="G253" s="55" t="str">
        <f aca="false">IF(02_Almuerzos!F161="","",02_Almuerzos!F161)</f>
        <v>Plato</v>
      </c>
      <c r="H253" s="55" t="str">
        <f aca="false">IF(02_Almuerzos!G161="","",02_Almuerzos!G161)</f>
        <v>Medio</v>
      </c>
      <c r="I253" s="58" t="n">
        <f aca="false">IF(02_Almuerzos!H161="","",02_Almuerzos!H161)</f>
        <v>20</v>
      </c>
      <c r="J253" s="58" t="n">
        <f aca="false">IF(02_Almuerzos!I161="","",02_Almuerzos!I161)</f>
        <v>35</v>
      </c>
      <c r="K253" s="58" t="n">
        <f aca="false">IF(02_Almuerzos!J161="","",02_Almuerzos!J161)</f>
        <v>27.5</v>
      </c>
      <c r="L253" s="58" t="n">
        <f aca="false">IF(02_Almuerzos!L161="","",02_Almuerzos!L161)</f>
        <v>28.5</v>
      </c>
      <c r="M253" s="58" t="n">
        <f aca="false">IF(02_Almuerzos!N161="","",02_Almuerzos!N161)</f>
        <v>3.03</v>
      </c>
      <c r="N253" s="58" t="n">
        <f aca="false">IF(02_Almuerzos!O161="","",02_Almuerzos!O161)</f>
        <v>24.47</v>
      </c>
      <c r="O253" s="55" t="str">
        <f aca="false">IF(02_Almuerzos!P161="","",02_Almuerzos!P161)</f>
        <v>12:00-16:00</v>
      </c>
      <c r="P253" s="55" t="n">
        <f aca="false">IF(02_Almuerzos!Q161="","",02_Almuerzos!Q161)</f>
        <v>18</v>
      </c>
      <c r="Q253" s="55" t="str">
        <f aca="false">IF(02_Almuerzos!R161="","",02_Almuerzos!R161)</f>
        <v>Alto</v>
      </c>
      <c r="R253" s="55" t="str">
        <f aca="false">IF(02_Almuerzos!S161="","",02_Almuerzos!S161)</f>
        <v>Todo el año</v>
      </c>
      <c r="S253" s="55" t="str">
        <f aca="false">IF(02_Almuerzos!T161="","",02_Almuerzos!T161)</f>
        <v>Cevichería</v>
      </c>
      <c r="T253" s="56" t="str">
        <f aca="false">IF(02_Almuerzos!U161="","",02_Almuerzos!U161)</f>
        <v/>
      </c>
      <c r="U253" s="55" t="n">
        <v>161</v>
      </c>
      <c r="V253" s="55" t="n">
        <f aca="false">IF(AND(OR(LEN(13_Buscador!$C$5)=0,ISNUMBER(SEARCH(13_Buscador!$C$5,$C253&amp;" "&amp;$D253&amp;" "&amp;$E253&amp;" "&amp;$F253&amp;" "&amp;$S253))),OR(13_Buscador!$C$6="Todas las listas",LEN(13_Buscador!$C$6)=0,13_Buscador!$C$6=$B253)),1,0)</f>
        <v>0</v>
      </c>
      <c r="W253" s="55" t="str">
        <f aca="false">IF(V253=1,SUM($V$2:V253),"")</f>
        <v/>
      </c>
    </row>
    <row r="254" customFormat="false" ht="23.25" hidden="false" customHeight="true" outlineLevel="0" collapsed="false">
      <c r="A254" s="55" t="n">
        <v>253</v>
      </c>
      <c r="B254" s="55" t="s">
        <v>3328</v>
      </c>
      <c r="C254" s="55" t="str">
        <f aca="false">IF(02_Almuerzos!B162="","",02_Almuerzos!B162)</f>
        <v>Pescados</v>
      </c>
      <c r="D254" s="56" t="str">
        <f aca="false">IF(02_Almuerzos!C162="","",02_Almuerzos!C162)</f>
        <v>Chicharrón de pescado</v>
      </c>
      <c r="E254" s="56" t="str">
        <f aca="false">IF(02_Almuerzos!D162="","",02_Almuerzos!D162)</f>
        <v>Pescado apanado frito</v>
      </c>
      <c r="F254" s="56" t="str">
        <f aca="false">IF(02_Almuerzos!E162="","",02_Almuerzos!E162)</f>
        <v>trucha o pescado, harina, huevo, ajo, limón, aceite, yuca</v>
      </c>
      <c r="G254" s="55" t="str">
        <f aca="false">IF(02_Almuerzos!F162="","",02_Almuerzos!F162)</f>
        <v>Plato</v>
      </c>
      <c r="H254" s="55" t="str">
        <f aca="false">IF(02_Almuerzos!G162="","",02_Almuerzos!G162)</f>
        <v>Estándar</v>
      </c>
      <c r="I254" s="58" t="n">
        <f aca="false">IF(02_Almuerzos!H162="","",02_Almuerzos!H162)</f>
        <v>14</v>
      </c>
      <c r="J254" s="58" t="n">
        <f aca="false">IF(02_Almuerzos!I162="","",02_Almuerzos!I162)</f>
        <v>25</v>
      </c>
      <c r="K254" s="58" t="n">
        <f aca="false">IF(02_Almuerzos!J162="","",02_Almuerzos!J162)</f>
        <v>19.5</v>
      </c>
      <c r="L254" s="58" t="n">
        <f aca="false">IF(02_Almuerzos!L162="","",02_Almuerzos!L162)</f>
        <v>20.5</v>
      </c>
      <c r="M254" s="58" t="n">
        <f aca="false">IF(02_Almuerzos!N162="","",02_Almuerzos!N162)</f>
        <v>1.76</v>
      </c>
      <c r="N254" s="58" t="n">
        <f aca="false">IF(02_Almuerzos!O162="","",02_Almuerzos!O162)</f>
        <v>17.74</v>
      </c>
      <c r="O254" s="55" t="str">
        <f aca="false">IF(02_Almuerzos!P162="","",02_Almuerzos!P162)</f>
        <v>12:00-16:00</v>
      </c>
      <c r="P254" s="55" t="n">
        <f aca="false">IF(02_Almuerzos!Q162="","",02_Almuerzos!Q162)</f>
        <v>14</v>
      </c>
      <c r="Q254" s="55" t="str">
        <f aca="false">IF(02_Almuerzos!R162="","",02_Almuerzos!R162)</f>
        <v>Medio</v>
      </c>
      <c r="R254" s="55" t="str">
        <f aca="false">IF(02_Almuerzos!S162="","",02_Almuerzos!S162)</f>
        <v>Todo el año</v>
      </c>
      <c r="S254" s="55" t="str">
        <f aca="false">IF(02_Almuerzos!T162="","",02_Almuerzos!T162)</f>
        <v>Cevichería</v>
      </c>
      <c r="T254" s="56" t="str">
        <f aca="false">IF(02_Almuerzos!U162="","",02_Almuerzos!U162)</f>
        <v/>
      </c>
      <c r="U254" s="55" t="n">
        <v>162</v>
      </c>
      <c r="V254" s="55" t="n">
        <f aca="false">IF(AND(OR(LEN(13_Buscador!$C$5)=0,ISNUMBER(SEARCH(13_Buscador!$C$5,$C254&amp;" "&amp;$D254&amp;" "&amp;$E254&amp;" "&amp;$F254&amp;" "&amp;$S254))),OR(13_Buscador!$C$6="Todas las listas",LEN(13_Buscador!$C$6)=0,13_Buscador!$C$6=$B254)),1,0)</f>
        <v>0</v>
      </c>
      <c r="W254" s="55" t="str">
        <f aca="false">IF(V254=1,SUM($V$2:V254),"")</f>
        <v/>
      </c>
    </row>
    <row r="255" customFormat="false" ht="23.25" hidden="false" customHeight="true" outlineLevel="0" collapsed="false">
      <c r="A255" s="55" t="n">
        <v>254</v>
      </c>
      <c r="B255" s="55" t="s">
        <v>3328</v>
      </c>
      <c r="C255" s="55" t="str">
        <f aca="false">IF(02_Almuerzos!B163="","",02_Almuerzos!B163)</f>
        <v>Pescados</v>
      </c>
      <c r="D255" s="56" t="str">
        <f aca="false">IF(02_Almuerzos!C163="","",02_Almuerzos!C163)</f>
        <v>Tiradito de trucha</v>
      </c>
      <c r="E255" s="56" t="str">
        <f aca="false">IF(02_Almuerzos!D163="","",02_Almuerzos!D163)</f>
        <v>Láminas de trucha en salsa</v>
      </c>
      <c r="F255" s="56" t="str">
        <f aca="false">IF(02_Almuerzos!E163="","",02_Almuerzos!E163)</f>
        <v>trucha del lago Titicaca, sal, limón, harina o hierbas, guarnición de papa o arroz</v>
      </c>
      <c r="G255" s="55" t="str">
        <f aca="false">IF(02_Almuerzos!F163="","",02_Almuerzos!F163)</f>
        <v>Plato</v>
      </c>
      <c r="H255" s="55" t="str">
        <f aca="false">IF(02_Almuerzos!G163="","",02_Almuerzos!G163)</f>
        <v>Medio</v>
      </c>
      <c r="I255" s="58" t="n">
        <f aca="false">IF(02_Almuerzos!H163="","",02_Almuerzos!H163)</f>
        <v>16</v>
      </c>
      <c r="J255" s="58" t="n">
        <f aca="false">IF(02_Almuerzos!I163="","",02_Almuerzos!I163)</f>
        <v>30</v>
      </c>
      <c r="K255" s="58" t="n">
        <f aca="false">IF(02_Almuerzos!J163="","",02_Almuerzos!J163)</f>
        <v>23</v>
      </c>
      <c r="L255" s="58" t="n">
        <f aca="false">IF(02_Almuerzos!L163="","",02_Almuerzos!L163)</f>
        <v>24</v>
      </c>
      <c r="M255" s="58" t="n">
        <f aca="false">IF(02_Almuerzos!N163="","",02_Almuerzos!N163)</f>
        <v>2.53</v>
      </c>
      <c r="N255" s="58" t="n">
        <f aca="false">IF(02_Almuerzos!O163="","",02_Almuerzos!O163)</f>
        <v>20.47</v>
      </c>
      <c r="O255" s="55" t="str">
        <f aca="false">IF(02_Almuerzos!P163="","",02_Almuerzos!P163)</f>
        <v>11:00-16:00</v>
      </c>
      <c r="P255" s="55" t="n">
        <f aca="false">IF(02_Almuerzos!Q163="","",02_Almuerzos!Q163)</f>
        <v>12</v>
      </c>
      <c r="Q255" s="55" t="str">
        <f aca="false">IF(02_Almuerzos!R163="","",02_Almuerzos!R163)</f>
        <v>Bajo</v>
      </c>
      <c r="R255" s="55" t="str">
        <f aca="false">IF(02_Almuerzos!S163="","",02_Almuerzos!S163)</f>
        <v>Todo el año</v>
      </c>
      <c r="S255" s="55" t="str">
        <f aca="false">IF(02_Almuerzos!T163="","",02_Almuerzos!T163)</f>
        <v>Cevichería</v>
      </c>
      <c r="T255" s="56" t="str">
        <f aca="false">IF(02_Almuerzos!U163="","",02_Almuerzos!U163)</f>
        <v/>
      </c>
      <c r="U255" s="55" t="n">
        <v>163</v>
      </c>
      <c r="V255" s="55" t="n">
        <f aca="false">IF(AND(OR(LEN(13_Buscador!$C$5)=0,ISNUMBER(SEARCH(13_Buscador!$C$5,$C255&amp;" "&amp;$D255&amp;" "&amp;$E255&amp;" "&amp;$F255&amp;" "&amp;$S255))),OR(13_Buscador!$C$6="Todas las listas",LEN(13_Buscador!$C$6)=0,13_Buscador!$C$6=$B255)),1,0)</f>
        <v>0</v>
      </c>
      <c r="W255" s="55" t="str">
        <f aca="false">IF(V255=1,SUM($V$2:V255),"")</f>
        <v/>
      </c>
    </row>
    <row r="256" customFormat="false" ht="15" hidden="false" customHeight="true" outlineLevel="0" collapsed="false">
      <c r="A256" s="55" t="n">
        <v>255</v>
      </c>
      <c r="B256" s="55" t="s">
        <v>3328</v>
      </c>
      <c r="C256" s="55" t="str">
        <f aca="false">IF(02_Almuerzos!B164="","",02_Almuerzos!B164)</f>
        <v>Vegetariano</v>
      </c>
      <c r="D256" s="56" t="str">
        <f aca="false">IF(02_Almuerzos!C164="","",02_Almuerzos!C164)</f>
        <v>Hamburguesa de quinua</v>
      </c>
      <c r="E256" s="56" t="str">
        <f aca="false">IF(02_Almuerzos!D164="","",02_Almuerzos!D164)</f>
        <v>Con papas o ensalada</v>
      </c>
      <c r="F256" s="56" t="str">
        <f aca="false">IF(02_Almuerzos!E164="","",02_Almuerzos!E164)</f>
        <v>quinua, huevo, avena, cebolla, especias, pan</v>
      </c>
      <c r="G256" s="55" t="str">
        <f aca="false">IF(02_Almuerzos!F164="","",02_Almuerzos!F164)</f>
        <v>Plato</v>
      </c>
      <c r="H256" s="55" t="str">
        <f aca="false">IF(02_Almuerzos!G164="","",02_Almuerzos!G164)</f>
        <v>Estándar</v>
      </c>
      <c r="I256" s="58" t="n">
        <f aca="false">IF(02_Almuerzos!H164="","",02_Almuerzos!H164)</f>
        <v>9</v>
      </c>
      <c r="J256" s="58" t="n">
        <f aca="false">IF(02_Almuerzos!I164="","",02_Almuerzos!I164)</f>
        <v>16</v>
      </c>
      <c r="K256" s="58" t="n">
        <f aca="false">IF(02_Almuerzos!J164="","",02_Almuerzos!J164)</f>
        <v>12.5</v>
      </c>
      <c r="L256" s="58" t="n">
        <f aca="false">IF(02_Almuerzos!L164="","",02_Almuerzos!L164)</f>
        <v>13.5</v>
      </c>
      <c r="M256" s="58" t="n">
        <f aca="false">IF(02_Almuerzos!N164="","",02_Almuerzos!N164)</f>
        <v>1.13</v>
      </c>
      <c r="N256" s="58" t="n">
        <f aca="false">IF(02_Almuerzos!O164="","",02_Almuerzos!O164)</f>
        <v>11.37</v>
      </c>
      <c r="O256" s="55" t="str">
        <f aca="false">IF(02_Almuerzos!P164="","",02_Almuerzos!P164)</f>
        <v>12:00-15:00</v>
      </c>
      <c r="P256" s="55" t="n">
        <f aca="false">IF(02_Almuerzos!Q164="","",02_Almuerzos!Q164)</f>
        <v>12</v>
      </c>
      <c r="Q256" s="55" t="str">
        <f aca="false">IF(02_Almuerzos!R164="","",02_Almuerzos!R164)</f>
        <v>Alto</v>
      </c>
      <c r="R256" s="55" t="str">
        <f aca="false">IF(02_Almuerzos!S164="","",02_Almuerzos!S164)</f>
        <v>Todo el año</v>
      </c>
      <c r="S256" s="55" t="str">
        <f aca="false">IF(02_Almuerzos!T164="","",02_Almuerzos!T164)</f>
        <v>Vegetariano, regional</v>
      </c>
      <c r="T256" s="56" t="str">
        <f aca="false">IF(02_Almuerzos!U164="","",02_Almuerzos!U164)</f>
        <v>Producto con identidad puneña</v>
      </c>
      <c r="U256" s="55" t="n">
        <v>164</v>
      </c>
      <c r="V256" s="55" t="n">
        <f aca="false">IF(AND(OR(LEN(13_Buscador!$C$5)=0,ISNUMBER(SEARCH(13_Buscador!$C$5,$C256&amp;" "&amp;$D256&amp;" "&amp;$E256&amp;" "&amp;$F256&amp;" "&amp;$S256))),OR(13_Buscador!$C$6="Todas las listas",LEN(13_Buscador!$C$6)=0,13_Buscador!$C$6=$B256)),1,0)</f>
        <v>0</v>
      </c>
      <c r="W256" s="55" t="str">
        <f aca="false">IF(V256=1,SUM($V$2:V256),"")</f>
        <v/>
      </c>
    </row>
    <row r="257" customFormat="false" ht="15" hidden="false" customHeight="true" outlineLevel="0" collapsed="false">
      <c r="A257" s="55" t="n">
        <v>256</v>
      </c>
      <c r="B257" s="55" t="s">
        <v>3328</v>
      </c>
      <c r="C257" s="55" t="str">
        <f aca="false">IF(02_Almuerzos!B165="","",02_Almuerzos!B165)</f>
        <v>Vegetariano</v>
      </c>
      <c r="D257" s="56" t="str">
        <f aca="false">IF(02_Almuerzos!C165="","",02_Almuerzos!C165)</f>
        <v>Pastel de verduras</v>
      </c>
      <c r="E257" s="56" t="str">
        <f aca="false">IF(02_Almuerzos!D165="","",02_Almuerzos!D165)</f>
        <v>Horneado de verduras y queso</v>
      </c>
      <c r="F257" s="56" t="str">
        <f aca="false">IF(02_Almuerzos!E165="","",02_Almuerzos!E165)</f>
        <v>verduras, queso, huevo, leche</v>
      </c>
      <c r="G257" s="55" t="str">
        <f aca="false">IF(02_Almuerzos!F165="","",02_Almuerzos!F165)</f>
        <v>Porción</v>
      </c>
      <c r="H257" s="55" t="str">
        <f aca="false">IF(02_Almuerzos!G165="","",02_Almuerzos!G165)</f>
        <v>Estándar</v>
      </c>
      <c r="I257" s="58" t="n">
        <f aca="false">IF(02_Almuerzos!H165="","",02_Almuerzos!H165)</f>
        <v>9</v>
      </c>
      <c r="J257" s="58" t="n">
        <f aca="false">IF(02_Almuerzos!I165="","",02_Almuerzos!I165)</f>
        <v>16</v>
      </c>
      <c r="K257" s="58" t="n">
        <f aca="false">IF(02_Almuerzos!J165="","",02_Almuerzos!J165)</f>
        <v>12.5</v>
      </c>
      <c r="L257" s="58" t="n">
        <f aca="false">IF(02_Almuerzos!L165="","",02_Almuerzos!L165)</f>
        <v>13.5</v>
      </c>
      <c r="M257" s="58" t="n">
        <f aca="false">IF(02_Almuerzos!N165="","",02_Almuerzos!N165)</f>
        <v>1.13</v>
      </c>
      <c r="N257" s="58" t="n">
        <f aca="false">IF(02_Almuerzos!O165="","",02_Almuerzos!O165)</f>
        <v>11.37</v>
      </c>
      <c r="O257" s="55" t="str">
        <f aca="false">IF(02_Almuerzos!P165="","",02_Almuerzos!P165)</f>
        <v>12:00-15:00</v>
      </c>
      <c r="P257" s="55" t="n">
        <f aca="false">IF(02_Almuerzos!Q165="","",02_Almuerzos!Q165)</f>
        <v>12</v>
      </c>
      <c r="Q257" s="55" t="str">
        <f aca="false">IF(02_Almuerzos!R165="","",02_Almuerzos!R165)</f>
        <v>Alto</v>
      </c>
      <c r="R257" s="55" t="str">
        <f aca="false">IF(02_Almuerzos!S165="","",02_Almuerzos!S165)</f>
        <v>Todo el año</v>
      </c>
      <c r="S257" s="55" t="str">
        <f aca="false">IF(02_Almuerzos!T165="","",02_Almuerzos!T165)</f>
        <v>Vegetariano</v>
      </c>
      <c r="T257" s="56" t="str">
        <f aca="false">IF(02_Almuerzos!U165="","",02_Almuerzos!U165)</f>
        <v/>
      </c>
      <c r="U257" s="55" t="n">
        <v>165</v>
      </c>
      <c r="V257" s="55" t="n">
        <f aca="false">IF(AND(OR(LEN(13_Buscador!$C$5)=0,ISNUMBER(SEARCH(13_Buscador!$C$5,$C257&amp;" "&amp;$D257&amp;" "&amp;$E257&amp;" "&amp;$F257&amp;" "&amp;$S257))),OR(13_Buscador!$C$6="Todas las listas",LEN(13_Buscador!$C$6)=0,13_Buscador!$C$6=$B257)),1,0)</f>
        <v>0</v>
      </c>
      <c r="W257" s="55" t="str">
        <f aca="false">IF(V257=1,SUM($V$2:V257),"")</f>
        <v/>
      </c>
    </row>
    <row r="258" customFormat="false" ht="15" hidden="false" customHeight="true" outlineLevel="0" collapsed="false">
      <c r="A258" s="55" t="n">
        <v>257</v>
      </c>
      <c r="B258" s="55" t="s">
        <v>3328</v>
      </c>
      <c r="C258" s="55" t="str">
        <f aca="false">IF(02_Almuerzos!B166="","",02_Almuerzos!B166)</f>
        <v>Vegetariano</v>
      </c>
      <c r="D258" s="56" t="str">
        <f aca="false">IF(02_Almuerzos!C166="","",02_Almuerzos!C166)</f>
        <v>Guiso de garbanzos</v>
      </c>
      <c r="E258" s="56" t="str">
        <f aca="false">IF(02_Almuerzos!D166="","",02_Almuerzos!D166)</f>
        <v>Garbanzo con arroz</v>
      </c>
      <c r="F258" s="56" t="str">
        <f aca="false">IF(02_Almuerzos!E166="","",02_Almuerzos!E166)</f>
        <v>legumbre, cebolla, ajo, arroz</v>
      </c>
      <c r="G258" s="55" t="str">
        <f aca="false">IF(02_Almuerzos!F166="","",02_Almuerzos!F166)</f>
        <v>Plato</v>
      </c>
      <c r="H258" s="55" t="str">
        <f aca="false">IF(02_Almuerzos!G166="","",02_Almuerzos!G166)</f>
        <v>Económico</v>
      </c>
      <c r="I258" s="58" t="n">
        <f aca="false">IF(02_Almuerzos!H166="","",02_Almuerzos!H166)</f>
        <v>8</v>
      </c>
      <c r="J258" s="58" t="n">
        <f aca="false">IF(02_Almuerzos!I166="","",02_Almuerzos!I166)</f>
        <v>14</v>
      </c>
      <c r="K258" s="58" t="n">
        <f aca="false">IF(02_Almuerzos!J166="","",02_Almuerzos!J166)</f>
        <v>11</v>
      </c>
      <c r="L258" s="58" t="n">
        <f aca="false">IF(02_Almuerzos!L166="","",02_Almuerzos!L166)</f>
        <v>12</v>
      </c>
      <c r="M258" s="58" t="n">
        <f aca="false">IF(02_Almuerzos!N166="","",02_Almuerzos!N166)</f>
        <v>0.77</v>
      </c>
      <c r="N258" s="58" t="n">
        <f aca="false">IF(02_Almuerzos!O166="","",02_Almuerzos!O166)</f>
        <v>10.23</v>
      </c>
      <c r="O258" s="55" t="str">
        <f aca="false">IF(02_Almuerzos!P166="","",02_Almuerzos!P166)</f>
        <v>12:00-15:00</v>
      </c>
      <c r="P258" s="55" t="n">
        <f aca="false">IF(02_Almuerzos!Q166="","",02_Almuerzos!Q166)</f>
        <v>12</v>
      </c>
      <c r="Q258" s="55" t="str">
        <f aca="false">IF(02_Almuerzos!R166="","",02_Almuerzos!R166)</f>
        <v>Alto</v>
      </c>
      <c r="R258" s="55" t="str">
        <f aca="false">IF(02_Almuerzos!S166="","",02_Almuerzos!S166)</f>
        <v>Todo el año</v>
      </c>
      <c r="S258" s="55" t="str">
        <f aca="false">IF(02_Almuerzos!T166="","",02_Almuerzos!T166)</f>
        <v>Vegetariano</v>
      </c>
      <c r="T258" s="56" t="str">
        <f aca="false">IF(02_Almuerzos!U166="","",02_Almuerzos!U166)</f>
        <v/>
      </c>
      <c r="U258" s="55" t="n">
        <v>166</v>
      </c>
      <c r="V258" s="55" t="n">
        <f aca="false">IF(AND(OR(LEN(13_Buscador!$C$5)=0,ISNUMBER(SEARCH(13_Buscador!$C$5,$C258&amp;" "&amp;$D258&amp;" "&amp;$E258&amp;" "&amp;$F258&amp;" "&amp;$S258))),OR(13_Buscador!$C$6="Todas las listas",LEN(13_Buscador!$C$6)=0,13_Buscador!$C$6=$B258)),1,0)</f>
        <v>0</v>
      </c>
      <c r="W258" s="55" t="str">
        <f aca="false">IF(V258=1,SUM($V$2:V258),"")</f>
        <v/>
      </c>
    </row>
    <row r="259" customFormat="false" ht="23.25" hidden="false" customHeight="true" outlineLevel="0" collapsed="false">
      <c r="A259" s="55" t="n">
        <v>258</v>
      </c>
      <c r="B259" s="55" t="s">
        <v>3328</v>
      </c>
      <c r="C259" s="55" t="str">
        <f aca="false">IF(02_Almuerzos!B167="","",02_Almuerzos!B167)</f>
        <v>Vegetariano</v>
      </c>
      <c r="D259" s="56" t="str">
        <f aca="false">IF(02_Almuerzos!C167="","",02_Almuerzos!C167)</f>
        <v>Seco de soya</v>
      </c>
      <c r="E259" s="56" t="str">
        <f aca="false">IF(02_Almuerzos!D167="","",02_Almuerzos!D167)</f>
        <v>Soya guisada con frejol</v>
      </c>
      <c r="F259" s="56" t="str">
        <f aca="false">IF(02_Almuerzos!E167="","",02_Almuerzos!E167)</f>
        <v>carne o soya, culantro, ají amarillo, chicha de jora, zanahoria, arveja, frejol, arroz</v>
      </c>
      <c r="G259" s="55" t="str">
        <f aca="false">IF(02_Almuerzos!F167="","",02_Almuerzos!F167)</f>
        <v>Plato</v>
      </c>
      <c r="H259" s="55" t="str">
        <f aca="false">IF(02_Almuerzos!G167="","",02_Almuerzos!G167)</f>
        <v>Estándar</v>
      </c>
      <c r="I259" s="58" t="n">
        <f aca="false">IF(02_Almuerzos!H167="","",02_Almuerzos!H167)</f>
        <v>9</v>
      </c>
      <c r="J259" s="58" t="n">
        <f aca="false">IF(02_Almuerzos!I167="","",02_Almuerzos!I167)</f>
        <v>16</v>
      </c>
      <c r="K259" s="58" t="n">
        <f aca="false">IF(02_Almuerzos!J167="","",02_Almuerzos!J167)</f>
        <v>12.5</v>
      </c>
      <c r="L259" s="58" t="n">
        <f aca="false">IF(02_Almuerzos!L167="","",02_Almuerzos!L167)</f>
        <v>13.5</v>
      </c>
      <c r="M259" s="58" t="n">
        <f aca="false">IF(02_Almuerzos!N167="","",02_Almuerzos!N167)</f>
        <v>1.13</v>
      </c>
      <c r="N259" s="58" t="n">
        <f aca="false">IF(02_Almuerzos!O167="","",02_Almuerzos!O167)</f>
        <v>11.37</v>
      </c>
      <c r="O259" s="55" t="str">
        <f aca="false">IF(02_Almuerzos!P167="","",02_Almuerzos!P167)</f>
        <v>12:00-15:00</v>
      </c>
      <c r="P259" s="55" t="n">
        <f aca="false">IF(02_Almuerzos!Q167="","",02_Almuerzos!Q167)</f>
        <v>12</v>
      </c>
      <c r="Q259" s="55" t="str">
        <f aca="false">IF(02_Almuerzos!R167="","",02_Almuerzos!R167)</f>
        <v>Alto</v>
      </c>
      <c r="R259" s="55" t="str">
        <f aca="false">IF(02_Almuerzos!S167="","",02_Almuerzos!S167)</f>
        <v>Todo el año</v>
      </c>
      <c r="S259" s="55" t="str">
        <f aca="false">IF(02_Almuerzos!T167="","",02_Almuerzos!T167)</f>
        <v>Vegetariano</v>
      </c>
      <c r="T259" s="56" t="str">
        <f aca="false">IF(02_Almuerzos!U167="","",02_Almuerzos!U167)</f>
        <v/>
      </c>
      <c r="U259" s="55" t="n">
        <v>167</v>
      </c>
      <c r="V259" s="55" t="n">
        <f aca="false">IF(AND(OR(LEN(13_Buscador!$C$5)=0,ISNUMBER(SEARCH(13_Buscador!$C$5,$C259&amp;" "&amp;$D259&amp;" "&amp;$E259&amp;" "&amp;$F259&amp;" "&amp;$S259))),OR(13_Buscador!$C$6="Todas las listas",LEN(13_Buscador!$C$6)=0,13_Buscador!$C$6=$B259)),1,0)</f>
        <v>0</v>
      </c>
      <c r="W259" s="55" t="str">
        <f aca="false">IF(V259=1,SUM($V$2:V259),"")</f>
        <v/>
      </c>
    </row>
    <row r="260" customFormat="false" ht="15" hidden="false" customHeight="true" outlineLevel="0" collapsed="false">
      <c r="A260" s="55" t="n">
        <v>259</v>
      </c>
      <c r="B260" s="55" t="s">
        <v>3328</v>
      </c>
      <c r="C260" s="55" t="str">
        <f aca="false">IF(02_Almuerzos!B168="","",02_Almuerzos!B168)</f>
        <v>Vegetariano</v>
      </c>
      <c r="D260" s="56" t="str">
        <f aca="false">IF(02_Almuerzos!C168="","",02_Almuerzos!C168)</f>
        <v>Wok de verduras</v>
      </c>
      <c r="E260" s="56" t="str">
        <f aca="false">IF(02_Almuerzos!D168="","",02_Almuerzos!D168)</f>
        <v>Verduras salteadas con arroz</v>
      </c>
      <c r="F260" s="56" t="str">
        <f aca="false">IF(02_Almuerzos!E168="","",02_Almuerzos!E168)</f>
        <v>verduras de estación, sillao, aceite de ajonjolí, arroz</v>
      </c>
      <c r="G260" s="55" t="str">
        <f aca="false">IF(02_Almuerzos!F168="","",02_Almuerzos!F168)</f>
        <v>Plato</v>
      </c>
      <c r="H260" s="55" t="str">
        <f aca="false">IF(02_Almuerzos!G168="","",02_Almuerzos!G168)</f>
        <v>Estándar</v>
      </c>
      <c r="I260" s="58" t="n">
        <f aca="false">IF(02_Almuerzos!H168="","",02_Almuerzos!H168)</f>
        <v>10</v>
      </c>
      <c r="J260" s="58" t="n">
        <f aca="false">IF(02_Almuerzos!I168="","",02_Almuerzos!I168)</f>
        <v>18</v>
      </c>
      <c r="K260" s="58" t="n">
        <f aca="false">IF(02_Almuerzos!J168="","",02_Almuerzos!J168)</f>
        <v>14</v>
      </c>
      <c r="L260" s="58" t="n">
        <f aca="false">IF(02_Almuerzos!L168="","",02_Almuerzos!L168)</f>
        <v>15</v>
      </c>
      <c r="M260" s="58" t="n">
        <f aca="false">IF(02_Almuerzos!N168="","",02_Almuerzos!N168)</f>
        <v>1.26</v>
      </c>
      <c r="N260" s="58" t="n">
        <f aca="false">IF(02_Almuerzos!O168="","",02_Almuerzos!O168)</f>
        <v>12.74</v>
      </c>
      <c r="O260" s="55" t="str">
        <f aca="false">IF(02_Almuerzos!P168="","",02_Almuerzos!P168)</f>
        <v>12:00-15:00</v>
      </c>
      <c r="P260" s="55" t="n">
        <f aca="false">IF(02_Almuerzos!Q168="","",02_Almuerzos!Q168)</f>
        <v>10</v>
      </c>
      <c r="Q260" s="55" t="str">
        <f aca="false">IF(02_Almuerzos!R168="","",02_Almuerzos!R168)</f>
        <v>Alto</v>
      </c>
      <c r="R260" s="55" t="str">
        <f aca="false">IF(02_Almuerzos!S168="","",02_Almuerzos!S168)</f>
        <v>Todo el año</v>
      </c>
      <c r="S260" s="55" t="str">
        <f aca="false">IF(02_Almuerzos!T168="","",02_Almuerzos!T168)</f>
        <v>Vegetariano, chifa</v>
      </c>
      <c r="T260" s="56" t="str">
        <f aca="false">IF(02_Almuerzos!U168="","",02_Almuerzos!U168)</f>
        <v/>
      </c>
      <c r="U260" s="55" t="n">
        <v>168</v>
      </c>
      <c r="V260" s="55" t="n">
        <f aca="false">IF(AND(OR(LEN(13_Buscador!$C$5)=0,ISNUMBER(SEARCH(13_Buscador!$C$5,$C260&amp;" "&amp;$D260&amp;" "&amp;$E260&amp;" "&amp;$F260&amp;" "&amp;$S260))),OR(13_Buscador!$C$6="Todas las listas",LEN(13_Buscador!$C$6)=0,13_Buscador!$C$6=$B260)),1,0)</f>
        <v>0</v>
      </c>
      <c r="W260" s="55" t="str">
        <f aca="false">IF(V260=1,SUM($V$2:V260),"")</f>
        <v/>
      </c>
    </row>
    <row r="261" customFormat="false" ht="23.25" hidden="false" customHeight="true" outlineLevel="0" collapsed="false">
      <c r="A261" s="55" t="n">
        <v>260</v>
      </c>
      <c r="B261" s="55" t="s">
        <v>3328</v>
      </c>
      <c r="C261" s="55" t="str">
        <f aca="false">IF(02_Almuerzos!B169="","",02_Almuerzos!B169)</f>
        <v>Acompañamientos</v>
      </c>
      <c r="D261" s="56" t="str">
        <f aca="false">IF(02_Almuerzos!C169="","",02_Almuerzos!C169)</f>
        <v>Porción de papa a la huancaína</v>
      </c>
      <c r="E261" s="56" t="str">
        <f aca="false">IF(02_Almuerzos!D169="","",02_Almuerzos!D169)</f>
        <v>Entrada clásica</v>
      </c>
      <c r="F261" s="56" t="str">
        <f aca="false">IF(02_Almuerzos!E169="","",02_Almuerzos!E169)</f>
        <v>papa, ají amarillo, queso fresco, leche, galleta, huevo, aceituna</v>
      </c>
      <c r="G261" s="55" t="str">
        <f aca="false">IF(02_Almuerzos!F169="","",02_Almuerzos!F169)</f>
        <v>Porción</v>
      </c>
      <c r="H261" s="55" t="str">
        <f aca="false">IF(02_Almuerzos!G169="","",02_Almuerzos!G169)</f>
        <v>Económico</v>
      </c>
      <c r="I261" s="58" t="n">
        <f aca="false">IF(02_Almuerzos!H169="","",02_Almuerzos!H169)</f>
        <v>5</v>
      </c>
      <c r="J261" s="58" t="n">
        <f aca="false">IF(02_Almuerzos!I169="","",02_Almuerzos!I169)</f>
        <v>11</v>
      </c>
      <c r="K261" s="58" t="n">
        <f aca="false">IF(02_Almuerzos!J169="","",02_Almuerzos!J169)</f>
        <v>8</v>
      </c>
      <c r="L261" s="58" t="n">
        <f aca="false">IF(02_Almuerzos!L169="","",02_Almuerzos!L169)</f>
        <v>9</v>
      </c>
      <c r="M261" s="58" t="n">
        <f aca="false">IF(02_Almuerzos!N169="","",02_Almuerzos!N169)</f>
        <v>0.56</v>
      </c>
      <c r="N261" s="58" t="n">
        <f aca="false">IF(02_Almuerzos!O169="","",02_Almuerzos!O169)</f>
        <v>7.44</v>
      </c>
      <c r="O261" s="55" t="str">
        <f aca="false">IF(02_Almuerzos!P169="","",02_Almuerzos!P169)</f>
        <v>12:00-16:00</v>
      </c>
      <c r="P261" s="55" t="n">
        <f aca="false">IF(02_Almuerzos!Q169="","",02_Almuerzos!Q169)</f>
        <v>5</v>
      </c>
      <c r="Q261" s="55" t="str">
        <f aca="false">IF(02_Almuerzos!R169="","",02_Almuerzos!R169)</f>
        <v>Alto</v>
      </c>
      <c r="R261" s="55" t="str">
        <f aca="false">IF(02_Almuerzos!S169="","",02_Almuerzos!S169)</f>
        <v>Todo el año</v>
      </c>
      <c r="S261" s="55" t="str">
        <f aca="false">IF(02_Almuerzos!T169="","",02_Almuerzos!T169)</f>
        <v>Menú, restaurante</v>
      </c>
      <c r="T261" s="56" t="str">
        <f aca="false">IF(02_Almuerzos!U169="","",02_Almuerzos!U169)</f>
        <v/>
      </c>
      <c r="U261" s="55" t="n">
        <v>169</v>
      </c>
      <c r="V261" s="55" t="n">
        <f aca="false">IF(AND(OR(LEN(13_Buscador!$C$5)=0,ISNUMBER(SEARCH(13_Buscador!$C$5,$C261&amp;" "&amp;$D261&amp;" "&amp;$E261&amp;" "&amp;$F261&amp;" "&amp;$S261))),OR(13_Buscador!$C$6="Todas las listas",LEN(13_Buscador!$C$6)=0,13_Buscador!$C$6=$B261)),1,0)</f>
        <v>0</v>
      </c>
      <c r="W261" s="55" t="str">
        <f aca="false">IF(V261=1,SUM($V$2:V261),"")</f>
        <v/>
      </c>
    </row>
    <row r="262" customFormat="false" ht="15" hidden="false" customHeight="true" outlineLevel="0" collapsed="false">
      <c r="A262" s="55" t="n">
        <v>261</v>
      </c>
      <c r="B262" s="55" t="s">
        <v>3328</v>
      </c>
      <c r="C262" s="55" t="str">
        <f aca="false">IF(02_Almuerzos!B170="","",02_Almuerzos!B170)</f>
        <v>Acompañamientos</v>
      </c>
      <c r="D262" s="56" t="str">
        <f aca="false">IF(02_Almuerzos!C170="","",02_Almuerzos!C170)</f>
        <v>Porción de ensalada rusa</v>
      </c>
      <c r="E262" s="56" t="str">
        <f aca="false">IF(02_Almuerzos!D170="","",02_Almuerzos!D170)</f>
        <v>Ensalada de papa y verduras</v>
      </c>
      <c r="F262" s="56" t="str">
        <f aca="false">IF(02_Almuerzos!E170="","",02_Almuerzos!E170)</f>
        <v>papa, zanahoria, arveja, mayonesa</v>
      </c>
      <c r="G262" s="55" t="str">
        <f aca="false">IF(02_Almuerzos!F170="","",02_Almuerzos!F170)</f>
        <v>Porción</v>
      </c>
      <c r="H262" s="55" t="str">
        <f aca="false">IF(02_Almuerzos!G170="","",02_Almuerzos!G170)</f>
        <v>Económico</v>
      </c>
      <c r="I262" s="58" t="n">
        <f aca="false">IF(02_Almuerzos!H170="","",02_Almuerzos!H170)</f>
        <v>4</v>
      </c>
      <c r="J262" s="58" t="n">
        <f aca="false">IF(02_Almuerzos!I170="","",02_Almuerzos!I170)</f>
        <v>9</v>
      </c>
      <c r="K262" s="58" t="n">
        <f aca="false">IF(02_Almuerzos!J170="","",02_Almuerzos!J170)</f>
        <v>6.5</v>
      </c>
      <c r="L262" s="58" t="n">
        <f aca="false">IF(02_Almuerzos!L170="","",02_Almuerzos!L170)</f>
        <v>7.5</v>
      </c>
      <c r="M262" s="58" t="n">
        <f aca="false">IF(02_Almuerzos!N170="","",02_Almuerzos!N170)</f>
        <v>0.46</v>
      </c>
      <c r="N262" s="58" t="n">
        <f aca="false">IF(02_Almuerzos!O170="","",02_Almuerzos!O170)</f>
        <v>6.04</v>
      </c>
      <c r="O262" s="55" t="str">
        <f aca="false">IF(02_Almuerzos!P170="","",02_Almuerzos!P170)</f>
        <v>12:00-16:00</v>
      </c>
      <c r="P262" s="55" t="n">
        <f aca="false">IF(02_Almuerzos!Q170="","",02_Almuerzos!Q170)</f>
        <v>4</v>
      </c>
      <c r="Q262" s="55" t="str">
        <f aca="false">IF(02_Almuerzos!R170="","",02_Almuerzos!R170)</f>
        <v>Alto</v>
      </c>
      <c r="R262" s="55" t="str">
        <f aca="false">IF(02_Almuerzos!S170="","",02_Almuerzos!S170)</f>
        <v>Todo el año</v>
      </c>
      <c r="S262" s="55" t="str">
        <f aca="false">IF(02_Almuerzos!T170="","",02_Almuerzos!T170)</f>
        <v>Menú</v>
      </c>
      <c r="T262" s="56" t="str">
        <f aca="false">IF(02_Almuerzos!U170="","",02_Almuerzos!U170)</f>
        <v/>
      </c>
      <c r="U262" s="55" t="n">
        <v>170</v>
      </c>
      <c r="V262" s="55" t="n">
        <f aca="false">IF(AND(OR(LEN(13_Buscador!$C$5)=0,ISNUMBER(SEARCH(13_Buscador!$C$5,$C262&amp;" "&amp;$D262&amp;" "&amp;$E262&amp;" "&amp;$F262&amp;" "&amp;$S262))),OR(13_Buscador!$C$6="Todas las listas",LEN(13_Buscador!$C$6)=0,13_Buscador!$C$6=$B262)),1,0)</f>
        <v>0</v>
      </c>
      <c r="W262" s="55" t="str">
        <f aca="false">IF(V262=1,SUM($V$2:V262),"")</f>
        <v/>
      </c>
    </row>
    <row r="263" customFormat="false" ht="15" hidden="false" customHeight="true" outlineLevel="0" collapsed="false">
      <c r="A263" s="55" t="n">
        <v>262</v>
      </c>
      <c r="B263" s="55" t="s">
        <v>3328</v>
      </c>
      <c r="C263" s="55" t="str">
        <f aca="false">IF(02_Almuerzos!B171="","",02_Almuerzos!B171)</f>
        <v>Acompañamientos</v>
      </c>
      <c r="D263" s="56" t="str">
        <f aca="false">IF(02_Almuerzos!C171="","",02_Almuerzos!C171)</f>
        <v>Porción de camote frito</v>
      </c>
      <c r="E263" s="56" t="str">
        <f aca="false">IF(02_Almuerzos!D171="","",02_Almuerzos!D171)</f>
        <v>Camote frito</v>
      </c>
      <c r="F263" s="56" t="str">
        <f aca="false">IF(02_Almuerzos!E171="","",02_Almuerzos!E171)</f>
        <v>camote, aceite, sal</v>
      </c>
      <c r="G263" s="55" t="str">
        <f aca="false">IF(02_Almuerzos!F171="","",02_Almuerzos!F171)</f>
        <v>Porción</v>
      </c>
      <c r="H263" s="55" t="str">
        <f aca="false">IF(02_Almuerzos!G171="","",02_Almuerzos!G171)</f>
        <v>Económico</v>
      </c>
      <c r="I263" s="58" t="n">
        <f aca="false">IF(02_Almuerzos!H171="","",02_Almuerzos!H171)</f>
        <v>3</v>
      </c>
      <c r="J263" s="58" t="n">
        <f aca="false">IF(02_Almuerzos!I171="","",02_Almuerzos!I171)</f>
        <v>8</v>
      </c>
      <c r="K263" s="58" t="n">
        <f aca="false">IF(02_Almuerzos!J171="","",02_Almuerzos!J171)</f>
        <v>5.5</v>
      </c>
      <c r="L263" s="58" t="n">
        <f aca="false">IF(02_Almuerzos!L171="","",02_Almuerzos!L171)</f>
        <v>6.5</v>
      </c>
      <c r="M263" s="58" t="n">
        <f aca="false">IF(02_Almuerzos!N171="","",02_Almuerzos!N171)</f>
        <v>0.39</v>
      </c>
      <c r="N263" s="58" t="n">
        <f aca="false">IF(02_Almuerzos!O171="","",02_Almuerzos!O171)</f>
        <v>5.11</v>
      </c>
      <c r="O263" s="55" t="str">
        <f aca="false">IF(02_Almuerzos!P171="","",02_Almuerzos!P171)</f>
        <v>12:00-20:00</v>
      </c>
      <c r="P263" s="55" t="n">
        <f aca="false">IF(02_Almuerzos!Q171="","",02_Almuerzos!Q171)</f>
        <v>6</v>
      </c>
      <c r="Q263" s="55" t="str">
        <f aca="false">IF(02_Almuerzos!R171="","",02_Almuerzos!R171)</f>
        <v>Medio</v>
      </c>
      <c r="R263" s="55" t="str">
        <f aca="false">IF(02_Almuerzos!S171="","",02_Almuerzos!S171)</f>
        <v>Todo el año</v>
      </c>
      <c r="S263" s="55" t="str">
        <f aca="false">IF(02_Almuerzos!T171="","",02_Almuerzos!T171)</f>
        <v>Todos</v>
      </c>
      <c r="T263" s="56" t="str">
        <f aca="false">IF(02_Almuerzos!U171="","",02_Almuerzos!U171)</f>
        <v/>
      </c>
      <c r="U263" s="55" t="n">
        <v>171</v>
      </c>
      <c r="V263" s="55" t="n">
        <f aca="false">IF(AND(OR(LEN(13_Buscador!$C$5)=0,ISNUMBER(SEARCH(13_Buscador!$C$5,$C263&amp;" "&amp;$D263&amp;" "&amp;$E263&amp;" "&amp;$F263&amp;" "&amp;$S263))),OR(13_Buscador!$C$6="Todas las listas",LEN(13_Buscador!$C$6)=0,13_Buscador!$C$6=$B263)),1,0)</f>
        <v>0</v>
      </c>
      <c r="W263" s="55" t="str">
        <f aca="false">IF(V263=1,SUM($V$2:V263),"")</f>
        <v/>
      </c>
    </row>
    <row r="264" customFormat="false" ht="15" hidden="false" customHeight="true" outlineLevel="0" collapsed="false">
      <c r="A264" s="55" t="n">
        <v>263</v>
      </c>
      <c r="B264" s="55" t="s">
        <v>3328</v>
      </c>
      <c r="C264" s="55" t="str">
        <f aca="false">IF(02_Almuerzos!B172="","",02_Almuerzos!B172)</f>
        <v>Acompañamientos</v>
      </c>
      <c r="D264" s="56" t="str">
        <f aca="false">IF(02_Almuerzos!C172="","",02_Almuerzos!C172)</f>
        <v>Pan al ajo</v>
      </c>
      <c r="E264" s="56" t="str">
        <f aca="false">IF(02_Almuerzos!D172="","",02_Almuerzos!D172)</f>
        <v>Pan tostado con ajo</v>
      </c>
      <c r="F264" s="56" t="str">
        <f aca="false">IF(02_Almuerzos!E172="","",02_Almuerzos!E172)</f>
        <v>pan, ajo, mantequilla, perejil</v>
      </c>
      <c r="G264" s="55" t="str">
        <f aca="false">IF(02_Almuerzos!F172="","",02_Almuerzos!F172)</f>
        <v>Porción</v>
      </c>
      <c r="H264" s="55" t="str">
        <f aca="false">IF(02_Almuerzos!G172="","",02_Almuerzos!G172)</f>
        <v>Económico</v>
      </c>
      <c r="I264" s="58" t="n">
        <f aca="false">IF(02_Almuerzos!H172="","",02_Almuerzos!H172)</f>
        <v>3</v>
      </c>
      <c r="J264" s="58" t="n">
        <f aca="false">IF(02_Almuerzos!I172="","",02_Almuerzos!I172)</f>
        <v>8</v>
      </c>
      <c r="K264" s="58" t="n">
        <f aca="false">IF(02_Almuerzos!J172="","",02_Almuerzos!J172)</f>
        <v>5.5</v>
      </c>
      <c r="L264" s="58" t="n">
        <f aca="false">IF(02_Almuerzos!L172="","",02_Almuerzos!L172)</f>
        <v>6.5</v>
      </c>
      <c r="M264" s="58" t="n">
        <f aca="false">IF(02_Almuerzos!N172="","",02_Almuerzos!N172)</f>
        <v>0.39</v>
      </c>
      <c r="N264" s="58" t="n">
        <f aca="false">IF(02_Almuerzos!O172="","",02_Almuerzos!O172)</f>
        <v>5.11</v>
      </c>
      <c r="O264" s="55" t="str">
        <f aca="false">IF(02_Almuerzos!P172="","",02_Almuerzos!P172)</f>
        <v>12:00-22:00</v>
      </c>
      <c r="P264" s="55" t="n">
        <f aca="false">IF(02_Almuerzos!Q172="","",02_Almuerzos!Q172)</f>
        <v>6</v>
      </c>
      <c r="Q264" s="55" t="str">
        <f aca="false">IF(02_Almuerzos!R172="","",02_Almuerzos!R172)</f>
        <v>Alto</v>
      </c>
      <c r="R264" s="55" t="str">
        <f aca="false">IF(02_Almuerzos!S172="","",02_Almuerzos!S172)</f>
        <v>Todo el año</v>
      </c>
      <c r="S264" s="55" t="str">
        <f aca="false">IF(02_Almuerzos!T172="","",02_Almuerzos!T172)</f>
        <v>Pizzería, restaurante</v>
      </c>
      <c r="T264" s="56" t="str">
        <f aca="false">IF(02_Almuerzos!U172="","",02_Almuerzos!U172)</f>
        <v/>
      </c>
      <c r="U264" s="55" t="n">
        <v>172</v>
      </c>
      <c r="V264" s="55" t="n">
        <f aca="false">IF(AND(OR(LEN(13_Buscador!$C$5)=0,ISNUMBER(SEARCH(13_Buscador!$C$5,$C264&amp;" "&amp;$D264&amp;" "&amp;$E264&amp;" "&amp;$F264&amp;" "&amp;$S264))),OR(13_Buscador!$C$6="Todas las listas",LEN(13_Buscador!$C$6)=0,13_Buscador!$C$6=$B264)),1,0)</f>
        <v>0</v>
      </c>
      <c r="W264" s="55" t="str">
        <f aca="false">IF(V264=1,SUM($V$2:V264),"")</f>
        <v/>
      </c>
    </row>
    <row r="265" customFormat="false" ht="23.25" hidden="false" customHeight="true" outlineLevel="0" collapsed="false">
      <c r="A265" s="55" t="n">
        <v>264</v>
      </c>
      <c r="B265" s="55" t="s">
        <v>3329</v>
      </c>
      <c r="C265" s="55" t="str">
        <f aca="false">IF(03_Cenas!B2="","",03_Cenas!B2)</f>
        <v>Pollo a la brasa</v>
      </c>
      <c r="D265" s="56" t="str">
        <f aca="false">IF(03_Cenas!C2="","",03_Cenas!C2)</f>
        <v>1/8 de pollo a la brasa</v>
      </c>
      <c r="E265" s="56" t="str">
        <f aca="false">IF(03_Cenas!D2="","",03_Cenas!D2)</f>
        <v>Con papas fritas</v>
      </c>
      <c r="F265" s="56" t="str">
        <f aca="false">IF(03_Cenas!E2="","",03_Cenas!E2)</f>
        <v>pollo entero o en presas, sillao, ají panca, romero, comino, papas fritas, ensalada</v>
      </c>
      <c r="G265" s="55" t="str">
        <f aca="false">IF(03_Cenas!F2="","",03_Cenas!F2)</f>
        <v>Porción</v>
      </c>
      <c r="H265" s="55" t="str">
        <f aca="false">IF(03_Cenas!G2="","",03_Cenas!G2)</f>
        <v>Económico</v>
      </c>
      <c r="I265" s="58" t="n">
        <f aca="false">IF(03_Cenas!H2="","",03_Cenas!H2)</f>
        <v>8</v>
      </c>
      <c r="J265" s="58" t="n">
        <f aca="false">IF(03_Cenas!I2="","",03_Cenas!I2)</f>
        <v>12</v>
      </c>
      <c r="K265" s="58" t="n">
        <f aca="false">IF(03_Cenas!J2="","",03_Cenas!J2)</f>
        <v>10</v>
      </c>
      <c r="L265" s="58" t="n">
        <f aca="false">IF(03_Cenas!L2="","",03_Cenas!L2)</f>
        <v>11</v>
      </c>
      <c r="M265" s="58" t="n">
        <f aca="false">IF(03_Cenas!N2="","",03_Cenas!N2)</f>
        <v>0.7</v>
      </c>
      <c r="N265" s="58" t="n">
        <f aca="false">IF(03_Cenas!O2="","",03_Cenas!O2)</f>
        <v>9.3</v>
      </c>
      <c r="O265" s="55" t="str">
        <f aca="false">IF(03_Cenas!P2="","",03_Cenas!P2)</f>
        <v>18:00-22:00</v>
      </c>
      <c r="P265" s="55" t="n">
        <f aca="false">IF(03_Cenas!Q2="","",03_Cenas!Q2)</f>
        <v>10</v>
      </c>
      <c r="Q265" s="55" t="str">
        <f aca="false">IF(03_Cenas!R2="","",03_Cenas!R2)</f>
        <v>Medio</v>
      </c>
      <c r="R265" s="55" t="str">
        <f aca="false">IF(03_Cenas!S2="","",03_Cenas!S2)</f>
        <v>Todo el año</v>
      </c>
      <c r="S265" s="55" t="str">
        <f aca="false">IF(03_Cenas!T2="","",03_Cenas!T2)</f>
        <v>Pollería</v>
      </c>
      <c r="T265" s="56" t="str">
        <f aca="false">IF(03_Cenas!U2="","",03_Cenas!U2)</f>
        <v>Porción de entrada</v>
      </c>
      <c r="U265" s="55" t="n">
        <v>2</v>
      </c>
      <c r="V265" s="55" t="n">
        <f aca="false">IF(AND(OR(LEN(13_Buscador!$C$5)=0,ISNUMBER(SEARCH(13_Buscador!$C$5,$C265&amp;" "&amp;$D265&amp;" "&amp;$E265&amp;" "&amp;$F265&amp;" "&amp;$S265))),OR(13_Buscador!$C$6="Todas las listas",LEN(13_Buscador!$C$6)=0,13_Buscador!$C$6=$B265)),1,0)</f>
        <v>1</v>
      </c>
      <c r="W265" s="55" t="n">
        <f aca="false">IF(V265=1,SUM($V$2:V265),"")</f>
        <v>53</v>
      </c>
    </row>
    <row r="266" customFormat="false" ht="23.25" hidden="false" customHeight="true" outlineLevel="0" collapsed="false">
      <c r="A266" s="55" t="n">
        <v>265</v>
      </c>
      <c r="B266" s="55" t="s">
        <v>3329</v>
      </c>
      <c r="C266" s="55" t="str">
        <f aca="false">IF(03_Cenas!B3="","",03_Cenas!B3)</f>
        <v>Pollo a la brasa</v>
      </c>
      <c r="D266" s="56" t="str">
        <f aca="false">IF(03_Cenas!C3="","",03_Cenas!C3)</f>
        <v>1/4 de pollo a la brasa</v>
      </c>
      <c r="E266" s="56" t="str">
        <f aca="false">IF(03_Cenas!D3="","",03_Cenas!D3)</f>
        <v>Con papas y ensalada</v>
      </c>
      <c r="F266" s="56" t="str">
        <f aca="false">IF(03_Cenas!E3="","",03_Cenas!E3)</f>
        <v>pollo entero o en presas, sillao, ají panca, romero, comino, papas fritas, ensalada</v>
      </c>
      <c r="G266" s="55" t="str">
        <f aca="false">IF(03_Cenas!F3="","",03_Cenas!F3)</f>
        <v>Porción</v>
      </c>
      <c r="H266" s="55" t="str">
        <f aca="false">IF(03_Cenas!G3="","",03_Cenas!G3)</f>
        <v>Estándar</v>
      </c>
      <c r="I266" s="58" t="n">
        <f aca="false">IF(03_Cenas!H3="","",03_Cenas!H3)</f>
        <v>12</v>
      </c>
      <c r="J266" s="58" t="n">
        <f aca="false">IF(03_Cenas!I3="","",03_Cenas!I3)</f>
        <v>18</v>
      </c>
      <c r="K266" s="58" t="n">
        <f aca="false">IF(03_Cenas!J3="","",03_Cenas!J3)</f>
        <v>15</v>
      </c>
      <c r="L266" s="58" t="n">
        <f aca="false">IF(03_Cenas!L3="","",03_Cenas!L3)</f>
        <v>16</v>
      </c>
      <c r="M266" s="58" t="n">
        <f aca="false">IF(03_Cenas!N3="","",03_Cenas!N3)</f>
        <v>1.35</v>
      </c>
      <c r="N266" s="58" t="n">
        <f aca="false">IF(03_Cenas!O3="","",03_Cenas!O3)</f>
        <v>13.65</v>
      </c>
      <c r="O266" s="55" t="str">
        <f aca="false">IF(03_Cenas!P3="","",03_Cenas!P3)</f>
        <v>18:00-22:00</v>
      </c>
      <c r="P266" s="55" t="n">
        <f aca="false">IF(03_Cenas!Q3="","",03_Cenas!Q3)</f>
        <v>10</v>
      </c>
      <c r="Q266" s="55" t="str">
        <f aca="false">IF(03_Cenas!R3="","",03_Cenas!R3)</f>
        <v>Medio</v>
      </c>
      <c r="R266" s="55" t="str">
        <f aca="false">IF(03_Cenas!S3="","",03_Cenas!S3)</f>
        <v>Todo el año</v>
      </c>
      <c r="S266" s="55" t="str">
        <f aca="false">IF(03_Cenas!T3="","",03_Cenas!T3)</f>
        <v>Pollería</v>
      </c>
      <c r="T266" s="56" t="str">
        <f aca="false">IF(03_Cenas!U3="","",03_Cenas!U3)</f>
        <v>Producto de mayor rotación en la noche</v>
      </c>
      <c r="U266" s="55" t="n">
        <v>3</v>
      </c>
      <c r="V266" s="55" t="n">
        <f aca="false">IF(AND(OR(LEN(13_Buscador!$C$5)=0,ISNUMBER(SEARCH(13_Buscador!$C$5,$C266&amp;" "&amp;$D266&amp;" "&amp;$E266&amp;" "&amp;$F266&amp;" "&amp;$S266))),OR(13_Buscador!$C$6="Todas las listas",LEN(13_Buscador!$C$6)=0,13_Buscador!$C$6=$B266)),1,0)</f>
        <v>1</v>
      </c>
      <c r="W266" s="55" t="n">
        <f aca="false">IF(V266=1,SUM($V$2:V266),"")</f>
        <v>54</v>
      </c>
    </row>
    <row r="267" customFormat="false" ht="23.25" hidden="false" customHeight="true" outlineLevel="0" collapsed="false">
      <c r="A267" s="55" t="n">
        <v>266</v>
      </c>
      <c r="B267" s="55" t="s">
        <v>3329</v>
      </c>
      <c r="C267" s="55" t="str">
        <f aca="false">IF(03_Cenas!B4="","",03_Cenas!B4)</f>
        <v>Pollo a la brasa</v>
      </c>
      <c r="D267" s="56" t="str">
        <f aca="false">IF(03_Cenas!C4="","",03_Cenas!C4)</f>
        <v>1/2 pollo a la brasa</v>
      </c>
      <c r="E267" s="56" t="str">
        <f aca="false">IF(03_Cenas!D4="","",03_Cenas!D4)</f>
        <v>Con papas y ensalada</v>
      </c>
      <c r="F267" s="56" t="str">
        <f aca="false">IF(03_Cenas!E4="","",03_Cenas!E4)</f>
        <v>pollo entero o en presas, sillao, ají panca, romero, comino, papas fritas, ensalada</v>
      </c>
      <c r="G267" s="55" t="str">
        <f aca="false">IF(03_Cenas!F4="","",03_Cenas!F4)</f>
        <v>Porción</v>
      </c>
      <c r="H267" s="55" t="str">
        <f aca="false">IF(03_Cenas!G4="","",03_Cenas!G4)</f>
        <v>Medio</v>
      </c>
      <c r="I267" s="58" t="n">
        <f aca="false">IF(03_Cenas!H4="","",03_Cenas!H4)</f>
        <v>25</v>
      </c>
      <c r="J267" s="58" t="n">
        <f aca="false">IF(03_Cenas!I4="","",03_Cenas!I4)</f>
        <v>38</v>
      </c>
      <c r="K267" s="58" t="n">
        <f aca="false">IF(03_Cenas!J4="","",03_Cenas!J4)</f>
        <v>31.5</v>
      </c>
      <c r="L267" s="58" t="n">
        <f aca="false">IF(03_Cenas!L4="","",03_Cenas!L4)</f>
        <v>32.5</v>
      </c>
      <c r="M267" s="58" t="n">
        <f aca="false">IF(03_Cenas!N4="","",03_Cenas!N4)</f>
        <v>3.47</v>
      </c>
      <c r="N267" s="58" t="n">
        <f aca="false">IF(03_Cenas!O4="","",03_Cenas!O4)</f>
        <v>28.03</v>
      </c>
      <c r="O267" s="55" t="str">
        <f aca="false">IF(03_Cenas!P4="","",03_Cenas!P4)</f>
        <v>18:00-22:00</v>
      </c>
      <c r="P267" s="55" t="n">
        <f aca="false">IF(03_Cenas!Q4="","",03_Cenas!Q4)</f>
        <v>12</v>
      </c>
      <c r="Q267" s="55" t="str">
        <f aca="false">IF(03_Cenas!R4="","",03_Cenas!R4)</f>
        <v>Medio</v>
      </c>
      <c r="R267" s="55" t="str">
        <f aca="false">IF(03_Cenas!S4="","",03_Cenas!S4)</f>
        <v>Todo el año</v>
      </c>
      <c r="S267" s="55" t="str">
        <f aca="false">IF(03_Cenas!T4="","",03_Cenas!T4)</f>
        <v>Pollería</v>
      </c>
      <c r="T267" s="56" t="str">
        <f aca="false">IF(03_Cenas!U4="","",03_Cenas!U4)</f>
        <v/>
      </c>
      <c r="U267" s="55" t="n">
        <v>4</v>
      </c>
      <c r="V267" s="55" t="n">
        <f aca="false">IF(AND(OR(LEN(13_Buscador!$C$5)=0,ISNUMBER(SEARCH(13_Buscador!$C$5,$C267&amp;" "&amp;$D267&amp;" "&amp;$E267&amp;" "&amp;$F267&amp;" "&amp;$S267))),OR(13_Buscador!$C$6="Todas las listas",LEN(13_Buscador!$C$6)=0,13_Buscador!$C$6=$B267)),1,0)</f>
        <v>1</v>
      </c>
      <c r="W267" s="55" t="n">
        <f aca="false">IF(V267=1,SUM($V$2:V267),"")</f>
        <v>55</v>
      </c>
    </row>
    <row r="268" customFormat="false" ht="15" hidden="false" customHeight="true" outlineLevel="0" collapsed="false">
      <c r="A268" s="55" t="n">
        <v>267</v>
      </c>
      <c r="B268" s="55" t="s">
        <v>3329</v>
      </c>
      <c r="C268" s="55" t="str">
        <f aca="false">IF(03_Cenas!B5="","",03_Cenas!B5)</f>
        <v>Pollo a la brasa</v>
      </c>
      <c r="D268" s="56" t="str">
        <f aca="false">IF(03_Cenas!C5="","",03_Cenas!C5)</f>
        <v>Pollo entero a la brasa</v>
      </c>
      <c r="E268" s="56" t="str">
        <f aca="false">IF(03_Cenas!D5="","",03_Cenas!D5)</f>
        <v>Con papas y ensalada, para 4</v>
      </c>
      <c r="F268" s="56" t="str">
        <f aca="false">IF(03_Cenas!E5="","",03_Cenas!E5)</f>
        <v>verduras frescas de estación, limón, aceite, sal</v>
      </c>
      <c r="G268" s="55" t="str">
        <f aca="false">IF(03_Cenas!F5="","",03_Cenas!F5)</f>
        <v>Entero</v>
      </c>
      <c r="H268" s="55" t="str">
        <f aca="false">IF(03_Cenas!G5="","",03_Cenas!G5)</f>
        <v>Premium</v>
      </c>
      <c r="I268" s="58" t="n">
        <f aca="false">IF(03_Cenas!H5="","",03_Cenas!H5)</f>
        <v>45</v>
      </c>
      <c r="J268" s="58" t="n">
        <f aca="false">IF(03_Cenas!I5="","",03_Cenas!I5)</f>
        <v>70</v>
      </c>
      <c r="K268" s="58" t="n">
        <f aca="false">IF(03_Cenas!J5="","",03_Cenas!J5)</f>
        <v>57.5</v>
      </c>
      <c r="L268" s="58" t="n">
        <f aca="false">IF(03_Cenas!L5="","",03_Cenas!L5)</f>
        <v>58.5</v>
      </c>
      <c r="M268" s="58" t="n">
        <f aca="false">IF(03_Cenas!N5="","",03_Cenas!N5)</f>
        <v>7.48</v>
      </c>
      <c r="N268" s="58" t="n">
        <f aca="false">IF(03_Cenas!O5="","",03_Cenas!O5)</f>
        <v>50.02</v>
      </c>
      <c r="O268" s="55" t="str">
        <f aca="false">IF(03_Cenas!P5="","",03_Cenas!P5)</f>
        <v>18:00-22:00</v>
      </c>
      <c r="P268" s="55" t="n">
        <f aca="false">IF(03_Cenas!Q5="","",03_Cenas!Q5)</f>
        <v>15</v>
      </c>
      <c r="Q268" s="55" t="str">
        <f aca="false">IF(03_Cenas!R5="","",03_Cenas!R5)</f>
        <v>Medio</v>
      </c>
      <c r="R268" s="55" t="str">
        <f aca="false">IF(03_Cenas!S5="","",03_Cenas!S5)</f>
        <v>Fin de semana</v>
      </c>
      <c r="S268" s="55" t="str">
        <f aca="false">IF(03_Cenas!T5="","",03_Cenas!T5)</f>
        <v>Pollería</v>
      </c>
      <c r="T268" s="56" t="str">
        <f aca="false">IF(03_Cenas!U5="","",03_Cenas!U5)</f>
        <v>TICKET ALTO: prioridad para delivery familiar</v>
      </c>
      <c r="U268" s="55" t="n">
        <v>5</v>
      </c>
      <c r="V268" s="55" t="n">
        <f aca="false">IF(AND(OR(LEN(13_Buscador!$C$5)=0,ISNUMBER(SEARCH(13_Buscador!$C$5,$C268&amp;" "&amp;$D268&amp;" "&amp;$E268&amp;" "&amp;$F268&amp;" "&amp;$S268))),OR(13_Buscador!$C$6="Todas las listas",LEN(13_Buscador!$C$6)=0,13_Buscador!$C$6=$B268)),1,0)</f>
        <v>1</v>
      </c>
      <c r="W268" s="55" t="n">
        <f aca="false">IF(V268=1,SUM($V$2:V268),"")</f>
        <v>56</v>
      </c>
    </row>
    <row r="269" customFormat="false" ht="15" hidden="false" customHeight="true" outlineLevel="0" collapsed="false">
      <c r="A269" s="55" t="n">
        <v>268</v>
      </c>
      <c r="B269" s="55" t="s">
        <v>3329</v>
      </c>
      <c r="C269" s="55" t="str">
        <f aca="false">IF(03_Cenas!B6="","",03_Cenas!B6)</f>
        <v>Pollo a la brasa</v>
      </c>
      <c r="D269" s="56" t="str">
        <f aca="false">IF(03_Cenas!C6="","",03_Cenas!C6)</f>
        <v>Combo familiar pollo + gaseosa</v>
      </c>
      <c r="E269" s="56" t="str">
        <f aca="false">IF(03_Cenas!D6="","",03_Cenas!D6)</f>
        <v>Pollo entero + gaseosa 1.5 L</v>
      </c>
      <c r="F269" s="56" t="str">
        <f aca="false">IF(03_Cenas!E6="","",03_Cenas!E6)</f>
        <v>producto embotellado de marca</v>
      </c>
      <c r="G269" s="55" t="str">
        <f aca="false">IF(03_Cenas!F6="","",03_Cenas!F6)</f>
        <v>Combo</v>
      </c>
      <c r="H269" s="55" t="str">
        <f aca="false">IF(03_Cenas!G6="","",03_Cenas!G6)</f>
        <v>Premium</v>
      </c>
      <c r="I269" s="58" t="n">
        <f aca="false">IF(03_Cenas!H6="","",03_Cenas!H6)</f>
        <v>55</v>
      </c>
      <c r="J269" s="58" t="n">
        <f aca="false">IF(03_Cenas!I6="","",03_Cenas!I6)</f>
        <v>85</v>
      </c>
      <c r="K269" s="58" t="n">
        <f aca="false">IF(03_Cenas!J6="","",03_Cenas!J6)</f>
        <v>70</v>
      </c>
      <c r="L269" s="58" t="n">
        <f aca="false">IF(03_Cenas!L6="","",03_Cenas!L6)</f>
        <v>71</v>
      </c>
      <c r="M269" s="58" t="n">
        <f aca="false">IF(03_Cenas!N6="","",03_Cenas!N6)</f>
        <v>9.1</v>
      </c>
      <c r="N269" s="58" t="n">
        <f aca="false">IF(03_Cenas!O6="","",03_Cenas!O6)</f>
        <v>60.9</v>
      </c>
      <c r="O269" s="55" t="str">
        <f aca="false">IF(03_Cenas!P6="","",03_Cenas!P6)</f>
        <v>18:00-22:00</v>
      </c>
      <c r="P269" s="55" t="n">
        <f aca="false">IF(03_Cenas!Q6="","",03_Cenas!Q6)</f>
        <v>15</v>
      </c>
      <c r="Q269" s="55" t="str">
        <f aca="false">IF(03_Cenas!R6="","",03_Cenas!R6)</f>
        <v>Medio</v>
      </c>
      <c r="R269" s="55" t="str">
        <f aca="false">IF(03_Cenas!S6="","",03_Cenas!S6)</f>
        <v>Fin de semana</v>
      </c>
      <c r="S269" s="55" t="str">
        <f aca="false">IF(03_Cenas!T6="","",03_Cenas!T6)</f>
        <v>Pollería</v>
      </c>
      <c r="T269" s="56" t="str">
        <f aca="false">IF(03_Cenas!U6="","",03_Cenas!U6)</f>
        <v>Combo de mayor margen para ComeYa</v>
      </c>
      <c r="U269" s="55" t="n">
        <v>6</v>
      </c>
      <c r="V269" s="55" t="n">
        <f aca="false">IF(AND(OR(LEN(13_Buscador!$C$5)=0,ISNUMBER(SEARCH(13_Buscador!$C$5,$C269&amp;" "&amp;$D269&amp;" "&amp;$E269&amp;" "&amp;$F269&amp;" "&amp;$S269))),OR(13_Buscador!$C$6="Todas las listas",LEN(13_Buscador!$C$6)=0,13_Buscador!$C$6=$B269)),1,0)</f>
        <v>1</v>
      </c>
      <c r="W269" s="55" t="n">
        <f aca="false">IF(V269=1,SUM($V$2:V269),"")</f>
        <v>57</v>
      </c>
    </row>
    <row r="270" customFormat="false" ht="15" hidden="false" customHeight="true" outlineLevel="0" collapsed="false">
      <c r="A270" s="55" t="n">
        <v>269</v>
      </c>
      <c r="B270" s="55" t="s">
        <v>3329</v>
      </c>
      <c r="C270" s="55" t="str">
        <f aca="false">IF(03_Cenas!B7="","",03_Cenas!B7)</f>
        <v>Broaster y frituras</v>
      </c>
      <c r="D270" s="56" t="str">
        <f aca="false">IF(03_Cenas!C7="","",03_Cenas!C7)</f>
        <v>Pollo broaster 1/4</v>
      </c>
      <c r="E270" s="56" t="str">
        <f aca="false">IF(03_Cenas!D7="","",03_Cenas!D7)</f>
        <v>Apanado con papas</v>
      </c>
      <c r="F270" s="56" t="str">
        <f aca="false">IF(03_Cenas!E7="","",03_Cenas!E7)</f>
        <v>pollo, harina, huevo, especias, aceite, papas fritas</v>
      </c>
      <c r="G270" s="55" t="str">
        <f aca="false">IF(03_Cenas!F7="","",03_Cenas!F7)</f>
        <v>Porción</v>
      </c>
      <c r="H270" s="55" t="str">
        <f aca="false">IF(03_Cenas!G7="","",03_Cenas!G7)</f>
        <v>Estándar</v>
      </c>
      <c r="I270" s="58" t="n">
        <f aca="false">IF(03_Cenas!H7="","",03_Cenas!H7)</f>
        <v>10</v>
      </c>
      <c r="J270" s="58" t="n">
        <f aca="false">IF(03_Cenas!I7="","",03_Cenas!I7)</f>
        <v>16</v>
      </c>
      <c r="K270" s="58" t="n">
        <f aca="false">IF(03_Cenas!J7="","",03_Cenas!J7)</f>
        <v>13</v>
      </c>
      <c r="L270" s="58" t="n">
        <f aca="false">IF(03_Cenas!L7="","",03_Cenas!L7)</f>
        <v>14</v>
      </c>
      <c r="M270" s="58" t="n">
        <f aca="false">IF(03_Cenas!N7="","",03_Cenas!N7)</f>
        <v>1.17</v>
      </c>
      <c r="N270" s="58" t="n">
        <f aca="false">IF(03_Cenas!O7="","",03_Cenas!O7)</f>
        <v>11.83</v>
      </c>
      <c r="O270" s="55" t="str">
        <f aca="false">IF(03_Cenas!P7="","",03_Cenas!P7)</f>
        <v>18:00-23:00</v>
      </c>
      <c r="P270" s="55" t="n">
        <f aca="false">IF(03_Cenas!Q7="","",03_Cenas!Q7)</f>
        <v>12</v>
      </c>
      <c r="Q270" s="55" t="str">
        <f aca="false">IF(03_Cenas!R7="","",03_Cenas!R7)</f>
        <v>Medio</v>
      </c>
      <c r="R270" s="55" t="str">
        <f aca="false">IF(03_Cenas!S7="","",03_Cenas!S7)</f>
        <v>Todo el año</v>
      </c>
      <c r="S270" s="55" t="str">
        <f aca="false">IF(03_Cenas!T7="","",03_Cenas!T7)</f>
        <v>Broastería</v>
      </c>
      <c r="T270" s="56" t="str">
        <f aca="false">IF(03_Cenas!U7="","",03_Cenas!U7)</f>
        <v/>
      </c>
      <c r="U270" s="55" t="n">
        <v>7</v>
      </c>
      <c r="V270" s="55" t="n">
        <f aca="false">IF(AND(OR(LEN(13_Buscador!$C$5)=0,ISNUMBER(SEARCH(13_Buscador!$C$5,$C270&amp;" "&amp;$D270&amp;" "&amp;$E270&amp;" "&amp;$F270&amp;" "&amp;$S270))),OR(13_Buscador!$C$6="Todas las listas",LEN(13_Buscador!$C$6)=0,13_Buscador!$C$6=$B270)),1,0)</f>
        <v>1</v>
      </c>
      <c r="W270" s="55" t="n">
        <f aca="false">IF(V270=1,SUM($V$2:V270),"")</f>
        <v>58</v>
      </c>
    </row>
    <row r="271" customFormat="false" ht="15" hidden="false" customHeight="true" outlineLevel="0" collapsed="false">
      <c r="A271" s="55" t="n">
        <v>270</v>
      </c>
      <c r="B271" s="55" t="s">
        <v>3329</v>
      </c>
      <c r="C271" s="55" t="str">
        <f aca="false">IF(03_Cenas!B8="","",03_Cenas!B8)</f>
        <v>Broaster y frituras</v>
      </c>
      <c r="D271" s="56" t="str">
        <f aca="false">IF(03_Cenas!C8="","",03_Cenas!C8)</f>
        <v>Pollo broaster 1/8</v>
      </c>
      <c r="E271" s="56" t="str">
        <f aca="false">IF(03_Cenas!D8="","",03_Cenas!D8)</f>
        <v>Apanado con papas</v>
      </c>
      <c r="F271" s="56" t="str">
        <f aca="false">IF(03_Cenas!E8="","",03_Cenas!E8)</f>
        <v>pollo, harina, huevo, especias, aceite, papas fritas</v>
      </c>
      <c r="G271" s="55" t="str">
        <f aca="false">IF(03_Cenas!F8="","",03_Cenas!F8)</f>
        <v>Porción</v>
      </c>
      <c r="H271" s="55" t="str">
        <f aca="false">IF(03_Cenas!G8="","",03_Cenas!G8)</f>
        <v>Económico</v>
      </c>
      <c r="I271" s="58" t="n">
        <f aca="false">IF(03_Cenas!H8="","",03_Cenas!H8)</f>
        <v>7</v>
      </c>
      <c r="J271" s="58" t="n">
        <f aca="false">IF(03_Cenas!I8="","",03_Cenas!I8)</f>
        <v>12</v>
      </c>
      <c r="K271" s="58" t="n">
        <f aca="false">IF(03_Cenas!J8="","",03_Cenas!J8)</f>
        <v>9.5</v>
      </c>
      <c r="L271" s="58" t="n">
        <f aca="false">IF(03_Cenas!L8="","",03_Cenas!L8)</f>
        <v>10.5</v>
      </c>
      <c r="M271" s="58" t="n">
        <f aca="false">IF(03_Cenas!N8="","",03_Cenas!N8)</f>
        <v>0.67</v>
      </c>
      <c r="N271" s="58" t="n">
        <f aca="false">IF(03_Cenas!O8="","",03_Cenas!O8)</f>
        <v>8.83</v>
      </c>
      <c r="O271" s="55" t="str">
        <f aca="false">IF(03_Cenas!P8="","",03_Cenas!P8)</f>
        <v>18:00-23:00</v>
      </c>
      <c r="P271" s="55" t="n">
        <f aca="false">IF(03_Cenas!Q8="","",03_Cenas!Q8)</f>
        <v>10</v>
      </c>
      <c r="Q271" s="55" t="str">
        <f aca="false">IF(03_Cenas!R8="","",03_Cenas!R8)</f>
        <v>Medio</v>
      </c>
      <c r="R271" s="55" t="str">
        <f aca="false">IF(03_Cenas!S8="","",03_Cenas!S8)</f>
        <v>Todo el año</v>
      </c>
      <c r="S271" s="55" t="str">
        <f aca="false">IF(03_Cenas!T8="","",03_Cenas!T8)</f>
        <v>Broastería</v>
      </c>
      <c r="T271" s="56" t="str">
        <f aca="false">IF(03_Cenas!U8="","",03_Cenas!U8)</f>
        <v/>
      </c>
      <c r="U271" s="55" t="n">
        <v>8</v>
      </c>
      <c r="V271" s="55" t="n">
        <f aca="false">IF(AND(OR(LEN(13_Buscador!$C$5)=0,ISNUMBER(SEARCH(13_Buscador!$C$5,$C271&amp;" "&amp;$D271&amp;" "&amp;$E271&amp;" "&amp;$F271&amp;" "&amp;$S271))),OR(13_Buscador!$C$6="Todas las listas",LEN(13_Buscador!$C$6)=0,13_Buscador!$C$6=$B271)),1,0)</f>
        <v>1</v>
      </c>
      <c r="W271" s="55" t="n">
        <f aca="false">IF(V271=1,SUM($V$2:V271),"")</f>
        <v>59</v>
      </c>
    </row>
    <row r="272" customFormat="false" ht="15" hidden="false" customHeight="true" outlineLevel="0" collapsed="false">
      <c r="A272" s="55" t="n">
        <v>271</v>
      </c>
      <c r="B272" s="55" t="s">
        <v>3329</v>
      </c>
      <c r="C272" s="55" t="str">
        <f aca="false">IF(03_Cenas!B9="","",03_Cenas!B9)</f>
        <v>Broaster y frituras</v>
      </c>
      <c r="D272" s="56" t="str">
        <f aca="false">IF(03_Cenas!C9="","",03_Cenas!C9)</f>
        <v>Alitas broaster (8 und)</v>
      </c>
      <c r="E272" s="56" t="str">
        <f aca="false">IF(03_Cenas!D9="","",03_Cenas!D9)</f>
        <v>Con papas y cremas</v>
      </c>
      <c r="F272" s="56" t="str">
        <f aca="false">IF(03_Cenas!E9="","",03_Cenas!E9)</f>
        <v>pollo, harina, huevo, especias, aceite, papas fritas</v>
      </c>
      <c r="G272" s="55" t="str">
        <f aca="false">IF(03_Cenas!F9="","",03_Cenas!F9)</f>
        <v>Porción</v>
      </c>
      <c r="H272" s="55" t="str">
        <f aca="false">IF(03_Cenas!G9="","",03_Cenas!G9)</f>
        <v>Medio</v>
      </c>
      <c r="I272" s="58" t="n">
        <f aca="false">IF(03_Cenas!H9="","",03_Cenas!H9)</f>
        <v>15</v>
      </c>
      <c r="J272" s="58" t="n">
        <f aca="false">IF(03_Cenas!I9="","",03_Cenas!I9)</f>
        <v>25</v>
      </c>
      <c r="K272" s="58" t="n">
        <f aca="false">IF(03_Cenas!J9="","",03_Cenas!J9)</f>
        <v>20</v>
      </c>
      <c r="L272" s="58" t="n">
        <f aca="false">IF(03_Cenas!L9="","",03_Cenas!L9)</f>
        <v>21</v>
      </c>
      <c r="M272" s="58" t="n">
        <f aca="false">IF(03_Cenas!N9="","",03_Cenas!N9)</f>
        <v>2.2</v>
      </c>
      <c r="N272" s="58" t="n">
        <f aca="false">IF(03_Cenas!O9="","",03_Cenas!O9)</f>
        <v>17.8</v>
      </c>
      <c r="O272" s="55" t="str">
        <f aca="false">IF(03_Cenas!P9="","",03_Cenas!P9)</f>
        <v>18:00-23:00</v>
      </c>
      <c r="P272" s="55" t="n">
        <f aca="false">IF(03_Cenas!Q9="","",03_Cenas!Q9)</f>
        <v>15</v>
      </c>
      <c r="Q272" s="55" t="str">
        <f aca="false">IF(03_Cenas!R9="","",03_Cenas!R9)</f>
        <v>Medio</v>
      </c>
      <c r="R272" s="55" t="str">
        <f aca="false">IF(03_Cenas!S9="","",03_Cenas!S9)</f>
        <v>Todo el año</v>
      </c>
      <c r="S272" s="55" t="str">
        <f aca="false">IF(03_Cenas!T9="","",03_Cenas!T9)</f>
        <v>Broastería</v>
      </c>
      <c r="T272" s="56" t="str">
        <f aca="false">IF(03_Cenas!U9="","",03_Cenas!U9)</f>
        <v/>
      </c>
      <c r="U272" s="55" t="n">
        <v>9</v>
      </c>
      <c r="V272" s="55" t="n">
        <f aca="false">IF(AND(OR(LEN(13_Buscador!$C$5)=0,ISNUMBER(SEARCH(13_Buscador!$C$5,$C272&amp;" "&amp;$D272&amp;" "&amp;$E272&amp;" "&amp;$F272&amp;" "&amp;$S272))),OR(13_Buscador!$C$6="Todas las listas",LEN(13_Buscador!$C$6)=0,13_Buscador!$C$6=$B272)),1,0)</f>
        <v>1</v>
      </c>
      <c r="W272" s="55" t="n">
        <f aca="false">IF(V272=1,SUM($V$2:V272),"")</f>
        <v>60</v>
      </c>
    </row>
    <row r="273" customFormat="false" ht="23.25" hidden="false" customHeight="true" outlineLevel="0" collapsed="false">
      <c r="A273" s="55" t="n">
        <v>272</v>
      </c>
      <c r="B273" s="55" t="s">
        <v>3329</v>
      </c>
      <c r="C273" s="55" t="str">
        <f aca="false">IF(03_Cenas!B10="","",03_Cenas!B10)</f>
        <v>Broaster y frituras</v>
      </c>
      <c r="D273" s="56" t="str">
        <f aca="false">IF(03_Cenas!C10="","",03_Cenas!C10)</f>
        <v>Alitas BBQ / picantes</v>
      </c>
      <c r="E273" s="56" t="str">
        <f aca="false">IF(03_Cenas!D10="","",03_Cenas!D10)</f>
        <v>Alitas con salsa</v>
      </c>
      <c r="F273" s="56" t="str">
        <f aca="false">IF(03_Cenas!E10="","",03_Cenas!E10)</f>
        <v>alitas de pollo, harina o salsa (BBQ o picante), papas fritas, cremas</v>
      </c>
      <c r="G273" s="55" t="str">
        <f aca="false">IF(03_Cenas!F10="","",03_Cenas!F10)</f>
        <v>Porción</v>
      </c>
      <c r="H273" s="55" t="str">
        <f aca="false">IF(03_Cenas!G10="","",03_Cenas!G10)</f>
        <v>Medio</v>
      </c>
      <c r="I273" s="58" t="n">
        <f aca="false">IF(03_Cenas!H10="","",03_Cenas!H10)</f>
        <v>15</v>
      </c>
      <c r="J273" s="58" t="n">
        <f aca="false">IF(03_Cenas!I10="","",03_Cenas!I10)</f>
        <v>28</v>
      </c>
      <c r="K273" s="58" t="n">
        <f aca="false">IF(03_Cenas!J10="","",03_Cenas!J10)</f>
        <v>21.5</v>
      </c>
      <c r="L273" s="58" t="n">
        <f aca="false">IF(03_Cenas!L10="","",03_Cenas!L10)</f>
        <v>22.5</v>
      </c>
      <c r="M273" s="58" t="n">
        <f aca="false">IF(03_Cenas!N10="","",03_Cenas!N10)</f>
        <v>2.37</v>
      </c>
      <c r="N273" s="58" t="n">
        <f aca="false">IF(03_Cenas!O10="","",03_Cenas!O10)</f>
        <v>19.13</v>
      </c>
      <c r="O273" s="55" t="str">
        <f aca="false">IF(03_Cenas!P10="","",03_Cenas!P10)</f>
        <v>18:00-23:00</v>
      </c>
      <c r="P273" s="55" t="n">
        <f aca="false">IF(03_Cenas!Q10="","",03_Cenas!Q10)</f>
        <v>15</v>
      </c>
      <c r="Q273" s="55" t="str">
        <f aca="false">IF(03_Cenas!R10="","",03_Cenas!R10)</f>
        <v>Medio</v>
      </c>
      <c r="R273" s="55" t="str">
        <f aca="false">IF(03_Cenas!S10="","",03_Cenas!S10)</f>
        <v>Todo el año</v>
      </c>
      <c r="S273" s="55" t="str">
        <f aca="false">IF(03_Cenas!T10="","",03_Cenas!T10)</f>
        <v>Broastería, bar</v>
      </c>
      <c r="T273" s="56" t="str">
        <f aca="false">IF(03_Cenas!U10="","",03_Cenas!U10)</f>
        <v/>
      </c>
      <c r="U273" s="55" t="n">
        <v>10</v>
      </c>
      <c r="V273" s="55" t="n">
        <f aca="false">IF(AND(OR(LEN(13_Buscador!$C$5)=0,ISNUMBER(SEARCH(13_Buscador!$C$5,$C273&amp;" "&amp;$D273&amp;" "&amp;$E273&amp;" "&amp;$F273&amp;" "&amp;$S273))),OR(13_Buscador!$C$6="Todas las listas",LEN(13_Buscador!$C$6)=0,13_Buscador!$C$6=$B273)),1,0)</f>
        <v>1</v>
      </c>
      <c r="W273" s="55" t="n">
        <f aca="false">IF(V273=1,SUM($V$2:V273),"")</f>
        <v>61</v>
      </c>
    </row>
    <row r="274" customFormat="false" ht="15" hidden="false" customHeight="true" outlineLevel="0" collapsed="false">
      <c r="A274" s="55" t="n">
        <v>273</v>
      </c>
      <c r="B274" s="55" t="s">
        <v>3329</v>
      </c>
      <c r="C274" s="55" t="str">
        <f aca="false">IF(03_Cenas!B11="","",03_Cenas!B11)</f>
        <v>Broaster y frituras</v>
      </c>
      <c r="D274" s="56" t="str">
        <f aca="false">IF(03_Cenas!C11="","",03_Cenas!C11)</f>
        <v>Mostrito</v>
      </c>
      <c r="E274" s="56" t="str">
        <f aca="false">IF(03_Cenas!D11="","",03_Cenas!D11)</f>
        <v>Chaufa + broaster + papas</v>
      </c>
      <c r="F274" s="56" t="str">
        <f aca="false">IF(03_Cenas!E11="","",03_Cenas!E11)</f>
        <v>arroz chaufa, pollo broaster, papas fritas, cremas</v>
      </c>
      <c r="G274" s="55" t="str">
        <f aca="false">IF(03_Cenas!F11="","",03_Cenas!F11)</f>
        <v>Plato grande</v>
      </c>
      <c r="H274" s="55" t="str">
        <f aca="false">IF(03_Cenas!G11="","",03_Cenas!G11)</f>
        <v>Estándar</v>
      </c>
      <c r="I274" s="58" t="n">
        <f aca="false">IF(03_Cenas!H11="","",03_Cenas!H11)</f>
        <v>12</v>
      </c>
      <c r="J274" s="58" t="n">
        <f aca="false">IF(03_Cenas!I11="","",03_Cenas!I11)</f>
        <v>20</v>
      </c>
      <c r="K274" s="58" t="n">
        <f aca="false">IF(03_Cenas!J11="","",03_Cenas!J11)</f>
        <v>16</v>
      </c>
      <c r="L274" s="58" t="n">
        <f aca="false">IF(03_Cenas!L11="","",03_Cenas!L11)</f>
        <v>17</v>
      </c>
      <c r="M274" s="58" t="n">
        <f aca="false">IF(03_Cenas!N11="","",03_Cenas!N11)</f>
        <v>1.44</v>
      </c>
      <c r="N274" s="58" t="n">
        <f aca="false">IF(03_Cenas!O11="","",03_Cenas!O11)</f>
        <v>14.56</v>
      </c>
      <c r="O274" s="55" t="str">
        <f aca="false">IF(03_Cenas!P11="","",03_Cenas!P11)</f>
        <v>18:00-23:00</v>
      </c>
      <c r="P274" s="55" t="n">
        <f aca="false">IF(03_Cenas!Q11="","",03_Cenas!Q11)</f>
        <v>12</v>
      </c>
      <c r="Q274" s="55" t="str">
        <f aca="false">IF(03_Cenas!R11="","",03_Cenas!R11)</f>
        <v>Alto</v>
      </c>
      <c r="R274" s="55" t="str">
        <f aca="false">IF(03_Cenas!S11="","",03_Cenas!S11)</f>
        <v>Todo el año</v>
      </c>
      <c r="S274" s="55" t="str">
        <f aca="false">IF(03_Cenas!T11="","",03_Cenas!T11)</f>
        <v>Broastería</v>
      </c>
      <c r="T274" s="56" t="str">
        <f aca="false">IF(03_Cenas!U11="","",03_Cenas!U11)</f>
        <v>Muy pedido por público joven</v>
      </c>
      <c r="U274" s="55" t="n">
        <v>11</v>
      </c>
      <c r="V274" s="55" t="n">
        <f aca="false">IF(AND(OR(LEN(13_Buscador!$C$5)=0,ISNUMBER(SEARCH(13_Buscador!$C$5,$C274&amp;" "&amp;$D274&amp;" "&amp;$E274&amp;" "&amp;$F274&amp;" "&amp;$S274))),OR(13_Buscador!$C$6="Todas las listas",LEN(13_Buscador!$C$6)=0,13_Buscador!$C$6=$B274)),1,0)</f>
        <v>1</v>
      </c>
      <c r="W274" s="55" t="n">
        <f aca="false">IF(V274=1,SUM($V$2:V274),"")</f>
        <v>62</v>
      </c>
    </row>
    <row r="275" customFormat="false" ht="15" hidden="false" customHeight="true" outlineLevel="0" collapsed="false">
      <c r="A275" s="55" t="n">
        <v>274</v>
      </c>
      <c r="B275" s="55" t="s">
        <v>3329</v>
      </c>
      <c r="C275" s="55" t="str">
        <f aca="false">IF(03_Cenas!B12="","",03_Cenas!B12)</f>
        <v>Broaster y frituras</v>
      </c>
      <c r="D275" s="56" t="str">
        <f aca="false">IF(03_Cenas!C12="","",03_Cenas!C12)</f>
        <v>Salchipapa simple</v>
      </c>
      <c r="E275" s="56" t="str">
        <f aca="false">IF(03_Cenas!D12="","",03_Cenas!D12)</f>
        <v>Salchicha y papas</v>
      </c>
      <c r="F275" s="56" t="str">
        <f aca="false">IF(03_Cenas!E12="","",03_Cenas!E12)</f>
        <v>papa frita, salchicha, mayonesa, ketchup, mostaza</v>
      </c>
      <c r="G275" s="55" t="str">
        <f aca="false">IF(03_Cenas!F12="","",03_Cenas!F12)</f>
        <v>Porción</v>
      </c>
      <c r="H275" s="55" t="str">
        <f aca="false">IF(03_Cenas!G12="","",03_Cenas!G12)</f>
        <v>Económico</v>
      </c>
      <c r="I275" s="58" t="n">
        <f aca="false">IF(03_Cenas!H12="","",03_Cenas!H12)</f>
        <v>6</v>
      </c>
      <c r="J275" s="58" t="n">
        <f aca="false">IF(03_Cenas!I12="","",03_Cenas!I12)</f>
        <v>12</v>
      </c>
      <c r="K275" s="58" t="n">
        <f aca="false">IF(03_Cenas!J12="","",03_Cenas!J12)</f>
        <v>9</v>
      </c>
      <c r="L275" s="58" t="n">
        <f aca="false">IF(03_Cenas!L12="","",03_Cenas!L12)</f>
        <v>10</v>
      </c>
      <c r="M275" s="58" t="n">
        <f aca="false">IF(03_Cenas!N12="","",03_Cenas!N12)</f>
        <v>0.63</v>
      </c>
      <c r="N275" s="58" t="n">
        <f aca="false">IF(03_Cenas!O12="","",03_Cenas!O12)</f>
        <v>8.37</v>
      </c>
      <c r="O275" s="55" t="str">
        <f aca="false">IF(03_Cenas!P12="","",03_Cenas!P12)</f>
        <v>18:00-23:00</v>
      </c>
      <c r="P275" s="55" t="n">
        <f aca="false">IF(03_Cenas!Q12="","",03_Cenas!Q12)</f>
        <v>8</v>
      </c>
      <c r="Q275" s="55" t="str">
        <f aca="false">IF(03_Cenas!R12="","",03_Cenas!R12)</f>
        <v>Medio</v>
      </c>
      <c r="R275" s="55" t="str">
        <f aca="false">IF(03_Cenas!S12="","",03_Cenas!S12)</f>
        <v>Todo el año</v>
      </c>
      <c r="S275" s="55" t="str">
        <f aca="false">IF(03_Cenas!T12="","",03_Cenas!T12)</f>
        <v>Salchipapería</v>
      </c>
      <c r="T275" s="56" t="str">
        <f aca="false">IF(03_Cenas!U12="","",03_Cenas!U12)</f>
        <v>Producto de calle con alta frecuencia</v>
      </c>
      <c r="U275" s="55" t="n">
        <v>12</v>
      </c>
      <c r="V275" s="55" t="n">
        <f aca="false">IF(AND(OR(LEN(13_Buscador!$C$5)=0,ISNUMBER(SEARCH(13_Buscador!$C$5,$C275&amp;" "&amp;$D275&amp;" "&amp;$E275&amp;" "&amp;$F275&amp;" "&amp;$S275))),OR(13_Buscador!$C$6="Todas las listas",LEN(13_Buscador!$C$6)=0,13_Buscador!$C$6=$B275)),1,0)</f>
        <v>0</v>
      </c>
      <c r="W275" s="55" t="str">
        <f aca="false">IF(V275=1,SUM($V$2:V275),"")</f>
        <v/>
      </c>
    </row>
    <row r="276" customFormat="false" ht="15" hidden="false" customHeight="true" outlineLevel="0" collapsed="false">
      <c r="A276" s="55" t="n">
        <v>275</v>
      </c>
      <c r="B276" s="55" t="s">
        <v>3329</v>
      </c>
      <c r="C276" s="55" t="str">
        <f aca="false">IF(03_Cenas!B13="","",03_Cenas!B13)</f>
        <v>Broaster y frituras</v>
      </c>
      <c r="D276" s="56" t="str">
        <f aca="false">IF(03_Cenas!C13="","",03_Cenas!C13)</f>
        <v>Salchipapa especial</v>
      </c>
      <c r="E276" s="56" t="str">
        <f aca="false">IF(03_Cenas!D13="","",03_Cenas!D13)</f>
        <v>Con pollo, huevo y cremas</v>
      </c>
      <c r="F276" s="56" t="str">
        <f aca="false">IF(03_Cenas!E13="","",03_Cenas!E13)</f>
        <v>papa frita, salchicha, mayonesa, ketchup, mostaza</v>
      </c>
      <c r="G276" s="55" t="str">
        <f aca="false">IF(03_Cenas!F13="","",03_Cenas!F13)</f>
        <v>Porción</v>
      </c>
      <c r="H276" s="55" t="str">
        <f aca="false">IF(03_Cenas!G13="","",03_Cenas!G13)</f>
        <v>Económico</v>
      </c>
      <c r="I276" s="58" t="n">
        <f aca="false">IF(03_Cenas!H13="","",03_Cenas!H13)</f>
        <v>10</v>
      </c>
      <c r="J276" s="58" t="n">
        <f aca="false">IF(03_Cenas!I13="","",03_Cenas!I13)</f>
        <v>16</v>
      </c>
      <c r="K276" s="58" t="n">
        <f aca="false">IF(03_Cenas!J13="","",03_Cenas!J13)</f>
        <v>13</v>
      </c>
      <c r="L276" s="58" t="n">
        <f aca="false">IF(03_Cenas!L13="","",03_Cenas!L13)</f>
        <v>14</v>
      </c>
      <c r="M276" s="58" t="n">
        <f aca="false">IF(03_Cenas!N13="","",03_Cenas!N13)</f>
        <v>0.91</v>
      </c>
      <c r="N276" s="58" t="n">
        <f aca="false">IF(03_Cenas!O13="","",03_Cenas!O13)</f>
        <v>12.09</v>
      </c>
      <c r="O276" s="55" t="str">
        <f aca="false">IF(03_Cenas!P13="","",03_Cenas!P13)</f>
        <v>18:00-23:00</v>
      </c>
      <c r="P276" s="55" t="n">
        <f aca="false">IF(03_Cenas!Q13="","",03_Cenas!Q13)</f>
        <v>10</v>
      </c>
      <c r="Q276" s="55" t="str">
        <f aca="false">IF(03_Cenas!R13="","",03_Cenas!R13)</f>
        <v>Medio</v>
      </c>
      <c r="R276" s="55" t="str">
        <f aca="false">IF(03_Cenas!S13="","",03_Cenas!S13)</f>
        <v>Todo el año</v>
      </c>
      <c r="S276" s="55" t="str">
        <f aca="false">IF(03_Cenas!T13="","",03_Cenas!T13)</f>
        <v>Salchipapería</v>
      </c>
      <c r="T276" s="56" t="str">
        <f aca="false">IF(03_Cenas!U13="","",03_Cenas!U13)</f>
        <v/>
      </c>
      <c r="U276" s="55" t="n">
        <v>13</v>
      </c>
      <c r="V276" s="55" t="n">
        <f aca="false">IF(AND(OR(LEN(13_Buscador!$C$5)=0,ISNUMBER(SEARCH(13_Buscador!$C$5,$C276&amp;" "&amp;$D276&amp;" "&amp;$E276&amp;" "&amp;$F276&amp;" "&amp;$S276))),OR(13_Buscador!$C$6="Todas las listas",LEN(13_Buscador!$C$6)=0,13_Buscador!$C$6=$B276)),1,0)</f>
        <v>1</v>
      </c>
      <c r="W276" s="55" t="n">
        <f aca="false">IF(V276=1,SUM($V$2:V276),"")</f>
        <v>63</v>
      </c>
    </row>
    <row r="277" customFormat="false" ht="15" hidden="false" customHeight="true" outlineLevel="0" collapsed="false">
      <c r="A277" s="55" t="n">
        <v>276</v>
      </c>
      <c r="B277" s="55" t="s">
        <v>3329</v>
      </c>
      <c r="C277" s="55" t="str">
        <f aca="false">IF(03_Cenas!B14="","",03_Cenas!B14)</f>
        <v>Broaster y frituras</v>
      </c>
      <c r="D277" s="56" t="str">
        <f aca="false">IF(03_Cenas!C14="","",03_Cenas!C14)</f>
        <v>Chicharrón de pollo</v>
      </c>
      <c r="E277" s="56" t="str">
        <f aca="false">IF(03_Cenas!D14="","",03_Cenas!D14)</f>
        <v>Pollo frito en trozos</v>
      </c>
      <c r="F277" s="56" t="str">
        <f aca="false">IF(03_Cenas!E14="","",03_Cenas!E14)</f>
        <v>pollo, harina, huevo, especias, aceite, limón</v>
      </c>
      <c r="G277" s="55" t="str">
        <f aca="false">IF(03_Cenas!F14="","",03_Cenas!F14)</f>
        <v>Porción</v>
      </c>
      <c r="H277" s="55" t="str">
        <f aca="false">IF(03_Cenas!G14="","",03_Cenas!G14)</f>
        <v>Estándar</v>
      </c>
      <c r="I277" s="58" t="n">
        <f aca="false">IF(03_Cenas!H14="","",03_Cenas!H14)</f>
        <v>10</v>
      </c>
      <c r="J277" s="58" t="n">
        <f aca="false">IF(03_Cenas!I14="","",03_Cenas!I14)</f>
        <v>18</v>
      </c>
      <c r="K277" s="58" t="n">
        <f aca="false">IF(03_Cenas!J14="","",03_Cenas!J14)</f>
        <v>14</v>
      </c>
      <c r="L277" s="58" t="n">
        <f aca="false">IF(03_Cenas!L14="","",03_Cenas!L14)</f>
        <v>15</v>
      </c>
      <c r="M277" s="58" t="n">
        <f aca="false">IF(03_Cenas!N14="","",03_Cenas!N14)</f>
        <v>1.26</v>
      </c>
      <c r="N277" s="58" t="n">
        <f aca="false">IF(03_Cenas!O14="","",03_Cenas!O14)</f>
        <v>12.74</v>
      </c>
      <c r="O277" s="55" t="str">
        <f aca="false">IF(03_Cenas!P14="","",03_Cenas!P14)</f>
        <v>18:00-23:00</v>
      </c>
      <c r="P277" s="55" t="n">
        <f aca="false">IF(03_Cenas!Q14="","",03_Cenas!Q14)</f>
        <v>12</v>
      </c>
      <c r="Q277" s="55" t="str">
        <f aca="false">IF(03_Cenas!R14="","",03_Cenas!R14)</f>
        <v>Medio</v>
      </c>
      <c r="R277" s="55" t="str">
        <f aca="false">IF(03_Cenas!S14="","",03_Cenas!S14)</f>
        <v>Todo el año</v>
      </c>
      <c r="S277" s="55" t="str">
        <f aca="false">IF(03_Cenas!T14="","",03_Cenas!T14)</f>
        <v>Broastería</v>
      </c>
      <c r="T277" s="56" t="str">
        <f aca="false">IF(03_Cenas!U14="","",03_Cenas!U14)</f>
        <v/>
      </c>
      <c r="U277" s="55" t="n">
        <v>14</v>
      </c>
      <c r="V277" s="55" t="n">
        <f aca="false">IF(AND(OR(LEN(13_Buscador!$C$5)=0,ISNUMBER(SEARCH(13_Buscador!$C$5,$C277&amp;" "&amp;$D277&amp;" "&amp;$E277&amp;" "&amp;$F277&amp;" "&amp;$S277))),OR(13_Buscador!$C$6="Todas las listas",LEN(13_Buscador!$C$6)=0,13_Buscador!$C$6=$B277)),1,0)</f>
        <v>1</v>
      </c>
      <c r="W277" s="55" t="n">
        <f aca="false">IF(V277=1,SUM($V$2:V277),"")</f>
        <v>64</v>
      </c>
    </row>
    <row r="278" customFormat="false" ht="23.25" hidden="false" customHeight="true" outlineLevel="0" collapsed="false">
      <c r="A278" s="55" t="n">
        <v>277</v>
      </c>
      <c r="B278" s="55" t="s">
        <v>3329</v>
      </c>
      <c r="C278" s="55" t="str">
        <f aca="false">IF(03_Cenas!B15="","",03_Cenas!B15)</f>
        <v>Broaster y frituras</v>
      </c>
      <c r="D278" s="56" t="str">
        <f aca="false">IF(03_Cenas!C15="","",03_Cenas!C15)</f>
        <v>Papa rellena</v>
      </c>
      <c r="E278" s="56" t="str">
        <f aca="false">IF(03_Cenas!D15="","",03_Cenas!D15)</f>
        <v>Papa con relleno de carne</v>
      </c>
      <c r="F278" s="56" t="str">
        <f aca="false">IF(03_Cenas!E15="","",03_Cenas!E15)</f>
        <v>papa, carne molida, cebolla, huevo, aceituna, pasas, aceite</v>
      </c>
      <c r="G278" s="55" t="str">
        <f aca="false">IF(03_Cenas!F15="","",03_Cenas!F15)</f>
        <v>1 unidad</v>
      </c>
      <c r="H278" s="55" t="str">
        <f aca="false">IF(03_Cenas!G15="","",03_Cenas!G15)</f>
        <v>Económico</v>
      </c>
      <c r="I278" s="58" t="n">
        <f aca="false">IF(03_Cenas!H15="","",03_Cenas!H15)</f>
        <v>4</v>
      </c>
      <c r="J278" s="58" t="n">
        <f aca="false">IF(03_Cenas!I15="","",03_Cenas!I15)</f>
        <v>8</v>
      </c>
      <c r="K278" s="58" t="n">
        <f aca="false">IF(03_Cenas!J15="","",03_Cenas!J15)</f>
        <v>6</v>
      </c>
      <c r="L278" s="58" t="n">
        <f aca="false">IF(03_Cenas!L15="","",03_Cenas!L15)</f>
        <v>7</v>
      </c>
      <c r="M278" s="58" t="n">
        <f aca="false">IF(03_Cenas!N15="","",03_Cenas!N15)</f>
        <v>0.42</v>
      </c>
      <c r="N278" s="58" t="n">
        <f aca="false">IF(03_Cenas!O15="","",03_Cenas!O15)</f>
        <v>5.58</v>
      </c>
      <c r="O278" s="55" t="str">
        <f aca="false">IF(03_Cenas!P15="","",03_Cenas!P15)</f>
        <v>17:00-22:00</v>
      </c>
      <c r="P278" s="55" t="n">
        <f aca="false">IF(03_Cenas!Q15="","",03_Cenas!Q15)</f>
        <v>5</v>
      </c>
      <c r="Q278" s="55" t="str">
        <f aca="false">IF(03_Cenas!R15="","",03_Cenas!R15)</f>
        <v>Alto</v>
      </c>
      <c r="R278" s="55" t="str">
        <f aca="false">IF(03_Cenas!S15="","",03_Cenas!S15)</f>
        <v>Todo el año</v>
      </c>
      <c r="S278" s="55" t="str">
        <f aca="false">IF(03_Cenas!T15="","",03_Cenas!T15)</f>
        <v>Ambulante, mercado</v>
      </c>
      <c r="T278" s="56" t="str">
        <f aca="false">IF(03_Cenas!U15="","",03_Cenas!U15)</f>
        <v/>
      </c>
      <c r="U278" s="55" t="n">
        <v>15</v>
      </c>
      <c r="V278" s="55" t="n">
        <f aca="false">IF(AND(OR(LEN(13_Buscador!$C$5)=0,ISNUMBER(SEARCH(13_Buscador!$C$5,$C278&amp;" "&amp;$D278&amp;" "&amp;$E278&amp;" "&amp;$F278&amp;" "&amp;$S278))),OR(13_Buscador!$C$6="Todas las listas",LEN(13_Buscador!$C$6)=0,13_Buscador!$C$6=$B278)),1,0)</f>
        <v>0</v>
      </c>
      <c r="W278" s="55" t="str">
        <f aca="false">IF(V278=1,SUM($V$2:V278),"")</f>
        <v/>
      </c>
    </row>
    <row r="279" customFormat="false" ht="23.25" hidden="false" customHeight="true" outlineLevel="0" collapsed="false">
      <c r="A279" s="55" t="n">
        <v>278</v>
      </c>
      <c r="B279" s="55" t="s">
        <v>3329</v>
      </c>
      <c r="C279" s="55" t="str">
        <f aca="false">IF(03_Cenas!B16="","",03_Cenas!B16)</f>
        <v>Hamburguesas y sándwiches</v>
      </c>
      <c r="D279" s="56" t="str">
        <f aca="false">IF(03_Cenas!C16="","",03_Cenas!C16)</f>
        <v>Hamburguesa clásica</v>
      </c>
      <c r="E279" s="56" t="str">
        <f aca="false">IF(03_Cenas!D16="","",03_Cenas!D16)</f>
        <v>Carne, vegetales, papas</v>
      </c>
      <c r="F279" s="56" t="str">
        <f aca="false">IF(03_Cenas!E16="","",03_Cenas!E16)</f>
        <v>pan de hamburguesa, carne o pollo, lechuga, tomate, cebolla, queso, salsas, papas fritas</v>
      </c>
      <c r="G279" s="55" t="str">
        <f aca="false">IF(03_Cenas!F16="","",03_Cenas!F16)</f>
        <v>1 unidad</v>
      </c>
      <c r="H279" s="55" t="str">
        <f aca="false">IF(03_Cenas!G16="","",03_Cenas!G16)</f>
        <v>Económico</v>
      </c>
      <c r="I279" s="58" t="n">
        <f aca="false">IF(03_Cenas!H16="","",03_Cenas!H16)</f>
        <v>7</v>
      </c>
      <c r="J279" s="58" t="n">
        <f aca="false">IF(03_Cenas!I16="","",03_Cenas!I16)</f>
        <v>14</v>
      </c>
      <c r="K279" s="58" t="n">
        <f aca="false">IF(03_Cenas!J16="","",03_Cenas!J16)</f>
        <v>10.5</v>
      </c>
      <c r="L279" s="58" t="n">
        <f aca="false">IF(03_Cenas!L16="","",03_Cenas!L16)</f>
        <v>11.5</v>
      </c>
      <c r="M279" s="58" t="n">
        <f aca="false">IF(03_Cenas!N16="","",03_Cenas!N16)</f>
        <v>0.74</v>
      </c>
      <c r="N279" s="58" t="n">
        <f aca="false">IF(03_Cenas!O16="","",03_Cenas!O16)</f>
        <v>9.76</v>
      </c>
      <c r="O279" s="55" t="str">
        <f aca="false">IF(03_Cenas!P16="","",03_Cenas!P16)</f>
        <v>18:00-23:00</v>
      </c>
      <c r="P279" s="55" t="n">
        <f aca="false">IF(03_Cenas!Q16="","",03_Cenas!Q16)</f>
        <v>10</v>
      </c>
      <c r="Q279" s="55" t="str">
        <f aca="false">IF(03_Cenas!R16="","",03_Cenas!R16)</f>
        <v>Alto</v>
      </c>
      <c r="R279" s="55" t="str">
        <f aca="false">IF(03_Cenas!S16="","",03_Cenas!S16)</f>
        <v>Todo el año</v>
      </c>
      <c r="S279" s="55" t="str">
        <f aca="false">IF(03_Cenas!T16="","",03_Cenas!T16)</f>
        <v>Fast food</v>
      </c>
      <c r="T279" s="56" t="str">
        <f aca="false">IF(03_Cenas!U16="","",03_Cenas!U16)</f>
        <v>Alta rotación nocturna</v>
      </c>
      <c r="U279" s="55" t="n">
        <v>16</v>
      </c>
      <c r="V279" s="55" t="n">
        <f aca="false">IF(AND(OR(LEN(13_Buscador!$C$5)=0,ISNUMBER(SEARCH(13_Buscador!$C$5,$C279&amp;" "&amp;$D279&amp;" "&amp;$E279&amp;" "&amp;$F279&amp;" "&amp;$S279))),OR(13_Buscador!$C$6="Todas las listas",LEN(13_Buscador!$C$6)=0,13_Buscador!$C$6=$B279)),1,0)</f>
        <v>1</v>
      </c>
      <c r="W279" s="55" t="n">
        <f aca="false">IF(V279=1,SUM($V$2:V279),"")</f>
        <v>65</v>
      </c>
    </row>
    <row r="280" customFormat="false" ht="23.25" hidden="false" customHeight="true" outlineLevel="0" collapsed="false">
      <c r="A280" s="55" t="n">
        <v>279</v>
      </c>
      <c r="B280" s="55" t="s">
        <v>3329</v>
      </c>
      <c r="C280" s="55" t="str">
        <f aca="false">IF(03_Cenas!B17="","",03_Cenas!B17)</f>
        <v>Hamburguesas y sándwiches</v>
      </c>
      <c r="D280" s="56" t="str">
        <f aca="false">IF(03_Cenas!C17="","",03_Cenas!C17)</f>
        <v>Hamburguesa doble</v>
      </c>
      <c r="E280" s="56" t="str">
        <f aca="false">IF(03_Cenas!D17="","",03_Cenas!D17)</f>
        <v>Doble carne y queso</v>
      </c>
      <c r="F280" s="56" t="str">
        <f aca="false">IF(03_Cenas!E17="","",03_Cenas!E17)</f>
        <v>pan de hamburguesa, carne o pollo, lechuga, tomate, cebolla, queso, salsas, papas fritas</v>
      </c>
      <c r="G280" s="55" t="str">
        <f aca="false">IF(03_Cenas!F17="","",03_Cenas!F17)</f>
        <v>1 unidad</v>
      </c>
      <c r="H280" s="55" t="str">
        <f aca="false">IF(03_Cenas!G17="","",03_Cenas!G17)</f>
        <v>Estándar</v>
      </c>
      <c r="I280" s="58" t="n">
        <f aca="false">IF(03_Cenas!H17="","",03_Cenas!H17)</f>
        <v>12</v>
      </c>
      <c r="J280" s="58" t="n">
        <f aca="false">IF(03_Cenas!I17="","",03_Cenas!I17)</f>
        <v>20</v>
      </c>
      <c r="K280" s="58" t="n">
        <f aca="false">IF(03_Cenas!J17="","",03_Cenas!J17)</f>
        <v>16</v>
      </c>
      <c r="L280" s="58" t="n">
        <f aca="false">IF(03_Cenas!L17="","",03_Cenas!L17)</f>
        <v>17</v>
      </c>
      <c r="M280" s="58" t="n">
        <f aca="false">IF(03_Cenas!N17="","",03_Cenas!N17)</f>
        <v>1.44</v>
      </c>
      <c r="N280" s="58" t="n">
        <f aca="false">IF(03_Cenas!O17="","",03_Cenas!O17)</f>
        <v>14.56</v>
      </c>
      <c r="O280" s="55" t="str">
        <f aca="false">IF(03_Cenas!P17="","",03_Cenas!P17)</f>
        <v>18:00-23:00</v>
      </c>
      <c r="P280" s="55" t="n">
        <f aca="false">IF(03_Cenas!Q17="","",03_Cenas!Q17)</f>
        <v>12</v>
      </c>
      <c r="Q280" s="55" t="str">
        <f aca="false">IF(03_Cenas!R17="","",03_Cenas!R17)</f>
        <v>Alto</v>
      </c>
      <c r="R280" s="55" t="str">
        <f aca="false">IF(03_Cenas!S17="","",03_Cenas!S17)</f>
        <v>Todo el año</v>
      </c>
      <c r="S280" s="55" t="str">
        <f aca="false">IF(03_Cenas!T17="","",03_Cenas!T17)</f>
        <v>Fast food</v>
      </c>
      <c r="T280" s="56" t="str">
        <f aca="false">IF(03_Cenas!U17="","",03_Cenas!U17)</f>
        <v/>
      </c>
      <c r="U280" s="55" t="n">
        <v>17</v>
      </c>
      <c r="V280" s="55" t="n">
        <f aca="false">IF(AND(OR(LEN(13_Buscador!$C$5)=0,ISNUMBER(SEARCH(13_Buscador!$C$5,$C280&amp;" "&amp;$D280&amp;" "&amp;$E280&amp;" "&amp;$F280&amp;" "&amp;$S280))),OR(13_Buscador!$C$6="Todas las listas",LEN(13_Buscador!$C$6)=0,13_Buscador!$C$6=$B280)),1,0)</f>
        <v>1</v>
      </c>
      <c r="W280" s="55" t="n">
        <f aca="false">IF(V280=1,SUM($V$2:V280),"")</f>
        <v>66</v>
      </c>
    </row>
    <row r="281" customFormat="false" ht="23.25" hidden="false" customHeight="true" outlineLevel="0" collapsed="false">
      <c r="A281" s="55" t="n">
        <v>280</v>
      </c>
      <c r="B281" s="55" t="s">
        <v>3329</v>
      </c>
      <c r="C281" s="55" t="str">
        <f aca="false">IF(03_Cenas!B18="","",03_Cenas!B18)</f>
        <v>Hamburguesas y sándwiches</v>
      </c>
      <c r="D281" s="56" t="str">
        <f aca="false">IF(03_Cenas!C18="","",03_Cenas!C18)</f>
        <v>Hamburguesa de pollo</v>
      </c>
      <c r="E281" s="56" t="str">
        <f aca="false">IF(03_Cenas!D18="","",03_Cenas!D18)</f>
        <v>Pollo apanado</v>
      </c>
      <c r="F281" s="56" t="str">
        <f aca="false">IF(03_Cenas!E18="","",03_Cenas!E18)</f>
        <v>pan de hamburguesa, carne o pollo, lechuga, tomate, cebolla, queso, salsas, papas fritas</v>
      </c>
      <c r="G281" s="55" t="str">
        <f aca="false">IF(03_Cenas!F18="","",03_Cenas!F18)</f>
        <v>1 unidad</v>
      </c>
      <c r="H281" s="55" t="str">
        <f aca="false">IF(03_Cenas!G18="","",03_Cenas!G18)</f>
        <v>Económico</v>
      </c>
      <c r="I281" s="58" t="n">
        <f aca="false">IF(03_Cenas!H18="","",03_Cenas!H18)</f>
        <v>8</v>
      </c>
      <c r="J281" s="58" t="n">
        <f aca="false">IF(03_Cenas!I18="","",03_Cenas!I18)</f>
        <v>15</v>
      </c>
      <c r="K281" s="58" t="n">
        <f aca="false">IF(03_Cenas!J18="","",03_Cenas!J18)</f>
        <v>11.5</v>
      </c>
      <c r="L281" s="58" t="n">
        <f aca="false">IF(03_Cenas!L18="","",03_Cenas!L18)</f>
        <v>12.5</v>
      </c>
      <c r="M281" s="58" t="n">
        <f aca="false">IF(03_Cenas!N18="","",03_Cenas!N18)</f>
        <v>0.81</v>
      </c>
      <c r="N281" s="58" t="n">
        <f aca="false">IF(03_Cenas!O18="","",03_Cenas!O18)</f>
        <v>10.69</v>
      </c>
      <c r="O281" s="55" t="str">
        <f aca="false">IF(03_Cenas!P18="","",03_Cenas!P18)</f>
        <v>18:00-23:00</v>
      </c>
      <c r="P281" s="55" t="n">
        <f aca="false">IF(03_Cenas!Q18="","",03_Cenas!Q18)</f>
        <v>10</v>
      </c>
      <c r="Q281" s="55" t="str">
        <f aca="false">IF(03_Cenas!R18="","",03_Cenas!R18)</f>
        <v>Alto</v>
      </c>
      <c r="R281" s="55" t="str">
        <f aca="false">IF(03_Cenas!S18="","",03_Cenas!S18)</f>
        <v>Todo el año</v>
      </c>
      <c r="S281" s="55" t="str">
        <f aca="false">IF(03_Cenas!T18="","",03_Cenas!T18)</f>
        <v>Fast food</v>
      </c>
      <c r="T281" s="56" t="str">
        <f aca="false">IF(03_Cenas!U18="","",03_Cenas!U18)</f>
        <v/>
      </c>
      <c r="U281" s="55" t="n">
        <v>18</v>
      </c>
      <c r="V281" s="55" t="n">
        <f aca="false">IF(AND(OR(LEN(13_Buscador!$C$5)=0,ISNUMBER(SEARCH(13_Buscador!$C$5,$C281&amp;" "&amp;$D281&amp;" "&amp;$E281&amp;" "&amp;$F281&amp;" "&amp;$S281))),OR(13_Buscador!$C$6="Todas las listas",LEN(13_Buscador!$C$6)=0,13_Buscador!$C$6=$B281)),1,0)</f>
        <v>1</v>
      </c>
      <c r="W281" s="55" t="n">
        <f aca="false">IF(V281=1,SUM($V$2:V281),"")</f>
        <v>67</v>
      </c>
    </row>
    <row r="282" customFormat="false" ht="15" hidden="false" customHeight="true" outlineLevel="0" collapsed="false">
      <c r="A282" s="55" t="n">
        <v>281</v>
      </c>
      <c r="B282" s="55" t="s">
        <v>3329</v>
      </c>
      <c r="C282" s="55" t="str">
        <f aca="false">IF(03_Cenas!B19="","",03_Cenas!B19)</f>
        <v>Hamburguesas y sándwiches</v>
      </c>
      <c r="D282" s="56" t="str">
        <f aca="false">IF(03_Cenas!C19="","",03_Cenas!C19)</f>
        <v>Hot dog</v>
      </c>
      <c r="E282" s="56" t="str">
        <f aca="false">IF(03_Cenas!D19="","",03_Cenas!D19)</f>
        <v>Salchicha con papas al hilo</v>
      </c>
      <c r="F282" s="56" t="str">
        <f aca="false">IF(03_Cenas!E19="","",03_Cenas!E19)</f>
        <v>pan, salchicha o chorizo, papas al hilo, salsas</v>
      </c>
      <c r="G282" s="55" t="str">
        <f aca="false">IF(03_Cenas!F19="","",03_Cenas!F19)</f>
        <v>1 unidad</v>
      </c>
      <c r="H282" s="55" t="str">
        <f aca="false">IF(03_Cenas!G19="","",03_Cenas!G19)</f>
        <v>Económico</v>
      </c>
      <c r="I282" s="58" t="n">
        <f aca="false">IF(03_Cenas!H19="","",03_Cenas!H19)</f>
        <v>5</v>
      </c>
      <c r="J282" s="58" t="n">
        <f aca="false">IF(03_Cenas!I19="","",03_Cenas!I19)</f>
        <v>10</v>
      </c>
      <c r="K282" s="58" t="n">
        <f aca="false">IF(03_Cenas!J19="","",03_Cenas!J19)</f>
        <v>7.5</v>
      </c>
      <c r="L282" s="58" t="n">
        <f aca="false">IF(03_Cenas!L19="","",03_Cenas!L19)</f>
        <v>8.5</v>
      </c>
      <c r="M282" s="58" t="n">
        <f aca="false">IF(03_Cenas!N19="","",03_Cenas!N19)</f>
        <v>0.53</v>
      </c>
      <c r="N282" s="58" t="n">
        <f aca="false">IF(03_Cenas!O19="","",03_Cenas!O19)</f>
        <v>6.97</v>
      </c>
      <c r="O282" s="55" t="str">
        <f aca="false">IF(03_Cenas!P19="","",03_Cenas!P19)</f>
        <v>18:00-23:00</v>
      </c>
      <c r="P282" s="55" t="n">
        <f aca="false">IF(03_Cenas!Q19="","",03_Cenas!Q19)</f>
        <v>6</v>
      </c>
      <c r="Q282" s="55" t="str">
        <f aca="false">IF(03_Cenas!R19="","",03_Cenas!R19)</f>
        <v>Alto</v>
      </c>
      <c r="R282" s="55" t="str">
        <f aca="false">IF(03_Cenas!S19="","",03_Cenas!S19)</f>
        <v>Todo el año</v>
      </c>
      <c r="S282" s="55" t="str">
        <f aca="false">IF(03_Cenas!T19="","",03_Cenas!T19)</f>
        <v>Ambulante</v>
      </c>
      <c r="T282" s="56" t="str">
        <f aca="false">IF(03_Cenas!U19="","",03_Cenas!U19)</f>
        <v/>
      </c>
      <c r="U282" s="55" t="n">
        <v>19</v>
      </c>
      <c r="V282" s="55" t="n">
        <f aca="false">IF(AND(OR(LEN(13_Buscador!$C$5)=0,ISNUMBER(SEARCH(13_Buscador!$C$5,$C282&amp;" "&amp;$D282&amp;" "&amp;$E282&amp;" "&amp;$F282&amp;" "&amp;$S282))),OR(13_Buscador!$C$6="Todas las listas",LEN(13_Buscador!$C$6)=0,13_Buscador!$C$6=$B282)),1,0)</f>
        <v>0</v>
      </c>
      <c r="W282" s="55" t="str">
        <f aca="false">IF(V282=1,SUM($V$2:V282),"")</f>
        <v/>
      </c>
    </row>
    <row r="283" customFormat="false" ht="15" hidden="false" customHeight="true" outlineLevel="0" collapsed="false">
      <c r="A283" s="55" t="n">
        <v>282</v>
      </c>
      <c r="B283" s="55" t="s">
        <v>3329</v>
      </c>
      <c r="C283" s="55" t="str">
        <f aca="false">IF(03_Cenas!B20="","",03_Cenas!B20)</f>
        <v>Hamburguesas y sándwiches</v>
      </c>
      <c r="D283" s="56" t="str">
        <f aca="false">IF(03_Cenas!C20="","",03_Cenas!C20)</f>
        <v>Sándwich de chicharrón nocturno</v>
      </c>
      <c r="E283" s="56" t="str">
        <f aca="false">IF(03_Cenas!D20="","",03_Cenas!D20)</f>
        <v>Chicharrón con camote</v>
      </c>
      <c r="F283" s="56" t="str">
        <f aca="false">IF(03_Cenas!E20="","",03_Cenas!E20)</f>
        <v>ron de caña</v>
      </c>
      <c r="G283" s="55" t="str">
        <f aca="false">IF(03_Cenas!F20="","",03_Cenas!F20)</f>
        <v>1 unidad</v>
      </c>
      <c r="H283" s="55" t="str">
        <f aca="false">IF(03_Cenas!G20="","",03_Cenas!G20)</f>
        <v>Económico</v>
      </c>
      <c r="I283" s="58" t="n">
        <f aca="false">IF(03_Cenas!H20="","",03_Cenas!H20)</f>
        <v>6</v>
      </c>
      <c r="J283" s="58" t="n">
        <f aca="false">IF(03_Cenas!I20="","",03_Cenas!I20)</f>
        <v>12</v>
      </c>
      <c r="K283" s="58" t="n">
        <f aca="false">IF(03_Cenas!J20="","",03_Cenas!J20)</f>
        <v>9</v>
      </c>
      <c r="L283" s="58" t="n">
        <f aca="false">IF(03_Cenas!L20="","",03_Cenas!L20)</f>
        <v>10</v>
      </c>
      <c r="M283" s="58" t="n">
        <f aca="false">IF(03_Cenas!N20="","",03_Cenas!N20)</f>
        <v>0.63</v>
      </c>
      <c r="N283" s="58" t="n">
        <f aca="false">IF(03_Cenas!O20="","",03_Cenas!O20)</f>
        <v>8.37</v>
      </c>
      <c r="O283" s="55" t="str">
        <f aca="false">IF(03_Cenas!P20="","",03_Cenas!P20)</f>
        <v>18:00-23:00</v>
      </c>
      <c r="P283" s="55" t="n">
        <f aca="false">IF(03_Cenas!Q20="","",03_Cenas!Q20)</f>
        <v>6</v>
      </c>
      <c r="Q283" s="55" t="str">
        <f aca="false">IF(03_Cenas!R20="","",03_Cenas!R20)</f>
        <v>Alto</v>
      </c>
      <c r="R283" s="55" t="str">
        <f aca="false">IF(03_Cenas!S20="","",03_Cenas!S20)</f>
        <v>Todo el año</v>
      </c>
      <c r="S283" s="55" t="str">
        <f aca="false">IF(03_Cenas!T20="","",03_Cenas!T20)</f>
        <v>Ambulante</v>
      </c>
      <c r="T283" s="56" t="str">
        <f aca="false">IF(03_Cenas!U20="","",03_Cenas!U20)</f>
        <v/>
      </c>
      <c r="U283" s="55" t="n">
        <v>20</v>
      </c>
      <c r="V283" s="55" t="n">
        <f aca="false">IF(AND(OR(LEN(13_Buscador!$C$5)=0,ISNUMBER(SEARCH(13_Buscador!$C$5,$C283&amp;" "&amp;$D283&amp;" "&amp;$E283&amp;" "&amp;$F283&amp;" "&amp;$S283))),OR(13_Buscador!$C$6="Todas las listas",LEN(13_Buscador!$C$6)=0,13_Buscador!$C$6=$B283)),1,0)</f>
        <v>0</v>
      </c>
      <c r="W283" s="55" t="str">
        <f aca="false">IF(V283=1,SUM($V$2:V283),"")</f>
        <v/>
      </c>
    </row>
    <row r="284" customFormat="false" ht="15" hidden="false" customHeight="true" outlineLevel="0" collapsed="false">
      <c r="A284" s="55" t="n">
        <v>283</v>
      </c>
      <c r="B284" s="55" t="s">
        <v>3329</v>
      </c>
      <c r="C284" s="55" t="str">
        <f aca="false">IF(03_Cenas!B21="","",03_Cenas!B21)</f>
        <v>Hamburguesas y sándwiches</v>
      </c>
      <c r="D284" s="56" t="str">
        <f aca="false">IF(03_Cenas!C21="","",03_Cenas!C21)</f>
        <v>Sándwich triple</v>
      </c>
      <c r="E284" s="56" t="str">
        <f aca="false">IF(03_Cenas!D21="","",03_Cenas!D21)</f>
        <v>Tres pisos con palta y huevo</v>
      </c>
      <c r="F284" s="56" t="str">
        <f aca="false">IF(03_Cenas!E21="","",03_Cenas!E21)</f>
        <v>pan de molde, palta, huevo, tomate, mayonesa</v>
      </c>
      <c r="G284" s="55" t="str">
        <f aca="false">IF(03_Cenas!F21="","",03_Cenas!F21)</f>
        <v>1 unidad</v>
      </c>
      <c r="H284" s="55" t="str">
        <f aca="false">IF(03_Cenas!G21="","",03_Cenas!G21)</f>
        <v>Estándar</v>
      </c>
      <c r="I284" s="58" t="n">
        <f aca="false">IF(03_Cenas!H21="","",03_Cenas!H21)</f>
        <v>8</v>
      </c>
      <c r="J284" s="58" t="n">
        <f aca="false">IF(03_Cenas!I21="","",03_Cenas!I21)</f>
        <v>15</v>
      </c>
      <c r="K284" s="58" t="n">
        <f aca="false">IF(03_Cenas!J21="","",03_Cenas!J21)</f>
        <v>11.5</v>
      </c>
      <c r="L284" s="58" t="n">
        <f aca="false">IF(03_Cenas!L21="","",03_Cenas!L21)</f>
        <v>12.5</v>
      </c>
      <c r="M284" s="58" t="n">
        <f aca="false">IF(03_Cenas!N21="","",03_Cenas!N21)</f>
        <v>1.04</v>
      </c>
      <c r="N284" s="58" t="n">
        <f aca="false">IF(03_Cenas!O21="","",03_Cenas!O21)</f>
        <v>10.46</v>
      </c>
      <c r="O284" s="55" t="str">
        <f aca="false">IF(03_Cenas!P21="","",03_Cenas!P21)</f>
        <v>18:00-22:00</v>
      </c>
      <c r="P284" s="55" t="n">
        <f aca="false">IF(03_Cenas!Q21="","",03_Cenas!Q21)</f>
        <v>8</v>
      </c>
      <c r="Q284" s="55" t="str">
        <f aca="false">IF(03_Cenas!R21="","",03_Cenas!R21)</f>
        <v>Alto</v>
      </c>
      <c r="R284" s="55" t="str">
        <f aca="false">IF(03_Cenas!S21="","",03_Cenas!S21)</f>
        <v>Todo el año</v>
      </c>
      <c r="S284" s="55" t="str">
        <f aca="false">IF(03_Cenas!T21="","",03_Cenas!T21)</f>
        <v>Cafetería</v>
      </c>
      <c r="T284" s="56" t="str">
        <f aca="false">IF(03_Cenas!U21="","",03_Cenas!U21)</f>
        <v/>
      </c>
      <c r="U284" s="55" t="n">
        <v>21</v>
      </c>
      <c r="V284" s="55" t="n">
        <f aca="false">IF(AND(OR(LEN(13_Buscador!$C$5)=0,ISNUMBER(SEARCH(13_Buscador!$C$5,$C284&amp;" "&amp;$D284&amp;" "&amp;$E284&amp;" "&amp;$F284&amp;" "&amp;$S284))),OR(13_Buscador!$C$6="Todas las listas",LEN(13_Buscador!$C$6)=0,13_Buscador!$C$6=$B284)),1,0)</f>
        <v>0</v>
      </c>
      <c r="W284" s="55" t="str">
        <f aca="false">IF(V284=1,SUM($V$2:V284),"")</f>
        <v/>
      </c>
    </row>
    <row r="285" customFormat="false" ht="23.25" hidden="false" customHeight="true" outlineLevel="0" collapsed="false">
      <c r="A285" s="55" t="n">
        <v>284</v>
      </c>
      <c r="B285" s="55" t="s">
        <v>3329</v>
      </c>
      <c r="C285" s="55" t="str">
        <f aca="false">IF(03_Cenas!B22="","",03_Cenas!B22)</f>
        <v>Pizzas y pastas</v>
      </c>
      <c r="D285" s="56" t="str">
        <f aca="false">IF(03_Cenas!C22="","",03_Cenas!C22)</f>
        <v>Pizza personal</v>
      </c>
      <c r="E285" s="56" t="str">
        <f aca="false">IF(03_Cenas!D22="","",03_Cenas!D22)</f>
        <v>4 porciones</v>
      </c>
      <c r="F285" s="56" t="str">
        <f aca="false">IF(03_Cenas!E22="","",03_Cenas!E22)</f>
        <v>masa de pizza, salsa de tomate, queso mozzarella, orégano, ingredientes del sabor</v>
      </c>
      <c r="G285" s="55" t="str">
        <f aca="false">IF(03_Cenas!F22="","",03_Cenas!F22)</f>
        <v>Personal</v>
      </c>
      <c r="H285" s="55" t="str">
        <f aca="false">IF(03_Cenas!G22="","",03_Cenas!G22)</f>
        <v>Estándar</v>
      </c>
      <c r="I285" s="58" t="n">
        <f aca="false">IF(03_Cenas!H22="","",03_Cenas!H22)</f>
        <v>12</v>
      </c>
      <c r="J285" s="58" t="n">
        <f aca="false">IF(03_Cenas!I22="","",03_Cenas!I22)</f>
        <v>22</v>
      </c>
      <c r="K285" s="58" t="n">
        <f aca="false">IF(03_Cenas!J22="","",03_Cenas!J22)</f>
        <v>17</v>
      </c>
      <c r="L285" s="58" t="n">
        <f aca="false">IF(03_Cenas!L22="","",03_Cenas!L22)</f>
        <v>18</v>
      </c>
      <c r="M285" s="58" t="n">
        <f aca="false">IF(03_Cenas!N22="","",03_Cenas!N22)</f>
        <v>1.53</v>
      </c>
      <c r="N285" s="58" t="n">
        <f aca="false">IF(03_Cenas!O22="","",03_Cenas!O22)</f>
        <v>15.47</v>
      </c>
      <c r="O285" s="55" t="str">
        <f aca="false">IF(03_Cenas!P22="","",03_Cenas!P22)</f>
        <v>18:00-23:00</v>
      </c>
      <c r="P285" s="55" t="n">
        <f aca="false">IF(03_Cenas!Q22="","",03_Cenas!Q22)</f>
        <v>15</v>
      </c>
      <c r="Q285" s="55" t="str">
        <f aca="false">IF(03_Cenas!R22="","",03_Cenas!R22)</f>
        <v>Alto</v>
      </c>
      <c r="R285" s="55" t="str">
        <f aca="false">IF(03_Cenas!S22="","",03_Cenas!S22)</f>
        <v>Todo el año</v>
      </c>
      <c r="S285" s="55" t="str">
        <f aca="false">IF(03_Cenas!T22="","",03_Cenas!T22)</f>
        <v>Pizzería</v>
      </c>
      <c r="T285" s="56" t="str">
        <f aca="false">IF(03_Cenas!U22="","",03_Cenas!U22)</f>
        <v/>
      </c>
      <c r="U285" s="55" t="n">
        <v>22</v>
      </c>
      <c r="V285" s="55" t="n">
        <f aca="false">IF(AND(OR(LEN(13_Buscador!$C$5)=0,ISNUMBER(SEARCH(13_Buscador!$C$5,$C285&amp;" "&amp;$D285&amp;" "&amp;$E285&amp;" "&amp;$F285&amp;" "&amp;$S285))),OR(13_Buscador!$C$6="Todas las listas",LEN(13_Buscador!$C$6)=0,13_Buscador!$C$6=$B285)),1,0)</f>
        <v>0</v>
      </c>
      <c r="W285" s="55" t="str">
        <f aca="false">IF(V285=1,SUM($V$2:V285),"")</f>
        <v/>
      </c>
    </row>
    <row r="286" customFormat="false" ht="23.25" hidden="false" customHeight="true" outlineLevel="0" collapsed="false">
      <c r="A286" s="55" t="n">
        <v>285</v>
      </c>
      <c r="B286" s="55" t="s">
        <v>3329</v>
      </c>
      <c r="C286" s="55" t="str">
        <f aca="false">IF(03_Cenas!B23="","",03_Cenas!B23)</f>
        <v>Pizzas y pastas</v>
      </c>
      <c r="D286" s="56" t="str">
        <f aca="false">IF(03_Cenas!C23="","",03_Cenas!C23)</f>
        <v>Pizza mediana</v>
      </c>
      <c r="E286" s="56" t="str">
        <f aca="false">IF(03_Cenas!D23="","",03_Cenas!D23)</f>
        <v>6 porciones</v>
      </c>
      <c r="F286" s="56" t="str">
        <f aca="false">IF(03_Cenas!E23="","",03_Cenas!E23)</f>
        <v>masa de pizza, salsa de tomate, queso mozzarella, orégano, ingredientes del sabor</v>
      </c>
      <c r="G286" s="55" t="str">
        <f aca="false">IF(03_Cenas!F23="","",03_Cenas!F23)</f>
        <v>Mediana</v>
      </c>
      <c r="H286" s="55" t="str">
        <f aca="false">IF(03_Cenas!G23="","",03_Cenas!G23)</f>
        <v>Medio</v>
      </c>
      <c r="I286" s="58" t="n">
        <f aca="false">IF(03_Cenas!H23="","",03_Cenas!H23)</f>
        <v>22</v>
      </c>
      <c r="J286" s="58" t="n">
        <f aca="false">IF(03_Cenas!I23="","",03_Cenas!I23)</f>
        <v>40</v>
      </c>
      <c r="K286" s="58" t="n">
        <f aca="false">IF(03_Cenas!J23="","",03_Cenas!J23)</f>
        <v>31</v>
      </c>
      <c r="L286" s="58" t="n">
        <f aca="false">IF(03_Cenas!L23="","",03_Cenas!L23)</f>
        <v>32</v>
      </c>
      <c r="M286" s="58" t="n">
        <f aca="false">IF(03_Cenas!N23="","",03_Cenas!N23)</f>
        <v>3.41</v>
      </c>
      <c r="N286" s="58" t="n">
        <f aca="false">IF(03_Cenas!O23="","",03_Cenas!O23)</f>
        <v>27.59</v>
      </c>
      <c r="O286" s="55" t="str">
        <f aca="false">IF(03_Cenas!P23="","",03_Cenas!P23)</f>
        <v>18:00-23:00</v>
      </c>
      <c r="P286" s="55" t="n">
        <f aca="false">IF(03_Cenas!Q23="","",03_Cenas!Q23)</f>
        <v>18</v>
      </c>
      <c r="Q286" s="55" t="str">
        <f aca="false">IF(03_Cenas!R23="","",03_Cenas!R23)</f>
        <v>Alto</v>
      </c>
      <c r="R286" s="55" t="str">
        <f aca="false">IF(03_Cenas!S23="","",03_Cenas!S23)</f>
        <v>Fin de semana</v>
      </c>
      <c r="S286" s="55" t="str">
        <f aca="false">IF(03_Cenas!T23="","",03_Cenas!T23)</f>
        <v>Pizzería</v>
      </c>
      <c r="T286" s="56" t="str">
        <f aca="false">IF(03_Cenas!U23="","",03_Cenas!U23)</f>
        <v/>
      </c>
      <c r="U286" s="55" t="n">
        <v>23</v>
      </c>
      <c r="V286" s="55" t="n">
        <f aca="false">IF(AND(OR(LEN(13_Buscador!$C$5)=0,ISNUMBER(SEARCH(13_Buscador!$C$5,$C286&amp;" "&amp;$D286&amp;" "&amp;$E286&amp;" "&amp;$F286&amp;" "&amp;$S286))),OR(13_Buscador!$C$6="Todas las listas",LEN(13_Buscador!$C$6)=0,13_Buscador!$C$6=$B286)),1,0)</f>
        <v>0</v>
      </c>
      <c r="W286" s="55" t="str">
        <f aca="false">IF(V286=1,SUM($V$2:V286),"")</f>
        <v/>
      </c>
    </row>
    <row r="287" customFormat="false" ht="23.25" hidden="false" customHeight="true" outlineLevel="0" collapsed="false">
      <c r="A287" s="55" t="n">
        <v>286</v>
      </c>
      <c r="B287" s="55" t="s">
        <v>3329</v>
      </c>
      <c r="C287" s="55" t="str">
        <f aca="false">IF(03_Cenas!B24="","",03_Cenas!B24)</f>
        <v>Pizzas y pastas</v>
      </c>
      <c r="D287" s="56" t="str">
        <f aca="false">IF(03_Cenas!C24="","",03_Cenas!C24)</f>
        <v>Pizza familiar</v>
      </c>
      <c r="E287" s="56" t="str">
        <f aca="false">IF(03_Cenas!D24="","",03_Cenas!D24)</f>
        <v>8 porciones</v>
      </c>
      <c r="F287" s="56" t="str">
        <f aca="false">IF(03_Cenas!E24="","",03_Cenas!E24)</f>
        <v>masa de pizza, salsa de tomate, queso mozzarella, orégano, ingredientes del sabor</v>
      </c>
      <c r="G287" s="55" t="str">
        <f aca="false">IF(03_Cenas!F24="","",03_Cenas!F24)</f>
        <v>Familiar</v>
      </c>
      <c r="H287" s="55" t="str">
        <f aca="false">IF(03_Cenas!G24="","",03_Cenas!G24)</f>
        <v>Premium</v>
      </c>
      <c r="I287" s="58" t="n">
        <f aca="false">IF(03_Cenas!H24="","",03_Cenas!H24)</f>
        <v>30</v>
      </c>
      <c r="J287" s="58" t="n">
        <f aca="false">IF(03_Cenas!I24="","",03_Cenas!I24)</f>
        <v>60</v>
      </c>
      <c r="K287" s="58" t="n">
        <f aca="false">IF(03_Cenas!J24="","",03_Cenas!J24)</f>
        <v>45</v>
      </c>
      <c r="L287" s="58" t="n">
        <f aca="false">IF(03_Cenas!L24="","",03_Cenas!L24)</f>
        <v>46</v>
      </c>
      <c r="M287" s="58" t="n">
        <f aca="false">IF(03_Cenas!N24="","",03_Cenas!N24)</f>
        <v>5.85</v>
      </c>
      <c r="N287" s="58" t="n">
        <f aca="false">IF(03_Cenas!O24="","",03_Cenas!O24)</f>
        <v>39.15</v>
      </c>
      <c r="O287" s="55" t="str">
        <f aca="false">IF(03_Cenas!P24="","",03_Cenas!P24)</f>
        <v>18:00-23:00</v>
      </c>
      <c r="P287" s="55" t="n">
        <f aca="false">IF(03_Cenas!Q24="","",03_Cenas!Q24)</f>
        <v>20</v>
      </c>
      <c r="Q287" s="55" t="str">
        <f aca="false">IF(03_Cenas!R24="","",03_Cenas!R24)</f>
        <v>Alto</v>
      </c>
      <c r="R287" s="55" t="str">
        <f aca="false">IF(03_Cenas!S24="","",03_Cenas!S24)</f>
        <v>Fin de semana</v>
      </c>
      <c r="S287" s="55" t="str">
        <f aca="false">IF(03_Cenas!T24="","",03_Cenas!T24)</f>
        <v>Pizzería</v>
      </c>
      <c r="T287" s="56" t="str">
        <f aca="false">IF(03_Cenas!U24="","",03_Cenas!U24)</f>
        <v>TICKET ALTO de fin de semana</v>
      </c>
      <c r="U287" s="55" t="n">
        <v>24</v>
      </c>
      <c r="V287" s="55" t="n">
        <f aca="false">IF(AND(OR(LEN(13_Buscador!$C$5)=0,ISNUMBER(SEARCH(13_Buscador!$C$5,$C287&amp;" "&amp;$D287&amp;" "&amp;$E287&amp;" "&amp;$F287&amp;" "&amp;$S287))),OR(13_Buscador!$C$6="Todas las listas",LEN(13_Buscador!$C$6)=0,13_Buscador!$C$6=$B287)),1,0)</f>
        <v>0</v>
      </c>
      <c r="W287" s="55" t="str">
        <f aca="false">IF(V287=1,SUM($V$2:V287),"")</f>
        <v/>
      </c>
    </row>
    <row r="288" customFormat="false" ht="23.25" hidden="false" customHeight="true" outlineLevel="0" collapsed="false">
      <c r="A288" s="55" t="n">
        <v>287</v>
      </c>
      <c r="B288" s="55" t="s">
        <v>3329</v>
      </c>
      <c r="C288" s="55" t="str">
        <f aca="false">IF(03_Cenas!B25="","",03_Cenas!B25)</f>
        <v>Pizzas y pastas</v>
      </c>
      <c r="D288" s="56" t="str">
        <f aca="false">IF(03_Cenas!C25="","",03_Cenas!C25)</f>
        <v>Pizza artesanal horno de leña</v>
      </c>
      <c r="E288" s="56" t="str">
        <f aca="false">IF(03_Cenas!D25="","",03_Cenas!D25)</f>
        <v>Masa artesanal</v>
      </c>
      <c r="F288" s="56" t="str">
        <f aca="false">IF(03_Cenas!E25="","",03_Cenas!E25)</f>
        <v>masa de pizza, salsa de tomate, queso mozzarella, orégano, ingredientes del sabor</v>
      </c>
      <c r="G288" s="55" t="str">
        <f aca="false">IF(03_Cenas!F25="","",03_Cenas!F25)</f>
        <v>Mediana</v>
      </c>
      <c r="H288" s="55" t="str">
        <f aca="false">IF(03_Cenas!G25="","",03_Cenas!G25)</f>
        <v>Premium</v>
      </c>
      <c r="I288" s="58" t="n">
        <f aca="false">IF(03_Cenas!H25="","",03_Cenas!H25)</f>
        <v>25</v>
      </c>
      <c r="J288" s="58" t="n">
        <f aca="false">IF(03_Cenas!I25="","",03_Cenas!I25)</f>
        <v>50</v>
      </c>
      <c r="K288" s="58" t="n">
        <f aca="false">IF(03_Cenas!J25="","",03_Cenas!J25)</f>
        <v>37.5</v>
      </c>
      <c r="L288" s="58" t="n">
        <f aca="false">IF(03_Cenas!L25="","",03_Cenas!L25)</f>
        <v>38.5</v>
      </c>
      <c r="M288" s="58" t="n">
        <f aca="false">IF(03_Cenas!N25="","",03_Cenas!N25)</f>
        <v>4.88</v>
      </c>
      <c r="N288" s="58" t="n">
        <f aca="false">IF(03_Cenas!O25="","",03_Cenas!O25)</f>
        <v>32.62</v>
      </c>
      <c r="O288" s="55" t="str">
        <f aca="false">IF(03_Cenas!P25="","",03_Cenas!P25)</f>
        <v>18:00-23:00</v>
      </c>
      <c r="P288" s="55" t="n">
        <f aca="false">IF(03_Cenas!Q25="","",03_Cenas!Q25)</f>
        <v>20</v>
      </c>
      <c r="Q288" s="55" t="str">
        <f aca="false">IF(03_Cenas!R25="","",03_Cenas!R25)</f>
        <v>Alto</v>
      </c>
      <c r="R288" s="55" t="str">
        <f aca="false">IF(03_Cenas!S25="","",03_Cenas!S25)</f>
        <v>Todo el año</v>
      </c>
      <c r="S288" s="55" t="str">
        <f aca="false">IF(03_Cenas!T25="","",03_Cenas!T25)</f>
        <v>Pizzería turística</v>
      </c>
      <c r="T288" s="56" t="str">
        <f aca="false">IF(03_Cenas!U25="","",03_Cenas!U25)</f>
        <v/>
      </c>
      <c r="U288" s="55" t="n">
        <v>25</v>
      </c>
      <c r="V288" s="55" t="n">
        <f aca="false">IF(AND(OR(LEN(13_Buscador!$C$5)=0,ISNUMBER(SEARCH(13_Buscador!$C$5,$C288&amp;" "&amp;$D288&amp;" "&amp;$E288&amp;" "&amp;$F288&amp;" "&amp;$S288))),OR(13_Buscador!$C$6="Todas las listas",LEN(13_Buscador!$C$6)=0,13_Buscador!$C$6=$B288)),1,0)</f>
        <v>0</v>
      </c>
      <c r="W288" s="55" t="str">
        <f aca="false">IF(V288=1,SUM($V$2:V288),"")</f>
        <v/>
      </c>
    </row>
    <row r="289" customFormat="false" ht="23.25" hidden="false" customHeight="true" outlineLevel="0" collapsed="false">
      <c r="A289" s="55" t="n">
        <v>288</v>
      </c>
      <c r="B289" s="55" t="s">
        <v>3329</v>
      </c>
      <c r="C289" s="55" t="str">
        <f aca="false">IF(03_Cenas!B26="","",03_Cenas!B26)</f>
        <v>Pizzas y pastas</v>
      </c>
      <c r="D289" s="56" t="str">
        <f aca="false">IF(03_Cenas!C26="","",03_Cenas!C26)</f>
        <v>Lasaña</v>
      </c>
      <c r="E289" s="56" t="str">
        <f aca="false">IF(03_Cenas!D26="","",03_Cenas!D26)</f>
        <v>Porción de lasaña</v>
      </c>
      <c r="F289" s="56" t="str">
        <f aca="false">IF(03_Cenas!E26="","",03_Cenas!E26)</f>
        <v>pasta, carne molida, salsa de tomate, bechamel, queso</v>
      </c>
      <c r="G289" s="55" t="str">
        <f aca="false">IF(03_Cenas!F26="","",03_Cenas!F26)</f>
        <v>Porción</v>
      </c>
      <c r="H289" s="55" t="str">
        <f aca="false">IF(03_Cenas!G26="","",03_Cenas!G26)</f>
        <v>Medio</v>
      </c>
      <c r="I289" s="58" t="n">
        <f aca="false">IF(03_Cenas!H26="","",03_Cenas!H26)</f>
        <v>15</v>
      </c>
      <c r="J289" s="58" t="n">
        <f aca="false">IF(03_Cenas!I26="","",03_Cenas!I26)</f>
        <v>28</v>
      </c>
      <c r="K289" s="58" t="n">
        <f aca="false">IF(03_Cenas!J26="","",03_Cenas!J26)</f>
        <v>21.5</v>
      </c>
      <c r="L289" s="58" t="n">
        <f aca="false">IF(03_Cenas!L26="","",03_Cenas!L26)</f>
        <v>22.5</v>
      </c>
      <c r="M289" s="58" t="n">
        <f aca="false">IF(03_Cenas!N26="","",03_Cenas!N26)</f>
        <v>2.37</v>
      </c>
      <c r="N289" s="58" t="n">
        <f aca="false">IF(03_Cenas!O26="","",03_Cenas!O26)</f>
        <v>19.13</v>
      </c>
      <c r="O289" s="55" t="str">
        <f aca="false">IF(03_Cenas!P26="","",03_Cenas!P26)</f>
        <v>18:00-22:00</v>
      </c>
      <c r="P289" s="55" t="n">
        <f aca="false">IF(03_Cenas!Q26="","",03_Cenas!Q26)</f>
        <v>15</v>
      </c>
      <c r="Q289" s="55" t="str">
        <f aca="false">IF(03_Cenas!R26="","",03_Cenas!R26)</f>
        <v>Alto</v>
      </c>
      <c r="R289" s="55" t="str">
        <f aca="false">IF(03_Cenas!S26="","",03_Cenas!S26)</f>
        <v>Todo el año</v>
      </c>
      <c r="S289" s="55" t="str">
        <f aca="false">IF(03_Cenas!T26="","",03_Cenas!T26)</f>
        <v>Restaurante</v>
      </c>
      <c r="T289" s="56" t="str">
        <f aca="false">IF(03_Cenas!U26="","",03_Cenas!U26)</f>
        <v/>
      </c>
      <c r="U289" s="55" t="n">
        <v>26</v>
      </c>
      <c r="V289" s="55" t="n">
        <f aca="false">IF(AND(OR(LEN(13_Buscador!$C$5)=0,ISNUMBER(SEARCH(13_Buscador!$C$5,$C289&amp;" "&amp;$D289&amp;" "&amp;$E289&amp;" "&amp;$F289&amp;" "&amp;$S289))),OR(13_Buscador!$C$6="Todas las listas",LEN(13_Buscador!$C$6)=0,13_Buscador!$C$6=$B289)),1,0)</f>
        <v>0</v>
      </c>
      <c r="W289" s="55" t="str">
        <f aca="false">IF(V289=1,SUM($V$2:V289),"")</f>
        <v/>
      </c>
    </row>
    <row r="290" customFormat="false" ht="23.25" hidden="false" customHeight="true" outlineLevel="0" collapsed="false">
      <c r="A290" s="55" t="n">
        <v>289</v>
      </c>
      <c r="B290" s="55" t="s">
        <v>3329</v>
      </c>
      <c r="C290" s="55" t="str">
        <f aca="false">IF(03_Cenas!B27="","",03_Cenas!B27)</f>
        <v>Pizzas y pastas</v>
      </c>
      <c r="D290" s="56" t="str">
        <f aca="false">IF(03_Cenas!C27="","",03_Cenas!C27)</f>
        <v>Spaghetti a la boloñesa</v>
      </c>
      <c r="E290" s="56" t="str">
        <f aca="false">IF(03_Cenas!D27="","",03_Cenas!D27)</f>
        <v>Pasta con carne</v>
      </c>
      <c r="F290" s="56" t="str">
        <f aca="false">IF(03_Cenas!E27="","",03_Cenas!E27)</f>
        <v>pasta, salsa (tomate, crema o pesto), queso parmesano</v>
      </c>
      <c r="G290" s="55" t="str">
        <f aca="false">IF(03_Cenas!F27="","",03_Cenas!F27)</f>
        <v>Plato</v>
      </c>
      <c r="H290" s="55" t="str">
        <f aca="false">IF(03_Cenas!G27="","",03_Cenas!G27)</f>
        <v>Estándar</v>
      </c>
      <c r="I290" s="58" t="n">
        <f aca="false">IF(03_Cenas!H27="","",03_Cenas!H27)</f>
        <v>12</v>
      </c>
      <c r="J290" s="58" t="n">
        <f aca="false">IF(03_Cenas!I27="","",03_Cenas!I27)</f>
        <v>22</v>
      </c>
      <c r="K290" s="58" t="n">
        <f aca="false">IF(03_Cenas!J27="","",03_Cenas!J27)</f>
        <v>17</v>
      </c>
      <c r="L290" s="58" t="n">
        <f aca="false">IF(03_Cenas!L27="","",03_Cenas!L27)</f>
        <v>18</v>
      </c>
      <c r="M290" s="58" t="n">
        <f aca="false">IF(03_Cenas!N27="","",03_Cenas!N27)</f>
        <v>1.53</v>
      </c>
      <c r="N290" s="58" t="n">
        <f aca="false">IF(03_Cenas!O27="","",03_Cenas!O27)</f>
        <v>15.47</v>
      </c>
      <c r="O290" s="55" t="str">
        <f aca="false">IF(03_Cenas!P27="","",03_Cenas!P27)</f>
        <v>18:00-22:00</v>
      </c>
      <c r="P290" s="55" t="n">
        <f aca="false">IF(03_Cenas!Q27="","",03_Cenas!Q27)</f>
        <v>12</v>
      </c>
      <c r="Q290" s="55" t="str">
        <f aca="false">IF(03_Cenas!R27="","",03_Cenas!R27)</f>
        <v>Alto</v>
      </c>
      <c r="R290" s="55" t="str">
        <f aca="false">IF(03_Cenas!S27="","",03_Cenas!S27)</f>
        <v>Todo el año</v>
      </c>
      <c r="S290" s="55" t="str">
        <f aca="false">IF(03_Cenas!T27="","",03_Cenas!T27)</f>
        <v>Restaurante</v>
      </c>
      <c r="T290" s="56" t="str">
        <f aca="false">IF(03_Cenas!U27="","",03_Cenas!U27)</f>
        <v/>
      </c>
      <c r="U290" s="55" t="n">
        <v>27</v>
      </c>
      <c r="V290" s="55" t="n">
        <f aca="false">IF(AND(OR(LEN(13_Buscador!$C$5)=0,ISNUMBER(SEARCH(13_Buscador!$C$5,$C290&amp;" "&amp;$D290&amp;" "&amp;$E290&amp;" "&amp;$F290&amp;" "&amp;$S290))),OR(13_Buscador!$C$6="Todas las listas",LEN(13_Buscador!$C$6)=0,13_Buscador!$C$6=$B290)),1,0)</f>
        <v>0</v>
      </c>
      <c r="W290" s="55" t="str">
        <f aca="false">IF(V290=1,SUM($V$2:V290),"")</f>
        <v/>
      </c>
    </row>
    <row r="291" customFormat="false" ht="23.25" hidden="false" customHeight="true" outlineLevel="0" collapsed="false">
      <c r="A291" s="55" t="n">
        <v>290</v>
      </c>
      <c r="B291" s="55" t="s">
        <v>3329</v>
      </c>
      <c r="C291" s="55" t="str">
        <f aca="false">IF(03_Cenas!B28="","",03_Cenas!B28)</f>
        <v>Pizzas y pastas</v>
      </c>
      <c r="D291" s="56" t="str">
        <f aca="false">IF(03_Cenas!C28="","",03_Cenas!C28)</f>
        <v>Fetuccini alfredo</v>
      </c>
      <c r="E291" s="56" t="str">
        <f aca="false">IF(03_Cenas!D28="","",03_Cenas!D28)</f>
        <v>Pasta en crema</v>
      </c>
      <c r="F291" s="56" t="str">
        <f aca="false">IF(03_Cenas!E28="","",03_Cenas!E28)</f>
        <v>pasta, salsa (tomate, crema o pesto), queso parmesano</v>
      </c>
      <c r="G291" s="55" t="str">
        <f aca="false">IF(03_Cenas!F28="","",03_Cenas!F28)</f>
        <v>Plato</v>
      </c>
      <c r="H291" s="55" t="str">
        <f aca="false">IF(03_Cenas!G28="","",03_Cenas!G28)</f>
        <v>Medio</v>
      </c>
      <c r="I291" s="58" t="n">
        <f aca="false">IF(03_Cenas!H28="","",03_Cenas!H28)</f>
        <v>15</v>
      </c>
      <c r="J291" s="58" t="n">
        <f aca="false">IF(03_Cenas!I28="","",03_Cenas!I28)</f>
        <v>28</v>
      </c>
      <c r="K291" s="58" t="n">
        <f aca="false">IF(03_Cenas!J28="","",03_Cenas!J28)</f>
        <v>21.5</v>
      </c>
      <c r="L291" s="58" t="n">
        <f aca="false">IF(03_Cenas!L28="","",03_Cenas!L28)</f>
        <v>22.5</v>
      </c>
      <c r="M291" s="58" t="n">
        <f aca="false">IF(03_Cenas!N28="","",03_Cenas!N28)</f>
        <v>2.37</v>
      </c>
      <c r="N291" s="58" t="n">
        <f aca="false">IF(03_Cenas!O28="","",03_Cenas!O28)</f>
        <v>19.13</v>
      </c>
      <c r="O291" s="55" t="str">
        <f aca="false">IF(03_Cenas!P28="","",03_Cenas!P28)</f>
        <v>18:00-22:00</v>
      </c>
      <c r="P291" s="55" t="n">
        <f aca="false">IF(03_Cenas!Q28="","",03_Cenas!Q28)</f>
        <v>12</v>
      </c>
      <c r="Q291" s="55" t="str">
        <f aca="false">IF(03_Cenas!R28="","",03_Cenas!R28)</f>
        <v>Alto</v>
      </c>
      <c r="R291" s="55" t="str">
        <f aca="false">IF(03_Cenas!S28="","",03_Cenas!S28)</f>
        <v>Todo el año</v>
      </c>
      <c r="S291" s="55" t="str">
        <f aca="false">IF(03_Cenas!T28="","",03_Cenas!T28)</f>
        <v>Restaurante</v>
      </c>
      <c r="T291" s="56" t="str">
        <f aca="false">IF(03_Cenas!U28="","",03_Cenas!U28)</f>
        <v/>
      </c>
      <c r="U291" s="55" t="n">
        <v>28</v>
      </c>
      <c r="V291" s="55" t="n">
        <f aca="false">IF(AND(OR(LEN(13_Buscador!$C$5)=0,ISNUMBER(SEARCH(13_Buscador!$C$5,$C291&amp;" "&amp;$D291&amp;" "&amp;$E291&amp;" "&amp;$F291&amp;" "&amp;$S291))),OR(13_Buscador!$C$6="Todas las listas",LEN(13_Buscador!$C$6)=0,13_Buscador!$C$6=$B291)),1,0)</f>
        <v>0</v>
      </c>
      <c r="W291" s="55" t="str">
        <f aca="false">IF(V291=1,SUM($V$2:V291),"")</f>
        <v/>
      </c>
    </row>
    <row r="292" customFormat="false" ht="23.25" hidden="false" customHeight="true" outlineLevel="0" collapsed="false">
      <c r="A292" s="55" t="n">
        <v>291</v>
      </c>
      <c r="B292" s="55" t="s">
        <v>3329</v>
      </c>
      <c r="C292" s="55" t="str">
        <f aca="false">IF(03_Cenas!B29="","",03_Cenas!B29)</f>
        <v>Anticuchos y parrilla</v>
      </c>
      <c r="D292" s="56" t="str">
        <f aca="false">IF(03_Cenas!C29="","",03_Cenas!C29)</f>
        <v>Anticuchos (2 palos)</v>
      </c>
      <c r="E292" s="56" t="str">
        <f aca="false">IF(03_Cenas!D29="","",03_Cenas!D29)</f>
        <v>Con papa y choclo</v>
      </c>
      <c r="F292" s="56" t="str">
        <f aca="false">IF(03_Cenas!E29="","",03_Cenas!E29)</f>
        <v>corazón de res, ají panca, vinagre, comino, ajo, papa, choclo</v>
      </c>
      <c r="G292" s="55" t="str">
        <f aca="false">IF(03_Cenas!F29="","",03_Cenas!F29)</f>
        <v>Porción</v>
      </c>
      <c r="H292" s="55" t="str">
        <f aca="false">IF(03_Cenas!G29="","",03_Cenas!G29)</f>
        <v>Estándar</v>
      </c>
      <c r="I292" s="58" t="n">
        <f aca="false">IF(03_Cenas!H29="","",03_Cenas!H29)</f>
        <v>10</v>
      </c>
      <c r="J292" s="58" t="n">
        <f aca="false">IF(03_Cenas!I29="","",03_Cenas!I29)</f>
        <v>18</v>
      </c>
      <c r="K292" s="58" t="n">
        <f aca="false">IF(03_Cenas!J29="","",03_Cenas!J29)</f>
        <v>14</v>
      </c>
      <c r="L292" s="58" t="n">
        <f aca="false">IF(03_Cenas!L29="","",03_Cenas!L29)</f>
        <v>15</v>
      </c>
      <c r="M292" s="58" t="n">
        <f aca="false">IF(03_Cenas!N29="","",03_Cenas!N29)</f>
        <v>1.26</v>
      </c>
      <c r="N292" s="58" t="n">
        <f aca="false">IF(03_Cenas!O29="","",03_Cenas!O29)</f>
        <v>12.74</v>
      </c>
      <c r="O292" s="55" t="str">
        <f aca="false">IF(03_Cenas!P29="","",03_Cenas!P29)</f>
        <v>18:00-23:00</v>
      </c>
      <c r="P292" s="55" t="n">
        <f aca="false">IF(03_Cenas!Q29="","",03_Cenas!Q29)</f>
        <v>12</v>
      </c>
      <c r="Q292" s="55" t="str">
        <f aca="false">IF(03_Cenas!R29="","",03_Cenas!R29)</f>
        <v>Medio</v>
      </c>
      <c r="R292" s="55" t="str">
        <f aca="false">IF(03_Cenas!S29="","",03_Cenas!S29)</f>
        <v>Todo el año</v>
      </c>
      <c r="S292" s="55" t="str">
        <f aca="false">IF(03_Cenas!T29="","",03_Cenas!T29)</f>
        <v>Ambulante, parrilla</v>
      </c>
      <c r="T292" s="56" t="str">
        <f aca="false">IF(03_Cenas!U29="","",03_Cenas!U29)</f>
        <v>Producto estrella de la noche puneña</v>
      </c>
      <c r="U292" s="55" t="n">
        <v>29</v>
      </c>
      <c r="V292" s="55" t="n">
        <f aca="false">IF(AND(OR(LEN(13_Buscador!$C$5)=0,ISNUMBER(SEARCH(13_Buscador!$C$5,$C292&amp;" "&amp;$D292&amp;" "&amp;$E292&amp;" "&amp;$F292&amp;" "&amp;$S292))),OR(13_Buscador!$C$6="Todas las listas",LEN(13_Buscador!$C$6)=0,13_Buscador!$C$6=$B292)),1,0)</f>
        <v>0</v>
      </c>
      <c r="W292" s="55" t="str">
        <f aca="false">IF(V292=1,SUM($V$2:V292),"")</f>
        <v/>
      </c>
    </row>
    <row r="293" customFormat="false" ht="23.25" hidden="false" customHeight="true" outlineLevel="0" collapsed="false">
      <c r="A293" s="55" t="n">
        <v>292</v>
      </c>
      <c r="B293" s="55" t="s">
        <v>3329</v>
      </c>
      <c r="C293" s="55" t="str">
        <f aca="false">IF(03_Cenas!B30="","",03_Cenas!B30)</f>
        <v>Anticuchos y parrilla</v>
      </c>
      <c r="D293" s="56" t="str">
        <f aca="false">IF(03_Cenas!C30="","",03_Cenas!C30)</f>
        <v>Anticucho con mollejas</v>
      </c>
      <c r="E293" s="56" t="str">
        <f aca="false">IF(03_Cenas!D30="","",03_Cenas!D30)</f>
        <v>Anticucho mixto</v>
      </c>
      <c r="F293" s="56" t="str">
        <f aca="false">IF(03_Cenas!E30="","",03_Cenas!E30)</f>
        <v>corazón de res, ají panca, vinagre, comino, ajo, papa, choclo</v>
      </c>
      <c r="G293" s="55" t="str">
        <f aca="false">IF(03_Cenas!F30="","",03_Cenas!F30)</f>
        <v>Porción</v>
      </c>
      <c r="H293" s="55" t="str">
        <f aca="false">IF(03_Cenas!G30="","",03_Cenas!G30)</f>
        <v>Estándar</v>
      </c>
      <c r="I293" s="58" t="n">
        <f aca="false">IF(03_Cenas!H30="","",03_Cenas!H30)</f>
        <v>12</v>
      </c>
      <c r="J293" s="58" t="n">
        <f aca="false">IF(03_Cenas!I30="","",03_Cenas!I30)</f>
        <v>20</v>
      </c>
      <c r="K293" s="58" t="n">
        <f aca="false">IF(03_Cenas!J30="","",03_Cenas!J30)</f>
        <v>16</v>
      </c>
      <c r="L293" s="58" t="n">
        <f aca="false">IF(03_Cenas!L30="","",03_Cenas!L30)</f>
        <v>17</v>
      </c>
      <c r="M293" s="58" t="n">
        <f aca="false">IF(03_Cenas!N30="","",03_Cenas!N30)</f>
        <v>1.44</v>
      </c>
      <c r="N293" s="58" t="n">
        <f aca="false">IF(03_Cenas!O30="","",03_Cenas!O30)</f>
        <v>14.56</v>
      </c>
      <c r="O293" s="55" t="str">
        <f aca="false">IF(03_Cenas!P30="","",03_Cenas!P30)</f>
        <v>18:00-23:00</v>
      </c>
      <c r="P293" s="55" t="n">
        <f aca="false">IF(03_Cenas!Q30="","",03_Cenas!Q30)</f>
        <v>15</v>
      </c>
      <c r="Q293" s="55" t="str">
        <f aca="false">IF(03_Cenas!R30="","",03_Cenas!R30)</f>
        <v>Medio</v>
      </c>
      <c r="R293" s="55" t="str">
        <f aca="false">IF(03_Cenas!S30="","",03_Cenas!S30)</f>
        <v>Todo el año</v>
      </c>
      <c r="S293" s="55" t="str">
        <f aca="false">IF(03_Cenas!T30="","",03_Cenas!T30)</f>
        <v>Parrilla</v>
      </c>
      <c r="T293" s="56" t="str">
        <f aca="false">IF(03_Cenas!U30="","",03_Cenas!U30)</f>
        <v/>
      </c>
      <c r="U293" s="55" t="n">
        <v>30</v>
      </c>
      <c r="V293" s="55" t="n">
        <f aca="false">IF(AND(OR(LEN(13_Buscador!$C$5)=0,ISNUMBER(SEARCH(13_Buscador!$C$5,$C293&amp;" "&amp;$D293&amp;" "&amp;$E293&amp;" "&amp;$F293&amp;" "&amp;$S293))),OR(13_Buscador!$C$6="Todas las listas",LEN(13_Buscador!$C$6)=0,13_Buscador!$C$6=$B293)),1,0)</f>
        <v>0</v>
      </c>
      <c r="W293" s="55" t="str">
        <f aca="false">IF(V293=1,SUM($V$2:V293),"")</f>
        <v/>
      </c>
    </row>
    <row r="294" customFormat="false" ht="15" hidden="false" customHeight="true" outlineLevel="0" collapsed="false">
      <c r="A294" s="55" t="n">
        <v>293</v>
      </c>
      <c r="B294" s="55" t="s">
        <v>3329</v>
      </c>
      <c r="C294" s="55" t="str">
        <f aca="false">IF(03_Cenas!B31="","",03_Cenas!B31)</f>
        <v>Anticuchos y parrilla</v>
      </c>
      <c r="D294" s="56" t="str">
        <f aca="false">IF(03_Cenas!C31="","",03_Cenas!C31)</f>
        <v>Rachi</v>
      </c>
      <c r="E294" s="56" t="str">
        <f aca="false">IF(03_Cenas!D31="","",03_Cenas!D31)</f>
        <v>Panza de res a la parrilla</v>
      </c>
      <c r="F294" s="56" t="str">
        <f aca="false">IF(03_Cenas!E31="","",03_Cenas!E31)</f>
        <v>panza de res, ají panca, ajo, papa, choclo</v>
      </c>
      <c r="G294" s="55" t="str">
        <f aca="false">IF(03_Cenas!F31="","",03_Cenas!F31)</f>
        <v>Porción</v>
      </c>
      <c r="H294" s="55" t="str">
        <f aca="false">IF(03_Cenas!G31="","",03_Cenas!G31)</f>
        <v>Estándar</v>
      </c>
      <c r="I294" s="58" t="n">
        <f aca="false">IF(03_Cenas!H31="","",03_Cenas!H31)</f>
        <v>10</v>
      </c>
      <c r="J294" s="58" t="n">
        <f aca="false">IF(03_Cenas!I31="","",03_Cenas!I31)</f>
        <v>18</v>
      </c>
      <c r="K294" s="58" t="n">
        <f aca="false">IF(03_Cenas!J31="","",03_Cenas!J31)</f>
        <v>14</v>
      </c>
      <c r="L294" s="58" t="n">
        <f aca="false">IF(03_Cenas!L31="","",03_Cenas!L31)</f>
        <v>15</v>
      </c>
      <c r="M294" s="58" t="n">
        <f aca="false">IF(03_Cenas!N31="","",03_Cenas!N31)</f>
        <v>1.26</v>
      </c>
      <c r="N294" s="58" t="n">
        <f aca="false">IF(03_Cenas!O31="","",03_Cenas!O31)</f>
        <v>12.74</v>
      </c>
      <c r="O294" s="55" t="str">
        <f aca="false">IF(03_Cenas!P31="","",03_Cenas!P31)</f>
        <v>18:00-23:00</v>
      </c>
      <c r="P294" s="55" t="n">
        <f aca="false">IF(03_Cenas!Q31="","",03_Cenas!Q31)</f>
        <v>12</v>
      </c>
      <c r="Q294" s="55" t="str">
        <f aca="false">IF(03_Cenas!R31="","",03_Cenas!R31)</f>
        <v>Medio</v>
      </c>
      <c r="R294" s="55" t="str">
        <f aca="false">IF(03_Cenas!S31="","",03_Cenas!S31)</f>
        <v>Todo el año</v>
      </c>
      <c r="S294" s="55" t="str">
        <f aca="false">IF(03_Cenas!T31="","",03_Cenas!T31)</f>
        <v>Parrilla</v>
      </c>
      <c r="T294" s="56" t="str">
        <f aca="false">IF(03_Cenas!U31="","",03_Cenas!U31)</f>
        <v/>
      </c>
      <c r="U294" s="55" t="n">
        <v>31</v>
      </c>
      <c r="V294" s="55" t="n">
        <f aca="false">IF(AND(OR(LEN(13_Buscador!$C$5)=0,ISNUMBER(SEARCH(13_Buscador!$C$5,$C294&amp;" "&amp;$D294&amp;" "&amp;$E294&amp;" "&amp;$F294&amp;" "&amp;$S294))),OR(13_Buscador!$C$6="Todas las listas",LEN(13_Buscador!$C$6)=0,13_Buscador!$C$6=$B294)),1,0)</f>
        <v>0</v>
      </c>
      <c r="W294" s="55" t="str">
        <f aca="false">IF(V294=1,SUM($V$2:V294),"")</f>
        <v/>
      </c>
    </row>
    <row r="295" customFormat="false" ht="23.25" hidden="false" customHeight="true" outlineLevel="0" collapsed="false">
      <c r="A295" s="55" t="n">
        <v>294</v>
      </c>
      <c r="B295" s="55" t="s">
        <v>3329</v>
      </c>
      <c r="C295" s="55" t="str">
        <f aca="false">IF(03_Cenas!B32="","",03_Cenas!B32)</f>
        <v>Anticuchos y parrilla</v>
      </c>
      <c r="D295" s="56" t="str">
        <f aca="false">IF(03_Cenas!C32="","",03_Cenas!C32)</f>
        <v>Parrilla personal</v>
      </c>
      <c r="E295" s="56" t="str">
        <f aca="false">IF(03_Cenas!D32="","",03_Cenas!D32)</f>
        <v>Carne, chorizo, papa</v>
      </c>
      <c r="F295" s="56" t="str">
        <f aca="false">IF(03_Cenas!E32="","",03_Cenas!E32)</f>
        <v>cortes de carne, chorizo, ajo, sal, papa, ensalada, carbón</v>
      </c>
      <c r="G295" s="55" t="str">
        <f aca="false">IF(03_Cenas!F32="","",03_Cenas!F32)</f>
        <v>Plato</v>
      </c>
      <c r="H295" s="55" t="str">
        <f aca="false">IF(03_Cenas!G32="","",03_Cenas!G32)</f>
        <v>Medio</v>
      </c>
      <c r="I295" s="58" t="n">
        <f aca="false">IF(03_Cenas!H32="","",03_Cenas!H32)</f>
        <v>20</v>
      </c>
      <c r="J295" s="58" t="n">
        <f aca="false">IF(03_Cenas!I32="","",03_Cenas!I32)</f>
        <v>35</v>
      </c>
      <c r="K295" s="58" t="n">
        <f aca="false">IF(03_Cenas!J32="","",03_Cenas!J32)</f>
        <v>27.5</v>
      </c>
      <c r="L295" s="58" t="n">
        <f aca="false">IF(03_Cenas!L32="","",03_Cenas!L32)</f>
        <v>28.5</v>
      </c>
      <c r="M295" s="58" t="n">
        <f aca="false">IF(03_Cenas!N32="","",03_Cenas!N32)</f>
        <v>3.03</v>
      </c>
      <c r="N295" s="58" t="n">
        <f aca="false">IF(03_Cenas!O32="","",03_Cenas!O32)</f>
        <v>24.47</v>
      </c>
      <c r="O295" s="55" t="str">
        <f aca="false">IF(03_Cenas!P32="","",03_Cenas!P32)</f>
        <v>18:00-23:00</v>
      </c>
      <c r="P295" s="55" t="n">
        <f aca="false">IF(03_Cenas!Q32="","",03_Cenas!Q32)</f>
        <v>20</v>
      </c>
      <c r="Q295" s="55" t="str">
        <f aca="false">IF(03_Cenas!R32="","",03_Cenas!R32)</f>
        <v>Medio</v>
      </c>
      <c r="R295" s="55" t="str">
        <f aca="false">IF(03_Cenas!S32="","",03_Cenas!S32)</f>
        <v>Todo el año</v>
      </c>
      <c r="S295" s="55" t="str">
        <f aca="false">IF(03_Cenas!T32="","",03_Cenas!T32)</f>
        <v>Parrilla</v>
      </c>
      <c r="T295" s="56" t="str">
        <f aca="false">IF(03_Cenas!U32="","",03_Cenas!U32)</f>
        <v/>
      </c>
      <c r="U295" s="55" t="n">
        <v>32</v>
      </c>
      <c r="V295" s="55" t="n">
        <f aca="false">IF(AND(OR(LEN(13_Buscador!$C$5)=0,ISNUMBER(SEARCH(13_Buscador!$C$5,$C295&amp;" "&amp;$D295&amp;" "&amp;$E295&amp;" "&amp;$F295&amp;" "&amp;$S295))),OR(13_Buscador!$C$6="Todas las listas",LEN(13_Buscador!$C$6)=0,13_Buscador!$C$6=$B295)),1,0)</f>
        <v>0</v>
      </c>
      <c r="W295" s="55" t="str">
        <f aca="false">IF(V295=1,SUM($V$2:V295),"")</f>
        <v/>
      </c>
    </row>
    <row r="296" customFormat="false" ht="23.25" hidden="false" customHeight="true" outlineLevel="0" collapsed="false">
      <c r="A296" s="55" t="n">
        <v>295</v>
      </c>
      <c r="B296" s="55" t="s">
        <v>3329</v>
      </c>
      <c r="C296" s="55" t="str">
        <f aca="false">IF(03_Cenas!B33="","",03_Cenas!B33)</f>
        <v>Anticuchos y parrilla</v>
      </c>
      <c r="D296" s="56" t="str">
        <f aca="false">IF(03_Cenas!C33="","",03_Cenas!C33)</f>
        <v>Parrilla mixta para 2</v>
      </c>
      <c r="E296" s="56" t="str">
        <f aca="false">IF(03_Cenas!D33="","",03_Cenas!D33)</f>
        <v>Carnes surtidas</v>
      </c>
      <c r="F296" s="56" t="str">
        <f aca="false">IF(03_Cenas!E33="","",03_Cenas!E33)</f>
        <v>cortes de carne, chorizo, ajo, sal, papa, ensalada, carbón</v>
      </c>
      <c r="G296" s="55" t="str">
        <f aca="false">IF(03_Cenas!F33="","",03_Cenas!F33)</f>
        <v>Fuente</v>
      </c>
      <c r="H296" s="55" t="str">
        <f aca="false">IF(03_Cenas!G33="","",03_Cenas!G33)</f>
        <v>Premium</v>
      </c>
      <c r="I296" s="58" t="n">
        <f aca="false">IF(03_Cenas!H33="","",03_Cenas!H33)</f>
        <v>35</v>
      </c>
      <c r="J296" s="58" t="n">
        <f aca="false">IF(03_Cenas!I33="","",03_Cenas!I33)</f>
        <v>65</v>
      </c>
      <c r="K296" s="58" t="n">
        <f aca="false">IF(03_Cenas!J33="","",03_Cenas!J33)</f>
        <v>50</v>
      </c>
      <c r="L296" s="58" t="n">
        <f aca="false">IF(03_Cenas!L33="","",03_Cenas!L33)</f>
        <v>51</v>
      </c>
      <c r="M296" s="58" t="n">
        <f aca="false">IF(03_Cenas!N33="","",03_Cenas!N33)</f>
        <v>6.5</v>
      </c>
      <c r="N296" s="58" t="n">
        <f aca="false">IF(03_Cenas!O33="","",03_Cenas!O33)</f>
        <v>43.5</v>
      </c>
      <c r="O296" s="55" t="str">
        <f aca="false">IF(03_Cenas!P33="","",03_Cenas!P33)</f>
        <v>18:00-23:00</v>
      </c>
      <c r="P296" s="55" t="n">
        <f aca="false">IF(03_Cenas!Q33="","",03_Cenas!Q33)</f>
        <v>25</v>
      </c>
      <c r="Q296" s="55" t="str">
        <f aca="false">IF(03_Cenas!R33="","",03_Cenas!R33)</f>
        <v>Medio</v>
      </c>
      <c r="R296" s="55" t="str">
        <f aca="false">IF(03_Cenas!S33="","",03_Cenas!S33)</f>
        <v>Fin de semana</v>
      </c>
      <c r="S296" s="55" t="str">
        <f aca="false">IF(03_Cenas!T33="","",03_Cenas!T33)</f>
        <v>Parrilla</v>
      </c>
      <c r="T296" s="56" t="str">
        <f aca="false">IF(03_Cenas!U33="","",03_Cenas!U33)</f>
        <v>Ticket alto</v>
      </c>
      <c r="U296" s="55" t="n">
        <v>33</v>
      </c>
      <c r="V296" s="55" t="n">
        <f aca="false">IF(AND(OR(LEN(13_Buscador!$C$5)=0,ISNUMBER(SEARCH(13_Buscador!$C$5,$C296&amp;" "&amp;$D296&amp;" "&amp;$E296&amp;" "&amp;$F296&amp;" "&amp;$S296))),OR(13_Buscador!$C$6="Todas las listas",LEN(13_Buscador!$C$6)=0,13_Buscador!$C$6=$B296)),1,0)</f>
        <v>0</v>
      </c>
      <c r="W296" s="55" t="str">
        <f aca="false">IF(V296=1,SUM($V$2:V296),"")</f>
        <v/>
      </c>
    </row>
    <row r="297" customFormat="false" ht="15" hidden="false" customHeight="true" outlineLevel="0" collapsed="false">
      <c r="A297" s="55" t="n">
        <v>296</v>
      </c>
      <c r="B297" s="55" t="s">
        <v>3329</v>
      </c>
      <c r="C297" s="55" t="str">
        <f aca="false">IF(03_Cenas!B34="","",03_Cenas!B34)</f>
        <v>Anticuchos y parrilla</v>
      </c>
      <c r="D297" s="56" t="str">
        <f aca="false">IF(03_Cenas!C34="","",03_Cenas!C34)</f>
        <v>Choripán</v>
      </c>
      <c r="E297" s="56" t="str">
        <f aca="false">IF(03_Cenas!D34="","",03_Cenas!D34)</f>
        <v>Pan con chorizo</v>
      </c>
      <c r="F297" s="56" t="str">
        <f aca="false">IF(03_Cenas!E34="","",03_Cenas!E34)</f>
        <v>pan, salchicha o chorizo, papas al hilo, salsas</v>
      </c>
      <c r="G297" s="55" t="str">
        <f aca="false">IF(03_Cenas!F34="","",03_Cenas!F34)</f>
        <v>1 unidad</v>
      </c>
      <c r="H297" s="55" t="str">
        <f aca="false">IF(03_Cenas!G34="","",03_Cenas!G34)</f>
        <v>Económico</v>
      </c>
      <c r="I297" s="58" t="n">
        <f aca="false">IF(03_Cenas!H34="","",03_Cenas!H34)</f>
        <v>6</v>
      </c>
      <c r="J297" s="58" t="n">
        <f aca="false">IF(03_Cenas!I34="","",03_Cenas!I34)</f>
        <v>12</v>
      </c>
      <c r="K297" s="58" t="n">
        <f aca="false">IF(03_Cenas!J34="","",03_Cenas!J34)</f>
        <v>9</v>
      </c>
      <c r="L297" s="58" t="n">
        <f aca="false">IF(03_Cenas!L34="","",03_Cenas!L34)</f>
        <v>10</v>
      </c>
      <c r="M297" s="58" t="n">
        <f aca="false">IF(03_Cenas!N34="","",03_Cenas!N34)</f>
        <v>0.63</v>
      </c>
      <c r="N297" s="58" t="n">
        <f aca="false">IF(03_Cenas!O34="","",03_Cenas!O34)</f>
        <v>8.37</v>
      </c>
      <c r="O297" s="55" t="str">
        <f aca="false">IF(03_Cenas!P34="","",03_Cenas!P34)</f>
        <v>18:00-23:00</v>
      </c>
      <c r="P297" s="55" t="n">
        <f aca="false">IF(03_Cenas!Q34="","",03_Cenas!Q34)</f>
        <v>8</v>
      </c>
      <c r="Q297" s="55" t="str">
        <f aca="false">IF(03_Cenas!R34="","",03_Cenas!R34)</f>
        <v>Alto</v>
      </c>
      <c r="R297" s="55" t="str">
        <f aca="false">IF(03_Cenas!S34="","",03_Cenas!S34)</f>
        <v>Todo el año</v>
      </c>
      <c r="S297" s="55" t="str">
        <f aca="false">IF(03_Cenas!T34="","",03_Cenas!T34)</f>
        <v>Parrilla, ambulante</v>
      </c>
      <c r="T297" s="56" t="str">
        <f aca="false">IF(03_Cenas!U34="","",03_Cenas!U34)</f>
        <v/>
      </c>
      <c r="U297" s="55" t="n">
        <v>34</v>
      </c>
      <c r="V297" s="55" t="n">
        <f aca="false">IF(AND(OR(LEN(13_Buscador!$C$5)=0,ISNUMBER(SEARCH(13_Buscador!$C$5,$C297&amp;" "&amp;$D297&amp;" "&amp;$E297&amp;" "&amp;$F297&amp;" "&amp;$S297))),OR(13_Buscador!$C$6="Todas las listas",LEN(13_Buscador!$C$6)=0,13_Buscador!$C$6=$B297)),1,0)</f>
        <v>0</v>
      </c>
      <c r="W297" s="55" t="str">
        <f aca="false">IF(V297=1,SUM($V$2:V297),"")</f>
        <v/>
      </c>
    </row>
    <row r="298" customFormat="false" ht="23.25" hidden="false" customHeight="true" outlineLevel="0" collapsed="false">
      <c r="A298" s="55" t="n">
        <v>297</v>
      </c>
      <c r="B298" s="55" t="s">
        <v>3329</v>
      </c>
      <c r="C298" s="55" t="str">
        <f aca="false">IF(03_Cenas!B35="","",03_Cenas!B35)</f>
        <v>Chifa nocturno</v>
      </c>
      <c r="D298" s="56" t="str">
        <f aca="false">IF(03_Cenas!C35="","",03_Cenas!C35)</f>
        <v>Chaufa nocturno de pollo</v>
      </c>
      <c r="E298" s="56" t="str">
        <f aca="false">IF(03_Cenas!D35="","",03_Cenas!D35)</f>
        <v>Chaufa clásico</v>
      </c>
      <c r="F298" s="56" t="str">
        <f aca="false">IF(03_Cenas!E35="","",03_Cenas!E35)</f>
        <v>arroz, huevo, cebolla china, sillao, aceite de ajonjolí, carne o pollo</v>
      </c>
      <c r="G298" s="55" t="str">
        <f aca="false">IF(03_Cenas!F35="","",03_Cenas!F35)</f>
        <v>Plato</v>
      </c>
      <c r="H298" s="55" t="str">
        <f aca="false">IF(03_Cenas!G35="","",03_Cenas!G35)</f>
        <v>Estándar</v>
      </c>
      <c r="I298" s="58" t="n">
        <f aca="false">IF(03_Cenas!H35="","",03_Cenas!H35)</f>
        <v>10</v>
      </c>
      <c r="J298" s="58" t="n">
        <f aca="false">IF(03_Cenas!I35="","",03_Cenas!I35)</f>
        <v>16</v>
      </c>
      <c r="K298" s="58" t="n">
        <f aca="false">IF(03_Cenas!J35="","",03_Cenas!J35)</f>
        <v>13</v>
      </c>
      <c r="L298" s="58" t="n">
        <f aca="false">IF(03_Cenas!L35="","",03_Cenas!L35)</f>
        <v>14</v>
      </c>
      <c r="M298" s="58" t="n">
        <f aca="false">IF(03_Cenas!N35="","",03_Cenas!N35)</f>
        <v>1.17</v>
      </c>
      <c r="N298" s="58" t="n">
        <f aca="false">IF(03_Cenas!O35="","",03_Cenas!O35)</f>
        <v>11.83</v>
      </c>
      <c r="O298" s="55" t="str">
        <f aca="false">IF(03_Cenas!P35="","",03_Cenas!P35)</f>
        <v>19:00-23:00</v>
      </c>
      <c r="P298" s="55" t="n">
        <f aca="false">IF(03_Cenas!Q35="","",03_Cenas!Q35)</f>
        <v>10</v>
      </c>
      <c r="Q298" s="55" t="str">
        <f aca="false">IF(03_Cenas!R35="","",03_Cenas!R35)</f>
        <v>Alto</v>
      </c>
      <c r="R298" s="55" t="str">
        <f aca="false">IF(03_Cenas!S35="","",03_Cenas!S35)</f>
        <v>Todo el año</v>
      </c>
      <c r="S298" s="55" t="str">
        <f aca="false">IF(03_Cenas!T35="","",03_Cenas!T35)</f>
        <v>Chifa</v>
      </c>
      <c r="T298" s="56" t="str">
        <f aca="false">IF(03_Cenas!U35="","",03_Cenas!U35)</f>
        <v>Chifas suelen cerrar más tarde: ventaja para ComeYa</v>
      </c>
      <c r="U298" s="55" t="n">
        <v>35</v>
      </c>
      <c r="V298" s="55" t="n">
        <f aca="false">IF(AND(OR(LEN(13_Buscador!$C$5)=0,ISNUMBER(SEARCH(13_Buscador!$C$5,$C298&amp;" "&amp;$D298&amp;" "&amp;$E298&amp;" "&amp;$F298&amp;" "&amp;$S298))),OR(13_Buscador!$C$6="Todas las listas",LEN(13_Buscador!$C$6)=0,13_Buscador!$C$6=$B298)),1,0)</f>
        <v>1</v>
      </c>
      <c r="W298" s="55" t="n">
        <f aca="false">IF(V298=1,SUM($V$2:V298),"")</f>
        <v>68</v>
      </c>
    </row>
    <row r="299" customFormat="false" ht="23.25" hidden="false" customHeight="true" outlineLevel="0" collapsed="false">
      <c r="A299" s="55" t="n">
        <v>298</v>
      </c>
      <c r="B299" s="55" t="s">
        <v>3329</v>
      </c>
      <c r="C299" s="55" t="str">
        <f aca="false">IF(03_Cenas!B36="","",03_Cenas!B36)</f>
        <v>Chifa nocturno</v>
      </c>
      <c r="D299" s="56" t="str">
        <f aca="false">IF(03_Cenas!C36="","",03_Cenas!C36)</f>
        <v>Aeropuerto nocturno</v>
      </c>
      <c r="E299" s="56" t="str">
        <f aca="false">IF(03_Cenas!D36="","",03_Cenas!D36)</f>
        <v>Chaufa + tallarín</v>
      </c>
      <c r="F299" s="56" t="str">
        <f aca="false">IF(03_Cenas!E36="","",03_Cenas!E36)</f>
        <v>arroz chaufa, tallarín saltado, huevo, cebolla china, sillao, pollo</v>
      </c>
      <c r="G299" s="55" t="str">
        <f aca="false">IF(03_Cenas!F36="","",03_Cenas!F36)</f>
        <v>Plato grande</v>
      </c>
      <c r="H299" s="55" t="str">
        <f aca="false">IF(03_Cenas!G36="","",03_Cenas!G36)</f>
        <v>Estándar</v>
      </c>
      <c r="I299" s="58" t="n">
        <f aca="false">IF(03_Cenas!H36="","",03_Cenas!H36)</f>
        <v>12</v>
      </c>
      <c r="J299" s="58" t="n">
        <f aca="false">IF(03_Cenas!I36="","",03_Cenas!I36)</f>
        <v>20</v>
      </c>
      <c r="K299" s="58" t="n">
        <f aca="false">IF(03_Cenas!J36="","",03_Cenas!J36)</f>
        <v>16</v>
      </c>
      <c r="L299" s="58" t="n">
        <f aca="false">IF(03_Cenas!L36="","",03_Cenas!L36)</f>
        <v>17</v>
      </c>
      <c r="M299" s="58" t="n">
        <f aca="false">IF(03_Cenas!N36="","",03_Cenas!N36)</f>
        <v>1.44</v>
      </c>
      <c r="N299" s="58" t="n">
        <f aca="false">IF(03_Cenas!O36="","",03_Cenas!O36)</f>
        <v>14.56</v>
      </c>
      <c r="O299" s="55" t="str">
        <f aca="false">IF(03_Cenas!P36="","",03_Cenas!P36)</f>
        <v>19:00-23:00</v>
      </c>
      <c r="P299" s="55" t="n">
        <f aca="false">IF(03_Cenas!Q36="","",03_Cenas!Q36)</f>
        <v>12</v>
      </c>
      <c r="Q299" s="55" t="str">
        <f aca="false">IF(03_Cenas!R36="","",03_Cenas!R36)</f>
        <v>Alto</v>
      </c>
      <c r="R299" s="55" t="str">
        <f aca="false">IF(03_Cenas!S36="","",03_Cenas!S36)</f>
        <v>Todo el año</v>
      </c>
      <c r="S299" s="55" t="str">
        <f aca="false">IF(03_Cenas!T36="","",03_Cenas!T36)</f>
        <v>Chifa</v>
      </c>
      <c r="T299" s="56" t="str">
        <f aca="false">IF(03_Cenas!U36="","",03_Cenas!U36)</f>
        <v/>
      </c>
      <c r="U299" s="55" t="n">
        <v>36</v>
      </c>
      <c r="V299" s="55" t="n">
        <f aca="false">IF(AND(OR(LEN(13_Buscador!$C$5)=0,ISNUMBER(SEARCH(13_Buscador!$C$5,$C299&amp;" "&amp;$D299&amp;" "&amp;$E299&amp;" "&amp;$F299&amp;" "&amp;$S299))),OR(13_Buscador!$C$6="Todas las listas",LEN(13_Buscador!$C$6)=0,13_Buscador!$C$6=$B299)),1,0)</f>
        <v>1</v>
      </c>
      <c r="W299" s="55" t="n">
        <f aca="false">IF(V299=1,SUM($V$2:V299),"")</f>
        <v>69</v>
      </c>
    </row>
    <row r="300" customFormat="false" ht="23.25" hidden="false" customHeight="true" outlineLevel="0" collapsed="false">
      <c r="A300" s="55" t="n">
        <v>299</v>
      </c>
      <c r="B300" s="55" t="s">
        <v>3329</v>
      </c>
      <c r="C300" s="55" t="str">
        <f aca="false">IF(03_Cenas!B37="","",03_Cenas!B37)</f>
        <v>Chifa nocturno</v>
      </c>
      <c r="D300" s="56" t="str">
        <f aca="false">IF(03_Cenas!C37="","",03_Cenas!C37)</f>
        <v>Sopa wantán nocturna</v>
      </c>
      <c r="E300" s="56" t="str">
        <f aca="false">IF(03_Cenas!D37="","",03_Cenas!D37)</f>
        <v>Caldo con wantán</v>
      </c>
      <c r="F300" s="56" t="str">
        <f aca="false">IF(03_Cenas!E37="","",03_Cenas!E37)</f>
        <v>masa wantán, carne de cerdo, verduras, cebolla china, caldo de pollo, sillao</v>
      </c>
      <c r="G300" s="55" t="str">
        <f aca="false">IF(03_Cenas!F37="","",03_Cenas!F37)</f>
        <v>Plato hondo</v>
      </c>
      <c r="H300" s="55" t="str">
        <f aca="false">IF(03_Cenas!G37="","",03_Cenas!G37)</f>
        <v>Estándar</v>
      </c>
      <c r="I300" s="58" t="n">
        <f aca="false">IF(03_Cenas!H37="","",03_Cenas!H37)</f>
        <v>10</v>
      </c>
      <c r="J300" s="58" t="n">
        <f aca="false">IF(03_Cenas!I37="","",03_Cenas!I37)</f>
        <v>16</v>
      </c>
      <c r="K300" s="58" t="n">
        <f aca="false">IF(03_Cenas!J37="","",03_Cenas!J37)</f>
        <v>13</v>
      </c>
      <c r="L300" s="58" t="n">
        <f aca="false">IF(03_Cenas!L37="","",03_Cenas!L37)</f>
        <v>14</v>
      </c>
      <c r="M300" s="58" t="n">
        <f aca="false">IF(03_Cenas!N37="","",03_Cenas!N37)</f>
        <v>1.17</v>
      </c>
      <c r="N300" s="58" t="n">
        <f aca="false">IF(03_Cenas!O37="","",03_Cenas!O37)</f>
        <v>11.83</v>
      </c>
      <c r="O300" s="55" t="str">
        <f aca="false">IF(03_Cenas!P37="","",03_Cenas!P37)</f>
        <v>19:00-23:00</v>
      </c>
      <c r="P300" s="55" t="n">
        <f aca="false">IF(03_Cenas!Q37="","",03_Cenas!Q37)</f>
        <v>8</v>
      </c>
      <c r="Q300" s="55" t="str">
        <f aca="false">IF(03_Cenas!R37="","",03_Cenas!R37)</f>
        <v>Medio</v>
      </c>
      <c r="R300" s="55" t="str">
        <f aca="false">IF(03_Cenas!S37="","",03_Cenas!S37)</f>
        <v>Todo el año</v>
      </c>
      <c r="S300" s="55" t="str">
        <f aca="false">IF(03_Cenas!T37="","",03_Cenas!T37)</f>
        <v>Chifa</v>
      </c>
      <c r="T300" s="56" t="str">
        <f aca="false">IF(03_Cenas!U37="","",03_Cenas!U37)</f>
        <v/>
      </c>
      <c r="U300" s="55" t="n">
        <v>37</v>
      </c>
      <c r="V300" s="55" t="n">
        <f aca="false">IF(AND(OR(LEN(13_Buscador!$C$5)=0,ISNUMBER(SEARCH(13_Buscador!$C$5,$C300&amp;" "&amp;$D300&amp;" "&amp;$E300&amp;" "&amp;$F300&amp;" "&amp;$S300))),OR(13_Buscador!$C$6="Todas las listas",LEN(13_Buscador!$C$6)=0,13_Buscador!$C$6=$B300)),1,0)</f>
        <v>1</v>
      </c>
      <c r="W300" s="55" t="n">
        <f aca="false">IF(V300=1,SUM($V$2:V300),"")</f>
        <v>70</v>
      </c>
    </row>
    <row r="301" customFormat="false" ht="23.25" hidden="false" customHeight="true" outlineLevel="0" collapsed="false">
      <c r="A301" s="55" t="n">
        <v>300</v>
      </c>
      <c r="B301" s="55" t="s">
        <v>3329</v>
      </c>
      <c r="C301" s="55" t="str">
        <f aca="false">IF(03_Cenas!B38="","",03_Cenas!B38)</f>
        <v>Caldos nocturnos</v>
      </c>
      <c r="D301" s="56" t="str">
        <f aca="false">IF(03_Cenas!C38="","",03_Cenas!C38)</f>
        <v>Caldo de gallina nocturno</v>
      </c>
      <c r="E301" s="56" t="str">
        <f aca="false">IF(03_Cenas!D38="","",03_Cenas!D38)</f>
        <v>Presa, fideo, papa, huevo</v>
      </c>
      <c r="F301" s="56" t="str">
        <f aca="false">IF(03_Cenas!E38="","",03_Cenas!E38)</f>
        <v>presa de gallina, fideo cabello de ángel, papa, huevo, cebolla china, kion, sal</v>
      </c>
      <c r="G301" s="55" t="str">
        <f aca="false">IF(03_Cenas!F38="","",03_Cenas!F38)</f>
        <v>Plato hondo</v>
      </c>
      <c r="H301" s="55" t="str">
        <f aca="false">IF(03_Cenas!G38="","",03_Cenas!G38)</f>
        <v>Estándar</v>
      </c>
      <c r="I301" s="58" t="n">
        <f aca="false">IF(03_Cenas!H38="","",03_Cenas!H38)</f>
        <v>10</v>
      </c>
      <c r="J301" s="58" t="n">
        <f aca="false">IF(03_Cenas!I38="","",03_Cenas!I38)</f>
        <v>15</v>
      </c>
      <c r="K301" s="58" t="n">
        <f aca="false">IF(03_Cenas!J38="","",03_Cenas!J38)</f>
        <v>12.5</v>
      </c>
      <c r="L301" s="58" t="n">
        <f aca="false">IF(03_Cenas!L38="","",03_Cenas!L38)</f>
        <v>13.5</v>
      </c>
      <c r="M301" s="58" t="n">
        <f aca="false">IF(03_Cenas!N38="","",03_Cenas!N38)</f>
        <v>1.13</v>
      </c>
      <c r="N301" s="58" t="n">
        <f aca="false">IF(03_Cenas!O38="","",03_Cenas!O38)</f>
        <v>11.37</v>
      </c>
      <c r="O301" s="55" t="str">
        <f aca="false">IF(03_Cenas!P38="","",03_Cenas!P38)</f>
        <v>20:00-02:00</v>
      </c>
      <c r="P301" s="55" t="n">
        <f aca="false">IF(03_Cenas!Q38="","",03_Cenas!Q38)</f>
        <v>10</v>
      </c>
      <c r="Q301" s="55" t="str">
        <f aca="false">IF(03_Cenas!R38="","",03_Cenas!R38)</f>
        <v>Medio</v>
      </c>
      <c r="R301" s="55" t="str">
        <f aca="false">IF(03_Cenas!S38="","",03_Cenas!S38)</f>
        <v>Todo el año</v>
      </c>
      <c r="S301" s="55" t="str">
        <f aca="false">IF(03_Cenas!T38="","",03_Cenas!T38)</f>
        <v>Caldería</v>
      </c>
      <c r="T301" s="56" t="str">
        <f aca="false">IF(03_Cenas!U38="","",03_Cenas!U38)</f>
        <v>Demanda de madrugada, sobre todo fin de semana</v>
      </c>
      <c r="U301" s="55" t="n">
        <v>38</v>
      </c>
      <c r="V301" s="55" t="n">
        <f aca="false">IF(AND(OR(LEN(13_Buscador!$C$5)=0,ISNUMBER(SEARCH(13_Buscador!$C$5,$C301&amp;" "&amp;$D301&amp;" "&amp;$E301&amp;" "&amp;$F301&amp;" "&amp;$S301))),OR(13_Buscador!$C$6="Todas las listas",LEN(13_Buscador!$C$6)=0,13_Buscador!$C$6=$B301)),1,0)</f>
        <v>0</v>
      </c>
      <c r="W301" s="55" t="str">
        <f aca="false">IF(V301=1,SUM($V$2:V301),"")</f>
        <v/>
      </c>
    </row>
    <row r="302" customFormat="false" ht="23.25" hidden="false" customHeight="true" outlineLevel="0" collapsed="false">
      <c r="A302" s="55" t="n">
        <v>301</v>
      </c>
      <c r="B302" s="55" t="s">
        <v>3329</v>
      </c>
      <c r="C302" s="55" t="str">
        <f aca="false">IF(03_Cenas!B39="","",03_Cenas!B39)</f>
        <v>Caldos nocturnos</v>
      </c>
      <c r="D302" s="56" t="str">
        <f aca="false">IF(03_Cenas!C39="","",03_Cenas!C39)</f>
        <v>Caldo de cabeza nocturno</v>
      </c>
      <c r="E302" s="56" t="str">
        <f aca="false">IF(03_Cenas!D39="","",03_Cenas!D39)</f>
        <v>Cabeza de cordero</v>
      </c>
      <c r="F302" s="56" t="str">
        <f aca="false">IF(03_Cenas!E39="","",03_Cenas!E39)</f>
        <v>cabeza de cordero, papa, chuño, cebolla, hierbabuena, sal</v>
      </c>
      <c r="G302" s="55" t="str">
        <f aca="false">IF(03_Cenas!F39="","",03_Cenas!F39)</f>
        <v>Plato hondo</v>
      </c>
      <c r="H302" s="55" t="str">
        <f aca="false">IF(03_Cenas!G39="","",03_Cenas!G39)</f>
        <v>Estándar</v>
      </c>
      <c r="I302" s="58" t="n">
        <f aca="false">IF(03_Cenas!H39="","",03_Cenas!H39)</f>
        <v>12</v>
      </c>
      <c r="J302" s="58" t="n">
        <f aca="false">IF(03_Cenas!I39="","",03_Cenas!I39)</f>
        <v>18</v>
      </c>
      <c r="K302" s="58" t="n">
        <f aca="false">IF(03_Cenas!J39="","",03_Cenas!J39)</f>
        <v>15</v>
      </c>
      <c r="L302" s="58" t="n">
        <f aca="false">IF(03_Cenas!L39="","",03_Cenas!L39)</f>
        <v>16</v>
      </c>
      <c r="M302" s="58" t="n">
        <f aca="false">IF(03_Cenas!N39="","",03_Cenas!N39)</f>
        <v>1.35</v>
      </c>
      <c r="N302" s="58" t="n">
        <f aca="false">IF(03_Cenas!O39="","",03_Cenas!O39)</f>
        <v>13.65</v>
      </c>
      <c r="O302" s="55" t="str">
        <f aca="false">IF(03_Cenas!P39="","",03_Cenas!P39)</f>
        <v>20:00-02:00</v>
      </c>
      <c r="P302" s="55" t="n">
        <f aca="false">IF(03_Cenas!Q39="","",03_Cenas!Q39)</f>
        <v>10</v>
      </c>
      <c r="Q302" s="55" t="str">
        <f aca="false">IF(03_Cenas!R39="","",03_Cenas!R39)</f>
        <v>Medio</v>
      </c>
      <c r="R302" s="55" t="str">
        <f aca="false">IF(03_Cenas!S39="","",03_Cenas!S39)</f>
        <v>Fin de semana</v>
      </c>
      <c r="S302" s="55" t="str">
        <f aca="false">IF(03_Cenas!T39="","",03_Cenas!T39)</f>
        <v>Caldería</v>
      </c>
      <c r="T302" s="56" t="str">
        <f aca="false">IF(03_Cenas!U39="","",03_Cenas!U39)</f>
        <v/>
      </c>
      <c r="U302" s="55" t="n">
        <v>39</v>
      </c>
      <c r="V302" s="55" t="n">
        <f aca="false">IF(AND(OR(LEN(13_Buscador!$C$5)=0,ISNUMBER(SEARCH(13_Buscador!$C$5,$C302&amp;" "&amp;$D302&amp;" "&amp;$E302&amp;" "&amp;$F302&amp;" "&amp;$S302))),OR(13_Buscador!$C$6="Todas las listas",LEN(13_Buscador!$C$6)=0,13_Buscador!$C$6=$B302)),1,0)</f>
        <v>0</v>
      </c>
      <c r="W302" s="55" t="str">
        <f aca="false">IF(V302=1,SUM($V$2:V302),"")</f>
        <v/>
      </c>
    </row>
    <row r="303" customFormat="false" ht="23.25" hidden="false" customHeight="true" outlineLevel="0" collapsed="false">
      <c r="A303" s="55" t="n">
        <v>302</v>
      </c>
      <c r="B303" s="55" t="s">
        <v>3329</v>
      </c>
      <c r="C303" s="55" t="str">
        <f aca="false">IF(03_Cenas!B40="","",03_Cenas!B40)</f>
        <v>Cena ligera</v>
      </c>
      <c r="D303" s="56" t="str">
        <f aca="false">IF(03_Cenas!C40="","",03_Cenas!C40)</f>
        <v>Cena económica</v>
      </c>
      <c r="E303" s="56" t="str">
        <f aca="false">IF(03_Cenas!D40="","",03_Cenas!D40)</f>
        <v>Segundo ligero + infusión</v>
      </c>
      <c r="F303" s="56" t="str">
        <f aca="false">IF(03_Cenas!E40="","",03_Cenas!E40)</f>
        <v>preparación del día del local</v>
      </c>
      <c r="G303" s="55" t="str">
        <f aca="false">IF(03_Cenas!F40="","",03_Cenas!F40)</f>
        <v>Bandeja</v>
      </c>
      <c r="H303" s="55" t="str">
        <f aca="false">IF(03_Cenas!G40="","",03_Cenas!G40)</f>
        <v>Económico</v>
      </c>
      <c r="I303" s="58" t="n">
        <f aca="false">IF(03_Cenas!H40="","",03_Cenas!H40)</f>
        <v>7</v>
      </c>
      <c r="J303" s="58" t="n">
        <f aca="false">IF(03_Cenas!I40="","",03_Cenas!I40)</f>
        <v>12</v>
      </c>
      <c r="K303" s="58" t="n">
        <f aca="false">IF(03_Cenas!J40="","",03_Cenas!J40)</f>
        <v>9.5</v>
      </c>
      <c r="L303" s="58" t="n">
        <f aca="false">IF(03_Cenas!L40="","",03_Cenas!L40)</f>
        <v>10.5</v>
      </c>
      <c r="M303" s="58" t="n">
        <f aca="false">IF(03_Cenas!N40="","",03_Cenas!N40)</f>
        <v>0.67</v>
      </c>
      <c r="N303" s="58" t="n">
        <f aca="false">IF(03_Cenas!O40="","",03_Cenas!O40)</f>
        <v>8.83</v>
      </c>
      <c r="O303" s="55" t="str">
        <f aca="false">IF(03_Cenas!P40="","",03_Cenas!P40)</f>
        <v>18:00-21:00</v>
      </c>
      <c r="P303" s="55" t="n">
        <f aca="false">IF(03_Cenas!Q40="","",03_Cenas!Q40)</f>
        <v>8</v>
      </c>
      <c r="Q303" s="55" t="str">
        <f aca="false">IF(03_Cenas!R40="","",03_Cenas!R40)</f>
        <v>Alto</v>
      </c>
      <c r="R303" s="55" t="str">
        <f aca="false">IF(03_Cenas!S40="","",03_Cenas!S40)</f>
        <v>Todo el año</v>
      </c>
      <c r="S303" s="55" t="str">
        <f aca="false">IF(03_Cenas!T40="","",03_Cenas!T40)</f>
        <v>Menú</v>
      </c>
      <c r="T303" s="56" t="str">
        <f aca="false">IF(03_Cenas!U40="","",03_Cenas!U40)</f>
        <v>Menos difundida que el almuerzo; oportunidad para ComeYa</v>
      </c>
      <c r="U303" s="55" t="n">
        <v>40</v>
      </c>
      <c r="V303" s="55" t="n">
        <f aca="false">IF(AND(OR(LEN(13_Buscador!$C$5)=0,ISNUMBER(SEARCH(13_Buscador!$C$5,$C303&amp;" "&amp;$D303&amp;" "&amp;$E303&amp;" "&amp;$F303&amp;" "&amp;$S303))),OR(13_Buscador!$C$6="Todas las listas",LEN(13_Buscador!$C$6)=0,13_Buscador!$C$6=$B303)),1,0)</f>
        <v>0</v>
      </c>
      <c r="W303" s="55" t="str">
        <f aca="false">IF(V303=1,SUM($V$2:V303),"")</f>
        <v/>
      </c>
    </row>
    <row r="304" customFormat="false" ht="15" hidden="false" customHeight="true" outlineLevel="0" collapsed="false">
      <c r="A304" s="55" t="n">
        <v>303</v>
      </c>
      <c r="B304" s="55" t="s">
        <v>3329</v>
      </c>
      <c r="C304" s="55" t="str">
        <f aca="false">IF(03_Cenas!B41="","",03_Cenas!B41)</f>
        <v>Cena ligera</v>
      </c>
      <c r="D304" s="56" t="str">
        <f aca="false">IF(03_Cenas!C41="","",03_Cenas!C41)</f>
        <v>Cena vegetariana</v>
      </c>
      <c r="E304" s="56" t="str">
        <f aca="false">IF(03_Cenas!D41="","",03_Cenas!D41)</f>
        <v>Segundo sin carne + infusión</v>
      </c>
      <c r="F304" s="56" t="str">
        <f aca="false">IF(03_Cenas!E41="","",03_Cenas!E41)</f>
        <v>preparación del día del local</v>
      </c>
      <c r="G304" s="55" t="str">
        <f aca="false">IF(03_Cenas!F41="","",03_Cenas!F41)</f>
        <v>Bandeja</v>
      </c>
      <c r="H304" s="55" t="str">
        <f aca="false">IF(03_Cenas!G41="","",03_Cenas!G41)</f>
        <v>Estándar</v>
      </c>
      <c r="I304" s="58" t="n">
        <f aca="false">IF(03_Cenas!H41="","",03_Cenas!H41)</f>
        <v>9</v>
      </c>
      <c r="J304" s="58" t="n">
        <f aca="false">IF(03_Cenas!I41="","",03_Cenas!I41)</f>
        <v>15</v>
      </c>
      <c r="K304" s="58" t="n">
        <f aca="false">IF(03_Cenas!J41="","",03_Cenas!J41)</f>
        <v>12</v>
      </c>
      <c r="L304" s="58" t="n">
        <f aca="false">IF(03_Cenas!L41="","",03_Cenas!L41)</f>
        <v>13</v>
      </c>
      <c r="M304" s="58" t="n">
        <f aca="false">IF(03_Cenas!N41="","",03_Cenas!N41)</f>
        <v>1.08</v>
      </c>
      <c r="N304" s="58" t="n">
        <f aca="false">IF(03_Cenas!O41="","",03_Cenas!O41)</f>
        <v>10.92</v>
      </c>
      <c r="O304" s="55" t="str">
        <f aca="false">IF(03_Cenas!P41="","",03_Cenas!P41)</f>
        <v>18:00-21:00</v>
      </c>
      <c r="P304" s="55" t="n">
        <f aca="false">IF(03_Cenas!Q41="","",03_Cenas!Q41)</f>
        <v>8</v>
      </c>
      <c r="Q304" s="55" t="str">
        <f aca="false">IF(03_Cenas!R41="","",03_Cenas!R41)</f>
        <v>Alto</v>
      </c>
      <c r="R304" s="55" t="str">
        <f aca="false">IF(03_Cenas!S41="","",03_Cenas!S41)</f>
        <v>Todo el año</v>
      </c>
      <c r="S304" s="55" t="str">
        <f aca="false">IF(03_Cenas!T41="","",03_Cenas!T41)</f>
        <v>Vegetariano</v>
      </c>
      <c r="T304" s="56" t="str">
        <f aca="false">IF(03_Cenas!U41="","",03_Cenas!U41)</f>
        <v/>
      </c>
      <c r="U304" s="55" t="n">
        <v>41</v>
      </c>
      <c r="V304" s="55" t="n">
        <f aca="false">IF(AND(OR(LEN(13_Buscador!$C$5)=0,ISNUMBER(SEARCH(13_Buscador!$C$5,$C304&amp;" "&amp;$D304&amp;" "&amp;$E304&amp;" "&amp;$F304&amp;" "&amp;$S304))),OR(13_Buscador!$C$6="Todas las listas",LEN(13_Buscador!$C$6)=0,13_Buscador!$C$6=$B304)),1,0)</f>
        <v>0</v>
      </c>
      <c r="W304" s="55" t="str">
        <f aca="false">IF(V304=1,SUM($V$2:V304),"")</f>
        <v/>
      </c>
    </row>
    <row r="305" customFormat="false" ht="15" hidden="false" customHeight="true" outlineLevel="0" collapsed="false">
      <c r="A305" s="55" t="n">
        <v>304</v>
      </c>
      <c r="B305" s="55" t="s">
        <v>3329</v>
      </c>
      <c r="C305" s="55" t="str">
        <f aca="false">IF(03_Cenas!B42="","",03_Cenas!B42)</f>
        <v>Cena ligera</v>
      </c>
      <c r="D305" s="56" t="str">
        <f aca="false">IF(03_Cenas!C42="","",03_Cenas!C42)</f>
        <v>Tortilla de verduras cena</v>
      </c>
      <c r="E305" s="56" t="str">
        <f aca="false">IF(03_Cenas!D42="","",03_Cenas!D42)</f>
        <v>Huevo con verduras</v>
      </c>
      <c r="F305" s="56" t="str">
        <f aca="false">IF(03_Cenas!E42="","",03_Cenas!E42)</f>
        <v>huevo, zanahoria, vainita, cebolla, sal, arroz</v>
      </c>
      <c r="G305" s="55" t="str">
        <f aca="false">IF(03_Cenas!F42="","",03_Cenas!F42)</f>
        <v>Plato</v>
      </c>
      <c r="H305" s="55" t="str">
        <f aca="false">IF(03_Cenas!G42="","",03_Cenas!G42)</f>
        <v>Económico</v>
      </c>
      <c r="I305" s="58" t="n">
        <f aca="false">IF(03_Cenas!H42="","",03_Cenas!H42)</f>
        <v>7</v>
      </c>
      <c r="J305" s="58" t="n">
        <f aca="false">IF(03_Cenas!I42="","",03_Cenas!I42)</f>
        <v>12</v>
      </c>
      <c r="K305" s="58" t="n">
        <f aca="false">IF(03_Cenas!J42="","",03_Cenas!J42)</f>
        <v>9.5</v>
      </c>
      <c r="L305" s="58" t="n">
        <f aca="false">IF(03_Cenas!L42="","",03_Cenas!L42)</f>
        <v>10.5</v>
      </c>
      <c r="M305" s="58" t="n">
        <f aca="false">IF(03_Cenas!N42="","",03_Cenas!N42)</f>
        <v>0.67</v>
      </c>
      <c r="N305" s="58" t="n">
        <f aca="false">IF(03_Cenas!O42="","",03_Cenas!O42)</f>
        <v>8.83</v>
      </c>
      <c r="O305" s="55" t="str">
        <f aca="false">IF(03_Cenas!P42="","",03_Cenas!P42)</f>
        <v>18:00-21:00</v>
      </c>
      <c r="P305" s="55" t="n">
        <f aca="false">IF(03_Cenas!Q42="","",03_Cenas!Q42)</f>
        <v>8</v>
      </c>
      <c r="Q305" s="55" t="str">
        <f aca="false">IF(03_Cenas!R42="","",03_Cenas!R42)</f>
        <v>Alto</v>
      </c>
      <c r="R305" s="55" t="str">
        <f aca="false">IF(03_Cenas!S42="","",03_Cenas!S42)</f>
        <v>Todo el año</v>
      </c>
      <c r="S305" s="55" t="str">
        <f aca="false">IF(03_Cenas!T42="","",03_Cenas!T42)</f>
        <v>Menú</v>
      </c>
      <c r="T305" s="56" t="str">
        <f aca="false">IF(03_Cenas!U42="","",03_Cenas!U42)</f>
        <v/>
      </c>
      <c r="U305" s="55" t="n">
        <v>42</v>
      </c>
      <c r="V305" s="55" t="n">
        <f aca="false">IF(AND(OR(LEN(13_Buscador!$C$5)=0,ISNUMBER(SEARCH(13_Buscador!$C$5,$C305&amp;" "&amp;$D305&amp;" "&amp;$E305&amp;" "&amp;$F305&amp;" "&amp;$S305))),OR(13_Buscador!$C$6="Todas las listas",LEN(13_Buscador!$C$6)=0,13_Buscador!$C$6=$B305)),1,0)</f>
        <v>0</v>
      </c>
      <c r="W305" s="55" t="str">
        <f aca="false">IF(V305=1,SUM($V$2:V305),"")</f>
        <v/>
      </c>
    </row>
    <row r="306" customFormat="false" ht="15" hidden="false" customHeight="true" outlineLevel="0" collapsed="false">
      <c r="A306" s="55" t="n">
        <v>305</v>
      </c>
      <c r="B306" s="55" t="s">
        <v>3329</v>
      </c>
      <c r="C306" s="55" t="str">
        <f aca="false">IF(03_Cenas!B43="","",03_Cenas!B43)</f>
        <v>Cena ligera</v>
      </c>
      <c r="D306" s="56" t="str">
        <f aca="false">IF(03_Cenas!C43="","",03_Cenas!C43)</f>
        <v>Caldo de verduras</v>
      </c>
      <c r="E306" s="56" t="str">
        <f aca="false">IF(03_Cenas!D43="","",03_Cenas!D43)</f>
        <v>Sopa ligera</v>
      </c>
      <c r="F306" s="56" t="str">
        <f aca="false">IF(03_Cenas!E43="","",03_Cenas!E43)</f>
        <v>caldo, verduras, papa, presa, sal</v>
      </c>
      <c r="G306" s="55" t="str">
        <f aca="false">IF(03_Cenas!F43="","",03_Cenas!F43)</f>
        <v>Plato hondo</v>
      </c>
      <c r="H306" s="55" t="str">
        <f aca="false">IF(03_Cenas!G43="","",03_Cenas!G43)</f>
        <v>Económico</v>
      </c>
      <c r="I306" s="58" t="n">
        <f aca="false">IF(03_Cenas!H43="","",03_Cenas!H43)</f>
        <v>6</v>
      </c>
      <c r="J306" s="58" t="n">
        <f aca="false">IF(03_Cenas!I43="","",03_Cenas!I43)</f>
        <v>10</v>
      </c>
      <c r="K306" s="58" t="n">
        <f aca="false">IF(03_Cenas!J43="","",03_Cenas!J43)</f>
        <v>8</v>
      </c>
      <c r="L306" s="58" t="n">
        <f aca="false">IF(03_Cenas!L43="","",03_Cenas!L43)</f>
        <v>9</v>
      </c>
      <c r="M306" s="58" t="n">
        <f aca="false">IF(03_Cenas!N43="","",03_Cenas!N43)</f>
        <v>0.56</v>
      </c>
      <c r="N306" s="58" t="n">
        <f aca="false">IF(03_Cenas!O43="","",03_Cenas!O43)</f>
        <v>7.44</v>
      </c>
      <c r="O306" s="55" t="str">
        <f aca="false">IF(03_Cenas!P43="","",03_Cenas!P43)</f>
        <v>18:00-21:00</v>
      </c>
      <c r="P306" s="55" t="n">
        <f aca="false">IF(03_Cenas!Q43="","",03_Cenas!Q43)</f>
        <v>8</v>
      </c>
      <c r="Q306" s="55" t="str">
        <f aca="false">IF(03_Cenas!R43="","",03_Cenas!R43)</f>
        <v>Medio</v>
      </c>
      <c r="R306" s="55" t="str">
        <f aca="false">IF(03_Cenas!S43="","",03_Cenas!S43)</f>
        <v>Todo el año</v>
      </c>
      <c r="S306" s="55" t="str">
        <f aca="false">IF(03_Cenas!T43="","",03_Cenas!T43)</f>
        <v>Menú</v>
      </c>
      <c r="T306" s="56" t="str">
        <f aca="false">IF(03_Cenas!U43="","",03_Cenas!U43)</f>
        <v/>
      </c>
      <c r="U306" s="55" t="n">
        <v>43</v>
      </c>
      <c r="V306" s="55" t="n">
        <f aca="false">IF(AND(OR(LEN(13_Buscador!$C$5)=0,ISNUMBER(SEARCH(13_Buscador!$C$5,$C306&amp;" "&amp;$D306&amp;" "&amp;$E306&amp;" "&amp;$F306&amp;" "&amp;$S306))),OR(13_Buscador!$C$6="Todas las listas",LEN(13_Buscador!$C$6)=0,13_Buscador!$C$6=$B306)),1,0)</f>
        <v>0</v>
      </c>
      <c r="W306" s="55" t="str">
        <f aca="false">IF(V306=1,SUM($V$2:V306),"")</f>
        <v/>
      </c>
    </row>
    <row r="307" customFormat="false" ht="23.25" hidden="false" customHeight="true" outlineLevel="0" collapsed="false">
      <c r="A307" s="55" t="n">
        <v>306</v>
      </c>
      <c r="B307" s="55" t="s">
        <v>3329</v>
      </c>
      <c r="C307" s="55" t="str">
        <f aca="false">IF(03_Cenas!B44="","",03_Cenas!B44)</f>
        <v>Cena ligera</v>
      </c>
      <c r="D307" s="56" t="str">
        <f aca="false">IF(03_Cenas!C44="","",03_Cenas!C44)</f>
        <v>Arroz chaufa ligero</v>
      </c>
      <c r="E307" s="56" t="str">
        <f aca="false">IF(03_Cenas!D44="","",03_Cenas!D44)</f>
        <v>Porción pequeña</v>
      </c>
      <c r="F307" s="56" t="str">
        <f aca="false">IF(03_Cenas!E44="","",03_Cenas!E44)</f>
        <v>arroz, huevo, cebolla china, sillao, aceite de ajonjolí, carne o pollo</v>
      </c>
      <c r="G307" s="55" t="str">
        <f aca="false">IF(03_Cenas!F44="","",03_Cenas!F44)</f>
        <v>Plato</v>
      </c>
      <c r="H307" s="55" t="str">
        <f aca="false">IF(03_Cenas!G44="","",03_Cenas!G44)</f>
        <v>Económico</v>
      </c>
      <c r="I307" s="58" t="n">
        <f aca="false">IF(03_Cenas!H44="","",03_Cenas!H44)</f>
        <v>8</v>
      </c>
      <c r="J307" s="58" t="n">
        <f aca="false">IF(03_Cenas!I44="","",03_Cenas!I44)</f>
        <v>13</v>
      </c>
      <c r="K307" s="58" t="n">
        <f aca="false">IF(03_Cenas!J44="","",03_Cenas!J44)</f>
        <v>10.5</v>
      </c>
      <c r="L307" s="58" t="n">
        <f aca="false">IF(03_Cenas!L44="","",03_Cenas!L44)</f>
        <v>11.5</v>
      </c>
      <c r="M307" s="58" t="n">
        <f aca="false">IF(03_Cenas!N44="","",03_Cenas!N44)</f>
        <v>0.74</v>
      </c>
      <c r="N307" s="58" t="n">
        <f aca="false">IF(03_Cenas!O44="","",03_Cenas!O44)</f>
        <v>9.76</v>
      </c>
      <c r="O307" s="55" t="str">
        <f aca="false">IF(03_Cenas!P44="","",03_Cenas!P44)</f>
        <v>18:00-22:00</v>
      </c>
      <c r="P307" s="55" t="n">
        <f aca="false">IF(03_Cenas!Q44="","",03_Cenas!Q44)</f>
        <v>10</v>
      </c>
      <c r="Q307" s="55" t="str">
        <f aca="false">IF(03_Cenas!R44="","",03_Cenas!R44)</f>
        <v>Alto</v>
      </c>
      <c r="R307" s="55" t="str">
        <f aca="false">IF(03_Cenas!S44="","",03_Cenas!S44)</f>
        <v>Todo el año</v>
      </c>
      <c r="S307" s="55" t="str">
        <f aca="false">IF(03_Cenas!T44="","",03_Cenas!T44)</f>
        <v>Chifa</v>
      </c>
      <c r="T307" s="56" t="str">
        <f aca="false">IF(03_Cenas!U44="","",03_Cenas!U44)</f>
        <v/>
      </c>
      <c r="U307" s="55" t="n">
        <v>44</v>
      </c>
      <c r="V307" s="55" t="n">
        <f aca="false">IF(AND(OR(LEN(13_Buscador!$C$5)=0,ISNUMBER(SEARCH(13_Buscador!$C$5,$C307&amp;" "&amp;$D307&amp;" "&amp;$E307&amp;" "&amp;$F307&amp;" "&amp;$S307))),OR(13_Buscador!$C$6="Todas las listas",LEN(13_Buscador!$C$6)=0,13_Buscador!$C$6=$B307)),1,0)</f>
        <v>1</v>
      </c>
      <c r="W307" s="55" t="n">
        <f aca="false">IF(V307=1,SUM($V$2:V307),"")</f>
        <v>71</v>
      </c>
    </row>
    <row r="308" customFormat="false" ht="23.25" hidden="false" customHeight="true" outlineLevel="0" collapsed="false">
      <c r="A308" s="55" t="n">
        <v>307</v>
      </c>
      <c r="B308" s="55" t="s">
        <v>3329</v>
      </c>
      <c r="C308" s="55" t="str">
        <f aca="false">IF(03_Cenas!B45="","",03_Cenas!B45)</f>
        <v>Sushi y otros</v>
      </c>
      <c r="D308" s="56" t="str">
        <f aca="false">IF(03_Cenas!C45="","",03_Cenas!C45)</f>
        <v>Roll de sushi (8 piezas)</v>
      </c>
      <c r="E308" s="56" t="str">
        <f aca="false">IF(03_Cenas!D45="","",03_Cenas!D45)</f>
        <v>Roll clásico</v>
      </c>
      <c r="F308" s="56" t="str">
        <f aca="false">IF(03_Cenas!E45="","",03_Cenas!E45)</f>
        <v>arroz de sushi, alga nori, pescado o palta, queso crema, vinagre de arroz</v>
      </c>
      <c r="G308" s="55" t="str">
        <f aca="false">IF(03_Cenas!F45="","",03_Cenas!F45)</f>
        <v>Porción</v>
      </c>
      <c r="H308" s="55" t="str">
        <f aca="false">IF(03_Cenas!G45="","",03_Cenas!G45)</f>
        <v>Medio</v>
      </c>
      <c r="I308" s="58" t="n">
        <f aca="false">IF(03_Cenas!H45="","",03_Cenas!H45)</f>
        <v>18</v>
      </c>
      <c r="J308" s="58" t="n">
        <f aca="false">IF(03_Cenas!I45="","",03_Cenas!I45)</f>
        <v>35</v>
      </c>
      <c r="K308" s="58" t="n">
        <f aca="false">IF(03_Cenas!J45="","",03_Cenas!J45)</f>
        <v>26.5</v>
      </c>
      <c r="L308" s="58" t="n">
        <f aca="false">IF(03_Cenas!L45="","",03_Cenas!L45)</f>
        <v>27.5</v>
      </c>
      <c r="M308" s="58" t="n">
        <f aca="false">IF(03_Cenas!N45="","",03_Cenas!N45)</f>
        <v>2.92</v>
      </c>
      <c r="N308" s="58" t="n">
        <f aca="false">IF(03_Cenas!O45="","",03_Cenas!O45)</f>
        <v>23.58</v>
      </c>
      <c r="O308" s="55" t="str">
        <f aca="false">IF(03_Cenas!P45="","",03_Cenas!P45)</f>
        <v>18:00-22:00</v>
      </c>
      <c r="P308" s="55" t="n">
        <f aca="false">IF(03_Cenas!Q45="","",03_Cenas!Q45)</f>
        <v>15</v>
      </c>
      <c r="Q308" s="55" t="str">
        <f aca="false">IF(03_Cenas!R45="","",03_Cenas!R45)</f>
        <v>Medio</v>
      </c>
      <c r="R308" s="55" t="str">
        <f aca="false">IF(03_Cenas!S45="","",03_Cenas!S45)</f>
        <v>Todo el año</v>
      </c>
      <c r="S308" s="55" t="str">
        <f aca="false">IF(03_Cenas!T45="","",03_Cenas!T45)</f>
        <v>Japonés</v>
      </c>
      <c r="T308" s="56" t="str">
        <f aca="false">IF(03_Cenas!U45="","",03_Cenas!U45)</f>
        <v>Público joven y turista</v>
      </c>
      <c r="U308" s="55" t="n">
        <v>45</v>
      </c>
      <c r="V308" s="55" t="n">
        <f aca="false">IF(AND(OR(LEN(13_Buscador!$C$5)=0,ISNUMBER(SEARCH(13_Buscador!$C$5,$C308&amp;" "&amp;$D308&amp;" "&amp;$E308&amp;" "&amp;$F308&amp;" "&amp;$S308))),OR(13_Buscador!$C$6="Todas las listas",LEN(13_Buscador!$C$6)=0,13_Buscador!$C$6=$B308)),1,0)</f>
        <v>0</v>
      </c>
      <c r="W308" s="55" t="str">
        <f aca="false">IF(V308=1,SUM($V$2:V308),"")</f>
        <v/>
      </c>
    </row>
    <row r="309" customFormat="false" ht="23.25" hidden="false" customHeight="true" outlineLevel="0" collapsed="false">
      <c r="A309" s="55" t="n">
        <v>308</v>
      </c>
      <c r="B309" s="55" t="s">
        <v>3329</v>
      </c>
      <c r="C309" s="55" t="str">
        <f aca="false">IF(03_Cenas!B46="","",03_Cenas!B46)</f>
        <v>Sushi y otros</v>
      </c>
      <c r="D309" s="56" t="str">
        <f aca="false">IF(03_Cenas!C46="","",03_Cenas!C46)</f>
        <v>Combinado de sushi</v>
      </c>
      <c r="E309" s="56" t="str">
        <f aca="false">IF(03_Cenas!D46="","",03_Cenas!D46)</f>
        <v>Varios rolls</v>
      </c>
      <c r="F309" s="56" t="str">
        <f aca="false">IF(03_Cenas!E46="","",03_Cenas!E46)</f>
        <v>arroz de sushi, alga nori, pescado o palta, queso crema, vinagre de arroz</v>
      </c>
      <c r="G309" s="55" t="str">
        <f aca="false">IF(03_Cenas!F46="","",03_Cenas!F46)</f>
        <v>Fuente</v>
      </c>
      <c r="H309" s="55" t="str">
        <f aca="false">IF(03_Cenas!G46="","",03_Cenas!G46)</f>
        <v>Premium</v>
      </c>
      <c r="I309" s="58" t="n">
        <f aca="false">IF(03_Cenas!H46="","",03_Cenas!H46)</f>
        <v>35</v>
      </c>
      <c r="J309" s="58" t="n">
        <f aca="false">IF(03_Cenas!I46="","",03_Cenas!I46)</f>
        <v>70</v>
      </c>
      <c r="K309" s="58" t="n">
        <f aca="false">IF(03_Cenas!J46="","",03_Cenas!J46)</f>
        <v>52.5</v>
      </c>
      <c r="L309" s="58" t="n">
        <f aca="false">IF(03_Cenas!L46="","",03_Cenas!L46)</f>
        <v>53.5</v>
      </c>
      <c r="M309" s="58" t="n">
        <f aca="false">IF(03_Cenas!N46="","",03_Cenas!N46)</f>
        <v>6.83</v>
      </c>
      <c r="N309" s="58" t="n">
        <f aca="false">IF(03_Cenas!O46="","",03_Cenas!O46)</f>
        <v>45.67</v>
      </c>
      <c r="O309" s="55" t="str">
        <f aca="false">IF(03_Cenas!P46="","",03_Cenas!P46)</f>
        <v>18:00-22:00</v>
      </c>
      <c r="P309" s="55" t="n">
        <f aca="false">IF(03_Cenas!Q46="","",03_Cenas!Q46)</f>
        <v>25</v>
      </c>
      <c r="Q309" s="55" t="str">
        <f aca="false">IF(03_Cenas!R46="","",03_Cenas!R46)</f>
        <v>Medio</v>
      </c>
      <c r="R309" s="55" t="str">
        <f aca="false">IF(03_Cenas!S46="","",03_Cenas!S46)</f>
        <v>Fin de semana</v>
      </c>
      <c r="S309" s="55" t="str">
        <f aca="false">IF(03_Cenas!T46="","",03_Cenas!T46)</f>
        <v>Japonés</v>
      </c>
      <c r="T309" s="56" t="str">
        <f aca="false">IF(03_Cenas!U46="","",03_Cenas!U46)</f>
        <v/>
      </c>
      <c r="U309" s="55" t="n">
        <v>46</v>
      </c>
      <c r="V309" s="55" t="n">
        <f aca="false">IF(AND(OR(LEN(13_Buscador!$C$5)=0,ISNUMBER(SEARCH(13_Buscador!$C$5,$C309&amp;" "&amp;$D309&amp;" "&amp;$E309&amp;" "&amp;$F309&amp;" "&amp;$S309))),OR(13_Buscador!$C$6="Todas las listas",LEN(13_Buscador!$C$6)=0,13_Buscador!$C$6=$B309)),1,0)</f>
        <v>0</v>
      </c>
      <c r="W309" s="55" t="str">
        <f aca="false">IF(V309=1,SUM($V$2:V309),"")</f>
        <v/>
      </c>
    </row>
    <row r="310" customFormat="false" ht="15" hidden="false" customHeight="true" outlineLevel="0" collapsed="false">
      <c r="A310" s="55" t="n">
        <v>309</v>
      </c>
      <c r="B310" s="55" t="s">
        <v>3329</v>
      </c>
      <c r="C310" s="55" t="str">
        <f aca="false">IF(03_Cenas!B47="","",03_Cenas!B47)</f>
        <v>Sushi y otros</v>
      </c>
      <c r="D310" s="56" t="str">
        <f aca="false">IF(03_Cenas!C47="","",03_Cenas!C47)</f>
        <v>Tequeños (8 und)</v>
      </c>
      <c r="E310" s="56" t="str">
        <f aca="false">IF(03_Cenas!D47="","",03_Cenas!D47)</f>
        <v>Con salsa de guacamole</v>
      </c>
      <c r="F310" s="56" t="str">
        <f aca="false">IF(03_Cenas!E47="","",03_Cenas!E47)</f>
        <v>masa de wantán, queso, aceite, salsa de guacamole</v>
      </c>
      <c r="G310" s="55" t="str">
        <f aca="false">IF(03_Cenas!F47="","",03_Cenas!F47)</f>
        <v>Porción</v>
      </c>
      <c r="H310" s="55" t="str">
        <f aca="false">IF(03_Cenas!G47="","",03_Cenas!G47)</f>
        <v>Estándar</v>
      </c>
      <c r="I310" s="58" t="n">
        <f aca="false">IF(03_Cenas!H47="","",03_Cenas!H47)</f>
        <v>10</v>
      </c>
      <c r="J310" s="58" t="n">
        <f aca="false">IF(03_Cenas!I47="","",03_Cenas!I47)</f>
        <v>20</v>
      </c>
      <c r="K310" s="58" t="n">
        <f aca="false">IF(03_Cenas!J47="","",03_Cenas!J47)</f>
        <v>15</v>
      </c>
      <c r="L310" s="58" t="n">
        <f aca="false">IF(03_Cenas!L47="","",03_Cenas!L47)</f>
        <v>16</v>
      </c>
      <c r="M310" s="58" t="n">
        <f aca="false">IF(03_Cenas!N47="","",03_Cenas!N47)</f>
        <v>1.35</v>
      </c>
      <c r="N310" s="58" t="n">
        <f aca="false">IF(03_Cenas!O47="","",03_Cenas!O47)</f>
        <v>13.65</v>
      </c>
      <c r="O310" s="55" t="str">
        <f aca="false">IF(03_Cenas!P47="","",03_Cenas!P47)</f>
        <v>18:00-23:00</v>
      </c>
      <c r="P310" s="55" t="n">
        <f aca="false">IF(03_Cenas!Q47="","",03_Cenas!Q47)</f>
        <v>10</v>
      </c>
      <c r="Q310" s="55" t="str">
        <f aca="false">IF(03_Cenas!R47="","",03_Cenas!R47)</f>
        <v>Alto</v>
      </c>
      <c r="R310" s="55" t="str">
        <f aca="false">IF(03_Cenas!S47="","",03_Cenas!S47)</f>
        <v>Todo el año</v>
      </c>
      <c r="S310" s="55" t="str">
        <f aca="false">IF(03_Cenas!T47="","",03_Cenas!T47)</f>
        <v>Bar, pizzería</v>
      </c>
      <c r="T310" s="56" t="str">
        <f aca="false">IF(03_Cenas!U47="","",03_Cenas!U47)</f>
        <v/>
      </c>
      <c r="U310" s="55" t="n">
        <v>47</v>
      </c>
      <c r="V310" s="55" t="n">
        <f aca="false">IF(AND(OR(LEN(13_Buscador!$C$5)=0,ISNUMBER(SEARCH(13_Buscador!$C$5,$C310&amp;" "&amp;$D310&amp;" "&amp;$E310&amp;" "&amp;$F310&amp;" "&amp;$S310))),OR(13_Buscador!$C$6="Todas las listas",LEN(13_Buscador!$C$6)=0,13_Buscador!$C$6=$B310)),1,0)</f>
        <v>0</v>
      </c>
      <c r="W310" s="55" t="str">
        <f aca="false">IF(V310=1,SUM($V$2:V310),"")</f>
        <v/>
      </c>
    </row>
    <row r="311" customFormat="false" ht="15" hidden="false" customHeight="true" outlineLevel="0" collapsed="false">
      <c r="A311" s="55" t="n">
        <v>310</v>
      </c>
      <c r="B311" s="55" t="s">
        <v>3329</v>
      </c>
      <c r="C311" s="55" t="str">
        <f aca="false">IF(03_Cenas!B48="","",03_Cenas!B48)</f>
        <v>Sushi y otros</v>
      </c>
      <c r="D311" s="56" t="str">
        <f aca="false">IF(03_Cenas!C48="","",03_Cenas!C48)</f>
        <v>Piqueo para compartir</v>
      </c>
      <c r="E311" s="56" t="str">
        <f aca="false">IF(03_Cenas!D48="","",03_Cenas!D48)</f>
        <v>Frituras variadas</v>
      </c>
      <c r="F311" s="56" t="str">
        <f aca="false">IF(03_Cenas!E48="","",03_Cenas!E48)</f>
        <v>surtido de preparaciones de la casa</v>
      </c>
      <c r="G311" s="55" t="str">
        <f aca="false">IF(03_Cenas!F48="","",03_Cenas!F48)</f>
        <v>Fuente</v>
      </c>
      <c r="H311" s="55" t="str">
        <f aca="false">IF(03_Cenas!G48="","",03_Cenas!G48)</f>
        <v>Medio</v>
      </c>
      <c r="I311" s="58" t="n">
        <f aca="false">IF(03_Cenas!H48="","",03_Cenas!H48)</f>
        <v>20</v>
      </c>
      <c r="J311" s="58" t="n">
        <f aca="false">IF(03_Cenas!I48="","",03_Cenas!I48)</f>
        <v>40</v>
      </c>
      <c r="K311" s="58" t="n">
        <f aca="false">IF(03_Cenas!J48="","",03_Cenas!J48)</f>
        <v>30</v>
      </c>
      <c r="L311" s="58" t="n">
        <f aca="false">IF(03_Cenas!L48="","",03_Cenas!L48)</f>
        <v>31</v>
      </c>
      <c r="M311" s="58" t="n">
        <f aca="false">IF(03_Cenas!N48="","",03_Cenas!N48)</f>
        <v>3.3</v>
      </c>
      <c r="N311" s="58" t="n">
        <f aca="false">IF(03_Cenas!O48="","",03_Cenas!O48)</f>
        <v>26.7</v>
      </c>
      <c r="O311" s="55" t="str">
        <f aca="false">IF(03_Cenas!P48="","",03_Cenas!P48)</f>
        <v>19:00-23:00</v>
      </c>
      <c r="P311" s="55" t="n">
        <f aca="false">IF(03_Cenas!Q48="","",03_Cenas!Q48)</f>
        <v>18</v>
      </c>
      <c r="Q311" s="55" t="str">
        <f aca="false">IF(03_Cenas!R48="","",03_Cenas!R48)</f>
        <v>Medio</v>
      </c>
      <c r="R311" s="55" t="str">
        <f aca="false">IF(03_Cenas!S48="","",03_Cenas!S48)</f>
        <v>Fin de semana</v>
      </c>
      <c r="S311" s="55" t="str">
        <f aca="false">IF(03_Cenas!T48="","",03_Cenas!T48)</f>
        <v>Bar</v>
      </c>
      <c r="T311" s="56" t="str">
        <f aca="false">IF(03_Cenas!U48="","",03_Cenas!U48)</f>
        <v>Vinculado a consumo en bar</v>
      </c>
      <c r="U311" s="55" t="n">
        <v>48</v>
      </c>
      <c r="V311" s="55" t="n">
        <f aca="false">IF(AND(OR(LEN(13_Buscador!$C$5)=0,ISNUMBER(SEARCH(13_Buscador!$C$5,$C311&amp;" "&amp;$D311&amp;" "&amp;$E311&amp;" "&amp;$F311&amp;" "&amp;$S311))),OR(13_Buscador!$C$6="Todas las listas",LEN(13_Buscador!$C$6)=0,13_Buscador!$C$6=$B311)),1,0)</f>
        <v>0</v>
      </c>
      <c r="W311" s="55" t="str">
        <f aca="false">IF(V311=1,SUM($V$2:V311),"")</f>
        <v/>
      </c>
    </row>
    <row r="312" customFormat="false" ht="15" hidden="false" customHeight="true" outlineLevel="0" collapsed="false">
      <c r="A312" s="55" t="n">
        <v>311</v>
      </c>
      <c r="B312" s="55" t="s">
        <v>3329</v>
      </c>
      <c r="C312" s="55" t="str">
        <f aca="false">IF(03_Cenas!B49="","",03_Cenas!B49)</f>
        <v>Pollo a la brasa</v>
      </c>
      <c r="D312" s="56" t="str">
        <f aca="false">IF(03_Cenas!C49="","",03_Cenas!C49)</f>
        <v>Combo 1/4 + gaseosa personal</v>
      </c>
      <c r="E312" s="56" t="str">
        <f aca="false">IF(03_Cenas!D49="","",03_Cenas!D49)</f>
        <v>Pollo, papas, gaseosa</v>
      </c>
      <c r="F312" s="56" t="str">
        <f aca="false">IF(03_Cenas!E49="","",03_Cenas!E49)</f>
        <v>producto embotellado de marca</v>
      </c>
      <c r="G312" s="55" t="str">
        <f aca="false">IF(03_Cenas!F49="","",03_Cenas!F49)</f>
        <v>Combo</v>
      </c>
      <c r="H312" s="55" t="str">
        <f aca="false">IF(03_Cenas!G49="","",03_Cenas!G49)</f>
        <v>Estándar</v>
      </c>
      <c r="I312" s="58" t="n">
        <f aca="false">IF(03_Cenas!H49="","",03_Cenas!H49)</f>
        <v>15</v>
      </c>
      <c r="J312" s="58" t="n">
        <f aca="false">IF(03_Cenas!I49="","",03_Cenas!I49)</f>
        <v>24</v>
      </c>
      <c r="K312" s="58" t="n">
        <f aca="false">IF(03_Cenas!J49="","",03_Cenas!J49)</f>
        <v>19.5</v>
      </c>
      <c r="L312" s="58" t="n">
        <f aca="false">IF(03_Cenas!L49="","",03_Cenas!L49)</f>
        <v>20.5</v>
      </c>
      <c r="M312" s="58" t="n">
        <f aca="false">IF(03_Cenas!N49="","",03_Cenas!N49)</f>
        <v>1.76</v>
      </c>
      <c r="N312" s="58" t="n">
        <f aca="false">IF(03_Cenas!O49="","",03_Cenas!O49)</f>
        <v>17.74</v>
      </c>
      <c r="O312" s="55" t="str">
        <f aca="false">IF(03_Cenas!P49="","",03_Cenas!P49)</f>
        <v>18:00-22:00</v>
      </c>
      <c r="P312" s="55" t="n">
        <f aca="false">IF(03_Cenas!Q49="","",03_Cenas!Q49)</f>
        <v>12</v>
      </c>
      <c r="Q312" s="55" t="str">
        <f aca="false">IF(03_Cenas!R49="","",03_Cenas!R49)</f>
        <v>Medio</v>
      </c>
      <c r="R312" s="55" t="str">
        <f aca="false">IF(03_Cenas!S49="","",03_Cenas!S49)</f>
        <v>Todo el año</v>
      </c>
      <c r="S312" s="55" t="str">
        <f aca="false">IF(03_Cenas!T49="","",03_Cenas!T49)</f>
        <v>Pollería</v>
      </c>
      <c r="T312" s="56" t="str">
        <f aca="false">IF(03_Cenas!U49="","",03_Cenas!U49)</f>
        <v>Combo de mayor rotación</v>
      </c>
      <c r="U312" s="55" t="n">
        <v>49</v>
      </c>
      <c r="V312" s="55" t="n">
        <f aca="false">IF(AND(OR(LEN(13_Buscador!$C$5)=0,ISNUMBER(SEARCH(13_Buscador!$C$5,$C312&amp;" "&amp;$D312&amp;" "&amp;$E312&amp;" "&amp;$F312&amp;" "&amp;$S312))),OR(13_Buscador!$C$6="Todas las listas",LEN(13_Buscador!$C$6)=0,13_Buscador!$C$6=$B312)),1,0)</f>
        <v>1</v>
      </c>
      <c r="W312" s="55" t="n">
        <f aca="false">IF(V312=1,SUM($V$2:V312),"")</f>
        <v>72</v>
      </c>
    </row>
    <row r="313" customFormat="false" ht="15" hidden="false" customHeight="true" outlineLevel="0" collapsed="false">
      <c r="A313" s="55" t="n">
        <v>312</v>
      </c>
      <c r="B313" s="55" t="s">
        <v>3329</v>
      </c>
      <c r="C313" s="55" t="str">
        <f aca="false">IF(03_Cenas!B50="","",03_Cenas!B50)</f>
        <v>Pollo a la brasa</v>
      </c>
      <c r="D313" s="56" t="str">
        <f aca="false">IF(03_Cenas!C50="","",03_Cenas!C50)</f>
        <v>Combo 1/2 + gaseosa 1 L</v>
      </c>
      <c r="E313" s="56" t="str">
        <f aca="false">IF(03_Cenas!D50="","",03_Cenas!D50)</f>
        <v>Medio pollo con bebida</v>
      </c>
      <c r="F313" s="56" t="str">
        <f aca="false">IF(03_Cenas!E50="","",03_Cenas!E50)</f>
        <v>producto embotellado de marca</v>
      </c>
      <c r="G313" s="55" t="str">
        <f aca="false">IF(03_Cenas!F50="","",03_Cenas!F50)</f>
        <v>Combo</v>
      </c>
      <c r="H313" s="55" t="str">
        <f aca="false">IF(03_Cenas!G50="","",03_Cenas!G50)</f>
        <v>Medio</v>
      </c>
      <c r="I313" s="58" t="n">
        <f aca="false">IF(03_Cenas!H50="","",03_Cenas!H50)</f>
        <v>30</v>
      </c>
      <c r="J313" s="58" t="n">
        <f aca="false">IF(03_Cenas!I50="","",03_Cenas!I50)</f>
        <v>48</v>
      </c>
      <c r="K313" s="58" t="n">
        <f aca="false">IF(03_Cenas!J50="","",03_Cenas!J50)</f>
        <v>39</v>
      </c>
      <c r="L313" s="58" t="n">
        <f aca="false">IF(03_Cenas!L50="","",03_Cenas!L50)</f>
        <v>40</v>
      </c>
      <c r="M313" s="58" t="n">
        <f aca="false">IF(03_Cenas!N50="","",03_Cenas!N50)</f>
        <v>4.29</v>
      </c>
      <c r="N313" s="58" t="n">
        <f aca="false">IF(03_Cenas!O50="","",03_Cenas!O50)</f>
        <v>34.71</v>
      </c>
      <c r="O313" s="55" t="str">
        <f aca="false">IF(03_Cenas!P50="","",03_Cenas!P50)</f>
        <v>18:00-22:00</v>
      </c>
      <c r="P313" s="55" t="n">
        <f aca="false">IF(03_Cenas!Q50="","",03_Cenas!Q50)</f>
        <v>14</v>
      </c>
      <c r="Q313" s="55" t="str">
        <f aca="false">IF(03_Cenas!R50="","",03_Cenas!R50)</f>
        <v>Medio</v>
      </c>
      <c r="R313" s="55" t="str">
        <f aca="false">IF(03_Cenas!S50="","",03_Cenas!S50)</f>
        <v>Fin de semana</v>
      </c>
      <c r="S313" s="55" t="str">
        <f aca="false">IF(03_Cenas!T50="","",03_Cenas!T50)</f>
        <v>Pollería</v>
      </c>
      <c r="T313" s="56" t="str">
        <f aca="false">IF(03_Cenas!U50="","",03_Cenas!U50)</f>
        <v/>
      </c>
      <c r="U313" s="55" t="n">
        <v>50</v>
      </c>
      <c r="V313" s="55" t="n">
        <f aca="false">IF(AND(OR(LEN(13_Buscador!$C$5)=0,ISNUMBER(SEARCH(13_Buscador!$C$5,$C313&amp;" "&amp;$D313&amp;" "&amp;$E313&amp;" "&amp;$F313&amp;" "&amp;$S313))),OR(13_Buscador!$C$6="Todas las listas",LEN(13_Buscador!$C$6)=0,13_Buscador!$C$6=$B313)),1,0)</f>
        <v>1</v>
      </c>
      <c r="W313" s="55" t="n">
        <f aca="false">IF(V313=1,SUM($V$2:V313),"")</f>
        <v>73</v>
      </c>
    </row>
    <row r="314" customFormat="false" ht="23.25" hidden="false" customHeight="true" outlineLevel="0" collapsed="false">
      <c r="A314" s="55" t="n">
        <v>313</v>
      </c>
      <c r="B314" s="55" t="s">
        <v>3329</v>
      </c>
      <c r="C314" s="55" t="str">
        <f aca="false">IF(03_Cenas!B51="","",03_Cenas!B51)</f>
        <v>Pollo a la brasa</v>
      </c>
      <c r="D314" s="56" t="str">
        <f aca="false">IF(03_Cenas!C51="","",03_Cenas!C51)</f>
        <v>Pollo a la brasa con ensalada de palta</v>
      </c>
      <c r="E314" s="56" t="str">
        <f aca="false">IF(03_Cenas!D51="","",03_Cenas!D51)</f>
        <v>Versión con guarnición extra</v>
      </c>
      <c r="F314" s="56" t="str">
        <f aca="false">IF(03_Cenas!E51="","",03_Cenas!E51)</f>
        <v>pollo entero o en presas, sillao, ají panca, romero, comino, papas fritas, ensalada</v>
      </c>
      <c r="G314" s="55" t="str">
        <f aca="false">IF(03_Cenas!F51="","",03_Cenas!F51)</f>
        <v>Porción</v>
      </c>
      <c r="H314" s="55" t="str">
        <f aca="false">IF(03_Cenas!G51="","",03_Cenas!G51)</f>
        <v>Estándar</v>
      </c>
      <c r="I314" s="58" t="n">
        <f aca="false">IF(03_Cenas!H51="","",03_Cenas!H51)</f>
        <v>15</v>
      </c>
      <c r="J314" s="58" t="n">
        <f aca="false">IF(03_Cenas!I51="","",03_Cenas!I51)</f>
        <v>24</v>
      </c>
      <c r="K314" s="58" t="n">
        <f aca="false">IF(03_Cenas!J51="","",03_Cenas!J51)</f>
        <v>19.5</v>
      </c>
      <c r="L314" s="58" t="n">
        <f aca="false">IF(03_Cenas!L51="","",03_Cenas!L51)</f>
        <v>20.5</v>
      </c>
      <c r="M314" s="58" t="n">
        <f aca="false">IF(03_Cenas!N51="","",03_Cenas!N51)</f>
        <v>1.76</v>
      </c>
      <c r="N314" s="58" t="n">
        <f aca="false">IF(03_Cenas!O51="","",03_Cenas!O51)</f>
        <v>17.74</v>
      </c>
      <c r="O314" s="55" t="str">
        <f aca="false">IF(03_Cenas!P51="","",03_Cenas!P51)</f>
        <v>18:00-22:00</v>
      </c>
      <c r="P314" s="55" t="n">
        <f aca="false">IF(03_Cenas!Q51="","",03_Cenas!Q51)</f>
        <v>12</v>
      </c>
      <c r="Q314" s="55" t="str">
        <f aca="false">IF(03_Cenas!R51="","",03_Cenas!R51)</f>
        <v>Medio</v>
      </c>
      <c r="R314" s="55" t="str">
        <f aca="false">IF(03_Cenas!S51="","",03_Cenas!S51)</f>
        <v>Todo el año</v>
      </c>
      <c r="S314" s="55" t="str">
        <f aca="false">IF(03_Cenas!T51="","",03_Cenas!T51)</f>
        <v>Pollería</v>
      </c>
      <c r="T314" s="56" t="str">
        <f aca="false">IF(03_Cenas!U51="","",03_Cenas!U51)</f>
        <v/>
      </c>
      <c r="U314" s="55" t="n">
        <v>51</v>
      </c>
      <c r="V314" s="55" t="n">
        <f aca="false">IF(AND(OR(LEN(13_Buscador!$C$5)=0,ISNUMBER(SEARCH(13_Buscador!$C$5,$C314&amp;" "&amp;$D314&amp;" "&amp;$E314&amp;" "&amp;$F314&amp;" "&amp;$S314))),OR(13_Buscador!$C$6="Todas las listas",LEN(13_Buscador!$C$6)=0,13_Buscador!$C$6=$B314)),1,0)</f>
        <v>1</v>
      </c>
      <c r="W314" s="55" t="n">
        <f aca="false">IF(V314=1,SUM($V$2:V314),"")</f>
        <v>74</v>
      </c>
    </row>
    <row r="315" customFormat="false" ht="15" hidden="false" customHeight="true" outlineLevel="0" collapsed="false">
      <c r="A315" s="55" t="n">
        <v>314</v>
      </c>
      <c r="B315" s="55" t="s">
        <v>3329</v>
      </c>
      <c r="C315" s="55" t="str">
        <f aca="false">IF(03_Cenas!B52="","",03_Cenas!B52)</f>
        <v>Broaster y frituras</v>
      </c>
      <c r="D315" s="56" t="str">
        <f aca="false">IF(03_Cenas!C52="","",03_Cenas!C52)</f>
        <v>Broaster familiar (8 presas)</v>
      </c>
      <c r="E315" s="56" t="str">
        <f aca="false">IF(03_Cenas!D52="","",03_Cenas!D52)</f>
        <v>Con papas para 4</v>
      </c>
      <c r="F315" s="56" t="str">
        <f aca="false">IF(03_Cenas!E52="","",03_Cenas!E52)</f>
        <v>pollo, harina, huevo, especias, aceite, papas fritas</v>
      </c>
      <c r="G315" s="55" t="str">
        <f aca="false">IF(03_Cenas!F52="","",03_Cenas!F52)</f>
        <v>Fuente</v>
      </c>
      <c r="H315" s="55" t="str">
        <f aca="false">IF(03_Cenas!G52="","",03_Cenas!G52)</f>
        <v>Premium</v>
      </c>
      <c r="I315" s="58" t="n">
        <f aca="false">IF(03_Cenas!H52="","",03_Cenas!H52)</f>
        <v>45</v>
      </c>
      <c r="J315" s="58" t="n">
        <f aca="false">IF(03_Cenas!I52="","",03_Cenas!I52)</f>
        <v>80</v>
      </c>
      <c r="K315" s="58" t="n">
        <f aca="false">IF(03_Cenas!J52="","",03_Cenas!J52)</f>
        <v>62.5</v>
      </c>
      <c r="L315" s="58" t="n">
        <f aca="false">IF(03_Cenas!L52="","",03_Cenas!L52)</f>
        <v>63.5</v>
      </c>
      <c r="M315" s="58" t="n">
        <f aca="false">IF(03_Cenas!N52="","",03_Cenas!N52)</f>
        <v>8.13</v>
      </c>
      <c r="N315" s="58" t="n">
        <f aca="false">IF(03_Cenas!O52="","",03_Cenas!O52)</f>
        <v>54.37</v>
      </c>
      <c r="O315" s="55" t="str">
        <f aca="false">IF(03_Cenas!P52="","",03_Cenas!P52)</f>
        <v>18:00-23:00</v>
      </c>
      <c r="P315" s="55" t="n">
        <f aca="false">IF(03_Cenas!Q52="","",03_Cenas!Q52)</f>
        <v>20</v>
      </c>
      <c r="Q315" s="55" t="str">
        <f aca="false">IF(03_Cenas!R52="","",03_Cenas!R52)</f>
        <v>Medio</v>
      </c>
      <c r="R315" s="55" t="str">
        <f aca="false">IF(03_Cenas!S52="","",03_Cenas!S52)</f>
        <v>Fin de semana</v>
      </c>
      <c r="S315" s="55" t="str">
        <f aca="false">IF(03_Cenas!T52="","",03_Cenas!T52)</f>
        <v>Broastería</v>
      </c>
      <c r="T315" s="56" t="str">
        <f aca="false">IF(03_Cenas!U52="","",03_Cenas!U52)</f>
        <v>Ticket alto nocturno</v>
      </c>
      <c r="U315" s="55" t="n">
        <v>52</v>
      </c>
      <c r="V315" s="55" t="n">
        <f aca="false">IF(AND(OR(LEN(13_Buscador!$C$5)=0,ISNUMBER(SEARCH(13_Buscador!$C$5,$C315&amp;" "&amp;$D315&amp;" "&amp;$E315&amp;" "&amp;$F315&amp;" "&amp;$S315))),OR(13_Buscador!$C$6="Todas las listas",LEN(13_Buscador!$C$6)=0,13_Buscador!$C$6=$B315)),1,0)</f>
        <v>1</v>
      </c>
      <c r="W315" s="55" t="n">
        <f aca="false">IF(V315=1,SUM($V$2:V315),"")</f>
        <v>75</v>
      </c>
    </row>
    <row r="316" customFormat="false" ht="23.25" hidden="false" customHeight="true" outlineLevel="0" collapsed="false">
      <c r="A316" s="55" t="n">
        <v>315</v>
      </c>
      <c r="B316" s="55" t="s">
        <v>3329</v>
      </c>
      <c r="C316" s="55" t="str">
        <f aca="false">IF(03_Cenas!B53="","",03_Cenas!B53)</f>
        <v>Broaster y frituras</v>
      </c>
      <c r="D316" s="56" t="str">
        <f aca="false">IF(03_Cenas!C53="","",03_Cenas!C53)</f>
        <v>Combo alitas + papas + gaseosa</v>
      </c>
      <c r="E316" s="56" t="str">
        <f aca="false">IF(03_Cenas!D53="","",03_Cenas!D53)</f>
        <v>Combo nocturno</v>
      </c>
      <c r="F316" s="56" t="str">
        <f aca="false">IF(03_Cenas!E53="","",03_Cenas!E53)</f>
        <v>alitas de pollo, harina o salsa (BBQ o picante), papas fritas, cremas</v>
      </c>
      <c r="G316" s="55" t="str">
        <f aca="false">IF(03_Cenas!F53="","",03_Cenas!F53)</f>
        <v>Combo</v>
      </c>
      <c r="H316" s="55" t="str">
        <f aca="false">IF(03_Cenas!G53="","",03_Cenas!G53)</f>
        <v>Medio</v>
      </c>
      <c r="I316" s="58" t="n">
        <f aca="false">IF(03_Cenas!H53="","",03_Cenas!H53)</f>
        <v>20</v>
      </c>
      <c r="J316" s="58" t="n">
        <f aca="false">IF(03_Cenas!I53="","",03_Cenas!I53)</f>
        <v>35</v>
      </c>
      <c r="K316" s="58" t="n">
        <f aca="false">IF(03_Cenas!J53="","",03_Cenas!J53)</f>
        <v>27.5</v>
      </c>
      <c r="L316" s="58" t="n">
        <f aca="false">IF(03_Cenas!L53="","",03_Cenas!L53)</f>
        <v>28.5</v>
      </c>
      <c r="M316" s="58" t="n">
        <f aca="false">IF(03_Cenas!N53="","",03_Cenas!N53)</f>
        <v>3.03</v>
      </c>
      <c r="N316" s="58" t="n">
        <f aca="false">IF(03_Cenas!O53="","",03_Cenas!O53)</f>
        <v>24.47</v>
      </c>
      <c r="O316" s="55" t="str">
        <f aca="false">IF(03_Cenas!P53="","",03_Cenas!P53)</f>
        <v>18:00-23:00</v>
      </c>
      <c r="P316" s="55" t="n">
        <f aca="false">IF(03_Cenas!Q53="","",03_Cenas!Q53)</f>
        <v>16</v>
      </c>
      <c r="Q316" s="55" t="str">
        <f aca="false">IF(03_Cenas!R53="","",03_Cenas!R53)</f>
        <v>Medio</v>
      </c>
      <c r="R316" s="55" t="str">
        <f aca="false">IF(03_Cenas!S53="","",03_Cenas!S53)</f>
        <v>Fin de semana</v>
      </c>
      <c r="S316" s="55" t="str">
        <f aca="false">IF(03_Cenas!T53="","",03_Cenas!T53)</f>
        <v>Broastería</v>
      </c>
      <c r="T316" s="56" t="str">
        <f aca="false">IF(03_Cenas!U53="","",03_Cenas!U53)</f>
        <v/>
      </c>
      <c r="U316" s="55" t="n">
        <v>53</v>
      </c>
      <c r="V316" s="55" t="n">
        <f aca="false">IF(AND(OR(LEN(13_Buscador!$C$5)=0,ISNUMBER(SEARCH(13_Buscador!$C$5,$C316&amp;" "&amp;$D316&amp;" "&amp;$E316&amp;" "&amp;$F316&amp;" "&amp;$S316))),OR(13_Buscador!$C$6="Todas las listas",LEN(13_Buscador!$C$6)=0,13_Buscador!$C$6=$B316)),1,0)</f>
        <v>1</v>
      </c>
      <c r="W316" s="55" t="n">
        <f aca="false">IF(V316=1,SUM($V$2:V316),"")</f>
        <v>76</v>
      </c>
    </row>
    <row r="317" customFormat="false" ht="15" hidden="false" customHeight="true" outlineLevel="0" collapsed="false">
      <c r="A317" s="55" t="n">
        <v>316</v>
      </c>
      <c r="B317" s="55" t="s">
        <v>3329</v>
      </c>
      <c r="C317" s="55" t="str">
        <f aca="false">IF(03_Cenas!B54="","",03_Cenas!B54)</f>
        <v>Broaster y frituras</v>
      </c>
      <c r="D317" s="56" t="str">
        <f aca="false">IF(03_Cenas!C54="","",03_Cenas!C54)</f>
        <v>Nuggets con papas</v>
      </c>
      <c r="E317" s="56" t="str">
        <f aca="false">IF(03_Cenas!D54="","",03_Cenas!D54)</f>
        <v>Para público infantil</v>
      </c>
      <c r="F317" s="56" t="str">
        <f aca="false">IF(03_Cenas!E54="","",03_Cenas!E54)</f>
        <v>pollo, harina, huevo, especias, aceite, papas fritas</v>
      </c>
      <c r="G317" s="55" t="str">
        <f aca="false">IF(03_Cenas!F54="","",03_Cenas!F54)</f>
        <v>Porción</v>
      </c>
      <c r="H317" s="55" t="str">
        <f aca="false">IF(03_Cenas!G54="","",03_Cenas!G54)</f>
        <v>Económico</v>
      </c>
      <c r="I317" s="58" t="n">
        <f aca="false">IF(03_Cenas!H54="","",03_Cenas!H54)</f>
        <v>8</v>
      </c>
      <c r="J317" s="58" t="n">
        <f aca="false">IF(03_Cenas!I54="","",03_Cenas!I54)</f>
        <v>15</v>
      </c>
      <c r="K317" s="58" t="n">
        <f aca="false">IF(03_Cenas!J54="","",03_Cenas!J54)</f>
        <v>11.5</v>
      </c>
      <c r="L317" s="58" t="n">
        <f aca="false">IF(03_Cenas!L54="","",03_Cenas!L54)</f>
        <v>12.5</v>
      </c>
      <c r="M317" s="58" t="n">
        <f aca="false">IF(03_Cenas!N54="","",03_Cenas!N54)</f>
        <v>0.81</v>
      </c>
      <c r="N317" s="58" t="n">
        <f aca="false">IF(03_Cenas!O54="","",03_Cenas!O54)</f>
        <v>10.69</v>
      </c>
      <c r="O317" s="55" t="str">
        <f aca="false">IF(03_Cenas!P54="","",03_Cenas!P54)</f>
        <v>18:00-22:00</v>
      </c>
      <c r="P317" s="55" t="n">
        <f aca="false">IF(03_Cenas!Q54="","",03_Cenas!Q54)</f>
        <v>10</v>
      </c>
      <c r="Q317" s="55" t="str">
        <f aca="false">IF(03_Cenas!R54="","",03_Cenas!R54)</f>
        <v>Medio</v>
      </c>
      <c r="R317" s="55" t="str">
        <f aca="false">IF(03_Cenas!S54="","",03_Cenas!S54)</f>
        <v>Todo el año</v>
      </c>
      <c r="S317" s="55" t="str">
        <f aca="false">IF(03_Cenas!T54="","",03_Cenas!T54)</f>
        <v>Fast food</v>
      </c>
      <c r="T317" s="56" t="str">
        <f aca="false">IF(03_Cenas!U54="","",03_Cenas!U54)</f>
        <v/>
      </c>
      <c r="U317" s="55" t="n">
        <v>54</v>
      </c>
      <c r="V317" s="55" t="n">
        <f aca="false">IF(AND(OR(LEN(13_Buscador!$C$5)=0,ISNUMBER(SEARCH(13_Buscador!$C$5,$C317&amp;" "&amp;$D317&amp;" "&amp;$E317&amp;" "&amp;$F317&amp;" "&amp;$S317))),OR(13_Buscador!$C$6="Todas las listas",LEN(13_Buscador!$C$6)=0,13_Buscador!$C$6=$B317)),1,0)</f>
        <v>1</v>
      </c>
      <c r="W317" s="55" t="n">
        <f aca="false">IF(V317=1,SUM($V$2:V317),"")</f>
        <v>77</v>
      </c>
    </row>
    <row r="318" customFormat="false" ht="15" hidden="false" customHeight="true" outlineLevel="0" collapsed="false">
      <c r="A318" s="55" t="n">
        <v>317</v>
      </c>
      <c r="B318" s="55" t="s">
        <v>3329</v>
      </c>
      <c r="C318" s="55" t="str">
        <f aca="false">IF(03_Cenas!B55="","",03_Cenas!B55)</f>
        <v>Broaster y frituras</v>
      </c>
      <c r="D318" s="56" t="str">
        <f aca="false">IF(03_Cenas!C55="","",03_Cenas!C55)</f>
        <v>Chicharrón de chancho nocturno</v>
      </c>
      <c r="E318" s="56" t="str">
        <f aca="false">IF(03_Cenas!D55="","",03_Cenas!D55)</f>
        <v>Cerdo frito con mote</v>
      </c>
      <c r="F318" s="56" t="str">
        <f aca="false">IF(03_Cenas!E55="","",03_Cenas!E55)</f>
        <v>carne de cerdo, sal, agua, mote, papa, salsa criolla</v>
      </c>
      <c r="G318" s="55" t="str">
        <f aca="false">IF(03_Cenas!F55="","",03_Cenas!F55)</f>
        <v>Porción</v>
      </c>
      <c r="H318" s="55" t="str">
        <f aca="false">IF(03_Cenas!G55="","",03_Cenas!G55)</f>
        <v>Estándar</v>
      </c>
      <c r="I318" s="58" t="n">
        <f aca="false">IF(03_Cenas!H55="","",03_Cenas!H55)</f>
        <v>12</v>
      </c>
      <c r="J318" s="58" t="n">
        <f aca="false">IF(03_Cenas!I55="","",03_Cenas!I55)</f>
        <v>22</v>
      </c>
      <c r="K318" s="58" t="n">
        <f aca="false">IF(03_Cenas!J55="","",03_Cenas!J55)</f>
        <v>17</v>
      </c>
      <c r="L318" s="58" t="n">
        <f aca="false">IF(03_Cenas!L55="","",03_Cenas!L55)</f>
        <v>18</v>
      </c>
      <c r="M318" s="58" t="n">
        <f aca="false">IF(03_Cenas!N55="","",03_Cenas!N55)</f>
        <v>1.53</v>
      </c>
      <c r="N318" s="58" t="n">
        <f aca="false">IF(03_Cenas!O55="","",03_Cenas!O55)</f>
        <v>15.47</v>
      </c>
      <c r="O318" s="55" t="str">
        <f aca="false">IF(03_Cenas!P55="","",03_Cenas!P55)</f>
        <v>18:00-23:00</v>
      </c>
      <c r="P318" s="55" t="n">
        <f aca="false">IF(03_Cenas!Q55="","",03_Cenas!Q55)</f>
        <v>15</v>
      </c>
      <c r="Q318" s="55" t="str">
        <f aca="false">IF(03_Cenas!R55="","",03_Cenas!R55)</f>
        <v>Medio</v>
      </c>
      <c r="R318" s="55" t="str">
        <f aca="false">IF(03_Cenas!S55="","",03_Cenas!S55)</f>
        <v>Fin de semana</v>
      </c>
      <c r="S318" s="55" t="str">
        <f aca="false">IF(03_Cenas!T55="","",03_Cenas!T55)</f>
        <v>Chicharronería</v>
      </c>
      <c r="T318" s="56" t="str">
        <f aca="false">IF(03_Cenas!U55="","",03_Cenas!U55)</f>
        <v/>
      </c>
      <c r="U318" s="55" t="n">
        <v>55</v>
      </c>
      <c r="V318" s="55" t="n">
        <f aca="false">IF(AND(OR(LEN(13_Buscador!$C$5)=0,ISNUMBER(SEARCH(13_Buscador!$C$5,$C318&amp;" "&amp;$D318&amp;" "&amp;$E318&amp;" "&amp;$F318&amp;" "&amp;$S318))),OR(13_Buscador!$C$6="Todas las listas",LEN(13_Buscador!$C$6)=0,13_Buscador!$C$6=$B318)),1,0)</f>
        <v>0</v>
      </c>
      <c r="W318" s="55" t="str">
        <f aca="false">IF(V318=1,SUM($V$2:V318),"")</f>
        <v/>
      </c>
    </row>
    <row r="319" customFormat="false" ht="23.25" hidden="false" customHeight="true" outlineLevel="0" collapsed="false">
      <c r="A319" s="55" t="n">
        <v>318</v>
      </c>
      <c r="B319" s="55" t="s">
        <v>3329</v>
      </c>
      <c r="C319" s="55" t="str">
        <f aca="false">IF(03_Cenas!B56="","",03_Cenas!B56)</f>
        <v>Hamburguesas y sándwiches</v>
      </c>
      <c r="D319" s="56" t="str">
        <f aca="false">IF(03_Cenas!C56="","",03_Cenas!C56)</f>
        <v>Hamburguesa royal / especial</v>
      </c>
      <c r="E319" s="56" t="str">
        <f aca="false">IF(03_Cenas!D56="","",03_Cenas!D56)</f>
        <v>Carne, huevo, jamón, queso</v>
      </c>
      <c r="F319" s="56" t="str">
        <f aca="false">IF(03_Cenas!E56="","",03_Cenas!E56)</f>
        <v>pan de hamburguesa, carne o pollo, lechuga, tomate, cebolla, queso, salsas, papas fritas</v>
      </c>
      <c r="G319" s="55" t="str">
        <f aca="false">IF(03_Cenas!F56="","",03_Cenas!F56)</f>
        <v>1 unidad</v>
      </c>
      <c r="H319" s="55" t="str">
        <f aca="false">IF(03_Cenas!G56="","",03_Cenas!G56)</f>
        <v>Estándar</v>
      </c>
      <c r="I319" s="58" t="n">
        <f aca="false">IF(03_Cenas!H56="","",03_Cenas!H56)</f>
        <v>12</v>
      </c>
      <c r="J319" s="58" t="n">
        <f aca="false">IF(03_Cenas!I56="","",03_Cenas!I56)</f>
        <v>22</v>
      </c>
      <c r="K319" s="58" t="n">
        <f aca="false">IF(03_Cenas!J56="","",03_Cenas!J56)</f>
        <v>17</v>
      </c>
      <c r="L319" s="58" t="n">
        <f aca="false">IF(03_Cenas!L56="","",03_Cenas!L56)</f>
        <v>18</v>
      </c>
      <c r="M319" s="58" t="n">
        <f aca="false">IF(03_Cenas!N56="","",03_Cenas!N56)</f>
        <v>1.53</v>
      </c>
      <c r="N319" s="58" t="n">
        <f aca="false">IF(03_Cenas!O56="","",03_Cenas!O56)</f>
        <v>15.47</v>
      </c>
      <c r="O319" s="55" t="str">
        <f aca="false">IF(03_Cenas!P56="","",03_Cenas!P56)</f>
        <v>18:00-23:00</v>
      </c>
      <c r="P319" s="55" t="n">
        <f aca="false">IF(03_Cenas!Q56="","",03_Cenas!Q56)</f>
        <v>12</v>
      </c>
      <c r="Q319" s="55" t="str">
        <f aca="false">IF(03_Cenas!R56="","",03_Cenas!R56)</f>
        <v>Alto</v>
      </c>
      <c r="R319" s="55" t="str">
        <f aca="false">IF(03_Cenas!S56="","",03_Cenas!S56)</f>
        <v>Todo el año</v>
      </c>
      <c r="S319" s="55" t="str">
        <f aca="false">IF(03_Cenas!T56="","",03_Cenas!T56)</f>
        <v>Fast food</v>
      </c>
      <c r="T319" s="56" t="str">
        <f aca="false">IF(03_Cenas!U56="","",03_Cenas!U56)</f>
        <v/>
      </c>
      <c r="U319" s="55" t="n">
        <v>56</v>
      </c>
      <c r="V319" s="55" t="n">
        <f aca="false">IF(AND(OR(LEN(13_Buscador!$C$5)=0,ISNUMBER(SEARCH(13_Buscador!$C$5,$C319&amp;" "&amp;$D319&amp;" "&amp;$E319&amp;" "&amp;$F319&amp;" "&amp;$S319))),OR(13_Buscador!$C$6="Todas las listas",LEN(13_Buscador!$C$6)=0,13_Buscador!$C$6=$B319)),1,0)</f>
        <v>1</v>
      </c>
      <c r="W319" s="55" t="n">
        <f aca="false">IF(V319=1,SUM($V$2:V319),"")</f>
        <v>78</v>
      </c>
    </row>
    <row r="320" customFormat="false" ht="23.25" hidden="false" customHeight="true" outlineLevel="0" collapsed="false">
      <c r="A320" s="55" t="n">
        <v>319</v>
      </c>
      <c r="B320" s="55" t="s">
        <v>3329</v>
      </c>
      <c r="C320" s="55" t="str">
        <f aca="false">IF(03_Cenas!B57="","",03_Cenas!B57)</f>
        <v>Hamburguesas y sándwiches</v>
      </c>
      <c r="D320" s="56" t="str">
        <f aca="false">IF(03_Cenas!C57="","",03_Cenas!C57)</f>
        <v>Combo hamburguesa + papas + gaseosa</v>
      </c>
      <c r="E320" s="56" t="str">
        <f aca="false">IF(03_Cenas!D57="","",03_Cenas!D57)</f>
        <v>Combo completo</v>
      </c>
      <c r="F320" s="56" t="str">
        <f aca="false">IF(03_Cenas!E57="","",03_Cenas!E57)</f>
        <v>pan de hamburguesa, carne o pollo, lechuga, tomate, cebolla, queso, salsas, papas fritas</v>
      </c>
      <c r="G320" s="55" t="str">
        <f aca="false">IF(03_Cenas!F57="","",03_Cenas!F57)</f>
        <v>Combo</v>
      </c>
      <c r="H320" s="55" t="str">
        <f aca="false">IF(03_Cenas!G57="","",03_Cenas!G57)</f>
        <v>Estándar</v>
      </c>
      <c r="I320" s="58" t="n">
        <f aca="false">IF(03_Cenas!H57="","",03_Cenas!H57)</f>
        <v>14</v>
      </c>
      <c r="J320" s="58" t="n">
        <f aca="false">IF(03_Cenas!I57="","",03_Cenas!I57)</f>
        <v>25</v>
      </c>
      <c r="K320" s="58" t="n">
        <f aca="false">IF(03_Cenas!J57="","",03_Cenas!J57)</f>
        <v>19.5</v>
      </c>
      <c r="L320" s="58" t="n">
        <f aca="false">IF(03_Cenas!L57="","",03_Cenas!L57)</f>
        <v>20.5</v>
      </c>
      <c r="M320" s="58" t="n">
        <f aca="false">IF(03_Cenas!N57="","",03_Cenas!N57)</f>
        <v>1.76</v>
      </c>
      <c r="N320" s="58" t="n">
        <f aca="false">IF(03_Cenas!O57="","",03_Cenas!O57)</f>
        <v>17.74</v>
      </c>
      <c r="O320" s="55" t="str">
        <f aca="false">IF(03_Cenas!P57="","",03_Cenas!P57)</f>
        <v>18:00-23:00</v>
      </c>
      <c r="P320" s="55" t="n">
        <f aca="false">IF(03_Cenas!Q57="","",03_Cenas!Q57)</f>
        <v>12</v>
      </c>
      <c r="Q320" s="55" t="str">
        <f aca="false">IF(03_Cenas!R57="","",03_Cenas!R57)</f>
        <v>Alto</v>
      </c>
      <c r="R320" s="55" t="str">
        <f aca="false">IF(03_Cenas!S57="","",03_Cenas!S57)</f>
        <v>Todo el año</v>
      </c>
      <c r="S320" s="55" t="str">
        <f aca="false">IF(03_Cenas!T57="","",03_Cenas!T57)</f>
        <v>Fast food</v>
      </c>
      <c r="T320" s="56" t="str">
        <f aca="false">IF(03_Cenas!U57="","",03_Cenas!U57)</f>
        <v>Producto de combo más pedido de la noche</v>
      </c>
      <c r="U320" s="55" t="n">
        <v>57</v>
      </c>
      <c r="V320" s="55" t="n">
        <f aca="false">IF(AND(OR(LEN(13_Buscador!$C$5)=0,ISNUMBER(SEARCH(13_Buscador!$C$5,$C320&amp;" "&amp;$D320&amp;" "&amp;$E320&amp;" "&amp;$F320&amp;" "&amp;$S320))),OR(13_Buscador!$C$6="Todas las listas",LEN(13_Buscador!$C$6)=0,13_Buscador!$C$6=$B320)),1,0)</f>
        <v>1</v>
      </c>
      <c r="W320" s="55" t="n">
        <f aca="false">IF(V320=1,SUM($V$2:V320),"")</f>
        <v>79</v>
      </c>
    </row>
    <row r="321" customFormat="false" ht="23.25" hidden="false" customHeight="true" outlineLevel="0" collapsed="false">
      <c r="A321" s="55" t="n">
        <v>320</v>
      </c>
      <c r="B321" s="55" t="s">
        <v>3329</v>
      </c>
      <c r="C321" s="55" t="str">
        <f aca="false">IF(03_Cenas!B58="","",03_Cenas!B58)</f>
        <v>Hamburguesas y sándwiches</v>
      </c>
      <c r="D321" s="56" t="str">
        <f aca="false">IF(03_Cenas!C58="","",03_Cenas!C58)</f>
        <v>Hamburguesa de alpaca</v>
      </c>
      <c r="E321" s="56" t="str">
        <f aca="false">IF(03_Cenas!D58="","",03_Cenas!D58)</f>
        <v>Carne de alpaca</v>
      </c>
      <c r="F321" s="56" t="str">
        <f aca="false">IF(03_Cenas!E58="","",03_Cenas!E58)</f>
        <v>lomo de alpaca, ajo, comino, sal, guarnición de papa o quinua</v>
      </c>
      <c r="G321" s="55" t="str">
        <f aca="false">IF(03_Cenas!F58="","",03_Cenas!F58)</f>
        <v>1 unidad</v>
      </c>
      <c r="H321" s="55" t="str">
        <f aca="false">IF(03_Cenas!G58="","",03_Cenas!G58)</f>
        <v>Medio</v>
      </c>
      <c r="I321" s="58" t="n">
        <f aca="false">IF(03_Cenas!H58="","",03_Cenas!H58)</f>
        <v>15</v>
      </c>
      <c r="J321" s="58" t="n">
        <f aca="false">IF(03_Cenas!I58="","",03_Cenas!I58)</f>
        <v>28</v>
      </c>
      <c r="K321" s="58" t="n">
        <f aca="false">IF(03_Cenas!J58="","",03_Cenas!J58)</f>
        <v>21.5</v>
      </c>
      <c r="L321" s="58" t="n">
        <f aca="false">IF(03_Cenas!L58="","",03_Cenas!L58)</f>
        <v>22.5</v>
      </c>
      <c r="M321" s="58" t="n">
        <f aca="false">IF(03_Cenas!N58="","",03_Cenas!N58)</f>
        <v>2.37</v>
      </c>
      <c r="N321" s="58" t="n">
        <f aca="false">IF(03_Cenas!O58="","",03_Cenas!O58)</f>
        <v>19.13</v>
      </c>
      <c r="O321" s="55" t="str">
        <f aca="false">IF(03_Cenas!P58="","",03_Cenas!P58)</f>
        <v>18:00-23:00</v>
      </c>
      <c r="P321" s="55" t="n">
        <f aca="false">IF(03_Cenas!Q58="","",03_Cenas!Q58)</f>
        <v>14</v>
      </c>
      <c r="Q321" s="55" t="str">
        <f aca="false">IF(03_Cenas!R58="","",03_Cenas!R58)</f>
        <v>Alto</v>
      </c>
      <c r="R321" s="55" t="str">
        <f aca="false">IF(03_Cenas!S58="","",03_Cenas!S58)</f>
        <v>Todo el año</v>
      </c>
      <c r="S321" s="55" t="str">
        <f aca="false">IF(03_Cenas!T58="","",03_Cenas!T58)</f>
        <v>Fast food turístico</v>
      </c>
      <c r="T321" s="56" t="str">
        <f aca="false">IF(03_Cenas!U58="","",03_Cenas!U58)</f>
        <v>Diferenciador local</v>
      </c>
      <c r="U321" s="55" t="n">
        <v>58</v>
      </c>
      <c r="V321" s="55" t="n">
        <f aca="false">IF(AND(OR(LEN(13_Buscador!$C$5)=0,ISNUMBER(SEARCH(13_Buscador!$C$5,$C321&amp;" "&amp;$D321&amp;" "&amp;$E321&amp;" "&amp;$F321&amp;" "&amp;$S321))),OR(13_Buscador!$C$6="Todas las listas",LEN(13_Buscador!$C$6)=0,13_Buscador!$C$6=$B321)),1,0)</f>
        <v>0</v>
      </c>
      <c r="W321" s="55" t="str">
        <f aca="false">IF(V321=1,SUM($V$2:V321),"")</f>
        <v/>
      </c>
    </row>
    <row r="322" customFormat="false" ht="15" hidden="false" customHeight="true" outlineLevel="0" collapsed="false">
      <c r="A322" s="55" t="n">
        <v>321</v>
      </c>
      <c r="B322" s="55" t="s">
        <v>3329</v>
      </c>
      <c r="C322" s="55" t="str">
        <f aca="false">IF(03_Cenas!B59="","",03_Cenas!B59)</f>
        <v>Hamburguesas y sándwiches</v>
      </c>
      <c r="D322" s="56" t="str">
        <f aca="false">IF(03_Cenas!C59="","",03_Cenas!C59)</f>
        <v>Sándwich de pavo</v>
      </c>
      <c r="E322" s="56" t="str">
        <f aca="false">IF(03_Cenas!D59="","",03_Cenas!D59)</f>
        <v>Pavo, vegetales</v>
      </c>
      <c r="F322" s="56" t="str">
        <f aca="false">IF(03_Cenas!E59="","",03_Cenas!E59)</f>
        <v>pan, pavo, lechuga, tomate, mayonesa</v>
      </c>
      <c r="G322" s="55" t="str">
        <f aca="false">IF(03_Cenas!F59="","",03_Cenas!F59)</f>
        <v>1 unidad</v>
      </c>
      <c r="H322" s="55" t="str">
        <f aca="false">IF(03_Cenas!G59="","",03_Cenas!G59)</f>
        <v>Estándar</v>
      </c>
      <c r="I322" s="58" t="n">
        <f aca="false">IF(03_Cenas!H59="","",03_Cenas!H59)</f>
        <v>8</v>
      </c>
      <c r="J322" s="58" t="n">
        <f aca="false">IF(03_Cenas!I59="","",03_Cenas!I59)</f>
        <v>16</v>
      </c>
      <c r="K322" s="58" t="n">
        <f aca="false">IF(03_Cenas!J59="","",03_Cenas!J59)</f>
        <v>12</v>
      </c>
      <c r="L322" s="58" t="n">
        <f aca="false">IF(03_Cenas!L59="","",03_Cenas!L59)</f>
        <v>13</v>
      </c>
      <c r="M322" s="58" t="n">
        <f aca="false">IF(03_Cenas!N59="","",03_Cenas!N59)</f>
        <v>1.08</v>
      </c>
      <c r="N322" s="58" t="n">
        <f aca="false">IF(03_Cenas!O59="","",03_Cenas!O59)</f>
        <v>10.92</v>
      </c>
      <c r="O322" s="55" t="str">
        <f aca="false">IF(03_Cenas!P59="","",03_Cenas!P59)</f>
        <v>18:00-22:00</v>
      </c>
      <c r="P322" s="55" t="n">
        <f aca="false">IF(03_Cenas!Q59="","",03_Cenas!Q59)</f>
        <v>8</v>
      </c>
      <c r="Q322" s="55" t="str">
        <f aca="false">IF(03_Cenas!R59="","",03_Cenas!R59)</f>
        <v>Alto</v>
      </c>
      <c r="R322" s="55" t="str">
        <f aca="false">IF(03_Cenas!S59="","",03_Cenas!S59)</f>
        <v>Todo el año</v>
      </c>
      <c r="S322" s="55" t="str">
        <f aca="false">IF(03_Cenas!T59="","",03_Cenas!T59)</f>
        <v>Cafetería</v>
      </c>
      <c r="T322" s="56" t="str">
        <f aca="false">IF(03_Cenas!U59="","",03_Cenas!U59)</f>
        <v/>
      </c>
      <c r="U322" s="55" t="n">
        <v>59</v>
      </c>
      <c r="V322" s="55" t="n">
        <f aca="false">IF(AND(OR(LEN(13_Buscador!$C$5)=0,ISNUMBER(SEARCH(13_Buscador!$C$5,$C322&amp;" "&amp;$D322&amp;" "&amp;$E322&amp;" "&amp;$F322&amp;" "&amp;$S322))),OR(13_Buscador!$C$6="Todas las listas",LEN(13_Buscador!$C$6)=0,13_Buscador!$C$6=$B322)),1,0)</f>
        <v>0</v>
      </c>
      <c r="W322" s="55" t="str">
        <f aca="false">IF(V322=1,SUM($V$2:V322),"")</f>
        <v/>
      </c>
    </row>
    <row r="323" customFormat="false" ht="23.25" hidden="false" customHeight="true" outlineLevel="0" collapsed="false">
      <c r="A323" s="55" t="n">
        <v>322</v>
      </c>
      <c r="B323" s="55" t="s">
        <v>3329</v>
      </c>
      <c r="C323" s="55" t="str">
        <f aca="false">IF(03_Cenas!B60="","",03_Cenas!B60)</f>
        <v>Pizzas y pastas</v>
      </c>
      <c r="D323" s="56" t="str">
        <f aca="false">IF(03_Cenas!C60="","",03_Cenas!C60)</f>
        <v>Combo pizza familiar + gaseosa 1.5 L</v>
      </c>
      <c r="E323" s="56" t="str">
        <f aca="false">IF(03_Cenas!D60="","",03_Cenas!D60)</f>
        <v>Pizza y bebida</v>
      </c>
      <c r="F323" s="56" t="str">
        <f aca="false">IF(03_Cenas!E60="","",03_Cenas!E60)</f>
        <v>masa de pizza, salsa de tomate, queso mozzarella, orégano, ingredientes del sabor</v>
      </c>
      <c r="G323" s="55" t="str">
        <f aca="false">IF(03_Cenas!F60="","",03_Cenas!F60)</f>
        <v>Combo</v>
      </c>
      <c r="H323" s="55" t="str">
        <f aca="false">IF(03_Cenas!G60="","",03_Cenas!G60)</f>
        <v>Premium</v>
      </c>
      <c r="I323" s="58" t="n">
        <f aca="false">IF(03_Cenas!H60="","",03_Cenas!H60)</f>
        <v>38</v>
      </c>
      <c r="J323" s="58" t="n">
        <f aca="false">IF(03_Cenas!I60="","",03_Cenas!I60)</f>
        <v>70</v>
      </c>
      <c r="K323" s="58" t="n">
        <f aca="false">IF(03_Cenas!J60="","",03_Cenas!J60)</f>
        <v>54</v>
      </c>
      <c r="L323" s="58" t="n">
        <f aca="false">IF(03_Cenas!L60="","",03_Cenas!L60)</f>
        <v>55</v>
      </c>
      <c r="M323" s="58" t="n">
        <f aca="false">IF(03_Cenas!N60="","",03_Cenas!N60)</f>
        <v>7.02</v>
      </c>
      <c r="N323" s="58" t="n">
        <f aca="false">IF(03_Cenas!O60="","",03_Cenas!O60)</f>
        <v>46.98</v>
      </c>
      <c r="O323" s="55" t="str">
        <f aca="false">IF(03_Cenas!P60="","",03_Cenas!P60)</f>
        <v>18:00-23:00</v>
      </c>
      <c r="P323" s="55" t="n">
        <f aca="false">IF(03_Cenas!Q60="","",03_Cenas!Q60)</f>
        <v>22</v>
      </c>
      <c r="Q323" s="55" t="str">
        <f aca="false">IF(03_Cenas!R60="","",03_Cenas!R60)</f>
        <v>Alto</v>
      </c>
      <c r="R323" s="55" t="str">
        <f aca="false">IF(03_Cenas!S60="","",03_Cenas!S60)</f>
        <v>Fin de semana</v>
      </c>
      <c r="S323" s="55" t="str">
        <f aca="false">IF(03_Cenas!T60="","",03_Cenas!T60)</f>
        <v>Pizzería</v>
      </c>
      <c r="T323" s="56" t="str">
        <f aca="false">IF(03_Cenas!U60="","",03_Cenas!U60)</f>
        <v>TICKET MÁS ALTO de la cena</v>
      </c>
      <c r="U323" s="55" t="n">
        <v>60</v>
      </c>
      <c r="V323" s="55" t="n">
        <f aca="false">IF(AND(OR(LEN(13_Buscador!$C$5)=0,ISNUMBER(SEARCH(13_Buscador!$C$5,$C323&amp;" "&amp;$D323&amp;" "&amp;$E323&amp;" "&amp;$F323&amp;" "&amp;$S323))),OR(13_Buscador!$C$6="Todas las listas",LEN(13_Buscador!$C$6)=0,13_Buscador!$C$6=$B323)),1,0)</f>
        <v>0</v>
      </c>
      <c r="W323" s="55" t="str">
        <f aca="false">IF(V323=1,SUM($V$2:V323),"")</f>
        <v/>
      </c>
    </row>
    <row r="324" customFormat="false" ht="15" hidden="false" customHeight="true" outlineLevel="0" collapsed="false">
      <c r="A324" s="55" t="n">
        <v>323</v>
      </c>
      <c r="B324" s="55" t="s">
        <v>3329</v>
      </c>
      <c r="C324" s="55" t="str">
        <f aca="false">IF(03_Cenas!B61="","",03_Cenas!B61)</f>
        <v>Pizzas y pastas</v>
      </c>
      <c r="D324" s="56" t="str">
        <f aca="false">IF(03_Cenas!C61="","",03_Cenas!C61)</f>
        <v>Calzone</v>
      </c>
      <c r="E324" s="56" t="str">
        <f aca="false">IF(03_Cenas!D61="","",03_Cenas!D61)</f>
        <v>Pizza cerrada rellena</v>
      </c>
      <c r="F324" s="56" t="str">
        <f aca="false">IF(03_Cenas!E61="","",03_Cenas!E61)</f>
        <v>masa de pizza, queso, jamón, salsa de tomate</v>
      </c>
      <c r="G324" s="55" t="str">
        <f aca="false">IF(03_Cenas!F61="","",03_Cenas!F61)</f>
        <v>Unidad</v>
      </c>
      <c r="H324" s="55" t="str">
        <f aca="false">IF(03_Cenas!G61="","",03_Cenas!G61)</f>
        <v>Estándar</v>
      </c>
      <c r="I324" s="58" t="n">
        <f aca="false">IF(03_Cenas!H61="","",03_Cenas!H61)</f>
        <v>15</v>
      </c>
      <c r="J324" s="58" t="n">
        <f aca="false">IF(03_Cenas!I61="","",03_Cenas!I61)</f>
        <v>28</v>
      </c>
      <c r="K324" s="58" t="n">
        <f aca="false">IF(03_Cenas!J61="","",03_Cenas!J61)</f>
        <v>21.5</v>
      </c>
      <c r="L324" s="58" t="n">
        <f aca="false">IF(03_Cenas!L61="","",03_Cenas!L61)</f>
        <v>22.5</v>
      </c>
      <c r="M324" s="58" t="n">
        <f aca="false">IF(03_Cenas!N61="","",03_Cenas!N61)</f>
        <v>1.94</v>
      </c>
      <c r="N324" s="58" t="n">
        <f aca="false">IF(03_Cenas!O61="","",03_Cenas!O61)</f>
        <v>19.56</v>
      </c>
      <c r="O324" s="55" t="str">
        <f aca="false">IF(03_Cenas!P61="","",03_Cenas!P61)</f>
        <v>18:00-23:00</v>
      </c>
      <c r="P324" s="55" t="n">
        <f aca="false">IF(03_Cenas!Q61="","",03_Cenas!Q61)</f>
        <v>18</v>
      </c>
      <c r="Q324" s="55" t="str">
        <f aca="false">IF(03_Cenas!R61="","",03_Cenas!R61)</f>
        <v>Alto</v>
      </c>
      <c r="R324" s="55" t="str">
        <f aca="false">IF(03_Cenas!S61="","",03_Cenas!S61)</f>
        <v>Todo el año</v>
      </c>
      <c r="S324" s="55" t="str">
        <f aca="false">IF(03_Cenas!T61="","",03_Cenas!T61)</f>
        <v>Pizzería</v>
      </c>
      <c r="T324" s="56" t="str">
        <f aca="false">IF(03_Cenas!U61="","",03_Cenas!U61)</f>
        <v/>
      </c>
      <c r="U324" s="55" t="n">
        <v>61</v>
      </c>
      <c r="V324" s="55" t="n">
        <f aca="false">IF(AND(OR(LEN(13_Buscador!$C$5)=0,ISNUMBER(SEARCH(13_Buscador!$C$5,$C324&amp;" "&amp;$D324&amp;" "&amp;$E324&amp;" "&amp;$F324&amp;" "&amp;$S324))),OR(13_Buscador!$C$6="Todas las listas",LEN(13_Buscador!$C$6)=0,13_Buscador!$C$6=$B324)),1,0)</f>
        <v>0</v>
      </c>
      <c r="W324" s="55" t="str">
        <f aca="false">IF(V324=1,SUM($V$2:V324),"")</f>
        <v/>
      </c>
    </row>
    <row r="325" customFormat="false" ht="23.25" hidden="false" customHeight="true" outlineLevel="0" collapsed="false">
      <c r="A325" s="55" t="n">
        <v>324</v>
      </c>
      <c r="B325" s="55" t="s">
        <v>3329</v>
      </c>
      <c r="C325" s="55" t="str">
        <f aca="false">IF(03_Cenas!B62="","",03_Cenas!B62)</f>
        <v>Pizzas y pastas</v>
      </c>
      <c r="D325" s="56" t="str">
        <f aca="false">IF(03_Cenas!C62="","",03_Cenas!C62)</f>
        <v>Ravioles</v>
      </c>
      <c r="E325" s="56" t="str">
        <f aca="false">IF(03_Cenas!D62="","",03_Cenas!D62)</f>
        <v>Pasta rellena</v>
      </c>
      <c r="F325" s="56" t="str">
        <f aca="false">IF(03_Cenas!E62="","",03_Cenas!E62)</f>
        <v>pasta, salsa (tomate, crema o pesto), queso parmesano</v>
      </c>
      <c r="G325" s="55" t="str">
        <f aca="false">IF(03_Cenas!F62="","",03_Cenas!F62)</f>
        <v>Plato</v>
      </c>
      <c r="H325" s="55" t="str">
        <f aca="false">IF(03_Cenas!G62="","",03_Cenas!G62)</f>
        <v>Medio</v>
      </c>
      <c r="I325" s="58" t="n">
        <f aca="false">IF(03_Cenas!H62="","",03_Cenas!H62)</f>
        <v>16</v>
      </c>
      <c r="J325" s="58" t="n">
        <f aca="false">IF(03_Cenas!I62="","",03_Cenas!I62)</f>
        <v>30</v>
      </c>
      <c r="K325" s="58" t="n">
        <f aca="false">IF(03_Cenas!J62="","",03_Cenas!J62)</f>
        <v>23</v>
      </c>
      <c r="L325" s="58" t="n">
        <f aca="false">IF(03_Cenas!L62="","",03_Cenas!L62)</f>
        <v>24</v>
      </c>
      <c r="M325" s="58" t="n">
        <f aca="false">IF(03_Cenas!N62="","",03_Cenas!N62)</f>
        <v>2.53</v>
      </c>
      <c r="N325" s="58" t="n">
        <f aca="false">IF(03_Cenas!O62="","",03_Cenas!O62)</f>
        <v>20.47</v>
      </c>
      <c r="O325" s="55" t="str">
        <f aca="false">IF(03_Cenas!P62="","",03_Cenas!P62)</f>
        <v>18:00-22:00</v>
      </c>
      <c r="P325" s="55" t="n">
        <f aca="false">IF(03_Cenas!Q62="","",03_Cenas!Q62)</f>
        <v>15</v>
      </c>
      <c r="Q325" s="55" t="str">
        <f aca="false">IF(03_Cenas!R62="","",03_Cenas!R62)</f>
        <v>Alto</v>
      </c>
      <c r="R325" s="55" t="str">
        <f aca="false">IF(03_Cenas!S62="","",03_Cenas!S62)</f>
        <v>Todo el año</v>
      </c>
      <c r="S325" s="55" t="str">
        <f aca="false">IF(03_Cenas!T62="","",03_Cenas!T62)</f>
        <v>Restaurante</v>
      </c>
      <c r="T325" s="56" t="str">
        <f aca="false">IF(03_Cenas!U62="","",03_Cenas!U62)</f>
        <v/>
      </c>
      <c r="U325" s="55" t="n">
        <v>62</v>
      </c>
      <c r="V325" s="55" t="n">
        <f aca="false">IF(AND(OR(LEN(13_Buscador!$C$5)=0,ISNUMBER(SEARCH(13_Buscador!$C$5,$C325&amp;" "&amp;$D325&amp;" "&amp;$E325&amp;" "&amp;$F325&amp;" "&amp;$S325))),OR(13_Buscador!$C$6="Todas las listas",LEN(13_Buscador!$C$6)=0,13_Buscador!$C$6=$B325)),1,0)</f>
        <v>0</v>
      </c>
      <c r="W325" s="55" t="str">
        <f aca="false">IF(V325=1,SUM($V$2:V325),"")</f>
        <v/>
      </c>
    </row>
    <row r="326" customFormat="false" ht="23.25" hidden="false" customHeight="true" outlineLevel="0" collapsed="false">
      <c r="A326" s="55" t="n">
        <v>325</v>
      </c>
      <c r="B326" s="55" t="s">
        <v>3329</v>
      </c>
      <c r="C326" s="55" t="str">
        <f aca="false">IF(03_Cenas!B63="","",03_Cenas!B63)</f>
        <v>Pizzas y pastas</v>
      </c>
      <c r="D326" s="56" t="str">
        <f aca="false">IF(03_Cenas!C63="","",03_Cenas!C63)</f>
        <v>Ñoquis</v>
      </c>
      <c r="E326" s="56" t="str">
        <f aca="false">IF(03_Cenas!D63="","",03_Cenas!D63)</f>
        <v>Pasta de papa</v>
      </c>
      <c r="F326" s="56" t="str">
        <f aca="false">IF(03_Cenas!E63="","",03_Cenas!E63)</f>
        <v>pasta, salsa (tomate, crema o pesto), queso parmesano</v>
      </c>
      <c r="G326" s="55" t="str">
        <f aca="false">IF(03_Cenas!F63="","",03_Cenas!F63)</f>
        <v>Plato</v>
      </c>
      <c r="H326" s="55" t="str">
        <f aca="false">IF(03_Cenas!G63="","",03_Cenas!G63)</f>
        <v>Estándar</v>
      </c>
      <c r="I326" s="58" t="n">
        <f aca="false">IF(03_Cenas!H63="","",03_Cenas!H63)</f>
        <v>14</v>
      </c>
      <c r="J326" s="58" t="n">
        <f aca="false">IF(03_Cenas!I63="","",03_Cenas!I63)</f>
        <v>26</v>
      </c>
      <c r="K326" s="58" t="n">
        <f aca="false">IF(03_Cenas!J63="","",03_Cenas!J63)</f>
        <v>20</v>
      </c>
      <c r="L326" s="58" t="n">
        <f aca="false">IF(03_Cenas!L63="","",03_Cenas!L63)</f>
        <v>21</v>
      </c>
      <c r="M326" s="58" t="n">
        <f aca="false">IF(03_Cenas!N63="","",03_Cenas!N63)</f>
        <v>1.8</v>
      </c>
      <c r="N326" s="58" t="n">
        <f aca="false">IF(03_Cenas!O63="","",03_Cenas!O63)</f>
        <v>18.2</v>
      </c>
      <c r="O326" s="55" t="str">
        <f aca="false">IF(03_Cenas!P63="","",03_Cenas!P63)</f>
        <v>18:00-22:00</v>
      </c>
      <c r="P326" s="55" t="n">
        <f aca="false">IF(03_Cenas!Q63="","",03_Cenas!Q63)</f>
        <v>15</v>
      </c>
      <c r="Q326" s="55" t="str">
        <f aca="false">IF(03_Cenas!R63="","",03_Cenas!R63)</f>
        <v>Alto</v>
      </c>
      <c r="R326" s="55" t="str">
        <f aca="false">IF(03_Cenas!S63="","",03_Cenas!S63)</f>
        <v>Todo el año</v>
      </c>
      <c r="S326" s="55" t="str">
        <f aca="false">IF(03_Cenas!T63="","",03_Cenas!T63)</f>
        <v>Restaurante</v>
      </c>
      <c r="T326" s="56" t="str">
        <f aca="false">IF(03_Cenas!U63="","",03_Cenas!U63)</f>
        <v/>
      </c>
      <c r="U326" s="55" t="n">
        <v>63</v>
      </c>
      <c r="V326" s="55" t="n">
        <f aca="false">IF(AND(OR(LEN(13_Buscador!$C$5)=0,ISNUMBER(SEARCH(13_Buscador!$C$5,$C326&amp;" "&amp;$D326&amp;" "&amp;$E326&amp;" "&amp;$F326&amp;" "&amp;$S326))),OR(13_Buscador!$C$6="Todas las listas",LEN(13_Buscador!$C$6)=0,13_Buscador!$C$6=$B326)),1,0)</f>
        <v>0</v>
      </c>
      <c r="W326" s="55" t="str">
        <f aca="false">IF(V326=1,SUM($V$2:V326),"")</f>
        <v/>
      </c>
    </row>
    <row r="327" customFormat="false" ht="23.25" hidden="false" customHeight="true" outlineLevel="0" collapsed="false">
      <c r="A327" s="55" t="n">
        <v>326</v>
      </c>
      <c r="B327" s="55" t="s">
        <v>3329</v>
      </c>
      <c r="C327" s="55" t="str">
        <f aca="false">IF(03_Cenas!B64="","",03_Cenas!B64)</f>
        <v>Anticuchos y parrilla</v>
      </c>
      <c r="D327" s="56" t="str">
        <f aca="false">IF(03_Cenas!C64="","",03_Cenas!C64)</f>
        <v>Anticucho de corazón (3 palos)</v>
      </c>
      <c r="E327" s="56" t="str">
        <f aca="false">IF(03_Cenas!D64="","",03_Cenas!D64)</f>
        <v>Porción grande</v>
      </c>
      <c r="F327" s="56" t="str">
        <f aca="false">IF(03_Cenas!E64="","",03_Cenas!E64)</f>
        <v>corazón de res, ají panca, vinagre, comino, ajo, papa, choclo</v>
      </c>
      <c r="G327" s="55" t="str">
        <f aca="false">IF(03_Cenas!F64="","",03_Cenas!F64)</f>
        <v>Porción</v>
      </c>
      <c r="H327" s="55" t="str">
        <f aca="false">IF(03_Cenas!G64="","",03_Cenas!G64)</f>
        <v>Estándar</v>
      </c>
      <c r="I327" s="58" t="n">
        <f aca="false">IF(03_Cenas!H64="","",03_Cenas!H64)</f>
        <v>14</v>
      </c>
      <c r="J327" s="58" t="n">
        <f aca="false">IF(03_Cenas!I64="","",03_Cenas!I64)</f>
        <v>24</v>
      </c>
      <c r="K327" s="58" t="n">
        <f aca="false">IF(03_Cenas!J64="","",03_Cenas!J64)</f>
        <v>19</v>
      </c>
      <c r="L327" s="58" t="n">
        <f aca="false">IF(03_Cenas!L64="","",03_Cenas!L64)</f>
        <v>20</v>
      </c>
      <c r="M327" s="58" t="n">
        <f aca="false">IF(03_Cenas!N64="","",03_Cenas!N64)</f>
        <v>1.71</v>
      </c>
      <c r="N327" s="58" t="n">
        <f aca="false">IF(03_Cenas!O64="","",03_Cenas!O64)</f>
        <v>17.29</v>
      </c>
      <c r="O327" s="55" t="str">
        <f aca="false">IF(03_Cenas!P64="","",03_Cenas!P64)</f>
        <v>18:00-23:00</v>
      </c>
      <c r="P327" s="55" t="n">
        <f aca="false">IF(03_Cenas!Q64="","",03_Cenas!Q64)</f>
        <v>15</v>
      </c>
      <c r="Q327" s="55" t="str">
        <f aca="false">IF(03_Cenas!R64="","",03_Cenas!R64)</f>
        <v>Medio</v>
      </c>
      <c r="R327" s="55" t="str">
        <f aca="false">IF(03_Cenas!S64="","",03_Cenas!S64)</f>
        <v>Todo el año</v>
      </c>
      <c r="S327" s="55" t="str">
        <f aca="false">IF(03_Cenas!T64="","",03_Cenas!T64)</f>
        <v>Parrilla</v>
      </c>
      <c r="T327" s="56" t="str">
        <f aca="false">IF(03_Cenas!U64="","",03_Cenas!U64)</f>
        <v/>
      </c>
      <c r="U327" s="55" t="n">
        <v>64</v>
      </c>
      <c r="V327" s="55" t="n">
        <f aca="false">IF(AND(OR(LEN(13_Buscador!$C$5)=0,ISNUMBER(SEARCH(13_Buscador!$C$5,$C327&amp;" "&amp;$D327&amp;" "&amp;$E327&amp;" "&amp;$F327&amp;" "&amp;$S327))),OR(13_Buscador!$C$6="Todas las listas",LEN(13_Buscador!$C$6)=0,13_Buscador!$C$6=$B327)),1,0)</f>
        <v>0</v>
      </c>
      <c r="W327" s="55" t="str">
        <f aca="false">IF(V327=1,SUM($V$2:V327),"")</f>
        <v/>
      </c>
    </row>
    <row r="328" customFormat="false" ht="15" hidden="false" customHeight="true" outlineLevel="0" collapsed="false">
      <c r="A328" s="55" t="n">
        <v>327</v>
      </c>
      <c r="B328" s="55" t="s">
        <v>3329</v>
      </c>
      <c r="C328" s="55" t="str">
        <f aca="false">IF(03_Cenas!B65="","",03_Cenas!B65)</f>
        <v>Anticuchos y parrilla</v>
      </c>
      <c r="D328" s="56" t="str">
        <f aca="false">IF(03_Cenas!C65="","",03_Cenas!C65)</f>
        <v>Pancita a la parrilla</v>
      </c>
      <c r="E328" s="56" t="str">
        <f aca="false">IF(03_Cenas!D65="","",03_Cenas!D65)</f>
        <v>Panza a la brasa</v>
      </c>
      <c r="F328" s="56" t="str">
        <f aca="false">IF(03_Cenas!E65="","",03_Cenas!E65)</f>
        <v>panza de res, ají panca, ajo, papa, choclo</v>
      </c>
      <c r="G328" s="55" t="str">
        <f aca="false">IF(03_Cenas!F65="","",03_Cenas!F65)</f>
        <v>Porción</v>
      </c>
      <c r="H328" s="55" t="str">
        <f aca="false">IF(03_Cenas!G65="","",03_Cenas!G65)</f>
        <v>Estándar</v>
      </c>
      <c r="I328" s="58" t="n">
        <f aca="false">IF(03_Cenas!H65="","",03_Cenas!H65)</f>
        <v>10</v>
      </c>
      <c r="J328" s="58" t="n">
        <f aca="false">IF(03_Cenas!I65="","",03_Cenas!I65)</f>
        <v>18</v>
      </c>
      <c r="K328" s="58" t="n">
        <f aca="false">IF(03_Cenas!J65="","",03_Cenas!J65)</f>
        <v>14</v>
      </c>
      <c r="L328" s="58" t="n">
        <f aca="false">IF(03_Cenas!L65="","",03_Cenas!L65)</f>
        <v>15</v>
      </c>
      <c r="M328" s="58" t="n">
        <f aca="false">IF(03_Cenas!N65="","",03_Cenas!N65)</f>
        <v>1.26</v>
      </c>
      <c r="N328" s="58" t="n">
        <f aca="false">IF(03_Cenas!O65="","",03_Cenas!O65)</f>
        <v>12.74</v>
      </c>
      <c r="O328" s="55" t="str">
        <f aca="false">IF(03_Cenas!P65="","",03_Cenas!P65)</f>
        <v>18:00-23:00</v>
      </c>
      <c r="P328" s="55" t="n">
        <f aca="false">IF(03_Cenas!Q65="","",03_Cenas!Q65)</f>
        <v>12</v>
      </c>
      <c r="Q328" s="55" t="str">
        <f aca="false">IF(03_Cenas!R65="","",03_Cenas!R65)</f>
        <v>Medio</v>
      </c>
      <c r="R328" s="55" t="str">
        <f aca="false">IF(03_Cenas!S65="","",03_Cenas!S65)</f>
        <v>Todo el año</v>
      </c>
      <c r="S328" s="55" t="str">
        <f aca="false">IF(03_Cenas!T65="","",03_Cenas!T65)</f>
        <v>Parrilla</v>
      </c>
      <c r="T328" s="56" t="str">
        <f aca="false">IF(03_Cenas!U65="","",03_Cenas!U65)</f>
        <v/>
      </c>
      <c r="U328" s="55" t="n">
        <v>65</v>
      </c>
      <c r="V328" s="55" t="n">
        <f aca="false">IF(AND(OR(LEN(13_Buscador!$C$5)=0,ISNUMBER(SEARCH(13_Buscador!$C$5,$C328&amp;" "&amp;$D328&amp;" "&amp;$E328&amp;" "&amp;$F328&amp;" "&amp;$S328))),OR(13_Buscador!$C$6="Todas las listas",LEN(13_Buscador!$C$6)=0,13_Buscador!$C$6=$B328)),1,0)</f>
        <v>0</v>
      </c>
      <c r="W328" s="55" t="str">
        <f aca="false">IF(V328=1,SUM($V$2:V328),"")</f>
        <v/>
      </c>
    </row>
    <row r="329" customFormat="false" ht="15" hidden="false" customHeight="true" outlineLevel="0" collapsed="false">
      <c r="A329" s="55" t="n">
        <v>328</v>
      </c>
      <c r="B329" s="55" t="s">
        <v>3329</v>
      </c>
      <c r="C329" s="55" t="str">
        <f aca="false">IF(03_Cenas!B66="","",03_Cenas!B66)</f>
        <v>Anticuchos y parrilla</v>
      </c>
      <c r="D329" s="56" t="str">
        <f aca="false">IF(03_Cenas!C66="","",03_Cenas!C66)</f>
        <v>Chuleta a la parrilla</v>
      </c>
      <c r="E329" s="56" t="str">
        <f aca="false">IF(03_Cenas!D66="","",03_Cenas!D66)</f>
        <v>Chuleta con guarnición</v>
      </c>
      <c r="F329" s="56" t="str">
        <f aca="false">IF(03_Cenas!E66="","",03_Cenas!E66)</f>
        <v>chuleta de cerdo, ajo, comino, sal, arroz, ensalada</v>
      </c>
      <c r="G329" s="55" t="str">
        <f aca="false">IF(03_Cenas!F66="","",03_Cenas!F66)</f>
        <v>Plato</v>
      </c>
      <c r="H329" s="55" t="str">
        <f aca="false">IF(03_Cenas!G66="","",03_Cenas!G66)</f>
        <v>Estándar</v>
      </c>
      <c r="I329" s="58" t="n">
        <f aca="false">IF(03_Cenas!H66="","",03_Cenas!H66)</f>
        <v>15</v>
      </c>
      <c r="J329" s="58" t="n">
        <f aca="false">IF(03_Cenas!I66="","",03_Cenas!I66)</f>
        <v>26</v>
      </c>
      <c r="K329" s="58" t="n">
        <f aca="false">IF(03_Cenas!J66="","",03_Cenas!J66)</f>
        <v>20.5</v>
      </c>
      <c r="L329" s="58" t="n">
        <f aca="false">IF(03_Cenas!L66="","",03_Cenas!L66)</f>
        <v>21.5</v>
      </c>
      <c r="M329" s="58" t="n">
        <f aca="false">IF(03_Cenas!N66="","",03_Cenas!N66)</f>
        <v>1.85</v>
      </c>
      <c r="N329" s="58" t="n">
        <f aca="false">IF(03_Cenas!O66="","",03_Cenas!O66)</f>
        <v>18.65</v>
      </c>
      <c r="O329" s="55" t="str">
        <f aca="false">IF(03_Cenas!P66="","",03_Cenas!P66)</f>
        <v>18:00-23:00</v>
      </c>
      <c r="P329" s="55" t="n">
        <f aca="false">IF(03_Cenas!Q66="","",03_Cenas!Q66)</f>
        <v>18</v>
      </c>
      <c r="Q329" s="55" t="str">
        <f aca="false">IF(03_Cenas!R66="","",03_Cenas!R66)</f>
        <v>Medio</v>
      </c>
      <c r="R329" s="55" t="str">
        <f aca="false">IF(03_Cenas!S66="","",03_Cenas!S66)</f>
        <v>Todo el año</v>
      </c>
      <c r="S329" s="55" t="str">
        <f aca="false">IF(03_Cenas!T66="","",03_Cenas!T66)</f>
        <v>Parrilla</v>
      </c>
      <c r="T329" s="56" t="str">
        <f aca="false">IF(03_Cenas!U66="","",03_Cenas!U66)</f>
        <v/>
      </c>
      <c r="U329" s="55" t="n">
        <v>66</v>
      </c>
      <c r="V329" s="55" t="n">
        <f aca="false">IF(AND(OR(LEN(13_Buscador!$C$5)=0,ISNUMBER(SEARCH(13_Buscador!$C$5,$C329&amp;" "&amp;$D329&amp;" "&amp;$E329&amp;" "&amp;$F329&amp;" "&amp;$S329))),OR(13_Buscador!$C$6="Todas las listas",LEN(13_Buscador!$C$6)=0,13_Buscador!$C$6=$B329)),1,0)</f>
        <v>0</v>
      </c>
      <c r="W329" s="55" t="str">
        <f aca="false">IF(V329=1,SUM($V$2:V329),"")</f>
        <v/>
      </c>
    </row>
    <row r="330" customFormat="false" ht="15" hidden="false" customHeight="true" outlineLevel="0" collapsed="false">
      <c r="A330" s="55" t="n">
        <v>329</v>
      </c>
      <c r="B330" s="55" t="s">
        <v>3329</v>
      </c>
      <c r="C330" s="55" t="str">
        <f aca="false">IF(03_Cenas!B67="","",03_Cenas!B67)</f>
        <v>Anticuchos y parrilla</v>
      </c>
      <c r="D330" s="56" t="str">
        <f aca="false">IF(03_Cenas!C67="","",03_Cenas!C67)</f>
        <v>Brochetas de pollo</v>
      </c>
      <c r="E330" s="56" t="str">
        <f aca="false">IF(03_Cenas!D67="","",03_Cenas!D67)</f>
        <v>Brocheta con verduras</v>
      </c>
      <c r="F330" s="56" t="str">
        <f aca="false">IF(03_Cenas!E67="","",03_Cenas!E67)</f>
        <v>pollo, pimiento, cebolla, especias</v>
      </c>
      <c r="G330" s="55" t="str">
        <f aca="false">IF(03_Cenas!F67="","",03_Cenas!F67)</f>
        <v>Porción</v>
      </c>
      <c r="H330" s="55" t="str">
        <f aca="false">IF(03_Cenas!G67="","",03_Cenas!G67)</f>
        <v>Estándar</v>
      </c>
      <c r="I330" s="58" t="n">
        <f aca="false">IF(03_Cenas!H67="","",03_Cenas!H67)</f>
        <v>10</v>
      </c>
      <c r="J330" s="58" t="n">
        <f aca="false">IF(03_Cenas!I67="","",03_Cenas!I67)</f>
        <v>20</v>
      </c>
      <c r="K330" s="58" t="n">
        <f aca="false">IF(03_Cenas!J67="","",03_Cenas!J67)</f>
        <v>15</v>
      </c>
      <c r="L330" s="58" t="n">
        <f aca="false">IF(03_Cenas!L67="","",03_Cenas!L67)</f>
        <v>16</v>
      </c>
      <c r="M330" s="58" t="n">
        <f aca="false">IF(03_Cenas!N67="","",03_Cenas!N67)</f>
        <v>1.35</v>
      </c>
      <c r="N330" s="58" t="n">
        <f aca="false">IF(03_Cenas!O67="","",03_Cenas!O67)</f>
        <v>13.65</v>
      </c>
      <c r="O330" s="55" t="str">
        <f aca="false">IF(03_Cenas!P67="","",03_Cenas!P67)</f>
        <v>18:00-23:00</v>
      </c>
      <c r="P330" s="55" t="n">
        <f aca="false">IF(03_Cenas!Q67="","",03_Cenas!Q67)</f>
        <v>15</v>
      </c>
      <c r="Q330" s="55" t="str">
        <f aca="false">IF(03_Cenas!R67="","",03_Cenas!R67)</f>
        <v>Medio</v>
      </c>
      <c r="R330" s="55" t="str">
        <f aca="false">IF(03_Cenas!S67="","",03_Cenas!S67)</f>
        <v>Todo el año</v>
      </c>
      <c r="S330" s="55" t="str">
        <f aca="false">IF(03_Cenas!T67="","",03_Cenas!T67)</f>
        <v>Parrilla</v>
      </c>
      <c r="T330" s="56" t="str">
        <f aca="false">IF(03_Cenas!U67="","",03_Cenas!U67)</f>
        <v/>
      </c>
      <c r="U330" s="55" t="n">
        <v>67</v>
      </c>
      <c r="V330" s="55" t="n">
        <f aca="false">IF(AND(OR(LEN(13_Buscador!$C$5)=0,ISNUMBER(SEARCH(13_Buscador!$C$5,$C330&amp;" "&amp;$D330&amp;" "&amp;$E330&amp;" "&amp;$F330&amp;" "&amp;$S330))),OR(13_Buscador!$C$6="Todas las listas",LEN(13_Buscador!$C$6)=0,13_Buscador!$C$6=$B330)),1,0)</f>
        <v>1</v>
      </c>
      <c r="W330" s="55" t="n">
        <f aca="false">IF(V330=1,SUM($V$2:V330),"")</f>
        <v>80</v>
      </c>
    </row>
    <row r="331" customFormat="false" ht="15" hidden="false" customHeight="true" outlineLevel="0" collapsed="false">
      <c r="A331" s="55" t="n">
        <v>330</v>
      </c>
      <c r="B331" s="55" t="s">
        <v>3329</v>
      </c>
      <c r="C331" s="55" t="str">
        <f aca="false">IF(03_Cenas!B68="","",03_Cenas!B68)</f>
        <v>Caldos nocturnos</v>
      </c>
      <c r="D331" s="56" t="str">
        <f aca="false">IF(03_Cenas!C68="","",03_Cenas!C68)</f>
        <v>Caldo de patita nocturno</v>
      </c>
      <c r="E331" s="56" t="str">
        <f aca="false">IF(03_Cenas!D68="","",03_Cenas!D68)</f>
        <v>Patita con mote</v>
      </c>
      <c r="F331" s="56" t="str">
        <f aca="false">IF(03_Cenas!E68="","",03_Cenas!E68)</f>
        <v>patita de res, mote, papa, hierbabuena, cebolla, sal</v>
      </c>
      <c r="G331" s="55" t="str">
        <f aca="false">IF(03_Cenas!F68="","",03_Cenas!F68)</f>
        <v>Plato hondo</v>
      </c>
      <c r="H331" s="55" t="str">
        <f aca="false">IF(03_Cenas!G68="","",03_Cenas!G68)</f>
        <v>Estándar</v>
      </c>
      <c r="I331" s="58" t="n">
        <f aca="false">IF(03_Cenas!H68="","",03_Cenas!H68)</f>
        <v>10</v>
      </c>
      <c r="J331" s="58" t="n">
        <f aca="false">IF(03_Cenas!I68="","",03_Cenas!I68)</f>
        <v>16</v>
      </c>
      <c r="K331" s="58" t="n">
        <f aca="false">IF(03_Cenas!J68="","",03_Cenas!J68)</f>
        <v>13</v>
      </c>
      <c r="L331" s="58" t="n">
        <f aca="false">IF(03_Cenas!L68="","",03_Cenas!L68)</f>
        <v>14</v>
      </c>
      <c r="M331" s="58" t="n">
        <f aca="false">IF(03_Cenas!N68="","",03_Cenas!N68)</f>
        <v>1.17</v>
      </c>
      <c r="N331" s="58" t="n">
        <f aca="false">IF(03_Cenas!O68="","",03_Cenas!O68)</f>
        <v>11.83</v>
      </c>
      <c r="O331" s="55" t="str">
        <f aca="false">IF(03_Cenas!P68="","",03_Cenas!P68)</f>
        <v>20:00-02:00</v>
      </c>
      <c r="P331" s="55" t="n">
        <f aca="false">IF(03_Cenas!Q68="","",03_Cenas!Q68)</f>
        <v>10</v>
      </c>
      <c r="Q331" s="55" t="str">
        <f aca="false">IF(03_Cenas!R68="","",03_Cenas!R68)</f>
        <v>Medio</v>
      </c>
      <c r="R331" s="55" t="str">
        <f aca="false">IF(03_Cenas!S68="","",03_Cenas!S68)</f>
        <v>Fin de semana</v>
      </c>
      <c r="S331" s="55" t="str">
        <f aca="false">IF(03_Cenas!T68="","",03_Cenas!T68)</f>
        <v>Caldería</v>
      </c>
      <c r="T331" s="56" t="str">
        <f aca="false">IF(03_Cenas!U68="","",03_Cenas!U68)</f>
        <v>Demanda de salida de discoteca</v>
      </c>
      <c r="U331" s="55" t="n">
        <v>68</v>
      </c>
      <c r="V331" s="55" t="n">
        <f aca="false">IF(AND(OR(LEN(13_Buscador!$C$5)=0,ISNUMBER(SEARCH(13_Buscador!$C$5,$C331&amp;" "&amp;$D331&amp;" "&amp;$E331&amp;" "&amp;$F331&amp;" "&amp;$S331))),OR(13_Buscador!$C$6="Todas las listas",LEN(13_Buscador!$C$6)=0,13_Buscador!$C$6=$B331)),1,0)</f>
        <v>0</v>
      </c>
      <c r="W331" s="55" t="str">
        <f aca="false">IF(V331=1,SUM($V$2:V331),"")</f>
        <v/>
      </c>
    </row>
    <row r="332" customFormat="false" ht="23.25" hidden="false" customHeight="true" outlineLevel="0" collapsed="false">
      <c r="A332" s="55" t="n">
        <v>331</v>
      </c>
      <c r="B332" s="55" t="s">
        <v>3329</v>
      </c>
      <c r="C332" s="55" t="str">
        <f aca="false">IF(03_Cenas!B69="","",03_Cenas!B69)</f>
        <v>Caldos nocturnos</v>
      </c>
      <c r="D332" s="56" t="str">
        <f aca="false">IF(03_Cenas!C69="","",03_Cenas!C69)</f>
        <v>Sopa criolla nocturna</v>
      </c>
      <c r="E332" s="56" t="str">
        <f aca="false">IF(03_Cenas!D69="","",03_Cenas!D69)</f>
        <v>Sopa con leche y huevo</v>
      </c>
      <c r="F332" s="56" t="str">
        <f aca="false">IF(03_Cenas!E69="","",03_Cenas!E69)</f>
        <v>caldo, verduras, papa, presa, sal</v>
      </c>
      <c r="G332" s="55" t="str">
        <f aca="false">IF(03_Cenas!F69="","",03_Cenas!F69)</f>
        <v>Plato hondo</v>
      </c>
      <c r="H332" s="55" t="str">
        <f aca="false">IF(03_Cenas!G69="","",03_Cenas!G69)</f>
        <v>Económico</v>
      </c>
      <c r="I332" s="58" t="n">
        <f aca="false">IF(03_Cenas!H69="","",03_Cenas!H69)</f>
        <v>8</v>
      </c>
      <c r="J332" s="58" t="n">
        <f aca="false">IF(03_Cenas!I69="","",03_Cenas!I69)</f>
        <v>13</v>
      </c>
      <c r="K332" s="58" t="n">
        <f aca="false">IF(03_Cenas!J69="","",03_Cenas!J69)</f>
        <v>10.5</v>
      </c>
      <c r="L332" s="58" t="n">
        <f aca="false">IF(03_Cenas!L69="","",03_Cenas!L69)</f>
        <v>11.5</v>
      </c>
      <c r="M332" s="58" t="n">
        <f aca="false">IF(03_Cenas!N69="","",03_Cenas!N69)</f>
        <v>0.74</v>
      </c>
      <c r="N332" s="58" t="n">
        <f aca="false">IF(03_Cenas!O69="","",03_Cenas!O69)</f>
        <v>9.76</v>
      </c>
      <c r="O332" s="55" t="str">
        <f aca="false">IF(03_Cenas!P69="","",03_Cenas!P69)</f>
        <v>20:00-02:00</v>
      </c>
      <c r="P332" s="55" t="n">
        <f aca="false">IF(03_Cenas!Q69="","",03_Cenas!Q69)</f>
        <v>8</v>
      </c>
      <c r="Q332" s="55" t="str">
        <f aca="false">IF(03_Cenas!R69="","",03_Cenas!R69)</f>
        <v>Medio</v>
      </c>
      <c r="R332" s="55" t="str">
        <f aca="false">IF(03_Cenas!S69="","",03_Cenas!S69)</f>
        <v>Fin de semana</v>
      </c>
      <c r="S332" s="55" t="str">
        <f aca="false">IF(03_Cenas!T69="","",03_Cenas!T69)</f>
        <v>Caldería</v>
      </c>
      <c r="T332" s="56" t="str">
        <f aca="false">IF(03_Cenas!U69="","",03_Cenas!U69)</f>
        <v>ComeYa puede ser el único servicio activo a esa hora</v>
      </c>
      <c r="U332" s="55" t="n">
        <v>69</v>
      </c>
      <c r="V332" s="55" t="n">
        <f aca="false">IF(AND(OR(LEN(13_Buscador!$C$5)=0,ISNUMBER(SEARCH(13_Buscador!$C$5,$C332&amp;" "&amp;$D332&amp;" "&amp;$E332&amp;" "&amp;$F332&amp;" "&amp;$S332))),OR(13_Buscador!$C$6="Todas las listas",LEN(13_Buscador!$C$6)=0,13_Buscador!$C$6=$B332)),1,0)</f>
        <v>0</v>
      </c>
      <c r="W332" s="55" t="str">
        <f aca="false">IF(V332=1,SUM($V$2:V332),"")</f>
        <v/>
      </c>
    </row>
    <row r="333" customFormat="false" ht="15" hidden="false" customHeight="true" outlineLevel="0" collapsed="false">
      <c r="A333" s="55" t="n">
        <v>332</v>
      </c>
      <c r="B333" s="55" t="s">
        <v>3329</v>
      </c>
      <c r="C333" s="55" t="str">
        <f aca="false">IF(03_Cenas!B70="","",03_Cenas!B70)</f>
        <v>Cena ligera</v>
      </c>
      <c r="D333" s="56" t="str">
        <f aca="false">IF(03_Cenas!C70="","",03_Cenas!C70)</f>
        <v>Sándwich + infusión</v>
      </c>
      <c r="E333" s="56" t="str">
        <f aca="false">IF(03_Cenas!D70="","",03_Cenas!D70)</f>
        <v>Cena rápida</v>
      </c>
      <c r="F333" s="56" t="str">
        <f aca="false">IF(03_Cenas!E70="","",03_Cenas!E70)</f>
        <v>hierba aromática, agua caliente, azúcar</v>
      </c>
      <c r="G333" s="55" t="str">
        <f aca="false">IF(03_Cenas!F70="","",03_Cenas!F70)</f>
        <v>Combo</v>
      </c>
      <c r="H333" s="55" t="str">
        <f aca="false">IF(03_Cenas!G70="","",03_Cenas!G70)</f>
        <v>Económico</v>
      </c>
      <c r="I333" s="58" t="n">
        <f aca="false">IF(03_Cenas!H70="","",03_Cenas!H70)</f>
        <v>7</v>
      </c>
      <c r="J333" s="58" t="n">
        <f aca="false">IF(03_Cenas!I70="","",03_Cenas!I70)</f>
        <v>13</v>
      </c>
      <c r="K333" s="58" t="n">
        <f aca="false">IF(03_Cenas!J70="","",03_Cenas!J70)</f>
        <v>10</v>
      </c>
      <c r="L333" s="58" t="n">
        <f aca="false">IF(03_Cenas!L70="","",03_Cenas!L70)</f>
        <v>11</v>
      </c>
      <c r="M333" s="58" t="n">
        <f aca="false">IF(03_Cenas!N70="","",03_Cenas!N70)</f>
        <v>0.7</v>
      </c>
      <c r="N333" s="58" t="n">
        <f aca="false">IF(03_Cenas!O70="","",03_Cenas!O70)</f>
        <v>9.3</v>
      </c>
      <c r="O333" s="55" t="str">
        <f aca="false">IF(03_Cenas!P70="","",03_Cenas!P70)</f>
        <v>18:00-22:00</v>
      </c>
      <c r="P333" s="55" t="n">
        <f aca="false">IF(03_Cenas!Q70="","",03_Cenas!Q70)</f>
        <v>6</v>
      </c>
      <c r="Q333" s="55" t="str">
        <f aca="false">IF(03_Cenas!R70="","",03_Cenas!R70)</f>
        <v>Alto</v>
      </c>
      <c r="R333" s="55" t="str">
        <f aca="false">IF(03_Cenas!S70="","",03_Cenas!S70)</f>
        <v>Todo el año</v>
      </c>
      <c r="S333" s="55" t="str">
        <f aca="false">IF(03_Cenas!T70="","",03_Cenas!T70)</f>
        <v>Cafetería</v>
      </c>
      <c r="T333" s="56" t="str">
        <f aca="false">IF(03_Cenas!U70="","",03_Cenas!U70)</f>
        <v/>
      </c>
      <c r="U333" s="55" t="n">
        <v>70</v>
      </c>
      <c r="V333" s="55" t="n">
        <f aca="false">IF(AND(OR(LEN(13_Buscador!$C$5)=0,ISNUMBER(SEARCH(13_Buscador!$C$5,$C333&amp;" "&amp;$D333&amp;" "&amp;$E333&amp;" "&amp;$F333&amp;" "&amp;$S333))),OR(13_Buscador!$C$6="Todas las listas",LEN(13_Buscador!$C$6)=0,13_Buscador!$C$6=$B333)),1,0)</f>
        <v>0</v>
      </c>
      <c r="W333" s="55" t="str">
        <f aca="false">IF(V333=1,SUM($V$2:V333),"")</f>
        <v/>
      </c>
    </row>
    <row r="334" customFormat="false" ht="15" hidden="false" customHeight="true" outlineLevel="0" collapsed="false">
      <c r="A334" s="55" t="n">
        <v>333</v>
      </c>
      <c r="B334" s="55" t="s">
        <v>3329</v>
      </c>
      <c r="C334" s="55" t="str">
        <f aca="false">IF(03_Cenas!B71="","",03_Cenas!B71)</f>
        <v>Cena ligera</v>
      </c>
      <c r="D334" s="56" t="str">
        <f aca="false">IF(03_Cenas!C71="","",03_Cenas!C71)</f>
        <v>Ensalada de pollo</v>
      </c>
      <c r="E334" s="56" t="str">
        <f aca="false">IF(03_Cenas!D71="","",03_Cenas!D71)</f>
        <v>Ensalada con pechuga</v>
      </c>
      <c r="F334" s="56" t="str">
        <f aca="false">IF(03_Cenas!E71="","",03_Cenas!E71)</f>
        <v>verduras frescas de estación, limón, aceite, sal</v>
      </c>
      <c r="G334" s="55" t="str">
        <f aca="false">IF(03_Cenas!F71="","",03_Cenas!F71)</f>
        <v>Plato</v>
      </c>
      <c r="H334" s="55" t="str">
        <f aca="false">IF(03_Cenas!G71="","",03_Cenas!G71)</f>
        <v>Estándar</v>
      </c>
      <c r="I334" s="58" t="n">
        <f aca="false">IF(03_Cenas!H71="","",03_Cenas!H71)</f>
        <v>10</v>
      </c>
      <c r="J334" s="58" t="n">
        <f aca="false">IF(03_Cenas!I71="","",03_Cenas!I71)</f>
        <v>18</v>
      </c>
      <c r="K334" s="58" t="n">
        <f aca="false">IF(03_Cenas!J71="","",03_Cenas!J71)</f>
        <v>14</v>
      </c>
      <c r="L334" s="58" t="n">
        <f aca="false">IF(03_Cenas!L71="","",03_Cenas!L71)</f>
        <v>15</v>
      </c>
      <c r="M334" s="58" t="n">
        <f aca="false">IF(03_Cenas!N71="","",03_Cenas!N71)</f>
        <v>1.26</v>
      </c>
      <c r="N334" s="58" t="n">
        <f aca="false">IF(03_Cenas!O71="","",03_Cenas!O71)</f>
        <v>12.74</v>
      </c>
      <c r="O334" s="55" t="str">
        <f aca="false">IF(03_Cenas!P71="","",03_Cenas!P71)</f>
        <v>18:00-21:00</v>
      </c>
      <c r="P334" s="55" t="n">
        <f aca="false">IF(03_Cenas!Q71="","",03_Cenas!Q71)</f>
        <v>8</v>
      </c>
      <c r="Q334" s="55" t="str">
        <f aca="false">IF(03_Cenas!R71="","",03_Cenas!R71)</f>
        <v>Alto</v>
      </c>
      <c r="R334" s="55" t="str">
        <f aca="false">IF(03_Cenas!S71="","",03_Cenas!S71)</f>
        <v>Todo el año</v>
      </c>
      <c r="S334" s="55" t="str">
        <f aca="false">IF(03_Cenas!T71="","",03_Cenas!T71)</f>
        <v>Saludable</v>
      </c>
      <c r="T334" s="56" t="str">
        <f aca="false">IF(03_Cenas!U71="","",03_Cenas!U71)</f>
        <v/>
      </c>
      <c r="U334" s="55" t="n">
        <v>71</v>
      </c>
      <c r="V334" s="55" t="n">
        <f aca="false">IF(AND(OR(LEN(13_Buscador!$C$5)=0,ISNUMBER(SEARCH(13_Buscador!$C$5,$C334&amp;" "&amp;$D334&amp;" "&amp;$E334&amp;" "&amp;$F334&amp;" "&amp;$S334))),OR(13_Buscador!$C$6="Todas las listas",LEN(13_Buscador!$C$6)=0,13_Buscador!$C$6=$B334)),1,0)</f>
        <v>1</v>
      </c>
      <c r="W334" s="55" t="n">
        <f aca="false">IF(V334=1,SUM($V$2:V334),"")</f>
        <v>81</v>
      </c>
    </row>
    <row r="335" customFormat="false" ht="23.25" hidden="false" customHeight="true" outlineLevel="0" collapsed="false">
      <c r="A335" s="55" t="n">
        <v>334</v>
      </c>
      <c r="B335" s="55" t="s">
        <v>3329</v>
      </c>
      <c r="C335" s="55" t="str">
        <f aca="false">IF(03_Cenas!B72="","",03_Cenas!B72)</f>
        <v>Sushi y otros</v>
      </c>
      <c r="D335" s="56" t="str">
        <f aca="false">IF(03_Cenas!C72="","",03_Cenas!C72)</f>
        <v>Ceviche nocturno</v>
      </c>
      <c r="E335" s="56" t="str">
        <f aca="false">IF(03_Cenas!D72="","",03_Cenas!D72)</f>
        <v>Porción de ceviche</v>
      </c>
      <c r="F335" s="56" t="str">
        <f aca="false">IF(03_Cenas!E72="","",03_Cenas!E72)</f>
        <v>pescado o trucha fresca, limón, cebolla, ají limo, culantro, camote, choclo</v>
      </c>
      <c r="G335" s="55" t="str">
        <f aca="false">IF(03_Cenas!F72="","",03_Cenas!F72)</f>
        <v>Plato</v>
      </c>
      <c r="H335" s="55" t="str">
        <f aca="false">IF(03_Cenas!G72="","",03_Cenas!G72)</f>
        <v>Medio</v>
      </c>
      <c r="I335" s="58" t="n">
        <f aca="false">IF(03_Cenas!H72="","",03_Cenas!H72)</f>
        <v>15</v>
      </c>
      <c r="J335" s="58" t="n">
        <f aca="false">IF(03_Cenas!I72="","",03_Cenas!I72)</f>
        <v>28</v>
      </c>
      <c r="K335" s="58" t="n">
        <f aca="false">IF(03_Cenas!J72="","",03_Cenas!J72)</f>
        <v>21.5</v>
      </c>
      <c r="L335" s="58" t="n">
        <f aca="false">IF(03_Cenas!L72="","",03_Cenas!L72)</f>
        <v>22.5</v>
      </c>
      <c r="M335" s="58" t="n">
        <f aca="false">IF(03_Cenas!N72="","",03_Cenas!N72)</f>
        <v>2.37</v>
      </c>
      <c r="N335" s="58" t="n">
        <f aca="false">IF(03_Cenas!O72="","",03_Cenas!O72)</f>
        <v>19.13</v>
      </c>
      <c r="O335" s="55" t="str">
        <f aca="false">IF(03_Cenas!P72="","",03_Cenas!P72)</f>
        <v>18:00-21:00</v>
      </c>
      <c r="P335" s="55" t="n">
        <f aca="false">IF(03_Cenas!Q72="","",03_Cenas!Q72)</f>
        <v>12</v>
      </c>
      <c r="Q335" s="55" t="str">
        <f aca="false">IF(03_Cenas!R72="","",03_Cenas!R72)</f>
        <v>Bajo</v>
      </c>
      <c r="R335" s="55" t="str">
        <f aca="false">IF(03_Cenas!S72="","",03_Cenas!S72)</f>
        <v>Todo el año</v>
      </c>
      <c r="S335" s="55" t="str">
        <f aca="false">IF(03_Cenas!T72="","",03_Cenas!T72)</f>
        <v>Cevichería</v>
      </c>
      <c r="T335" s="56" t="str">
        <f aca="false">IF(03_Cenas!U72="","",03_Cenas!U72)</f>
        <v>Solo si la entrega no pasa de 20 minutos</v>
      </c>
      <c r="U335" s="55" t="n">
        <v>72</v>
      </c>
      <c r="V335" s="55" t="n">
        <f aca="false">IF(AND(OR(LEN(13_Buscador!$C$5)=0,ISNUMBER(SEARCH(13_Buscador!$C$5,$C335&amp;" "&amp;$D335&amp;" "&amp;$E335&amp;" "&amp;$F335&amp;" "&amp;$S335))),OR(13_Buscador!$C$6="Todas las listas",LEN(13_Buscador!$C$6)=0,13_Buscador!$C$6=$B335)),1,0)</f>
        <v>0</v>
      </c>
      <c r="W335" s="55" t="str">
        <f aca="false">IF(V335=1,SUM($V$2:V335),"")</f>
        <v/>
      </c>
    </row>
    <row r="336" customFormat="false" ht="15" hidden="false" customHeight="true" outlineLevel="0" collapsed="false">
      <c r="A336" s="55" t="n">
        <v>335</v>
      </c>
      <c r="B336" s="55" t="s">
        <v>3329</v>
      </c>
      <c r="C336" s="55" t="str">
        <f aca="false">IF(03_Cenas!B73="","",03_Cenas!B73)</f>
        <v>Sushi y otros</v>
      </c>
      <c r="D336" s="56" t="str">
        <f aca="false">IF(03_Cenas!C73="","",03_Cenas!C73)</f>
        <v>Tabla de piqueos para 4</v>
      </c>
      <c r="E336" s="56" t="str">
        <f aca="false">IF(03_Cenas!D73="","",03_Cenas!D73)</f>
        <v>Frituras y embutidos</v>
      </c>
      <c r="F336" s="56" t="str">
        <f aca="false">IF(03_Cenas!E73="","",03_Cenas!E73)</f>
        <v>surtido de preparaciones de la casa</v>
      </c>
      <c r="G336" s="55" t="str">
        <f aca="false">IF(03_Cenas!F73="","",03_Cenas!F73)</f>
        <v>Fuente</v>
      </c>
      <c r="H336" s="55" t="str">
        <f aca="false">IF(03_Cenas!G73="","",03_Cenas!G73)</f>
        <v>Premium</v>
      </c>
      <c r="I336" s="58" t="n">
        <f aca="false">IF(03_Cenas!H73="","",03_Cenas!H73)</f>
        <v>40</v>
      </c>
      <c r="J336" s="58" t="n">
        <f aca="false">IF(03_Cenas!I73="","",03_Cenas!I73)</f>
        <v>80</v>
      </c>
      <c r="K336" s="58" t="n">
        <f aca="false">IF(03_Cenas!J73="","",03_Cenas!J73)</f>
        <v>60</v>
      </c>
      <c r="L336" s="58" t="n">
        <f aca="false">IF(03_Cenas!L73="","",03_Cenas!L73)</f>
        <v>61</v>
      </c>
      <c r="M336" s="58" t="n">
        <f aca="false">IF(03_Cenas!N73="","",03_Cenas!N73)</f>
        <v>7.8</v>
      </c>
      <c r="N336" s="58" t="n">
        <f aca="false">IF(03_Cenas!O73="","",03_Cenas!O73)</f>
        <v>52.2</v>
      </c>
      <c r="O336" s="55" t="str">
        <f aca="false">IF(03_Cenas!P73="","",03_Cenas!P73)</f>
        <v>19:00-23:00</v>
      </c>
      <c r="P336" s="55" t="n">
        <f aca="false">IF(03_Cenas!Q73="","",03_Cenas!Q73)</f>
        <v>22</v>
      </c>
      <c r="Q336" s="55" t="str">
        <f aca="false">IF(03_Cenas!R73="","",03_Cenas!R73)</f>
        <v>Medio</v>
      </c>
      <c r="R336" s="55" t="str">
        <f aca="false">IF(03_Cenas!S73="","",03_Cenas!S73)</f>
        <v>Fin de semana</v>
      </c>
      <c r="S336" s="55" t="str">
        <f aca="false">IF(03_Cenas!T73="","",03_Cenas!T73)</f>
        <v>Bar</v>
      </c>
      <c r="T336" s="56" t="str">
        <f aca="false">IF(03_Cenas!U73="","",03_Cenas!U73)</f>
        <v>Se pide junto con licor: combinar con la lista 07</v>
      </c>
      <c r="U336" s="55" t="n">
        <v>73</v>
      </c>
      <c r="V336" s="55" t="n">
        <f aca="false">IF(AND(OR(LEN(13_Buscador!$C$5)=0,ISNUMBER(SEARCH(13_Buscador!$C$5,$C336&amp;" "&amp;$D336&amp;" "&amp;$E336&amp;" "&amp;$F336&amp;" "&amp;$S336))),OR(13_Buscador!$C$6="Todas las listas",LEN(13_Buscador!$C$6)=0,13_Buscador!$C$6=$B336)),1,0)</f>
        <v>0</v>
      </c>
      <c r="W336" s="55" t="str">
        <f aca="false">IF(V336=1,SUM($V$2:V336),"")</f>
        <v/>
      </c>
    </row>
    <row r="337" customFormat="false" ht="23.25" hidden="false" customHeight="true" outlineLevel="0" collapsed="false">
      <c r="A337" s="55" t="n">
        <v>336</v>
      </c>
      <c r="B337" s="55" t="s">
        <v>3329</v>
      </c>
      <c r="C337" s="55" t="str">
        <f aca="false">IF(03_Cenas!B74="","",03_Cenas!B74)</f>
        <v>Pollo a la brasa</v>
      </c>
      <c r="D337" s="56" t="str">
        <f aca="false">IF(03_Cenas!C74="","",03_Cenas!C74)</f>
        <v>Combo familiar pollo + papas + ensalada + 2 gaseosas</v>
      </c>
      <c r="E337" s="56" t="str">
        <f aca="false">IF(03_Cenas!D74="","",03_Cenas!D74)</f>
        <v>Combo grande para 4-5</v>
      </c>
      <c r="F337" s="56" t="str">
        <f aca="false">IF(03_Cenas!E74="","",03_Cenas!E74)</f>
        <v>verduras frescas de estación, limón, aceite, sal</v>
      </c>
      <c r="G337" s="55" t="str">
        <f aca="false">IF(03_Cenas!F74="","",03_Cenas!F74)</f>
        <v>Combo</v>
      </c>
      <c r="H337" s="55" t="str">
        <f aca="false">IF(03_Cenas!G74="","",03_Cenas!G74)</f>
        <v>Premium</v>
      </c>
      <c r="I337" s="58" t="n">
        <f aca="false">IF(03_Cenas!H74="","",03_Cenas!H74)</f>
        <v>60</v>
      </c>
      <c r="J337" s="58" t="n">
        <f aca="false">IF(03_Cenas!I74="","",03_Cenas!I74)</f>
        <v>100</v>
      </c>
      <c r="K337" s="58" t="n">
        <f aca="false">IF(03_Cenas!J74="","",03_Cenas!J74)</f>
        <v>80</v>
      </c>
      <c r="L337" s="58" t="n">
        <f aca="false">IF(03_Cenas!L74="","",03_Cenas!L74)</f>
        <v>81</v>
      </c>
      <c r="M337" s="58" t="n">
        <f aca="false">IF(03_Cenas!N74="","",03_Cenas!N74)</f>
        <v>10.4</v>
      </c>
      <c r="N337" s="58" t="n">
        <f aca="false">IF(03_Cenas!O74="","",03_Cenas!O74)</f>
        <v>69.6</v>
      </c>
      <c r="O337" s="55" t="str">
        <f aca="false">IF(03_Cenas!P74="","",03_Cenas!P74)</f>
        <v>18:00-22:00</v>
      </c>
      <c r="P337" s="55" t="n">
        <f aca="false">IF(03_Cenas!Q74="","",03_Cenas!Q74)</f>
        <v>18</v>
      </c>
      <c r="Q337" s="55" t="str">
        <f aca="false">IF(03_Cenas!R74="","",03_Cenas!R74)</f>
        <v>Medio</v>
      </c>
      <c r="R337" s="55" t="str">
        <f aca="false">IF(03_Cenas!S74="","",03_Cenas!S74)</f>
        <v>Fin de semana</v>
      </c>
      <c r="S337" s="55" t="str">
        <f aca="false">IF(03_Cenas!T74="","",03_Cenas!T74)</f>
        <v>Pollería</v>
      </c>
      <c r="T337" s="56" t="str">
        <f aca="false">IF(03_Cenas!U74="","",03_Cenas!U74)</f>
        <v>El ticket más alto de la pollería</v>
      </c>
      <c r="U337" s="55" t="n">
        <v>74</v>
      </c>
      <c r="V337" s="55" t="n">
        <f aca="false">IF(AND(OR(LEN(13_Buscador!$C$5)=0,ISNUMBER(SEARCH(13_Buscador!$C$5,$C337&amp;" "&amp;$D337&amp;" "&amp;$E337&amp;" "&amp;$F337&amp;" "&amp;$S337))),OR(13_Buscador!$C$6="Todas las listas",LEN(13_Buscador!$C$6)=0,13_Buscador!$C$6=$B337)),1,0)</f>
        <v>1</v>
      </c>
      <c r="W337" s="55" t="n">
        <f aca="false">IF(V337=1,SUM($V$2:V337),"")</f>
        <v>82</v>
      </c>
    </row>
    <row r="338" customFormat="false" ht="23.25" hidden="false" customHeight="true" outlineLevel="0" collapsed="false">
      <c r="A338" s="55" t="n">
        <v>337</v>
      </c>
      <c r="B338" s="55" t="s">
        <v>3329</v>
      </c>
      <c r="C338" s="55" t="str">
        <f aca="false">IF(03_Cenas!B75="","",03_Cenas!B75)</f>
        <v>Pollo a la brasa</v>
      </c>
      <c r="D338" s="56" t="str">
        <f aca="false">IF(03_Cenas!C75="","",03_Cenas!C75)</f>
        <v>Pollo a la brasa con chaufa</v>
      </c>
      <c r="E338" s="56" t="str">
        <f aca="false">IF(03_Cenas!D75="","",03_Cenas!D75)</f>
        <v>Presa con arroz chaufa</v>
      </c>
      <c r="F338" s="56" t="str">
        <f aca="false">IF(03_Cenas!E75="","",03_Cenas!E75)</f>
        <v>pollo entero o en presas, sillao, ají panca, romero, comino, papas fritas, ensalada</v>
      </c>
      <c r="G338" s="55" t="str">
        <f aca="false">IF(03_Cenas!F75="","",03_Cenas!F75)</f>
        <v>Plato</v>
      </c>
      <c r="H338" s="55" t="str">
        <f aca="false">IF(03_Cenas!G75="","",03_Cenas!G75)</f>
        <v>Estándar</v>
      </c>
      <c r="I338" s="58" t="n">
        <f aca="false">IF(03_Cenas!H75="","",03_Cenas!H75)</f>
        <v>14</v>
      </c>
      <c r="J338" s="58" t="n">
        <f aca="false">IF(03_Cenas!I75="","",03_Cenas!I75)</f>
        <v>24</v>
      </c>
      <c r="K338" s="58" t="n">
        <f aca="false">IF(03_Cenas!J75="","",03_Cenas!J75)</f>
        <v>19</v>
      </c>
      <c r="L338" s="58" t="n">
        <f aca="false">IF(03_Cenas!L75="","",03_Cenas!L75)</f>
        <v>20</v>
      </c>
      <c r="M338" s="58" t="n">
        <f aca="false">IF(03_Cenas!N75="","",03_Cenas!N75)</f>
        <v>1.71</v>
      </c>
      <c r="N338" s="58" t="n">
        <f aca="false">IF(03_Cenas!O75="","",03_Cenas!O75)</f>
        <v>17.29</v>
      </c>
      <c r="O338" s="55" t="str">
        <f aca="false">IF(03_Cenas!P75="","",03_Cenas!P75)</f>
        <v>18:00-22:00</v>
      </c>
      <c r="P338" s="55" t="n">
        <f aca="false">IF(03_Cenas!Q75="","",03_Cenas!Q75)</f>
        <v>14</v>
      </c>
      <c r="Q338" s="55" t="str">
        <f aca="false">IF(03_Cenas!R75="","",03_Cenas!R75)</f>
        <v>Medio</v>
      </c>
      <c r="R338" s="55" t="str">
        <f aca="false">IF(03_Cenas!S75="","",03_Cenas!S75)</f>
        <v>Todo el año</v>
      </c>
      <c r="S338" s="55" t="str">
        <f aca="false">IF(03_Cenas!T75="","",03_Cenas!T75)</f>
        <v>Pollería</v>
      </c>
      <c r="T338" s="56" t="str">
        <f aca="false">IF(03_Cenas!U75="","",03_Cenas!U75)</f>
        <v/>
      </c>
      <c r="U338" s="55" t="n">
        <v>75</v>
      </c>
      <c r="V338" s="55" t="n">
        <f aca="false">IF(AND(OR(LEN(13_Buscador!$C$5)=0,ISNUMBER(SEARCH(13_Buscador!$C$5,$C338&amp;" "&amp;$D338&amp;" "&amp;$E338&amp;" "&amp;$F338&amp;" "&amp;$S338))),OR(13_Buscador!$C$6="Todas las listas",LEN(13_Buscador!$C$6)=0,13_Buscador!$C$6=$B338)),1,0)</f>
        <v>1</v>
      </c>
      <c r="W338" s="55" t="n">
        <f aca="false">IF(V338=1,SUM($V$2:V338),"")</f>
        <v>83</v>
      </c>
    </row>
    <row r="339" customFormat="false" ht="15" hidden="false" customHeight="true" outlineLevel="0" collapsed="false">
      <c r="A339" s="55" t="n">
        <v>338</v>
      </c>
      <c r="B339" s="55" t="s">
        <v>3329</v>
      </c>
      <c r="C339" s="55" t="str">
        <f aca="false">IF(03_Cenas!B76="","",03_Cenas!B76)</f>
        <v>Pollo a la brasa</v>
      </c>
      <c r="D339" s="56" t="str">
        <f aca="false">IF(03_Cenas!C76="","",03_Cenas!C76)</f>
        <v>Porción de papas fritas grande</v>
      </c>
      <c r="E339" s="56" t="str">
        <f aca="false">IF(03_Cenas!D76="","",03_Cenas!D76)</f>
        <v>Para compartir</v>
      </c>
      <c r="F339" s="56" t="str">
        <f aca="false">IF(03_Cenas!E76="","",03_Cenas!E76)</f>
        <v>papa, aceite, sal</v>
      </c>
      <c r="G339" s="55" t="str">
        <f aca="false">IF(03_Cenas!F76="","",03_Cenas!F76)</f>
        <v>Porción</v>
      </c>
      <c r="H339" s="55" t="str">
        <f aca="false">IF(03_Cenas!G76="","",03_Cenas!G76)</f>
        <v>Económico</v>
      </c>
      <c r="I339" s="58" t="n">
        <f aca="false">IF(03_Cenas!H76="","",03_Cenas!H76)</f>
        <v>8</v>
      </c>
      <c r="J339" s="58" t="n">
        <f aca="false">IF(03_Cenas!I76="","",03_Cenas!I76)</f>
        <v>16</v>
      </c>
      <c r="K339" s="58" t="n">
        <f aca="false">IF(03_Cenas!J76="","",03_Cenas!J76)</f>
        <v>12</v>
      </c>
      <c r="L339" s="58" t="n">
        <f aca="false">IF(03_Cenas!L76="","",03_Cenas!L76)</f>
        <v>13</v>
      </c>
      <c r="M339" s="58" t="n">
        <f aca="false">IF(03_Cenas!N76="","",03_Cenas!N76)</f>
        <v>0.84</v>
      </c>
      <c r="N339" s="58" t="n">
        <f aca="false">IF(03_Cenas!O76="","",03_Cenas!O76)</f>
        <v>11.16</v>
      </c>
      <c r="O339" s="55" t="str">
        <f aca="false">IF(03_Cenas!P76="","",03_Cenas!P76)</f>
        <v>18:00-23:00</v>
      </c>
      <c r="P339" s="55" t="n">
        <f aca="false">IF(03_Cenas!Q76="","",03_Cenas!Q76)</f>
        <v>8</v>
      </c>
      <c r="Q339" s="55" t="str">
        <f aca="false">IF(03_Cenas!R76="","",03_Cenas!R76)</f>
        <v>Medio</v>
      </c>
      <c r="R339" s="55" t="str">
        <f aca="false">IF(03_Cenas!S76="","",03_Cenas!S76)</f>
        <v>Todo el año</v>
      </c>
      <c r="S339" s="55" t="str">
        <f aca="false">IF(03_Cenas!T76="","",03_Cenas!T76)</f>
        <v>Pollería</v>
      </c>
      <c r="T339" s="56" t="str">
        <f aca="false">IF(03_Cenas!U76="","",03_Cenas!U76)</f>
        <v/>
      </c>
      <c r="U339" s="55" t="n">
        <v>76</v>
      </c>
      <c r="V339" s="55" t="n">
        <f aca="false">IF(AND(OR(LEN(13_Buscador!$C$5)=0,ISNUMBER(SEARCH(13_Buscador!$C$5,$C339&amp;" "&amp;$D339&amp;" "&amp;$E339&amp;" "&amp;$F339&amp;" "&amp;$S339))),OR(13_Buscador!$C$6="Todas las listas",LEN(13_Buscador!$C$6)=0,13_Buscador!$C$6=$B339)),1,0)</f>
        <v>1</v>
      </c>
      <c r="W339" s="55" t="n">
        <f aca="false">IF(V339=1,SUM($V$2:V339),"")</f>
        <v>84</v>
      </c>
    </row>
    <row r="340" customFormat="false" ht="15" hidden="false" customHeight="true" outlineLevel="0" collapsed="false">
      <c r="A340" s="55" t="n">
        <v>339</v>
      </c>
      <c r="B340" s="55" t="s">
        <v>3329</v>
      </c>
      <c r="C340" s="55" t="str">
        <f aca="false">IF(03_Cenas!B77="","",03_Cenas!B77)</f>
        <v>Pollo a la brasa</v>
      </c>
      <c r="D340" s="56" t="str">
        <f aca="false">IF(03_Cenas!C77="","",03_Cenas!C77)</f>
        <v>Ensalada de la casa</v>
      </c>
      <c r="E340" s="56" t="str">
        <f aca="false">IF(03_Cenas!D77="","",03_Cenas!D77)</f>
        <v>Ensalada para acompañar pollo</v>
      </c>
      <c r="F340" s="56" t="str">
        <f aca="false">IF(03_Cenas!E77="","",03_Cenas!E77)</f>
        <v>verduras frescas de estación, limón, aceite, sal</v>
      </c>
      <c r="G340" s="55" t="str">
        <f aca="false">IF(03_Cenas!F77="","",03_Cenas!F77)</f>
        <v>Porción</v>
      </c>
      <c r="H340" s="55" t="str">
        <f aca="false">IF(03_Cenas!G77="","",03_Cenas!G77)</f>
        <v>Económico</v>
      </c>
      <c r="I340" s="58" t="n">
        <f aca="false">IF(03_Cenas!H77="","",03_Cenas!H77)</f>
        <v>5</v>
      </c>
      <c r="J340" s="58" t="n">
        <f aca="false">IF(03_Cenas!I77="","",03_Cenas!I77)</f>
        <v>12</v>
      </c>
      <c r="K340" s="58" t="n">
        <f aca="false">IF(03_Cenas!J77="","",03_Cenas!J77)</f>
        <v>8.5</v>
      </c>
      <c r="L340" s="58" t="n">
        <f aca="false">IF(03_Cenas!L77="","",03_Cenas!L77)</f>
        <v>9.5</v>
      </c>
      <c r="M340" s="58" t="n">
        <f aca="false">IF(03_Cenas!N77="","",03_Cenas!N77)</f>
        <v>0.6</v>
      </c>
      <c r="N340" s="58" t="n">
        <f aca="false">IF(03_Cenas!O77="","",03_Cenas!O77)</f>
        <v>7.9</v>
      </c>
      <c r="O340" s="55" t="str">
        <f aca="false">IF(03_Cenas!P77="","",03_Cenas!P77)</f>
        <v>18:00-23:00</v>
      </c>
      <c r="P340" s="55" t="n">
        <f aca="false">IF(03_Cenas!Q77="","",03_Cenas!Q77)</f>
        <v>5</v>
      </c>
      <c r="Q340" s="55" t="str">
        <f aca="false">IF(03_Cenas!R77="","",03_Cenas!R77)</f>
        <v>Alto</v>
      </c>
      <c r="R340" s="55" t="str">
        <f aca="false">IF(03_Cenas!S77="","",03_Cenas!S77)</f>
        <v>Todo el año</v>
      </c>
      <c r="S340" s="55" t="str">
        <f aca="false">IF(03_Cenas!T77="","",03_Cenas!T77)</f>
        <v>Pollería</v>
      </c>
      <c r="T340" s="56" t="str">
        <f aca="false">IF(03_Cenas!U77="","",03_Cenas!U77)</f>
        <v/>
      </c>
      <c r="U340" s="55" t="n">
        <v>77</v>
      </c>
      <c r="V340" s="55" t="n">
        <f aca="false">IF(AND(OR(LEN(13_Buscador!$C$5)=0,ISNUMBER(SEARCH(13_Buscador!$C$5,$C340&amp;" "&amp;$D340&amp;" "&amp;$E340&amp;" "&amp;$F340&amp;" "&amp;$S340))),OR(13_Buscador!$C$6="Todas las listas",LEN(13_Buscador!$C$6)=0,13_Buscador!$C$6=$B340)),1,0)</f>
        <v>1</v>
      </c>
      <c r="W340" s="55" t="n">
        <f aca="false">IF(V340=1,SUM($V$2:V340),"")</f>
        <v>85</v>
      </c>
    </row>
    <row r="341" customFormat="false" ht="15" hidden="false" customHeight="true" outlineLevel="0" collapsed="false">
      <c r="A341" s="55" t="n">
        <v>340</v>
      </c>
      <c r="B341" s="55" t="s">
        <v>3329</v>
      </c>
      <c r="C341" s="55" t="str">
        <f aca="false">IF(03_Cenas!B78="","",03_Cenas!B78)</f>
        <v>Broaster y frituras</v>
      </c>
      <c r="D341" s="56" t="str">
        <f aca="false">IF(03_Cenas!C78="","",03_Cenas!C78)</f>
        <v>Pollo broaster 1/2</v>
      </c>
      <c r="E341" s="56" t="str">
        <f aca="false">IF(03_Cenas!D78="","",03_Cenas!D78)</f>
        <v>Media porción apanada</v>
      </c>
      <c r="F341" s="56" t="str">
        <f aca="false">IF(03_Cenas!E78="","",03_Cenas!E78)</f>
        <v>pollo, harina, huevo, especias, aceite, papas fritas</v>
      </c>
      <c r="G341" s="55" t="str">
        <f aca="false">IF(03_Cenas!F78="","",03_Cenas!F78)</f>
        <v>Porción</v>
      </c>
      <c r="H341" s="55" t="str">
        <f aca="false">IF(03_Cenas!G78="","",03_Cenas!G78)</f>
        <v>Medio</v>
      </c>
      <c r="I341" s="58" t="n">
        <f aca="false">IF(03_Cenas!H78="","",03_Cenas!H78)</f>
        <v>20</v>
      </c>
      <c r="J341" s="58" t="n">
        <f aca="false">IF(03_Cenas!I78="","",03_Cenas!I78)</f>
        <v>34</v>
      </c>
      <c r="K341" s="58" t="n">
        <f aca="false">IF(03_Cenas!J78="","",03_Cenas!J78)</f>
        <v>27</v>
      </c>
      <c r="L341" s="58" t="n">
        <f aca="false">IF(03_Cenas!L78="","",03_Cenas!L78)</f>
        <v>28</v>
      </c>
      <c r="M341" s="58" t="n">
        <f aca="false">IF(03_Cenas!N78="","",03_Cenas!N78)</f>
        <v>2.97</v>
      </c>
      <c r="N341" s="58" t="n">
        <f aca="false">IF(03_Cenas!O78="","",03_Cenas!O78)</f>
        <v>24.03</v>
      </c>
      <c r="O341" s="55" t="str">
        <f aca="false">IF(03_Cenas!P78="","",03_Cenas!P78)</f>
        <v>18:00-23:00</v>
      </c>
      <c r="P341" s="55" t="n">
        <f aca="false">IF(03_Cenas!Q78="","",03_Cenas!Q78)</f>
        <v>16</v>
      </c>
      <c r="Q341" s="55" t="str">
        <f aca="false">IF(03_Cenas!R78="","",03_Cenas!R78)</f>
        <v>Medio</v>
      </c>
      <c r="R341" s="55" t="str">
        <f aca="false">IF(03_Cenas!S78="","",03_Cenas!S78)</f>
        <v>Fin de semana</v>
      </c>
      <c r="S341" s="55" t="str">
        <f aca="false">IF(03_Cenas!T78="","",03_Cenas!T78)</f>
        <v>Broastería</v>
      </c>
      <c r="T341" s="56" t="str">
        <f aca="false">IF(03_Cenas!U78="","",03_Cenas!U78)</f>
        <v/>
      </c>
      <c r="U341" s="55" t="n">
        <v>78</v>
      </c>
      <c r="V341" s="55" t="n">
        <f aca="false">IF(AND(OR(LEN(13_Buscador!$C$5)=0,ISNUMBER(SEARCH(13_Buscador!$C$5,$C341&amp;" "&amp;$D341&amp;" "&amp;$E341&amp;" "&amp;$F341&amp;" "&amp;$S341))),OR(13_Buscador!$C$6="Todas las listas",LEN(13_Buscador!$C$6)=0,13_Buscador!$C$6=$B341)),1,0)</f>
        <v>1</v>
      </c>
      <c r="W341" s="55" t="n">
        <f aca="false">IF(V341=1,SUM($V$2:V341),"")</f>
        <v>86</v>
      </c>
    </row>
    <row r="342" customFormat="false" ht="15" hidden="false" customHeight="true" outlineLevel="0" collapsed="false">
      <c r="A342" s="55" t="n">
        <v>341</v>
      </c>
      <c r="B342" s="55" t="s">
        <v>3329</v>
      </c>
      <c r="C342" s="55" t="str">
        <f aca="false">IF(03_Cenas!B79="","",03_Cenas!B79)</f>
        <v>Broaster y frituras</v>
      </c>
      <c r="D342" s="56" t="str">
        <f aca="false">IF(03_Cenas!C79="","",03_Cenas!C79)</f>
        <v>Combo broaster + chaufa + gaseosa</v>
      </c>
      <c r="E342" s="56" t="str">
        <f aca="false">IF(03_Cenas!D79="","",03_Cenas!D79)</f>
        <v>Combo nocturno</v>
      </c>
      <c r="F342" s="56" t="str">
        <f aca="false">IF(03_Cenas!E79="","",03_Cenas!E79)</f>
        <v>pollo, harina, huevo, especias, aceite, papas fritas</v>
      </c>
      <c r="G342" s="55" t="str">
        <f aca="false">IF(03_Cenas!F79="","",03_Cenas!F79)</f>
        <v>Combo</v>
      </c>
      <c r="H342" s="55" t="str">
        <f aca="false">IF(03_Cenas!G79="","",03_Cenas!G79)</f>
        <v>Medio</v>
      </c>
      <c r="I342" s="58" t="n">
        <f aca="false">IF(03_Cenas!H79="","",03_Cenas!H79)</f>
        <v>18</v>
      </c>
      <c r="J342" s="58" t="n">
        <f aca="false">IF(03_Cenas!I79="","",03_Cenas!I79)</f>
        <v>32</v>
      </c>
      <c r="K342" s="58" t="n">
        <f aca="false">IF(03_Cenas!J79="","",03_Cenas!J79)</f>
        <v>25</v>
      </c>
      <c r="L342" s="58" t="n">
        <f aca="false">IF(03_Cenas!L79="","",03_Cenas!L79)</f>
        <v>26</v>
      </c>
      <c r="M342" s="58" t="n">
        <f aca="false">IF(03_Cenas!N79="","",03_Cenas!N79)</f>
        <v>2.75</v>
      </c>
      <c r="N342" s="58" t="n">
        <f aca="false">IF(03_Cenas!O79="","",03_Cenas!O79)</f>
        <v>22.25</v>
      </c>
      <c r="O342" s="55" t="str">
        <f aca="false">IF(03_Cenas!P79="","",03_Cenas!P79)</f>
        <v>18:00-23:00</v>
      </c>
      <c r="P342" s="55" t="n">
        <f aca="false">IF(03_Cenas!Q79="","",03_Cenas!Q79)</f>
        <v>16</v>
      </c>
      <c r="Q342" s="55" t="str">
        <f aca="false">IF(03_Cenas!R79="","",03_Cenas!R79)</f>
        <v>Medio</v>
      </c>
      <c r="R342" s="55" t="str">
        <f aca="false">IF(03_Cenas!S79="","",03_Cenas!S79)</f>
        <v>Todo el año</v>
      </c>
      <c r="S342" s="55" t="str">
        <f aca="false">IF(03_Cenas!T79="","",03_Cenas!T79)</f>
        <v>Broastería</v>
      </c>
      <c r="T342" s="56" t="str">
        <f aca="false">IF(03_Cenas!U79="","",03_Cenas!U79)</f>
        <v/>
      </c>
      <c r="U342" s="55" t="n">
        <v>79</v>
      </c>
      <c r="V342" s="55" t="n">
        <f aca="false">IF(AND(OR(LEN(13_Buscador!$C$5)=0,ISNUMBER(SEARCH(13_Buscador!$C$5,$C342&amp;" "&amp;$D342&amp;" "&amp;$E342&amp;" "&amp;$F342&amp;" "&amp;$S342))),OR(13_Buscador!$C$6="Todas las listas",LEN(13_Buscador!$C$6)=0,13_Buscador!$C$6=$B342)),1,0)</f>
        <v>1</v>
      </c>
      <c r="W342" s="55" t="n">
        <f aca="false">IF(V342=1,SUM($V$2:V342),"")</f>
        <v>87</v>
      </c>
    </row>
    <row r="343" customFormat="false" ht="15" hidden="false" customHeight="true" outlineLevel="0" collapsed="false">
      <c r="A343" s="55" t="n">
        <v>342</v>
      </c>
      <c r="B343" s="55" t="s">
        <v>3329</v>
      </c>
      <c r="C343" s="55" t="str">
        <f aca="false">IF(03_Cenas!B80="","",03_Cenas!B80)</f>
        <v>Broaster y frituras</v>
      </c>
      <c r="D343" s="56" t="str">
        <f aca="false">IF(03_Cenas!C80="","",03_Cenas!C80)</f>
        <v>Tiras de pollo apanado</v>
      </c>
      <c r="E343" s="56" t="str">
        <f aca="false">IF(03_Cenas!D80="","",03_Cenas!D80)</f>
        <v>Strips con salsas</v>
      </c>
      <c r="F343" s="56" t="str">
        <f aca="false">IF(03_Cenas!E80="","",03_Cenas!E80)</f>
        <v>pollo, harina, huevo, especias, aceite, papas fritas</v>
      </c>
      <c r="G343" s="55" t="str">
        <f aca="false">IF(03_Cenas!F80="","",03_Cenas!F80)</f>
        <v>Porción</v>
      </c>
      <c r="H343" s="55" t="str">
        <f aca="false">IF(03_Cenas!G80="","",03_Cenas!G80)</f>
        <v>Estándar</v>
      </c>
      <c r="I343" s="58" t="n">
        <f aca="false">IF(03_Cenas!H80="","",03_Cenas!H80)</f>
        <v>10</v>
      </c>
      <c r="J343" s="58" t="n">
        <f aca="false">IF(03_Cenas!I80="","",03_Cenas!I80)</f>
        <v>20</v>
      </c>
      <c r="K343" s="58" t="n">
        <f aca="false">IF(03_Cenas!J80="","",03_Cenas!J80)</f>
        <v>15</v>
      </c>
      <c r="L343" s="58" t="n">
        <f aca="false">IF(03_Cenas!L80="","",03_Cenas!L80)</f>
        <v>16</v>
      </c>
      <c r="M343" s="58" t="n">
        <f aca="false">IF(03_Cenas!N80="","",03_Cenas!N80)</f>
        <v>1.35</v>
      </c>
      <c r="N343" s="58" t="n">
        <f aca="false">IF(03_Cenas!O80="","",03_Cenas!O80)</f>
        <v>13.65</v>
      </c>
      <c r="O343" s="55" t="str">
        <f aca="false">IF(03_Cenas!P80="","",03_Cenas!P80)</f>
        <v>18:00-23:00</v>
      </c>
      <c r="P343" s="55" t="n">
        <f aca="false">IF(03_Cenas!Q80="","",03_Cenas!Q80)</f>
        <v>12</v>
      </c>
      <c r="Q343" s="55" t="str">
        <f aca="false">IF(03_Cenas!R80="","",03_Cenas!R80)</f>
        <v>Medio</v>
      </c>
      <c r="R343" s="55" t="str">
        <f aca="false">IF(03_Cenas!S80="","",03_Cenas!S80)</f>
        <v>Todo el año</v>
      </c>
      <c r="S343" s="55" t="str">
        <f aca="false">IF(03_Cenas!T80="","",03_Cenas!T80)</f>
        <v>Fast food</v>
      </c>
      <c r="T343" s="56" t="str">
        <f aca="false">IF(03_Cenas!U80="","",03_Cenas!U80)</f>
        <v/>
      </c>
      <c r="U343" s="55" t="n">
        <v>80</v>
      </c>
      <c r="V343" s="55" t="n">
        <f aca="false">IF(AND(OR(LEN(13_Buscador!$C$5)=0,ISNUMBER(SEARCH(13_Buscador!$C$5,$C343&amp;" "&amp;$D343&amp;" "&amp;$E343&amp;" "&amp;$F343&amp;" "&amp;$S343))),OR(13_Buscador!$C$6="Todas las listas",LEN(13_Buscador!$C$6)=0,13_Buscador!$C$6=$B343)),1,0)</f>
        <v>1</v>
      </c>
      <c r="W343" s="55" t="n">
        <f aca="false">IF(V343=1,SUM($V$2:V343),"")</f>
        <v>88</v>
      </c>
    </row>
    <row r="344" customFormat="false" ht="15" hidden="false" customHeight="true" outlineLevel="0" collapsed="false">
      <c r="A344" s="55" t="n">
        <v>343</v>
      </c>
      <c r="B344" s="55" t="s">
        <v>3329</v>
      </c>
      <c r="C344" s="55" t="str">
        <f aca="false">IF(03_Cenas!B81="","",03_Cenas!B81)</f>
        <v>Broaster y frituras</v>
      </c>
      <c r="D344" s="56" t="str">
        <f aca="false">IF(03_Cenas!C81="","",03_Cenas!C81)</f>
        <v>Salchipapa con pollo broaster</v>
      </c>
      <c r="E344" s="56" t="str">
        <f aca="false">IF(03_Cenas!D81="","",03_Cenas!D81)</f>
        <v>Versión reforzada</v>
      </c>
      <c r="F344" s="56" t="str">
        <f aca="false">IF(03_Cenas!E81="","",03_Cenas!E81)</f>
        <v>pollo, harina, huevo, especias, aceite, papas fritas</v>
      </c>
      <c r="G344" s="55" t="str">
        <f aca="false">IF(03_Cenas!F81="","",03_Cenas!F81)</f>
        <v>Porción</v>
      </c>
      <c r="H344" s="55" t="str">
        <f aca="false">IF(03_Cenas!G81="","",03_Cenas!G81)</f>
        <v>Estándar</v>
      </c>
      <c r="I344" s="58" t="n">
        <f aca="false">IF(03_Cenas!H81="","",03_Cenas!H81)</f>
        <v>10</v>
      </c>
      <c r="J344" s="58" t="n">
        <f aca="false">IF(03_Cenas!I81="","",03_Cenas!I81)</f>
        <v>18</v>
      </c>
      <c r="K344" s="58" t="n">
        <f aca="false">IF(03_Cenas!J81="","",03_Cenas!J81)</f>
        <v>14</v>
      </c>
      <c r="L344" s="58" t="n">
        <f aca="false">IF(03_Cenas!L81="","",03_Cenas!L81)</f>
        <v>15</v>
      </c>
      <c r="M344" s="58" t="n">
        <f aca="false">IF(03_Cenas!N81="","",03_Cenas!N81)</f>
        <v>1.26</v>
      </c>
      <c r="N344" s="58" t="n">
        <f aca="false">IF(03_Cenas!O81="","",03_Cenas!O81)</f>
        <v>12.74</v>
      </c>
      <c r="O344" s="55" t="str">
        <f aca="false">IF(03_Cenas!P81="","",03_Cenas!P81)</f>
        <v>18:00-23:00</v>
      </c>
      <c r="P344" s="55" t="n">
        <f aca="false">IF(03_Cenas!Q81="","",03_Cenas!Q81)</f>
        <v>12</v>
      </c>
      <c r="Q344" s="55" t="str">
        <f aca="false">IF(03_Cenas!R81="","",03_Cenas!R81)</f>
        <v>Medio</v>
      </c>
      <c r="R344" s="55" t="str">
        <f aca="false">IF(03_Cenas!S81="","",03_Cenas!S81)</f>
        <v>Todo el año</v>
      </c>
      <c r="S344" s="55" t="str">
        <f aca="false">IF(03_Cenas!T81="","",03_Cenas!T81)</f>
        <v>Salchipapería</v>
      </c>
      <c r="T344" s="56" t="str">
        <f aca="false">IF(03_Cenas!U81="","",03_Cenas!U81)</f>
        <v/>
      </c>
      <c r="U344" s="55" t="n">
        <v>81</v>
      </c>
      <c r="V344" s="55" t="n">
        <f aca="false">IF(AND(OR(LEN(13_Buscador!$C$5)=0,ISNUMBER(SEARCH(13_Buscador!$C$5,$C344&amp;" "&amp;$D344&amp;" "&amp;$E344&amp;" "&amp;$F344&amp;" "&amp;$S344))),OR(13_Buscador!$C$6="Todas las listas",LEN(13_Buscador!$C$6)=0,13_Buscador!$C$6=$B344)),1,0)</f>
        <v>1</v>
      </c>
      <c r="W344" s="55" t="n">
        <f aca="false">IF(V344=1,SUM($V$2:V344),"")</f>
        <v>89</v>
      </c>
    </row>
    <row r="345" customFormat="false" ht="15" hidden="false" customHeight="true" outlineLevel="0" collapsed="false">
      <c r="A345" s="55" t="n">
        <v>344</v>
      </c>
      <c r="B345" s="55" t="s">
        <v>3329</v>
      </c>
      <c r="C345" s="55" t="str">
        <f aca="false">IF(03_Cenas!B82="","",03_Cenas!B82)</f>
        <v>Broaster y frituras</v>
      </c>
      <c r="D345" s="56" t="str">
        <f aca="false">IF(03_Cenas!C82="","",03_Cenas!C82)</f>
        <v>Papas rellenas (2 und)</v>
      </c>
      <c r="E345" s="56" t="str">
        <f aca="false">IF(03_Cenas!D82="","",03_Cenas!D82)</f>
        <v>Con salsa criolla</v>
      </c>
      <c r="F345" s="56" t="str">
        <f aca="false">IF(03_Cenas!E82="","",03_Cenas!E82)</f>
        <v>papa, carne molida, cebolla, huevo, aceituna, aceite</v>
      </c>
      <c r="G345" s="55" t="str">
        <f aca="false">IF(03_Cenas!F82="","",03_Cenas!F82)</f>
        <v>Porción</v>
      </c>
      <c r="H345" s="55" t="str">
        <f aca="false">IF(03_Cenas!G82="","",03_Cenas!G82)</f>
        <v>Económico</v>
      </c>
      <c r="I345" s="58" t="n">
        <f aca="false">IF(03_Cenas!H82="","",03_Cenas!H82)</f>
        <v>6</v>
      </c>
      <c r="J345" s="58" t="n">
        <f aca="false">IF(03_Cenas!I82="","",03_Cenas!I82)</f>
        <v>13</v>
      </c>
      <c r="K345" s="58" t="n">
        <f aca="false">IF(03_Cenas!J82="","",03_Cenas!J82)</f>
        <v>9.5</v>
      </c>
      <c r="L345" s="58" t="n">
        <f aca="false">IF(03_Cenas!L82="","",03_Cenas!L82)</f>
        <v>10.5</v>
      </c>
      <c r="M345" s="58" t="n">
        <f aca="false">IF(03_Cenas!N82="","",03_Cenas!N82)</f>
        <v>0.67</v>
      </c>
      <c r="N345" s="58" t="n">
        <f aca="false">IF(03_Cenas!O82="","",03_Cenas!O82)</f>
        <v>8.83</v>
      </c>
      <c r="O345" s="55" t="str">
        <f aca="false">IF(03_Cenas!P82="","",03_Cenas!P82)</f>
        <v>17:00-22:00</v>
      </c>
      <c r="P345" s="55" t="n">
        <f aca="false">IF(03_Cenas!Q82="","",03_Cenas!Q82)</f>
        <v>8</v>
      </c>
      <c r="Q345" s="55" t="str">
        <f aca="false">IF(03_Cenas!R82="","",03_Cenas!R82)</f>
        <v>Alto</v>
      </c>
      <c r="R345" s="55" t="str">
        <f aca="false">IF(03_Cenas!S82="","",03_Cenas!S82)</f>
        <v>Todo el año</v>
      </c>
      <c r="S345" s="55" t="str">
        <f aca="false">IF(03_Cenas!T82="","",03_Cenas!T82)</f>
        <v>Ambulante</v>
      </c>
      <c r="T345" s="56" t="str">
        <f aca="false">IF(03_Cenas!U82="","",03_Cenas!U82)</f>
        <v/>
      </c>
      <c r="U345" s="55" t="n">
        <v>82</v>
      </c>
      <c r="V345" s="55" t="n">
        <f aca="false">IF(AND(OR(LEN(13_Buscador!$C$5)=0,ISNUMBER(SEARCH(13_Buscador!$C$5,$C345&amp;" "&amp;$D345&amp;" "&amp;$E345&amp;" "&amp;$F345&amp;" "&amp;$S345))),OR(13_Buscador!$C$6="Todas las listas",LEN(13_Buscador!$C$6)=0,13_Buscador!$C$6=$B345)),1,0)</f>
        <v>0</v>
      </c>
      <c r="W345" s="55" t="str">
        <f aca="false">IF(V345=1,SUM($V$2:V345),"")</f>
        <v/>
      </c>
    </row>
    <row r="346" customFormat="false" ht="23.25" hidden="false" customHeight="true" outlineLevel="0" collapsed="false">
      <c r="A346" s="55" t="n">
        <v>345</v>
      </c>
      <c r="B346" s="55" t="s">
        <v>3329</v>
      </c>
      <c r="C346" s="55" t="str">
        <f aca="false">IF(03_Cenas!B83="","",03_Cenas!B83)</f>
        <v>Hamburguesas y sándwiches</v>
      </c>
      <c r="D346" s="56" t="str">
        <f aca="false">IF(03_Cenas!C83="","",03_Cenas!C83)</f>
        <v>Hamburguesa vegetariana</v>
      </c>
      <c r="E346" s="56" t="str">
        <f aca="false">IF(03_Cenas!D83="","",03_Cenas!D83)</f>
        <v>Medallón de lenteja o quinua</v>
      </c>
      <c r="F346" s="56" t="str">
        <f aca="false">IF(03_Cenas!E83="","",03_Cenas!E83)</f>
        <v>pan de hamburguesa, carne o pollo, lechuga, tomate, cebolla, queso, salsas, papas fritas</v>
      </c>
      <c r="G346" s="55" t="str">
        <f aca="false">IF(03_Cenas!F83="","",03_Cenas!F83)</f>
        <v>1 unidad</v>
      </c>
      <c r="H346" s="55" t="str">
        <f aca="false">IF(03_Cenas!G83="","",03_Cenas!G83)</f>
        <v>Estándar</v>
      </c>
      <c r="I346" s="58" t="n">
        <f aca="false">IF(03_Cenas!H83="","",03_Cenas!H83)</f>
        <v>9</v>
      </c>
      <c r="J346" s="58" t="n">
        <f aca="false">IF(03_Cenas!I83="","",03_Cenas!I83)</f>
        <v>17</v>
      </c>
      <c r="K346" s="58" t="n">
        <f aca="false">IF(03_Cenas!J83="","",03_Cenas!J83)</f>
        <v>13</v>
      </c>
      <c r="L346" s="58" t="n">
        <f aca="false">IF(03_Cenas!L83="","",03_Cenas!L83)</f>
        <v>14</v>
      </c>
      <c r="M346" s="58" t="n">
        <f aca="false">IF(03_Cenas!N83="","",03_Cenas!N83)</f>
        <v>1.17</v>
      </c>
      <c r="N346" s="58" t="n">
        <f aca="false">IF(03_Cenas!O83="","",03_Cenas!O83)</f>
        <v>11.83</v>
      </c>
      <c r="O346" s="55" t="str">
        <f aca="false">IF(03_Cenas!P83="","",03_Cenas!P83)</f>
        <v>18:00-23:00</v>
      </c>
      <c r="P346" s="55" t="n">
        <f aca="false">IF(03_Cenas!Q83="","",03_Cenas!Q83)</f>
        <v>12</v>
      </c>
      <c r="Q346" s="55" t="str">
        <f aca="false">IF(03_Cenas!R83="","",03_Cenas!R83)</f>
        <v>Alto</v>
      </c>
      <c r="R346" s="55" t="str">
        <f aca="false">IF(03_Cenas!S83="","",03_Cenas!S83)</f>
        <v>Todo el año</v>
      </c>
      <c r="S346" s="55" t="str">
        <f aca="false">IF(03_Cenas!T83="","",03_Cenas!T83)</f>
        <v>Fast food, vegetariano</v>
      </c>
      <c r="T346" s="56" t="str">
        <f aca="false">IF(03_Cenas!U83="","",03_Cenas!U83)</f>
        <v/>
      </c>
      <c r="U346" s="55" t="n">
        <v>83</v>
      </c>
      <c r="V346" s="55" t="n">
        <f aca="false">IF(AND(OR(LEN(13_Buscador!$C$5)=0,ISNUMBER(SEARCH(13_Buscador!$C$5,$C346&amp;" "&amp;$D346&amp;" "&amp;$E346&amp;" "&amp;$F346&amp;" "&amp;$S346))),OR(13_Buscador!$C$6="Todas las listas",LEN(13_Buscador!$C$6)=0,13_Buscador!$C$6=$B346)),1,0)</f>
        <v>1</v>
      </c>
      <c r="W346" s="55" t="n">
        <f aca="false">IF(V346=1,SUM($V$2:V346),"")</f>
        <v>90</v>
      </c>
    </row>
    <row r="347" customFormat="false" ht="23.25" hidden="false" customHeight="true" outlineLevel="0" collapsed="false">
      <c r="A347" s="55" t="n">
        <v>346</v>
      </c>
      <c r="B347" s="55" t="s">
        <v>3329</v>
      </c>
      <c r="C347" s="55" t="str">
        <f aca="false">IF(03_Cenas!B84="","",03_Cenas!B84)</f>
        <v>Hamburguesas y sándwiches</v>
      </c>
      <c r="D347" s="56" t="str">
        <f aca="false">IF(03_Cenas!C84="","",03_Cenas!C84)</f>
        <v>Hamburguesa BBQ</v>
      </c>
      <c r="E347" s="56" t="str">
        <f aca="false">IF(03_Cenas!D84="","",03_Cenas!D84)</f>
        <v>Con salsa barbacoa y tocino</v>
      </c>
      <c r="F347" s="56" t="str">
        <f aca="false">IF(03_Cenas!E84="","",03_Cenas!E84)</f>
        <v>pan de hamburguesa, carne o pollo, lechuga, tomate, cebolla, queso, salsas, papas fritas</v>
      </c>
      <c r="G347" s="55" t="str">
        <f aca="false">IF(03_Cenas!F84="","",03_Cenas!F84)</f>
        <v>1 unidad</v>
      </c>
      <c r="H347" s="55" t="str">
        <f aca="false">IF(03_Cenas!G84="","",03_Cenas!G84)</f>
        <v>Estándar</v>
      </c>
      <c r="I347" s="58" t="n">
        <f aca="false">IF(03_Cenas!H84="","",03_Cenas!H84)</f>
        <v>13</v>
      </c>
      <c r="J347" s="58" t="n">
        <f aca="false">IF(03_Cenas!I84="","",03_Cenas!I84)</f>
        <v>24</v>
      </c>
      <c r="K347" s="58" t="n">
        <f aca="false">IF(03_Cenas!J84="","",03_Cenas!J84)</f>
        <v>18.5</v>
      </c>
      <c r="L347" s="58" t="n">
        <f aca="false">IF(03_Cenas!L84="","",03_Cenas!L84)</f>
        <v>19.5</v>
      </c>
      <c r="M347" s="58" t="n">
        <f aca="false">IF(03_Cenas!N84="","",03_Cenas!N84)</f>
        <v>1.67</v>
      </c>
      <c r="N347" s="58" t="n">
        <f aca="false">IF(03_Cenas!O84="","",03_Cenas!O84)</f>
        <v>16.83</v>
      </c>
      <c r="O347" s="55" t="str">
        <f aca="false">IF(03_Cenas!P84="","",03_Cenas!P84)</f>
        <v>18:00-23:00</v>
      </c>
      <c r="P347" s="55" t="n">
        <f aca="false">IF(03_Cenas!Q84="","",03_Cenas!Q84)</f>
        <v>13</v>
      </c>
      <c r="Q347" s="55" t="str">
        <f aca="false">IF(03_Cenas!R84="","",03_Cenas!R84)</f>
        <v>Alto</v>
      </c>
      <c r="R347" s="55" t="str">
        <f aca="false">IF(03_Cenas!S84="","",03_Cenas!S84)</f>
        <v>Todo el año</v>
      </c>
      <c r="S347" s="55" t="str">
        <f aca="false">IF(03_Cenas!T84="","",03_Cenas!T84)</f>
        <v>Fast food</v>
      </c>
      <c r="T347" s="56" t="str">
        <f aca="false">IF(03_Cenas!U84="","",03_Cenas!U84)</f>
        <v/>
      </c>
      <c r="U347" s="55" t="n">
        <v>84</v>
      </c>
      <c r="V347" s="55" t="n">
        <f aca="false">IF(AND(OR(LEN(13_Buscador!$C$5)=0,ISNUMBER(SEARCH(13_Buscador!$C$5,$C347&amp;" "&amp;$D347&amp;" "&amp;$E347&amp;" "&amp;$F347&amp;" "&amp;$S347))),OR(13_Buscador!$C$6="Todas las listas",LEN(13_Buscador!$C$6)=0,13_Buscador!$C$6=$B347)),1,0)</f>
        <v>1</v>
      </c>
      <c r="W347" s="55" t="n">
        <f aca="false">IF(V347=1,SUM($V$2:V347),"")</f>
        <v>91</v>
      </c>
    </row>
    <row r="348" customFormat="false" ht="23.25" hidden="false" customHeight="true" outlineLevel="0" collapsed="false">
      <c r="A348" s="55" t="n">
        <v>347</v>
      </c>
      <c r="B348" s="55" t="s">
        <v>3329</v>
      </c>
      <c r="C348" s="55" t="str">
        <f aca="false">IF(03_Cenas!B85="","",03_Cenas!B85)</f>
        <v>Hamburguesas y sándwiches</v>
      </c>
      <c r="D348" s="56" t="str">
        <f aca="false">IF(03_Cenas!C85="","",03_Cenas!C85)</f>
        <v>Sándwich de chicharrón nocturno grande</v>
      </c>
      <c r="E348" s="56" t="str">
        <f aca="false">IF(03_Cenas!D85="","",03_Cenas!D85)</f>
        <v>Doble porción</v>
      </c>
      <c r="F348" s="56" t="str">
        <f aca="false">IF(03_Cenas!E85="","",03_Cenas!E85)</f>
        <v>ron de caña</v>
      </c>
      <c r="G348" s="55" t="str">
        <f aca="false">IF(03_Cenas!F85="","",03_Cenas!F85)</f>
        <v>1 unidad</v>
      </c>
      <c r="H348" s="55" t="str">
        <f aca="false">IF(03_Cenas!G85="","",03_Cenas!G85)</f>
        <v>Estándar</v>
      </c>
      <c r="I348" s="58" t="n">
        <f aca="false">IF(03_Cenas!H85="","",03_Cenas!H85)</f>
        <v>9</v>
      </c>
      <c r="J348" s="58" t="n">
        <f aca="false">IF(03_Cenas!I85="","",03_Cenas!I85)</f>
        <v>17</v>
      </c>
      <c r="K348" s="58" t="n">
        <f aca="false">IF(03_Cenas!J85="","",03_Cenas!J85)</f>
        <v>13</v>
      </c>
      <c r="L348" s="58" t="n">
        <f aca="false">IF(03_Cenas!L85="","",03_Cenas!L85)</f>
        <v>14</v>
      </c>
      <c r="M348" s="58" t="n">
        <f aca="false">IF(03_Cenas!N85="","",03_Cenas!N85)</f>
        <v>1.17</v>
      </c>
      <c r="N348" s="58" t="n">
        <f aca="false">IF(03_Cenas!O85="","",03_Cenas!O85)</f>
        <v>11.83</v>
      </c>
      <c r="O348" s="55" t="str">
        <f aca="false">IF(03_Cenas!P85="","",03_Cenas!P85)</f>
        <v>18:00-23:00</v>
      </c>
      <c r="P348" s="55" t="n">
        <f aca="false">IF(03_Cenas!Q85="","",03_Cenas!Q85)</f>
        <v>8</v>
      </c>
      <c r="Q348" s="55" t="str">
        <f aca="false">IF(03_Cenas!R85="","",03_Cenas!R85)</f>
        <v>Alto</v>
      </c>
      <c r="R348" s="55" t="str">
        <f aca="false">IF(03_Cenas!S85="","",03_Cenas!S85)</f>
        <v>Todo el año</v>
      </c>
      <c r="S348" s="55" t="str">
        <f aca="false">IF(03_Cenas!T85="","",03_Cenas!T85)</f>
        <v>Ambulante</v>
      </c>
      <c r="T348" s="56" t="str">
        <f aca="false">IF(03_Cenas!U85="","",03_Cenas!U85)</f>
        <v/>
      </c>
      <c r="U348" s="55" t="n">
        <v>85</v>
      </c>
      <c r="V348" s="55" t="n">
        <f aca="false">IF(AND(OR(LEN(13_Buscador!$C$5)=0,ISNUMBER(SEARCH(13_Buscador!$C$5,$C348&amp;" "&amp;$D348&amp;" "&amp;$E348&amp;" "&amp;$F348&amp;" "&amp;$S348))),OR(13_Buscador!$C$6="Todas las listas",LEN(13_Buscador!$C$6)=0,13_Buscador!$C$6=$B348)),1,0)</f>
        <v>0</v>
      </c>
      <c r="W348" s="55" t="str">
        <f aca="false">IF(V348=1,SUM($V$2:V348),"")</f>
        <v/>
      </c>
    </row>
    <row r="349" customFormat="false" ht="23.25" hidden="false" customHeight="true" outlineLevel="0" collapsed="false">
      <c r="A349" s="55" t="n">
        <v>348</v>
      </c>
      <c r="B349" s="55" t="s">
        <v>3329</v>
      </c>
      <c r="C349" s="55" t="str">
        <f aca="false">IF(03_Cenas!B86="","",03_Cenas!B86)</f>
        <v>Hamburguesas y sándwiches</v>
      </c>
      <c r="D349" s="56" t="str">
        <f aca="false">IF(03_Cenas!C86="","",03_Cenas!C86)</f>
        <v>Combo 2 hamburguesas + papas</v>
      </c>
      <c r="E349" s="56" t="str">
        <f aca="false">IF(03_Cenas!D86="","",03_Cenas!D86)</f>
        <v>Para compartir</v>
      </c>
      <c r="F349" s="56" t="str">
        <f aca="false">IF(03_Cenas!E86="","",03_Cenas!E86)</f>
        <v>pan de hamburguesa, carne o pollo, lechuga, tomate, cebolla, queso, salsas, papas fritas</v>
      </c>
      <c r="G349" s="55" t="str">
        <f aca="false">IF(03_Cenas!F86="","",03_Cenas!F86)</f>
        <v>Combo</v>
      </c>
      <c r="H349" s="55" t="str">
        <f aca="false">IF(03_Cenas!G86="","",03_Cenas!G86)</f>
        <v>Medio</v>
      </c>
      <c r="I349" s="58" t="n">
        <f aca="false">IF(03_Cenas!H86="","",03_Cenas!H86)</f>
        <v>22</v>
      </c>
      <c r="J349" s="58" t="n">
        <f aca="false">IF(03_Cenas!I86="","",03_Cenas!I86)</f>
        <v>40</v>
      </c>
      <c r="K349" s="58" t="n">
        <f aca="false">IF(03_Cenas!J86="","",03_Cenas!J86)</f>
        <v>31</v>
      </c>
      <c r="L349" s="58" t="n">
        <f aca="false">IF(03_Cenas!L86="","",03_Cenas!L86)</f>
        <v>32</v>
      </c>
      <c r="M349" s="58" t="n">
        <f aca="false">IF(03_Cenas!N86="","",03_Cenas!N86)</f>
        <v>3.41</v>
      </c>
      <c r="N349" s="58" t="n">
        <f aca="false">IF(03_Cenas!O86="","",03_Cenas!O86)</f>
        <v>27.59</v>
      </c>
      <c r="O349" s="55" t="str">
        <f aca="false">IF(03_Cenas!P86="","",03_Cenas!P86)</f>
        <v>18:00-23:00</v>
      </c>
      <c r="P349" s="55" t="n">
        <f aca="false">IF(03_Cenas!Q86="","",03_Cenas!Q86)</f>
        <v>16</v>
      </c>
      <c r="Q349" s="55" t="str">
        <f aca="false">IF(03_Cenas!R86="","",03_Cenas!R86)</f>
        <v>Alto</v>
      </c>
      <c r="R349" s="55" t="str">
        <f aca="false">IF(03_Cenas!S86="","",03_Cenas!S86)</f>
        <v>Fin de semana</v>
      </c>
      <c r="S349" s="55" t="str">
        <f aca="false">IF(03_Cenas!T86="","",03_Cenas!T86)</f>
        <v>Fast food</v>
      </c>
      <c r="T349" s="56" t="str">
        <f aca="false">IF(03_Cenas!U86="","",03_Cenas!U86)</f>
        <v/>
      </c>
      <c r="U349" s="55" t="n">
        <v>86</v>
      </c>
      <c r="V349" s="55" t="n">
        <f aca="false">IF(AND(OR(LEN(13_Buscador!$C$5)=0,ISNUMBER(SEARCH(13_Buscador!$C$5,$C349&amp;" "&amp;$D349&amp;" "&amp;$E349&amp;" "&amp;$F349&amp;" "&amp;$S349))),OR(13_Buscador!$C$6="Todas las listas",LEN(13_Buscador!$C$6)=0,13_Buscador!$C$6=$B349)),1,0)</f>
        <v>1</v>
      </c>
      <c r="W349" s="55" t="n">
        <f aca="false">IF(V349=1,SUM($V$2:V349),"")</f>
        <v>92</v>
      </c>
    </row>
    <row r="350" customFormat="false" ht="23.25" hidden="false" customHeight="true" outlineLevel="0" collapsed="false">
      <c r="A350" s="55" t="n">
        <v>349</v>
      </c>
      <c r="B350" s="55" t="s">
        <v>3329</v>
      </c>
      <c r="C350" s="55" t="str">
        <f aca="false">IF(03_Cenas!B87="","",03_Cenas!B87)</f>
        <v>Pizzas y pastas</v>
      </c>
      <c r="D350" s="56" t="str">
        <f aca="false">IF(03_Cenas!C87="","",03_Cenas!C87)</f>
        <v>Pizza mediana + tequeños</v>
      </c>
      <c r="E350" s="56" t="str">
        <f aca="false">IF(03_Cenas!D87="","",03_Cenas!D87)</f>
        <v>Combo pizzería</v>
      </c>
      <c r="F350" s="56" t="str">
        <f aca="false">IF(03_Cenas!E87="","",03_Cenas!E87)</f>
        <v>masa de pizza, salsa de tomate, queso mozzarella, orégano, ingredientes del sabor</v>
      </c>
      <c r="G350" s="55" t="str">
        <f aca="false">IF(03_Cenas!F87="","",03_Cenas!F87)</f>
        <v>Combo</v>
      </c>
      <c r="H350" s="55" t="str">
        <f aca="false">IF(03_Cenas!G87="","",03_Cenas!G87)</f>
        <v>Medio</v>
      </c>
      <c r="I350" s="58" t="n">
        <f aca="false">IF(03_Cenas!H87="","",03_Cenas!H87)</f>
        <v>30</v>
      </c>
      <c r="J350" s="58" t="n">
        <f aca="false">IF(03_Cenas!I87="","",03_Cenas!I87)</f>
        <v>55</v>
      </c>
      <c r="K350" s="58" t="n">
        <f aca="false">IF(03_Cenas!J87="","",03_Cenas!J87)</f>
        <v>42.5</v>
      </c>
      <c r="L350" s="58" t="n">
        <f aca="false">IF(03_Cenas!L87="","",03_Cenas!L87)</f>
        <v>43.5</v>
      </c>
      <c r="M350" s="58" t="n">
        <f aca="false">IF(03_Cenas!N87="","",03_Cenas!N87)</f>
        <v>4.68</v>
      </c>
      <c r="N350" s="58" t="n">
        <f aca="false">IF(03_Cenas!O87="","",03_Cenas!O87)</f>
        <v>37.82</v>
      </c>
      <c r="O350" s="55" t="str">
        <f aca="false">IF(03_Cenas!P87="","",03_Cenas!P87)</f>
        <v>18:00-23:00</v>
      </c>
      <c r="P350" s="55" t="n">
        <f aca="false">IF(03_Cenas!Q87="","",03_Cenas!Q87)</f>
        <v>22</v>
      </c>
      <c r="Q350" s="55" t="str">
        <f aca="false">IF(03_Cenas!R87="","",03_Cenas!R87)</f>
        <v>Alto</v>
      </c>
      <c r="R350" s="55" t="str">
        <f aca="false">IF(03_Cenas!S87="","",03_Cenas!S87)</f>
        <v>Fin de semana</v>
      </c>
      <c r="S350" s="55" t="str">
        <f aca="false">IF(03_Cenas!T87="","",03_Cenas!T87)</f>
        <v>Pizzería</v>
      </c>
      <c r="T350" s="56" t="str">
        <f aca="false">IF(03_Cenas!U87="","",03_Cenas!U87)</f>
        <v/>
      </c>
      <c r="U350" s="55" t="n">
        <v>87</v>
      </c>
      <c r="V350" s="55" t="n">
        <f aca="false">IF(AND(OR(LEN(13_Buscador!$C$5)=0,ISNUMBER(SEARCH(13_Buscador!$C$5,$C350&amp;" "&amp;$D350&amp;" "&amp;$E350&amp;" "&amp;$F350&amp;" "&amp;$S350))),OR(13_Buscador!$C$6="Todas las listas",LEN(13_Buscador!$C$6)=0,13_Buscador!$C$6=$B350)),1,0)</f>
        <v>0</v>
      </c>
      <c r="W350" s="55" t="str">
        <f aca="false">IF(V350=1,SUM($V$2:V350),"")</f>
        <v/>
      </c>
    </row>
    <row r="351" customFormat="false" ht="23.25" hidden="false" customHeight="true" outlineLevel="0" collapsed="false">
      <c r="A351" s="55" t="n">
        <v>350</v>
      </c>
      <c r="B351" s="55" t="s">
        <v>3329</v>
      </c>
      <c r="C351" s="55" t="str">
        <f aca="false">IF(03_Cenas!B88="","",03_Cenas!B88)</f>
        <v>Pizzas y pastas</v>
      </c>
      <c r="D351" s="56" t="str">
        <f aca="false">IF(03_Cenas!C88="","",03_Cenas!C88)</f>
        <v>Pizza vegetariana</v>
      </c>
      <c r="E351" s="56" t="str">
        <f aca="false">IF(03_Cenas!D88="","",03_Cenas!D88)</f>
        <v>Con verduras de estación</v>
      </c>
      <c r="F351" s="56" t="str">
        <f aca="false">IF(03_Cenas!E88="","",03_Cenas!E88)</f>
        <v>masa de pizza, salsa de tomate, queso mozzarella, orégano, ingredientes del sabor</v>
      </c>
      <c r="G351" s="55" t="str">
        <f aca="false">IF(03_Cenas!F88="","",03_Cenas!F88)</f>
        <v>Mediana</v>
      </c>
      <c r="H351" s="55" t="str">
        <f aca="false">IF(03_Cenas!G88="","",03_Cenas!G88)</f>
        <v>Medio</v>
      </c>
      <c r="I351" s="58" t="n">
        <f aca="false">IF(03_Cenas!H88="","",03_Cenas!H88)</f>
        <v>22</v>
      </c>
      <c r="J351" s="58" t="n">
        <f aca="false">IF(03_Cenas!I88="","",03_Cenas!I88)</f>
        <v>42</v>
      </c>
      <c r="K351" s="58" t="n">
        <f aca="false">IF(03_Cenas!J88="","",03_Cenas!J88)</f>
        <v>32</v>
      </c>
      <c r="L351" s="58" t="n">
        <f aca="false">IF(03_Cenas!L88="","",03_Cenas!L88)</f>
        <v>33</v>
      </c>
      <c r="M351" s="58" t="n">
        <f aca="false">IF(03_Cenas!N88="","",03_Cenas!N88)</f>
        <v>3.52</v>
      </c>
      <c r="N351" s="58" t="n">
        <f aca="false">IF(03_Cenas!O88="","",03_Cenas!O88)</f>
        <v>28.48</v>
      </c>
      <c r="O351" s="55" t="str">
        <f aca="false">IF(03_Cenas!P88="","",03_Cenas!P88)</f>
        <v>18:00-23:00</v>
      </c>
      <c r="P351" s="55" t="n">
        <f aca="false">IF(03_Cenas!Q88="","",03_Cenas!Q88)</f>
        <v>18</v>
      </c>
      <c r="Q351" s="55" t="str">
        <f aca="false">IF(03_Cenas!R88="","",03_Cenas!R88)</f>
        <v>Alto</v>
      </c>
      <c r="R351" s="55" t="str">
        <f aca="false">IF(03_Cenas!S88="","",03_Cenas!S88)</f>
        <v>Todo el año</v>
      </c>
      <c r="S351" s="55" t="str">
        <f aca="false">IF(03_Cenas!T88="","",03_Cenas!T88)</f>
        <v>Pizzería</v>
      </c>
      <c r="T351" s="56" t="str">
        <f aca="false">IF(03_Cenas!U88="","",03_Cenas!U88)</f>
        <v/>
      </c>
      <c r="U351" s="55" t="n">
        <v>88</v>
      </c>
      <c r="V351" s="55" t="n">
        <f aca="false">IF(AND(OR(LEN(13_Buscador!$C$5)=0,ISNUMBER(SEARCH(13_Buscador!$C$5,$C351&amp;" "&amp;$D351&amp;" "&amp;$E351&amp;" "&amp;$F351&amp;" "&amp;$S351))),OR(13_Buscador!$C$6="Todas las listas",LEN(13_Buscador!$C$6)=0,13_Buscador!$C$6=$B351)),1,0)</f>
        <v>0</v>
      </c>
      <c r="W351" s="55" t="str">
        <f aca="false">IF(V351=1,SUM($V$2:V351),"")</f>
        <v/>
      </c>
    </row>
    <row r="352" customFormat="false" ht="23.25" hidden="false" customHeight="true" outlineLevel="0" collapsed="false">
      <c r="A352" s="55" t="n">
        <v>351</v>
      </c>
      <c r="B352" s="55" t="s">
        <v>3329</v>
      </c>
      <c r="C352" s="55" t="str">
        <f aca="false">IF(03_Cenas!B89="","",03_Cenas!B89)</f>
        <v>Pizzas y pastas</v>
      </c>
      <c r="D352" s="56" t="str">
        <f aca="false">IF(03_Cenas!C89="","",03_Cenas!C89)</f>
        <v>Pizza hawaiana</v>
      </c>
      <c r="E352" s="56" t="str">
        <f aca="false">IF(03_Cenas!D89="","",03_Cenas!D89)</f>
        <v>Jamón y piña</v>
      </c>
      <c r="F352" s="56" t="str">
        <f aca="false">IF(03_Cenas!E89="","",03_Cenas!E89)</f>
        <v>masa de pizza, salsa de tomate, queso mozzarella, orégano, ingredientes del sabor</v>
      </c>
      <c r="G352" s="55" t="str">
        <f aca="false">IF(03_Cenas!F89="","",03_Cenas!F89)</f>
        <v>Mediana</v>
      </c>
      <c r="H352" s="55" t="str">
        <f aca="false">IF(03_Cenas!G89="","",03_Cenas!G89)</f>
        <v>Medio</v>
      </c>
      <c r="I352" s="58" t="n">
        <f aca="false">IF(03_Cenas!H89="","",03_Cenas!H89)</f>
        <v>24</v>
      </c>
      <c r="J352" s="58" t="n">
        <f aca="false">IF(03_Cenas!I89="","",03_Cenas!I89)</f>
        <v>45</v>
      </c>
      <c r="K352" s="58" t="n">
        <f aca="false">IF(03_Cenas!J89="","",03_Cenas!J89)</f>
        <v>34.5</v>
      </c>
      <c r="L352" s="58" t="n">
        <f aca="false">IF(03_Cenas!L89="","",03_Cenas!L89)</f>
        <v>35.5</v>
      </c>
      <c r="M352" s="58" t="n">
        <f aca="false">IF(03_Cenas!N89="","",03_Cenas!N89)</f>
        <v>3.8</v>
      </c>
      <c r="N352" s="58" t="n">
        <f aca="false">IF(03_Cenas!O89="","",03_Cenas!O89)</f>
        <v>30.7</v>
      </c>
      <c r="O352" s="55" t="str">
        <f aca="false">IF(03_Cenas!P89="","",03_Cenas!P89)</f>
        <v>18:00-23:00</v>
      </c>
      <c r="P352" s="55" t="n">
        <f aca="false">IF(03_Cenas!Q89="","",03_Cenas!Q89)</f>
        <v>18</v>
      </c>
      <c r="Q352" s="55" t="str">
        <f aca="false">IF(03_Cenas!R89="","",03_Cenas!R89)</f>
        <v>Alto</v>
      </c>
      <c r="R352" s="55" t="str">
        <f aca="false">IF(03_Cenas!S89="","",03_Cenas!S89)</f>
        <v>Todo el año</v>
      </c>
      <c r="S352" s="55" t="str">
        <f aca="false">IF(03_Cenas!T89="","",03_Cenas!T89)</f>
        <v>Pizzería</v>
      </c>
      <c r="T352" s="56" t="str">
        <f aca="false">IF(03_Cenas!U89="","",03_Cenas!U89)</f>
        <v/>
      </c>
      <c r="U352" s="55" t="n">
        <v>89</v>
      </c>
      <c r="V352" s="55" t="n">
        <f aca="false">IF(AND(OR(LEN(13_Buscador!$C$5)=0,ISNUMBER(SEARCH(13_Buscador!$C$5,$C352&amp;" "&amp;$D352&amp;" "&amp;$E352&amp;" "&amp;$F352&amp;" "&amp;$S352))),OR(13_Buscador!$C$6="Todas las listas",LEN(13_Buscador!$C$6)=0,13_Buscador!$C$6=$B352)),1,0)</f>
        <v>0</v>
      </c>
      <c r="W352" s="55" t="str">
        <f aca="false">IF(V352=1,SUM($V$2:V352),"")</f>
        <v/>
      </c>
    </row>
    <row r="353" customFormat="false" ht="23.25" hidden="false" customHeight="true" outlineLevel="0" collapsed="false">
      <c r="A353" s="55" t="n">
        <v>352</v>
      </c>
      <c r="B353" s="55" t="s">
        <v>3329</v>
      </c>
      <c r="C353" s="55" t="str">
        <f aca="false">IF(03_Cenas!B90="","",03_Cenas!B90)</f>
        <v>Pizzas y pastas</v>
      </c>
      <c r="D353" s="56" t="str">
        <f aca="false">IF(03_Cenas!C90="","",03_Cenas!C90)</f>
        <v>Pizza de alpaca</v>
      </c>
      <c r="E353" s="56" t="str">
        <f aca="false">IF(03_Cenas!D90="","",03_Cenas!D90)</f>
        <v>Con carne de alpaca</v>
      </c>
      <c r="F353" s="56" t="str">
        <f aca="false">IF(03_Cenas!E90="","",03_Cenas!E90)</f>
        <v>lomo de alpaca, ajo, comino, sal, guarnición de papa o quinua</v>
      </c>
      <c r="G353" s="55" t="str">
        <f aca="false">IF(03_Cenas!F90="","",03_Cenas!F90)</f>
        <v>Mediana</v>
      </c>
      <c r="H353" s="55" t="str">
        <f aca="false">IF(03_Cenas!G90="","",03_Cenas!G90)</f>
        <v>Premium</v>
      </c>
      <c r="I353" s="58" t="n">
        <f aca="false">IF(03_Cenas!H90="","",03_Cenas!H90)</f>
        <v>30</v>
      </c>
      <c r="J353" s="58" t="n">
        <f aca="false">IF(03_Cenas!I90="","",03_Cenas!I90)</f>
        <v>60</v>
      </c>
      <c r="K353" s="58" t="n">
        <f aca="false">IF(03_Cenas!J90="","",03_Cenas!J90)</f>
        <v>45</v>
      </c>
      <c r="L353" s="58" t="n">
        <f aca="false">IF(03_Cenas!L90="","",03_Cenas!L90)</f>
        <v>46</v>
      </c>
      <c r="M353" s="58" t="n">
        <f aca="false">IF(03_Cenas!N90="","",03_Cenas!N90)</f>
        <v>5.85</v>
      </c>
      <c r="N353" s="58" t="n">
        <f aca="false">IF(03_Cenas!O90="","",03_Cenas!O90)</f>
        <v>39.15</v>
      </c>
      <c r="O353" s="55" t="str">
        <f aca="false">IF(03_Cenas!P90="","",03_Cenas!P90)</f>
        <v>18:00-23:00</v>
      </c>
      <c r="P353" s="55" t="n">
        <f aca="false">IF(03_Cenas!Q90="","",03_Cenas!Q90)</f>
        <v>20</v>
      </c>
      <c r="Q353" s="55" t="str">
        <f aca="false">IF(03_Cenas!R90="","",03_Cenas!R90)</f>
        <v>Alto</v>
      </c>
      <c r="R353" s="55" t="str">
        <f aca="false">IF(03_Cenas!S90="","",03_Cenas!S90)</f>
        <v>Todo el año</v>
      </c>
      <c r="S353" s="55" t="str">
        <f aca="false">IF(03_Cenas!T90="","",03_Cenas!T90)</f>
        <v>Pizzería turística</v>
      </c>
      <c r="T353" s="56" t="str">
        <f aca="false">IF(03_Cenas!U90="","",03_Cenas!U90)</f>
        <v>Diferenciador local para turistas</v>
      </c>
      <c r="U353" s="55" t="n">
        <v>90</v>
      </c>
      <c r="V353" s="55" t="n">
        <f aca="false">IF(AND(OR(LEN(13_Buscador!$C$5)=0,ISNUMBER(SEARCH(13_Buscador!$C$5,$C353&amp;" "&amp;$D353&amp;" "&amp;$E353&amp;" "&amp;$F353&amp;" "&amp;$S353))),OR(13_Buscador!$C$6="Todas las listas",LEN(13_Buscador!$C$6)=0,13_Buscador!$C$6=$B353)),1,0)</f>
        <v>0</v>
      </c>
      <c r="W353" s="55" t="str">
        <f aca="false">IF(V353=1,SUM($V$2:V353),"")</f>
        <v/>
      </c>
    </row>
    <row r="354" customFormat="false" ht="23.25" hidden="false" customHeight="true" outlineLevel="0" collapsed="false">
      <c r="A354" s="55" t="n">
        <v>353</v>
      </c>
      <c r="B354" s="55" t="s">
        <v>3329</v>
      </c>
      <c r="C354" s="55" t="str">
        <f aca="false">IF(03_Cenas!B91="","",03_Cenas!B91)</f>
        <v>Pizzas y pastas</v>
      </c>
      <c r="D354" s="56" t="str">
        <f aca="false">IF(03_Cenas!C91="","",03_Cenas!C91)</f>
        <v>Canelones</v>
      </c>
      <c r="E354" s="56" t="str">
        <f aca="false">IF(03_Cenas!D91="","",03_Cenas!D91)</f>
        <v>Pasta rellena horneada</v>
      </c>
      <c r="F354" s="56" t="str">
        <f aca="false">IF(03_Cenas!E91="","",03_Cenas!E91)</f>
        <v>pasta, carne molida, salsa de tomate, bechamel, queso</v>
      </c>
      <c r="G354" s="55" t="str">
        <f aca="false">IF(03_Cenas!F91="","",03_Cenas!F91)</f>
        <v>Plato</v>
      </c>
      <c r="H354" s="55" t="str">
        <f aca="false">IF(03_Cenas!G91="","",03_Cenas!G91)</f>
        <v>Medio</v>
      </c>
      <c r="I354" s="58" t="n">
        <f aca="false">IF(03_Cenas!H91="","",03_Cenas!H91)</f>
        <v>15</v>
      </c>
      <c r="J354" s="58" t="n">
        <f aca="false">IF(03_Cenas!I91="","",03_Cenas!I91)</f>
        <v>28</v>
      </c>
      <c r="K354" s="58" t="n">
        <f aca="false">IF(03_Cenas!J91="","",03_Cenas!J91)</f>
        <v>21.5</v>
      </c>
      <c r="L354" s="58" t="n">
        <f aca="false">IF(03_Cenas!L91="","",03_Cenas!L91)</f>
        <v>22.5</v>
      </c>
      <c r="M354" s="58" t="n">
        <f aca="false">IF(03_Cenas!N91="","",03_Cenas!N91)</f>
        <v>2.37</v>
      </c>
      <c r="N354" s="58" t="n">
        <f aca="false">IF(03_Cenas!O91="","",03_Cenas!O91)</f>
        <v>19.13</v>
      </c>
      <c r="O354" s="55" t="str">
        <f aca="false">IF(03_Cenas!P91="","",03_Cenas!P91)</f>
        <v>18:00-22:00</v>
      </c>
      <c r="P354" s="55" t="n">
        <f aca="false">IF(03_Cenas!Q91="","",03_Cenas!Q91)</f>
        <v>18</v>
      </c>
      <c r="Q354" s="55" t="str">
        <f aca="false">IF(03_Cenas!R91="","",03_Cenas!R91)</f>
        <v>Alto</v>
      </c>
      <c r="R354" s="55" t="str">
        <f aca="false">IF(03_Cenas!S91="","",03_Cenas!S91)</f>
        <v>Todo el año</v>
      </c>
      <c r="S354" s="55" t="str">
        <f aca="false">IF(03_Cenas!T91="","",03_Cenas!T91)</f>
        <v>Restaurante</v>
      </c>
      <c r="T354" s="56" t="str">
        <f aca="false">IF(03_Cenas!U91="","",03_Cenas!U91)</f>
        <v/>
      </c>
      <c r="U354" s="55" t="n">
        <v>91</v>
      </c>
      <c r="V354" s="55" t="n">
        <f aca="false">IF(AND(OR(LEN(13_Buscador!$C$5)=0,ISNUMBER(SEARCH(13_Buscador!$C$5,$C354&amp;" "&amp;$D354&amp;" "&amp;$E354&amp;" "&amp;$F354&amp;" "&amp;$S354))),OR(13_Buscador!$C$6="Todas las listas",LEN(13_Buscador!$C$6)=0,13_Buscador!$C$6=$B354)),1,0)</f>
        <v>0</v>
      </c>
      <c r="W354" s="55" t="str">
        <f aca="false">IF(V354=1,SUM($V$2:V354),"")</f>
        <v/>
      </c>
    </row>
    <row r="355" customFormat="false" ht="23.25" hidden="false" customHeight="true" outlineLevel="0" collapsed="false">
      <c r="A355" s="55" t="n">
        <v>354</v>
      </c>
      <c r="B355" s="55" t="s">
        <v>3329</v>
      </c>
      <c r="C355" s="55" t="str">
        <f aca="false">IF(03_Cenas!B92="","",03_Cenas!B92)</f>
        <v>Pizzas y pastas</v>
      </c>
      <c r="D355" s="56" t="str">
        <f aca="false">IF(03_Cenas!C92="","",03_Cenas!C92)</f>
        <v>Spaghetti a la carbonara</v>
      </c>
      <c r="E355" s="56" t="str">
        <f aca="false">IF(03_Cenas!D92="","",03_Cenas!D92)</f>
        <v>Pasta en crema con tocino</v>
      </c>
      <c r="F355" s="56" t="str">
        <f aca="false">IF(03_Cenas!E92="","",03_Cenas!E92)</f>
        <v>pasta, salsa (tomate, crema o pesto), queso parmesano</v>
      </c>
      <c r="G355" s="55" t="str">
        <f aca="false">IF(03_Cenas!F92="","",03_Cenas!F92)</f>
        <v>Plato</v>
      </c>
      <c r="H355" s="55" t="str">
        <f aca="false">IF(03_Cenas!G92="","",03_Cenas!G92)</f>
        <v>Medio</v>
      </c>
      <c r="I355" s="58" t="n">
        <f aca="false">IF(03_Cenas!H92="","",03_Cenas!H92)</f>
        <v>15</v>
      </c>
      <c r="J355" s="58" t="n">
        <f aca="false">IF(03_Cenas!I92="","",03_Cenas!I92)</f>
        <v>28</v>
      </c>
      <c r="K355" s="58" t="n">
        <f aca="false">IF(03_Cenas!J92="","",03_Cenas!J92)</f>
        <v>21.5</v>
      </c>
      <c r="L355" s="58" t="n">
        <f aca="false">IF(03_Cenas!L92="","",03_Cenas!L92)</f>
        <v>22.5</v>
      </c>
      <c r="M355" s="58" t="n">
        <f aca="false">IF(03_Cenas!N92="","",03_Cenas!N92)</f>
        <v>2.37</v>
      </c>
      <c r="N355" s="58" t="n">
        <f aca="false">IF(03_Cenas!O92="","",03_Cenas!O92)</f>
        <v>19.13</v>
      </c>
      <c r="O355" s="55" t="str">
        <f aca="false">IF(03_Cenas!P92="","",03_Cenas!P92)</f>
        <v>18:00-22:00</v>
      </c>
      <c r="P355" s="55" t="n">
        <f aca="false">IF(03_Cenas!Q92="","",03_Cenas!Q92)</f>
        <v>14</v>
      </c>
      <c r="Q355" s="55" t="str">
        <f aca="false">IF(03_Cenas!R92="","",03_Cenas!R92)</f>
        <v>Alto</v>
      </c>
      <c r="R355" s="55" t="str">
        <f aca="false">IF(03_Cenas!S92="","",03_Cenas!S92)</f>
        <v>Todo el año</v>
      </c>
      <c r="S355" s="55" t="str">
        <f aca="false">IF(03_Cenas!T92="","",03_Cenas!T92)</f>
        <v>Restaurante</v>
      </c>
      <c r="T355" s="56" t="str">
        <f aca="false">IF(03_Cenas!U92="","",03_Cenas!U92)</f>
        <v/>
      </c>
      <c r="U355" s="55" t="n">
        <v>92</v>
      </c>
      <c r="V355" s="55" t="n">
        <f aca="false">IF(AND(OR(LEN(13_Buscador!$C$5)=0,ISNUMBER(SEARCH(13_Buscador!$C$5,$C355&amp;" "&amp;$D355&amp;" "&amp;$E355&amp;" "&amp;$F355&amp;" "&amp;$S355))),OR(13_Buscador!$C$6="Todas las listas",LEN(13_Buscador!$C$6)=0,13_Buscador!$C$6=$B355)),1,0)</f>
        <v>0</v>
      </c>
      <c r="W355" s="55" t="str">
        <f aca="false">IF(V355=1,SUM($V$2:V355),"")</f>
        <v/>
      </c>
    </row>
    <row r="356" customFormat="false" ht="23.25" hidden="false" customHeight="true" outlineLevel="0" collapsed="false">
      <c r="A356" s="55" t="n">
        <v>355</v>
      </c>
      <c r="B356" s="55" t="s">
        <v>3329</v>
      </c>
      <c r="C356" s="55" t="str">
        <f aca="false">IF(03_Cenas!B93="","",03_Cenas!B93)</f>
        <v>Anticuchos y parrilla</v>
      </c>
      <c r="D356" s="56" t="str">
        <f aca="false">IF(03_Cenas!C93="","",03_Cenas!C93)</f>
        <v>Anticucho de pollo (2 palos)</v>
      </c>
      <c r="E356" s="56" t="str">
        <f aca="false">IF(03_Cenas!D93="","",03_Cenas!D93)</f>
        <v>Con papa y choclo</v>
      </c>
      <c r="F356" s="56" t="str">
        <f aca="false">IF(03_Cenas!E93="","",03_Cenas!E93)</f>
        <v>corazón de res, ají panca, vinagre, comino, ajo, papa, choclo</v>
      </c>
      <c r="G356" s="55" t="str">
        <f aca="false">IF(03_Cenas!F93="","",03_Cenas!F93)</f>
        <v>Porción</v>
      </c>
      <c r="H356" s="55" t="str">
        <f aca="false">IF(03_Cenas!G93="","",03_Cenas!G93)</f>
        <v>Económico</v>
      </c>
      <c r="I356" s="58" t="n">
        <f aca="false">IF(03_Cenas!H93="","",03_Cenas!H93)</f>
        <v>8</v>
      </c>
      <c r="J356" s="58" t="n">
        <f aca="false">IF(03_Cenas!I93="","",03_Cenas!I93)</f>
        <v>16</v>
      </c>
      <c r="K356" s="58" t="n">
        <f aca="false">IF(03_Cenas!J93="","",03_Cenas!J93)</f>
        <v>12</v>
      </c>
      <c r="L356" s="58" t="n">
        <f aca="false">IF(03_Cenas!L93="","",03_Cenas!L93)</f>
        <v>13</v>
      </c>
      <c r="M356" s="58" t="n">
        <f aca="false">IF(03_Cenas!N93="","",03_Cenas!N93)</f>
        <v>0.84</v>
      </c>
      <c r="N356" s="58" t="n">
        <f aca="false">IF(03_Cenas!O93="","",03_Cenas!O93)</f>
        <v>11.16</v>
      </c>
      <c r="O356" s="55" t="str">
        <f aca="false">IF(03_Cenas!P93="","",03_Cenas!P93)</f>
        <v>18:00-23:00</v>
      </c>
      <c r="P356" s="55" t="n">
        <f aca="false">IF(03_Cenas!Q93="","",03_Cenas!Q93)</f>
        <v>12</v>
      </c>
      <c r="Q356" s="55" t="str">
        <f aca="false">IF(03_Cenas!R93="","",03_Cenas!R93)</f>
        <v>Medio</v>
      </c>
      <c r="R356" s="55" t="str">
        <f aca="false">IF(03_Cenas!S93="","",03_Cenas!S93)</f>
        <v>Todo el año</v>
      </c>
      <c r="S356" s="55" t="str">
        <f aca="false">IF(03_Cenas!T93="","",03_Cenas!T93)</f>
        <v>Parrilla</v>
      </c>
      <c r="T356" s="56" t="str">
        <f aca="false">IF(03_Cenas!U93="","",03_Cenas!U93)</f>
        <v/>
      </c>
      <c r="U356" s="55" t="n">
        <v>93</v>
      </c>
      <c r="V356" s="55" t="n">
        <f aca="false">IF(AND(OR(LEN(13_Buscador!$C$5)=0,ISNUMBER(SEARCH(13_Buscador!$C$5,$C356&amp;" "&amp;$D356&amp;" "&amp;$E356&amp;" "&amp;$F356&amp;" "&amp;$S356))),OR(13_Buscador!$C$6="Todas las listas",LEN(13_Buscador!$C$6)=0,13_Buscador!$C$6=$B356)),1,0)</f>
        <v>1</v>
      </c>
      <c r="W356" s="55" t="n">
        <f aca="false">IF(V356=1,SUM($V$2:V356),"")</f>
        <v>93</v>
      </c>
    </row>
    <row r="357" customFormat="false" ht="23.25" hidden="false" customHeight="true" outlineLevel="0" collapsed="false">
      <c r="A357" s="55" t="n">
        <v>356</v>
      </c>
      <c r="B357" s="55" t="s">
        <v>3329</v>
      </c>
      <c r="C357" s="55" t="str">
        <f aca="false">IF(03_Cenas!B94="","",03_Cenas!B94)</f>
        <v>Anticuchos y parrilla</v>
      </c>
      <c r="D357" s="56" t="str">
        <f aca="false">IF(03_Cenas!C94="","",03_Cenas!C94)</f>
        <v>Mollejitas a la parrilla</v>
      </c>
      <c r="E357" s="56" t="str">
        <f aca="false">IF(03_Cenas!D94="","",03_Cenas!D94)</f>
        <v>Porción de mollejas</v>
      </c>
      <c r="F357" s="56" t="str">
        <f aca="false">IF(03_Cenas!E94="","",03_Cenas!E94)</f>
        <v>cortes de carne, chorizo, ajo, sal, papa, ensalada, carbón</v>
      </c>
      <c r="G357" s="55" t="str">
        <f aca="false">IF(03_Cenas!F94="","",03_Cenas!F94)</f>
        <v>Porción</v>
      </c>
      <c r="H357" s="55" t="str">
        <f aca="false">IF(03_Cenas!G94="","",03_Cenas!G94)</f>
        <v>Estándar</v>
      </c>
      <c r="I357" s="58" t="n">
        <f aca="false">IF(03_Cenas!H94="","",03_Cenas!H94)</f>
        <v>10</v>
      </c>
      <c r="J357" s="58" t="n">
        <f aca="false">IF(03_Cenas!I94="","",03_Cenas!I94)</f>
        <v>20</v>
      </c>
      <c r="K357" s="58" t="n">
        <f aca="false">IF(03_Cenas!J94="","",03_Cenas!J94)</f>
        <v>15</v>
      </c>
      <c r="L357" s="58" t="n">
        <f aca="false">IF(03_Cenas!L94="","",03_Cenas!L94)</f>
        <v>16</v>
      </c>
      <c r="M357" s="58" t="n">
        <f aca="false">IF(03_Cenas!N94="","",03_Cenas!N94)</f>
        <v>1.35</v>
      </c>
      <c r="N357" s="58" t="n">
        <f aca="false">IF(03_Cenas!O94="","",03_Cenas!O94)</f>
        <v>13.65</v>
      </c>
      <c r="O357" s="55" t="str">
        <f aca="false">IF(03_Cenas!P94="","",03_Cenas!P94)</f>
        <v>18:00-23:00</v>
      </c>
      <c r="P357" s="55" t="n">
        <f aca="false">IF(03_Cenas!Q94="","",03_Cenas!Q94)</f>
        <v>12</v>
      </c>
      <c r="Q357" s="55" t="str">
        <f aca="false">IF(03_Cenas!R94="","",03_Cenas!R94)</f>
        <v>Medio</v>
      </c>
      <c r="R357" s="55" t="str">
        <f aca="false">IF(03_Cenas!S94="","",03_Cenas!S94)</f>
        <v>Todo el año</v>
      </c>
      <c r="S357" s="55" t="str">
        <f aca="false">IF(03_Cenas!T94="","",03_Cenas!T94)</f>
        <v>Parrilla</v>
      </c>
      <c r="T357" s="56" t="str">
        <f aca="false">IF(03_Cenas!U94="","",03_Cenas!U94)</f>
        <v/>
      </c>
      <c r="U357" s="55" t="n">
        <v>94</v>
      </c>
      <c r="V357" s="55" t="n">
        <f aca="false">IF(AND(OR(LEN(13_Buscador!$C$5)=0,ISNUMBER(SEARCH(13_Buscador!$C$5,$C357&amp;" "&amp;$D357&amp;" "&amp;$E357&amp;" "&amp;$F357&amp;" "&amp;$S357))),OR(13_Buscador!$C$6="Todas las listas",LEN(13_Buscador!$C$6)=0,13_Buscador!$C$6=$B357)),1,0)</f>
        <v>0</v>
      </c>
      <c r="W357" s="55" t="str">
        <f aca="false">IF(V357=1,SUM($V$2:V357),"")</f>
        <v/>
      </c>
    </row>
    <row r="358" customFormat="false" ht="15" hidden="false" customHeight="true" outlineLevel="0" collapsed="false">
      <c r="A358" s="55" t="n">
        <v>357</v>
      </c>
      <c r="B358" s="55" t="s">
        <v>3329</v>
      </c>
      <c r="C358" s="55" t="str">
        <f aca="false">IF(03_Cenas!B95="","",03_Cenas!B95)</f>
        <v>Anticuchos y parrilla</v>
      </c>
      <c r="D358" s="56" t="str">
        <f aca="false">IF(03_Cenas!C95="","",03_Cenas!C95)</f>
        <v>Chorizo parrillero</v>
      </c>
      <c r="E358" s="56" t="str">
        <f aca="false">IF(03_Cenas!D95="","",03_Cenas!D95)</f>
        <v>Chorizo con papa</v>
      </c>
      <c r="F358" s="56" t="str">
        <f aca="false">IF(03_Cenas!E95="","",03_Cenas!E95)</f>
        <v>chorizo, papa, salsa criolla</v>
      </c>
      <c r="G358" s="55" t="str">
        <f aca="false">IF(03_Cenas!F95="","",03_Cenas!F95)</f>
        <v>Porción</v>
      </c>
      <c r="H358" s="55" t="str">
        <f aca="false">IF(03_Cenas!G95="","",03_Cenas!G95)</f>
        <v>Económico</v>
      </c>
      <c r="I358" s="58" t="n">
        <f aca="false">IF(03_Cenas!H95="","",03_Cenas!H95)</f>
        <v>8</v>
      </c>
      <c r="J358" s="58" t="n">
        <f aca="false">IF(03_Cenas!I95="","",03_Cenas!I95)</f>
        <v>16</v>
      </c>
      <c r="K358" s="58" t="n">
        <f aca="false">IF(03_Cenas!J95="","",03_Cenas!J95)</f>
        <v>12</v>
      </c>
      <c r="L358" s="58" t="n">
        <f aca="false">IF(03_Cenas!L95="","",03_Cenas!L95)</f>
        <v>13</v>
      </c>
      <c r="M358" s="58" t="n">
        <f aca="false">IF(03_Cenas!N95="","",03_Cenas!N95)</f>
        <v>0.84</v>
      </c>
      <c r="N358" s="58" t="n">
        <f aca="false">IF(03_Cenas!O95="","",03_Cenas!O95)</f>
        <v>11.16</v>
      </c>
      <c r="O358" s="55" t="str">
        <f aca="false">IF(03_Cenas!P95="","",03_Cenas!P95)</f>
        <v>18:00-23:00</v>
      </c>
      <c r="P358" s="55" t="n">
        <f aca="false">IF(03_Cenas!Q95="","",03_Cenas!Q95)</f>
        <v>10</v>
      </c>
      <c r="Q358" s="55" t="str">
        <f aca="false">IF(03_Cenas!R95="","",03_Cenas!R95)</f>
        <v>Medio</v>
      </c>
      <c r="R358" s="55" t="str">
        <f aca="false">IF(03_Cenas!S95="","",03_Cenas!S95)</f>
        <v>Todo el año</v>
      </c>
      <c r="S358" s="55" t="str">
        <f aca="false">IF(03_Cenas!T95="","",03_Cenas!T95)</f>
        <v>Parrilla</v>
      </c>
      <c r="T358" s="56" t="str">
        <f aca="false">IF(03_Cenas!U95="","",03_Cenas!U95)</f>
        <v/>
      </c>
      <c r="U358" s="55" t="n">
        <v>95</v>
      </c>
      <c r="V358" s="55" t="n">
        <f aca="false">IF(AND(OR(LEN(13_Buscador!$C$5)=0,ISNUMBER(SEARCH(13_Buscador!$C$5,$C358&amp;" "&amp;$D358&amp;" "&amp;$E358&amp;" "&amp;$F358&amp;" "&amp;$S358))),OR(13_Buscador!$C$6="Todas las listas",LEN(13_Buscador!$C$6)=0,13_Buscador!$C$6=$B358)),1,0)</f>
        <v>0</v>
      </c>
      <c r="W358" s="55" t="str">
        <f aca="false">IF(V358=1,SUM($V$2:V358),"")</f>
        <v/>
      </c>
    </row>
    <row r="359" customFormat="false" ht="15" hidden="false" customHeight="true" outlineLevel="0" collapsed="false">
      <c r="A359" s="55" t="n">
        <v>358</v>
      </c>
      <c r="B359" s="55" t="s">
        <v>3329</v>
      </c>
      <c r="C359" s="55" t="str">
        <f aca="false">IF(03_Cenas!B96="","",03_Cenas!B96)</f>
        <v>Anticuchos y parrilla</v>
      </c>
      <c r="D359" s="56" t="str">
        <f aca="false">IF(03_Cenas!C96="","",03_Cenas!C96)</f>
        <v>Costillas BBQ</v>
      </c>
      <c r="E359" s="56" t="str">
        <f aca="false">IF(03_Cenas!D96="","",03_Cenas!D96)</f>
        <v>Costillas de cerdo glaseadas</v>
      </c>
      <c r="F359" s="56" t="str">
        <f aca="false">IF(03_Cenas!E96="","",03_Cenas!E96)</f>
        <v>costillas de cerdo, salsa barbacoa, ajo, miel</v>
      </c>
      <c r="G359" s="55" t="str">
        <f aca="false">IF(03_Cenas!F96="","",03_Cenas!F96)</f>
        <v>Porción</v>
      </c>
      <c r="H359" s="55" t="str">
        <f aca="false">IF(03_Cenas!G96="","",03_Cenas!G96)</f>
        <v>Medio</v>
      </c>
      <c r="I359" s="58" t="n">
        <f aca="false">IF(03_Cenas!H96="","",03_Cenas!H96)</f>
        <v>22</v>
      </c>
      <c r="J359" s="58" t="n">
        <f aca="false">IF(03_Cenas!I96="","",03_Cenas!I96)</f>
        <v>40</v>
      </c>
      <c r="K359" s="58" t="n">
        <f aca="false">IF(03_Cenas!J96="","",03_Cenas!J96)</f>
        <v>31</v>
      </c>
      <c r="L359" s="58" t="n">
        <f aca="false">IF(03_Cenas!L96="","",03_Cenas!L96)</f>
        <v>32</v>
      </c>
      <c r="M359" s="58" t="n">
        <f aca="false">IF(03_Cenas!N96="","",03_Cenas!N96)</f>
        <v>3.41</v>
      </c>
      <c r="N359" s="58" t="n">
        <f aca="false">IF(03_Cenas!O96="","",03_Cenas!O96)</f>
        <v>27.59</v>
      </c>
      <c r="O359" s="55" t="str">
        <f aca="false">IF(03_Cenas!P96="","",03_Cenas!P96)</f>
        <v>18:00-23:00</v>
      </c>
      <c r="P359" s="55" t="n">
        <f aca="false">IF(03_Cenas!Q96="","",03_Cenas!Q96)</f>
        <v>25</v>
      </c>
      <c r="Q359" s="55" t="str">
        <f aca="false">IF(03_Cenas!R96="","",03_Cenas!R96)</f>
        <v>Medio</v>
      </c>
      <c r="R359" s="55" t="str">
        <f aca="false">IF(03_Cenas!S96="","",03_Cenas!S96)</f>
        <v>Fin de semana</v>
      </c>
      <c r="S359" s="55" t="str">
        <f aca="false">IF(03_Cenas!T96="","",03_Cenas!T96)</f>
        <v>Parrilla</v>
      </c>
      <c r="T359" s="56" t="str">
        <f aca="false">IF(03_Cenas!U96="","",03_Cenas!U96)</f>
        <v/>
      </c>
      <c r="U359" s="55" t="n">
        <v>96</v>
      </c>
      <c r="V359" s="55" t="n">
        <f aca="false">IF(AND(OR(LEN(13_Buscador!$C$5)=0,ISNUMBER(SEARCH(13_Buscador!$C$5,$C359&amp;" "&amp;$D359&amp;" "&amp;$E359&amp;" "&amp;$F359&amp;" "&amp;$S359))),OR(13_Buscador!$C$6="Todas las listas",LEN(13_Buscador!$C$6)=0,13_Buscador!$C$6=$B359)),1,0)</f>
        <v>0</v>
      </c>
      <c r="W359" s="55" t="str">
        <f aca="false">IF(V359=1,SUM($V$2:V359),"")</f>
        <v/>
      </c>
    </row>
    <row r="360" customFormat="false" ht="23.25" hidden="false" customHeight="true" outlineLevel="0" collapsed="false">
      <c r="A360" s="55" t="n">
        <v>359</v>
      </c>
      <c r="B360" s="55" t="s">
        <v>3329</v>
      </c>
      <c r="C360" s="55" t="str">
        <f aca="false">IF(03_Cenas!B97="","",03_Cenas!B97)</f>
        <v>Anticuchos y parrilla</v>
      </c>
      <c r="D360" s="56" t="str">
        <f aca="false">IF(03_Cenas!C97="","",03_Cenas!C97)</f>
        <v>Parrilla de alpaca</v>
      </c>
      <c r="E360" s="56" t="str">
        <f aca="false">IF(03_Cenas!D97="","",03_Cenas!D97)</f>
        <v>Alpaca a la brasa</v>
      </c>
      <c r="F360" s="56" t="str">
        <f aca="false">IF(03_Cenas!E97="","",03_Cenas!E97)</f>
        <v>lomo de alpaca, ajo, comino, sal, guarnición de papa o quinua</v>
      </c>
      <c r="G360" s="55" t="str">
        <f aca="false">IF(03_Cenas!F97="","",03_Cenas!F97)</f>
        <v>Plato</v>
      </c>
      <c r="H360" s="55" t="str">
        <f aca="false">IF(03_Cenas!G97="","",03_Cenas!G97)</f>
        <v>Premium</v>
      </c>
      <c r="I360" s="58" t="n">
        <f aca="false">IF(03_Cenas!H97="","",03_Cenas!H97)</f>
        <v>25</v>
      </c>
      <c r="J360" s="58" t="n">
        <f aca="false">IF(03_Cenas!I97="","",03_Cenas!I97)</f>
        <v>45</v>
      </c>
      <c r="K360" s="58" t="n">
        <f aca="false">IF(03_Cenas!J97="","",03_Cenas!J97)</f>
        <v>35</v>
      </c>
      <c r="L360" s="58" t="n">
        <f aca="false">IF(03_Cenas!L97="","",03_Cenas!L97)</f>
        <v>36</v>
      </c>
      <c r="M360" s="58" t="n">
        <f aca="false">IF(03_Cenas!N97="","",03_Cenas!N97)</f>
        <v>4.55</v>
      </c>
      <c r="N360" s="58" t="n">
        <f aca="false">IF(03_Cenas!O97="","",03_Cenas!O97)</f>
        <v>30.45</v>
      </c>
      <c r="O360" s="55" t="str">
        <f aca="false">IF(03_Cenas!P97="","",03_Cenas!P97)</f>
        <v>18:00-23:00</v>
      </c>
      <c r="P360" s="55" t="n">
        <f aca="false">IF(03_Cenas!Q97="","",03_Cenas!Q97)</f>
        <v>22</v>
      </c>
      <c r="Q360" s="55" t="str">
        <f aca="false">IF(03_Cenas!R97="","",03_Cenas!R97)</f>
        <v>Medio</v>
      </c>
      <c r="R360" s="55" t="str">
        <f aca="false">IF(03_Cenas!S97="","",03_Cenas!S97)</f>
        <v>Todo el año</v>
      </c>
      <c r="S360" s="55" t="str">
        <f aca="false">IF(03_Cenas!T97="","",03_Cenas!T97)</f>
        <v>Parrilla turística</v>
      </c>
      <c r="T360" s="56" t="str">
        <f aca="false">IF(03_Cenas!U97="","",03_Cenas!U97)</f>
        <v/>
      </c>
      <c r="U360" s="55" t="n">
        <v>97</v>
      </c>
      <c r="V360" s="55" t="n">
        <f aca="false">IF(AND(OR(LEN(13_Buscador!$C$5)=0,ISNUMBER(SEARCH(13_Buscador!$C$5,$C360&amp;" "&amp;$D360&amp;" "&amp;$E360&amp;" "&amp;$F360&amp;" "&amp;$S360))),OR(13_Buscador!$C$6="Todas las listas",LEN(13_Buscador!$C$6)=0,13_Buscador!$C$6=$B360)),1,0)</f>
        <v>0</v>
      </c>
      <c r="W360" s="55" t="str">
        <f aca="false">IF(V360=1,SUM($V$2:V360),"")</f>
        <v/>
      </c>
    </row>
    <row r="361" customFormat="false" ht="23.25" hidden="false" customHeight="true" outlineLevel="0" collapsed="false">
      <c r="A361" s="55" t="n">
        <v>360</v>
      </c>
      <c r="B361" s="55" t="s">
        <v>3329</v>
      </c>
      <c r="C361" s="55" t="str">
        <f aca="false">IF(03_Cenas!B98="","",03_Cenas!B98)</f>
        <v>Caldos nocturnos</v>
      </c>
      <c r="D361" s="56" t="str">
        <f aca="false">IF(03_Cenas!C98="","",03_Cenas!C98)</f>
        <v>Aguadito nocturno</v>
      </c>
      <c r="E361" s="56" t="str">
        <f aca="false">IF(03_Cenas!D98="","",03_Cenas!D98)</f>
        <v>Caldo verde con arroz</v>
      </c>
      <c r="F361" s="56" t="str">
        <f aca="false">IF(03_Cenas!E98="","",03_Cenas!E98)</f>
        <v>arroz, pollo, culantro, arveja, ají amarillo, cebolla, zanahoria</v>
      </c>
      <c r="G361" s="55" t="str">
        <f aca="false">IF(03_Cenas!F98="","",03_Cenas!F98)</f>
        <v>Plato hondo</v>
      </c>
      <c r="H361" s="55" t="str">
        <f aca="false">IF(03_Cenas!G98="","",03_Cenas!G98)</f>
        <v>Económico</v>
      </c>
      <c r="I361" s="58" t="n">
        <f aca="false">IF(03_Cenas!H98="","",03_Cenas!H98)</f>
        <v>8</v>
      </c>
      <c r="J361" s="58" t="n">
        <f aca="false">IF(03_Cenas!I98="","",03_Cenas!I98)</f>
        <v>14</v>
      </c>
      <c r="K361" s="58" t="n">
        <f aca="false">IF(03_Cenas!J98="","",03_Cenas!J98)</f>
        <v>11</v>
      </c>
      <c r="L361" s="58" t="n">
        <f aca="false">IF(03_Cenas!L98="","",03_Cenas!L98)</f>
        <v>12</v>
      </c>
      <c r="M361" s="58" t="n">
        <f aca="false">IF(03_Cenas!N98="","",03_Cenas!N98)</f>
        <v>0.77</v>
      </c>
      <c r="N361" s="58" t="n">
        <f aca="false">IF(03_Cenas!O98="","",03_Cenas!O98)</f>
        <v>10.23</v>
      </c>
      <c r="O361" s="55" t="str">
        <f aca="false">IF(03_Cenas!P98="","",03_Cenas!P98)</f>
        <v>20:00-02:00</v>
      </c>
      <c r="P361" s="55" t="n">
        <f aca="false">IF(03_Cenas!Q98="","",03_Cenas!Q98)</f>
        <v>10</v>
      </c>
      <c r="Q361" s="55" t="str">
        <f aca="false">IF(03_Cenas!R98="","",03_Cenas!R98)</f>
        <v>Medio</v>
      </c>
      <c r="R361" s="55" t="str">
        <f aca="false">IF(03_Cenas!S98="","",03_Cenas!S98)</f>
        <v>Fin de semana</v>
      </c>
      <c r="S361" s="55" t="str">
        <f aca="false">IF(03_Cenas!T98="","",03_Cenas!T98)</f>
        <v>Caldería</v>
      </c>
      <c r="T361" s="56" t="str">
        <f aca="false">IF(03_Cenas!U98="","",03_Cenas!U98)</f>
        <v>Pedido clásico de madrugada</v>
      </c>
      <c r="U361" s="55" t="n">
        <v>98</v>
      </c>
      <c r="V361" s="55" t="n">
        <f aca="false">IF(AND(OR(LEN(13_Buscador!$C$5)=0,ISNUMBER(SEARCH(13_Buscador!$C$5,$C361&amp;" "&amp;$D361&amp;" "&amp;$E361&amp;" "&amp;$F361&amp;" "&amp;$S361))),OR(13_Buscador!$C$6="Todas las listas",LEN(13_Buscador!$C$6)=0,13_Buscador!$C$6=$B361)),1,0)</f>
        <v>1</v>
      </c>
      <c r="W361" s="55" t="n">
        <f aca="false">IF(V361=1,SUM($V$2:V361),"")</f>
        <v>94</v>
      </c>
    </row>
    <row r="362" customFormat="false" ht="23.25" hidden="false" customHeight="true" outlineLevel="0" collapsed="false">
      <c r="A362" s="55" t="n">
        <v>361</v>
      </c>
      <c r="B362" s="55" t="s">
        <v>3329</v>
      </c>
      <c r="C362" s="55" t="str">
        <f aca="false">IF(03_Cenas!B99="","",03_Cenas!B99)</f>
        <v>Caldos nocturnos</v>
      </c>
      <c r="D362" s="56" t="str">
        <f aca="false">IF(03_Cenas!C99="","",03_Cenas!C99)</f>
        <v>Caldo de gallina familiar</v>
      </c>
      <c r="E362" s="56" t="str">
        <f aca="false">IF(03_Cenas!D99="","",03_Cenas!D99)</f>
        <v>Olla para 4</v>
      </c>
      <c r="F362" s="56" t="str">
        <f aca="false">IF(03_Cenas!E99="","",03_Cenas!E99)</f>
        <v>presa de gallina, fideo cabello de ángel, papa, huevo, cebolla china, kion, sal</v>
      </c>
      <c r="G362" s="55" t="str">
        <f aca="false">IF(03_Cenas!F99="","",03_Cenas!F99)</f>
        <v>Olla</v>
      </c>
      <c r="H362" s="55" t="str">
        <f aca="false">IF(03_Cenas!G99="","",03_Cenas!G99)</f>
        <v>Medio</v>
      </c>
      <c r="I362" s="58" t="n">
        <f aca="false">IF(03_Cenas!H99="","",03_Cenas!H99)</f>
        <v>35</v>
      </c>
      <c r="J362" s="58" t="n">
        <f aca="false">IF(03_Cenas!I99="","",03_Cenas!I99)</f>
        <v>60</v>
      </c>
      <c r="K362" s="58" t="n">
        <f aca="false">IF(03_Cenas!J99="","",03_Cenas!J99)</f>
        <v>47.5</v>
      </c>
      <c r="L362" s="58" t="n">
        <f aca="false">IF(03_Cenas!L99="","",03_Cenas!L99)</f>
        <v>48.5</v>
      </c>
      <c r="M362" s="58" t="n">
        <f aca="false">IF(03_Cenas!N99="","",03_Cenas!N99)</f>
        <v>5.23</v>
      </c>
      <c r="N362" s="58" t="n">
        <f aca="false">IF(03_Cenas!O99="","",03_Cenas!O99)</f>
        <v>42.27</v>
      </c>
      <c r="O362" s="55" t="str">
        <f aca="false">IF(03_Cenas!P99="","",03_Cenas!P99)</f>
        <v>20:00-02:00</v>
      </c>
      <c r="P362" s="55" t="n">
        <f aca="false">IF(03_Cenas!Q99="","",03_Cenas!Q99)</f>
        <v>20</v>
      </c>
      <c r="Q362" s="55" t="str">
        <f aca="false">IF(03_Cenas!R99="","",03_Cenas!R99)</f>
        <v>Medio</v>
      </c>
      <c r="R362" s="55" t="str">
        <f aca="false">IF(03_Cenas!S99="","",03_Cenas!S99)</f>
        <v>Fin de semana</v>
      </c>
      <c r="S362" s="55" t="str">
        <f aca="false">IF(03_Cenas!T99="","",03_Cenas!T99)</f>
        <v>Caldería</v>
      </c>
      <c r="T362" s="56" t="str">
        <f aca="false">IF(03_Cenas!U99="","",03_Cenas!U99)</f>
        <v/>
      </c>
      <c r="U362" s="55" t="n">
        <v>99</v>
      </c>
      <c r="V362" s="55" t="n">
        <f aca="false">IF(AND(OR(LEN(13_Buscador!$C$5)=0,ISNUMBER(SEARCH(13_Buscador!$C$5,$C362&amp;" "&amp;$D362&amp;" "&amp;$E362&amp;" "&amp;$F362&amp;" "&amp;$S362))),OR(13_Buscador!$C$6="Todas las listas",LEN(13_Buscador!$C$6)=0,13_Buscador!$C$6=$B362)),1,0)</f>
        <v>0</v>
      </c>
      <c r="W362" s="55" t="str">
        <f aca="false">IF(V362=1,SUM($V$2:V362),"")</f>
        <v/>
      </c>
    </row>
    <row r="363" customFormat="false" ht="23.25" hidden="false" customHeight="true" outlineLevel="0" collapsed="false">
      <c r="A363" s="55" t="n">
        <v>362</v>
      </c>
      <c r="B363" s="55" t="s">
        <v>3329</v>
      </c>
      <c r="C363" s="55" t="str">
        <f aca="false">IF(03_Cenas!B100="","",03_Cenas!B100)</f>
        <v>Caldos nocturnos</v>
      </c>
      <c r="D363" s="56" t="str">
        <f aca="false">IF(03_Cenas!C100="","",03_Cenas!C100)</f>
        <v>Chairo nocturno</v>
      </c>
      <c r="E363" s="56" t="str">
        <f aca="false">IF(03_Cenas!D100="","",03_Cenas!D100)</f>
        <v>Chairo de madrugada</v>
      </c>
      <c r="F363" s="56" t="str">
        <f aca="false">IF(03_Cenas!E100="","",03_Cenas!E100)</f>
        <v>chuño, carne de cordero o res, trigo, habas, zanahoria, papa, cebolla, hierbabuena</v>
      </c>
      <c r="G363" s="55" t="str">
        <f aca="false">IF(03_Cenas!F100="","",03_Cenas!F100)</f>
        <v>Plato hondo</v>
      </c>
      <c r="H363" s="55" t="str">
        <f aca="false">IF(03_Cenas!G100="","",03_Cenas!G100)</f>
        <v>Económico</v>
      </c>
      <c r="I363" s="58" t="n">
        <f aca="false">IF(03_Cenas!H100="","",03_Cenas!H100)</f>
        <v>9</v>
      </c>
      <c r="J363" s="58" t="n">
        <f aca="false">IF(03_Cenas!I100="","",03_Cenas!I100)</f>
        <v>16</v>
      </c>
      <c r="K363" s="58" t="n">
        <f aca="false">IF(03_Cenas!J100="","",03_Cenas!J100)</f>
        <v>12.5</v>
      </c>
      <c r="L363" s="58" t="n">
        <f aca="false">IF(03_Cenas!L100="","",03_Cenas!L100)</f>
        <v>13.5</v>
      </c>
      <c r="M363" s="58" t="n">
        <f aca="false">IF(03_Cenas!N100="","",03_Cenas!N100)</f>
        <v>0.88</v>
      </c>
      <c r="N363" s="58" t="n">
        <f aca="false">IF(03_Cenas!O100="","",03_Cenas!O100)</f>
        <v>11.62</v>
      </c>
      <c r="O363" s="55" t="str">
        <f aca="false">IF(03_Cenas!P100="","",03_Cenas!P100)</f>
        <v>20:00-02:00</v>
      </c>
      <c r="P363" s="55" t="n">
        <f aca="false">IF(03_Cenas!Q100="","",03_Cenas!Q100)</f>
        <v>12</v>
      </c>
      <c r="Q363" s="55" t="str">
        <f aca="false">IF(03_Cenas!R100="","",03_Cenas!R100)</f>
        <v>Medio</v>
      </c>
      <c r="R363" s="55" t="str">
        <f aca="false">IF(03_Cenas!S100="","",03_Cenas!S100)</f>
        <v>Mayor demanda en frío</v>
      </c>
      <c r="S363" s="55" t="str">
        <f aca="false">IF(03_Cenas!T100="","",03_Cenas!T100)</f>
        <v>Caldería</v>
      </c>
      <c r="T363" s="56" t="str">
        <f aca="false">IF(03_Cenas!U100="","",03_Cenas!U100)</f>
        <v/>
      </c>
      <c r="U363" s="55" t="n">
        <v>100</v>
      </c>
      <c r="V363" s="55" t="n">
        <f aca="false">IF(AND(OR(LEN(13_Buscador!$C$5)=0,ISNUMBER(SEARCH(13_Buscador!$C$5,$C363&amp;" "&amp;$D363&amp;" "&amp;$E363&amp;" "&amp;$F363&amp;" "&amp;$S363))),OR(13_Buscador!$C$6="Todas las listas",LEN(13_Buscador!$C$6)=0,13_Buscador!$C$6=$B363)),1,0)</f>
        <v>0</v>
      </c>
      <c r="W363" s="55" t="str">
        <f aca="false">IF(V363=1,SUM($V$2:V363),"")</f>
        <v/>
      </c>
    </row>
    <row r="364" customFormat="false" ht="15" hidden="false" customHeight="true" outlineLevel="0" collapsed="false">
      <c r="A364" s="55" t="n">
        <v>363</v>
      </c>
      <c r="B364" s="55" t="s">
        <v>3329</v>
      </c>
      <c r="C364" s="55" t="str">
        <f aca="false">IF(03_Cenas!B101="","",03_Cenas!B101)</f>
        <v>Cena ligera</v>
      </c>
      <c r="D364" s="56" t="str">
        <f aca="false">IF(03_Cenas!C101="","",03_Cenas!C101)</f>
        <v>Crema de verduras con pan</v>
      </c>
      <c r="E364" s="56" t="str">
        <f aca="false">IF(03_Cenas!D101="","",03_Cenas!D101)</f>
        <v>Cena liviana</v>
      </c>
      <c r="F364" s="56" t="str">
        <f aca="false">IF(03_Cenas!E101="","",03_Cenas!E101)</f>
        <v>ají, mayonesa, huacatay u otras salsas de la casa</v>
      </c>
      <c r="G364" s="55" t="str">
        <f aca="false">IF(03_Cenas!F101="","",03_Cenas!F101)</f>
        <v>Plato hondo</v>
      </c>
      <c r="H364" s="55" t="str">
        <f aca="false">IF(03_Cenas!G101="","",03_Cenas!G101)</f>
        <v>Económico</v>
      </c>
      <c r="I364" s="58" t="n">
        <f aca="false">IF(03_Cenas!H101="","",03_Cenas!H101)</f>
        <v>7</v>
      </c>
      <c r="J364" s="58" t="n">
        <f aca="false">IF(03_Cenas!I101="","",03_Cenas!I101)</f>
        <v>13</v>
      </c>
      <c r="K364" s="58" t="n">
        <f aca="false">IF(03_Cenas!J101="","",03_Cenas!J101)</f>
        <v>10</v>
      </c>
      <c r="L364" s="58" t="n">
        <f aca="false">IF(03_Cenas!L101="","",03_Cenas!L101)</f>
        <v>11</v>
      </c>
      <c r="M364" s="58" t="n">
        <f aca="false">IF(03_Cenas!N101="","",03_Cenas!N101)</f>
        <v>0.7</v>
      </c>
      <c r="N364" s="58" t="n">
        <f aca="false">IF(03_Cenas!O101="","",03_Cenas!O101)</f>
        <v>9.3</v>
      </c>
      <c r="O364" s="55" t="str">
        <f aca="false">IF(03_Cenas!P101="","",03_Cenas!P101)</f>
        <v>18:00-21:00</v>
      </c>
      <c r="P364" s="55" t="n">
        <f aca="false">IF(03_Cenas!Q101="","",03_Cenas!Q101)</f>
        <v>10</v>
      </c>
      <c r="Q364" s="55" t="str">
        <f aca="false">IF(03_Cenas!R101="","",03_Cenas!R101)</f>
        <v>Medio</v>
      </c>
      <c r="R364" s="55" t="str">
        <f aca="false">IF(03_Cenas!S101="","",03_Cenas!S101)</f>
        <v>Todo el año</v>
      </c>
      <c r="S364" s="55" t="str">
        <f aca="false">IF(03_Cenas!T101="","",03_Cenas!T101)</f>
        <v>Menú</v>
      </c>
      <c r="T364" s="56" t="str">
        <f aca="false">IF(03_Cenas!U101="","",03_Cenas!U101)</f>
        <v/>
      </c>
      <c r="U364" s="55" t="n">
        <v>101</v>
      </c>
      <c r="V364" s="55" t="n">
        <f aca="false">IF(AND(OR(LEN(13_Buscador!$C$5)=0,ISNUMBER(SEARCH(13_Buscador!$C$5,$C364&amp;" "&amp;$D364&amp;" "&amp;$E364&amp;" "&amp;$F364&amp;" "&amp;$S364))),OR(13_Buscador!$C$6="Todas las listas",LEN(13_Buscador!$C$6)=0,13_Buscador!$C$6=$B364)),1,0)</f>
        <v>0</v>
      </c>
      <c r="W364" s="55" t="str">
        <f aca="false">IF(V364=1,SUM($V$2:V364),"")</f>
        <v/>
      </c>
    </row>
    <row r="365" customFormat="false" ht="15" hidden="false" customHeight="true" outlineLevel="0" collapsed="false">
      <c r="A365" s="55" t="n">
        <v>364</v>
      </c>
      <c r="B365" s="55" t="s">
        <v>3329</v>
      </c>
      <c r="C365" s="55" t="str">
        <f aca="false">IF(03_Cenas!B102="","",03_Cenas!B102)</f>
        <v>Cena ligera</v>
      </c>
      <c r="D365" s="56" t="str">
        <f aca="false">IF(03_Cenas!C102="","",03_Cenas!C102)</f>
        <v>Quinua con leche</v>
      </c>
      <c r="E365" s="56" t="str">
        <f aca="false">IF(03_Cenas!D102="","",03_Cenas!D102)</f>
        <v>Bebida-plato de noche</v>
      </c>
      <c r="F365" s="56" t="str">
        <f aca="false">IF(03_Cenas!E102="","",03_Cenas!E102)</f>
        <v>quinua, leche, canela, azúcar</v>
      </c>
      <c r="G365" s="55" t="str">
        <f aca="false">IF(03_Cenas!F102="","",03_Cenas!F102)</f>
        <v>Vaso grande</v>
      </c>
      <c r="H365" s="55" t="str">
        <f aca="false">IF(03_Cenas!G102="","",03_Cenas!G102)</f>
        <v>Económico</v>
      </c>
      <c r="I365" s="58" t="n">
        <f aca="false">IF(03_Cenas!H102="","",03_Cenas!H102)</f>
        <v>4</v>
      </c>
      <c r="J365" s="58" t="n">
        <f aca="false">IF(03_Cenas!I102="","",03_Cenas!I102)</f>
        <v>9</v>
      </c>
      <c r="K365" s="58" t="n">
        <f aca="false">IF(03_Cenas!J102="","",03_Cenas!J102)</f>
        <v>6.5</v>
      </c>
      <c r="L365" s="58" t="n">
        <f aca="false">IF(03_Cenas!L102="","",03_Cenas!L102)</f>
        <v>7.5</v>
      </c>
      <c r="M365" s="58" t="n">
        <f aca="false">IF(03_Cenas!N102="","",03_Cenas!N102)</f>
        <v>0.46</v>
      </c>
      <c r="N365" s="58" t="n">
        <f aca="false">IF(03_Cenas!O102="","",03_Cenas!O102)</f>
        <v>6.04</v>
      </c>
      <c r="O365" s="55" t="str">
        <f aca="false">IF(03_Cenas!P102="","",03_Cenas!P102)</f>
        <v>18:00-21:00</v>
      </c>
      <c r="P365" s="55" t="n">
        <f aca="false">IF(03_Cenas!Q102="","",03_Cenas!Q102)</f>
        <v>5</v>
      </c>
      <c r="Q365" s="55" t="str">
        <f aca="false">IF(03_Cenas!R102="","",03_Cenas!R102)</f>
        <v>Alto</v>
      </c>
      <c r="R365" s="55" t="str">
        <f aca="false">IF(03_Cenas!S102="","",03_Cenas!S102)</f>
        <v>Mayor demanda en frío</v>
      </c>
      <c r="S365" s="55" t="str">
        <f aca="false">IF(03_Cenas!T102="","",03_Cenas!T102)</f>
        <v>Mercado, menú</v>
      </c>
      <c r="T365" s="56" t="str">
        <f aca="false">IF(03_Cenas!U102="","",03_Cenas!U102)</f>
        <v/>
      </c>
      <c r="U365" s="55" t="n">
        <v>102</v>
      </c>
      <c r="V365" s="55" t="n">
        <f aca="false">IF(AND(OR(LEN(13_Buscador!$C$5)=0,ISNUMBER(SEARCH(13_Buscador!$C$5,$C365&amp;" "&amp;$D365&amp;" "&amp;$E365&amp;" "&amp;$F365&amp;" "&amp;$S365))),OR(13_Buscador!$C$6="Todas las listas",LEN(13_Buscador!$C$6)=0,13_Buscador!$C$6=$B365)),1,0)</f>
        <v>0</v>
      </c>
      <c r="W365" s="55" t="str">
        <f aca="false">IF(V365=1,SUM($V$2:V365),"")</f>
        <v/>
      </c>
    </row>
    <row r="366" customFormat="false" ht="23.25" hidden="false" customHeight="true" outlineLevel="0" collapsed="false">
      <c r="A366" s="55" t="n">
        <v>365</v>
      </c>
      <c r="B366" s="55" t="s">
        <v>3329</v>
      </c>
      <c r="C366" s="55" t="str">
        <f aca="false">IF(03_Cenas!B103="","",03_Cenas!B103)</f>
        <v>Cena ligera</v>
      </c>
      <c r="D366" s="56" t="str">
        <f aca="false">IF(03_Cenas!C103="","",03_Cenas!C103)</f>
        <v>Ensalada césar</v>
      </c>
      <c r="E366" s="56" t="str">
        <f aca="false">IF(03_Cenas!D103="","",03_Cenas!D103)</f>
        <v>Lechuga, pollo, crutones</v>
      </c>
      <c r="F366" s="56" t="str">
        <f aca="false">IF(03_Cenas!E103="","",03_Cenas!E103)</f>
        <v>lechuga, pollo, crutones, queso parmesano, aderezo césar</v>
      </c>
      <c r="G366" s="55" t="str">
        <f aca="false">IF(03_Cenas!F103="","",03_Cenas!F103)</f>
        <v>Plato</v>
      </c>
      <c r="H366" s="55" t="str">
        <f aca="false">IF(03_Cenas!G103="","",03_Cenas!G103)</f>
        <v>Estándar</v>
      </c>
      <c r="I366" s="58" t="n">
        <f aca="false">IF(03_Cenas!H103="","",03_Cenas!H103)</f>
        <v>12</v>
      </c>
      <c r="J366" s="58" t="n">
        <f aca="false">IF(03_Cenas!I103="","",03_Cenas!I103)</f>
        <v>22</v>
      </c>
      <c r="K366" s="58" t="n">
        <f aca="false">IF(03_Cenas!J103="","",03_Cenas!J103)</f>
        <v>17</v>
      </c>
      <c r="L366" s="58" t="n">
        <f aca="false">IF(03_Cenas!L103="","",03_Cenas!L103)</f>
        <v>18</v>
      </c>
      <c r="M366" s="58" t="n">
        <f aca="false">IF(03_Cenas!N103="","",03_Cenas!N103)</f>
        <v>1.53</v>
      </c>
      <c r="N366" s="58" t="n">
        <f aca="false">IF(03_Cenas!O103="","",03_Cenas!O103)</f>
        <v>15.47</v>
      </c>
      <c r="O366" s="55" t="str">
        <f aca="false">IF(03_Cenas!P103="","",03_Cenas!P103)</f>
        <v>18:00-21:00</v>
      </c>
      <c r="P366" s="55" t="n">
        <f aca="false">IF(03_Cenas!Q103="","",03_Cenas!Q103)</f>
        <v>10</v>
      </c>
      <c r="Q366" s="55" t="str">
        <f aca="false">IF(03_Cenas!R103="","",03_Cenas!R103)</f>
        <v>Alto</v>
      </c>
      <c r="R366" s="55" t="str">
        <f aca="false">IF(03_Cenas!S103="","",03_Cenas!S103)</f>
        <v>Todo el año</v>
      </c>
      <c r="S366" s="55" t="str">
        <f aca="false">IF(03_Cenas!T103="","",03_Cenas!T103)</f>
        <v>Restaurante</v>
      </c>
      <c r="T366" s="56" t="str">
        <f aca="false">IF(03_Cenas!U103="","",03_Cenas!U103)</f>
        <v/>
      </c>
      <c r="U366" s="55" t="n">
        <v>103</v>
      </c>
      <c r="V366" s="55" t="n">
        <f aca="false">IF(AND(OR(LEN(13_Buscador!$C$5)=0,ISNUMBER(SEARCH(13_Buscador!$C$5,$C366&amp;" "&amp;$D366&amp;" "&amp;$E366&amp;" "&amp;$F366&amp;" "&amp;$S366))),OR(13_Buscador!$C$6="Todas las listas",LEN(13_Buscador!$C$6)=0,13_Buscador!$C$6=$B366)),1,0)</f>
        <v>1</v>
      </c>
      <c r="W366" s="55" t="n">
        <f aca="false">IF(V366=1,SUM($V$2:V366),"")</f>
        <v>95</v>
      </c>
    </row>
    <row r="367" customFormat="false" ht="23.25" hidden="false" customHeight="true" outlineLevel="0" collapsed="false">
      <c r="A367" s="55" t="n">
        <v>366</v>
      </c>
      <c r="B367" s="55" t="s">
        <v>3329</v>
      </c>
      <c r="C367" s="55" t="str">
        <f aca="false">IF(03_Cenas!B104="","",03_Cenas!B104)</f>
        <v>Cena ligera</v>
      </c>
      <c r="D367" s="56" t="str">
        <f aca="false">IF(03_Cenas!C104="","",03_Cenas!C104)</f>
        <v>Sopa wantán de noche</v>
      </c>
      <c r="E367" s="56" t="str">
        <f aca="false">IF(03_Cenas!D104="","",03_Cenas!D104)</f>
        <v>Caldo ligero</v>
      </c>
      <c r="F367" s="56" t="str">
        <f aca="false">IF(03_Cenas!E104="","",03_Cenas!E104)</f>
        <v>masa wantán, carne de cerdo, verduras, cebolla china, caldo de pollo, sillao</v>
      </c>
      <c r="G367" s="55" t="str">
        <f aca="false">IF(03_Cenas!F104="","",03_Cenas!F104)</f>
        <v>Plato hondo</v>
      </c>
      <c r="H367" s="55" t="str">
        <f aca="false">IF(03_Cenas!G104="","",03_Cenas!G104)</f>
        <v>Económico</v>
      </c>
      <c r="I367" s="58" t="n">
        <f aca="false">IF(03_Cenas!H104="","",03_Cenas!H104)</f>
        <v>9</v>
      </c>
      <c r="J367" s="58" t="n">
        <f aca="false">IF(03_Cenas!I104="","",03_Cenas!I104)</f>
        <v>15</v>
      </c>
      <c r="K367" s="58" t="n">
        <f aca="false">IF(03_Cenas!J104="","",03_Cenas!J104)</f>
        <v>12</v>
      </c>
      <c r="L367" s="58" t="n">
        <f aca="false">IF(03_Cenas!L104="","",03_Cenas!L104)</f>
        <v>13</v>
      </c>
      <c r="M367" s="58" t="n">
        <f aca="false">IF(03_Cenas!N104="","",03_Cenas!N104)</f>
        <v>0.84</v>
      </c>
      <c r="N367" s="58" t="n">
        <f aca="false">IF(03_Cenas!O104="","",03_Cenas!O104)</f>
        <v>11.16</v>
      </c>
      <c r="O367" s="55" t="str">
        <f aca="false">IF(03_Cenas!P104="","",03_Cenas!P104)</f>
        <v>18:00-22:00</v>
      </c>
      <c r="P367" s="55" t="n">
        <f aca="false">IF(03_Cenas!Q104="","",03_Cenas!Q104)</f>
        <v>8</v>
      </c>
      <c r="Q367" s="55" t="str">
        <f aca="false">IF(03_Cenas!R104="","",03_Cenas!R104)</f>
        <v>Medio</v>
      </c>
      <c r="R367" s="55" t="str">
        <f aca="false">IF(03_Cenas!S104="","",03_Cenas!S104)</f>
        <v>Todo el año</v>
      </c>
      <c r="S367" s="55" t="str">
        <f aca="false">IF(03_Cenas!T104="","",03_Cenas!T104)</f>
        <v>Chifa</v>
      </c>
      <c r="T367" s="56" t="str">
        <f aca="false">IF(03_Cenas!U104="","",03_Cenas!U104)</f>
        <v/>
      </c>
      <c r="U367" s="55" t="n">
        <v>104</v>
      </c>
      <c r="V367" s="55" t="n">
        <f aca="false">IF(AND(OR(LEN(13_Buscador!$C$5)=0,ISNUMBER(SEARCH(13_Buscador!$C$5,$C367&amp;" "&amp;$D367&amp;" "&amp;$E367&amp;" "&amp;$F367&amp;" "&amp;$S367))),OR(13_Buscador!$C$6="Todas las listas",LEN(13_Buscador!$C$6)=0,13_Buscador!$C$6=$B367)),1,0)</f>
        <v>1</v>
      </c>
      <c r="W367" s="55" t="n">
        <f aca="false">IF(V367=1,SUM($V$2:V367),"")</f>
        <v>96</v>
      </c>
    </row>
    <row r="368" customFormat="false" ht="15" hidden="false" customHeight="true" outlineLevel="0" collapsed="false">
      <c r="A368" s="55" t="n">
        <v>367</v>
      </c>
      <c r="B368" s="55" t="s">
        <v>3329</v>
      </c>
      <c r="C368" s="55" t="str">
        <f aca="false">IF(03_Cenas!B105="","",03_Cenas!B105)</f>
        <v>Cena ligera</v>
      </c>
      <c r="D368" s="56" t="str">
        <f aca="false">IF(03_Cenas!C105="","",03_Cenas!C105)</f>
        <v>Tostadas con palta y huevo</v>
      </c>
      <c r="E368" s="56" t="str">
        <f aca="false">IF(03_Cenas!D105="","",03_Cenas!D105)</f>
        <v>Cena rápida saludable</v>
      </c>
      <c r="F368" s="56" t="str">
        <f aca="false">IF(03_Cenas!E105="","",03_Cenas!E105)</f>
        <v>pan tostado, mantequilla, mermelada</v>
      </c>
      <c r="G368" s="55" t="str">
        <f aca="false">IF(03_Cenas!F105="","",03_Cenas!F105)</f>
        <v>Plato</v>
      </c>
      <c r="H368" s="55" t="str">
        <f aca="false">IF(03_Cenas!G105="","",03_Cenas!G105)</f>
        <v>Económico</v>
      </c>
      <c r="I368" s="58" t="n">
        <f aca="false">IF(03_Cenas!H105="","",03_Cenas!H105)</f>
        <v>8</v>
      </c>
      <c r="J368" s="58" t="n">
        <f aca="false">IF(03_Cenas!I105="","",03_Cenas!I105)</f>
        <v>15</v>
      </c>
      <c r="K368" s="58" t="n">
        <f aca="false">IF(03_Cenas!J105="","",03_Cenas!J105)</f>
        <v>11.5</v>
      </c>
      <c r="L368" s="58" t="n">
        <f aca="false">IF(03_Cenas!L105="","",03_Cenas!L105)</f>
        <v>12.5</v>
      </c>
      <c r="M368" s="58" t="n">
        <f aca="false">IF(03_Cenas!N105="","",03_Cenas!N105)</f>
        <v>0.81</v>
      </c>
      <c r="N368" s="58" t="n">
        <f aca="false">IF(03_Cenas!O105="","",03_Cenas!O105)</f>
        <v>10.69</v>
      </c>
      <c r="O368" s="55" t="str">
        <f aca="false">IF(03_Cenas!P105="","",03_Cenas!P105)</f>
        <v>18:00-21:00</v>
      </c>
      <c r="P368" s="55" t="n">
        <f aca="false">IF(03_Cenas!Q105="","",03_Cenas!Q105)</f>
        <v>8</v>
      </c>
      <c r="Q368" s="55" t="str">
        <f aca="false">IF(03_Cenas!R105="","",03_Cenas!R105)</f>
        <v>Alto</v>
      </c>
      <c r="R368" s="55" t="str">
        <f aca="false">IF(03_Cenas!S105="","",03_Cenas!S105)</f>
        <v>Todo el año</v>
      </c>
      <c r="S368" s="55" t="str">
        <f aca="false">IF(03_Cenas!T105="","",03_Cenas!T105)</f>
        <v>Cafetería</v>
      </c>
      <c r="T368" s="56" t="str">
        <f aca="false">IF(03_Cenas!U105="","",03_Cenas!U105)</f>
        <v/>
      </c>
      <c r="U368" s="55" t="n">
        <v>105</v>
      </c>
      <c r="V368" s="55" t="n">
        <f aca="false">IF(AND(OR(LEN(13_Buscador!$C$5)=0,ISNUMBER(SEARCH(13_Buscador!$C$5,$C368&amp;" "&amp;$D368&amp;" "&amp;$E368&amp;" "&amp;$F368&amp;" "&amp;$S368))),OR(13_Buscador!$C$6="Todas las listas",LEN(13_Buscador!$C$6)=0,13_Buscador!$C$6=$B368)),1,0)</f>
        <v>0</v>
      </c>
      <c r="W368" s="55" t="str">
        <f aca="false">IF(V368=1,SUM($V$2:V368),"")</f>
        <v/>
      </c>
    </row>
    <row r="369" customFormat="false" ht="23.25" hidden="false" customHeight="true" outlineLevel="0" collapsed="false">
      <c r="A369" s="55" t="n">
        <v>368</v>
      </c>
      <c r="B369" s="55" t="s">
        <v>3329</v>
      </c>
      <c r="C369" s="55" t="str">
        <f aca="false">IF(03_Cenas!B106="","",03_Cenas!B106)</f>
        <v>Sushi y otros</v>
      </c>
      <c r="D369" s="56" t="str">
        <f aca="false">IF(03_Cenas!C106="","",03_Cenas!C106)</f>
        <v>Roll acevichado</v>
      </c>
      <c r="E369" s="56" t="str">
        <f aca="false">IF(03_Cenas!D106="","",03_Cenas!D106)</f>
        <v>Roll con salsa acevichada</v>
      </c>
      <c r="F369" s="56" t="str">
        <f aca="false">IF(03_Cenas!E106="","",03_Cenas!E106)</f>
        <v>arroz de sushi, alga nori, pescado o palta, queso crema, vinagre de arroz</v>
      </c>
      <c r="G369" s="55" t="str">
        <f aca="false">IF(03_Cenas!F106="","",03_Cenas!F106)</f>
        <v>Porción</v>
      </c>
      <c r="H369" s="55" t="str">
        <f aca="false">IF(03_Cenas!G106="","",03_Cenas!G106)</f>
        <v>Medio</v>
      </c>
      <c r="I369" s="58" t="n">
        <f aca="false">IF(03_Cenas!H106="","",03_Cenas!H106)</f>
        <v>20</v>
      </c>
      <c r="J369" s="58" t="n">
        <f aca="false">IF(03_Cenas!I106="","",03_Cenas!I106)</f>
        <v>38</v>
      </c>
      <c r="K369" s="58" t="n">
        <f aca="false">IF(03_Cenas!J106="","",03_Cenas!J106)</f>
        <v>29</v>
      </c>
      <c r="L369" s="58" t="n">
        <f aca="false">IF(03_Cenas!L106="","",03_Cenas!L106)</f>
        <v>30</v>
      </c>
      <c r="M369" s="58" t="n">
        <f aca="false">IF(03_Cenas!N106="","",03_Cenas!N106)</f>
        <v>3.19</v>
      </c>
      <c r="N369" s="58" t="n">
        <f aca="false">IF(03_Cenas!O106="","",03_Cenas!O106)</f>
        <v>25.81</v>
      </c>
      <c r="O369" s="55" t="str">
        <f aca="false">IF(03_Cenas!P106="","",03_Cenas!P106)</f>
        <v>18:00-22:00</v>
      </c>
      <c r="P369" s="55" t="n">
        <f aca="false">IF(03_Cenas!Q106="","",03_Cenas!Q106)</f>
        <v>16</v>
      </c>
      <c r="Q369" s="55" t="str">
        <f aca="false">IF(03_Cenas!R106="","",03_Cenas!R106)</f>
        <v>Medio</v>
      </c>
      <c r="R369" s="55" t="str">
        <f aca="false">IF(03_Cenas!S106="","",03_Cenas!S106)</f>
        <v>Todo el año</v>
      </c>
      <c r="S369" s="55" t="str">
        <f aca="false">IF(03_Cenas!T106="","",03_Cenas!T106)</f>
        <v>Japonés</v>
      </c>
      <c r="T369" s="56" t="str">
        <f aca="false">IF(03_Cenas!U106="","",03_Cenas!U106)</f>
        <v/>
      </c>
      <c r="U369" s="55" t="n">
        <v>106</v>
      </c>
      <c r="V369" s="55" t="n">
        <f aca="false">IF(AND(OR(LEN(13_Buscador!$C$5)=0,ISNUMBER(SEARCH(13_Buscador!$C$5,$C369&amp;" "&amp;$D369&amp;" "&amp;$E369&amp;" "&amp;$F369&amp;" "&amp;$S369))),OR(13_Buscador!$C$6="Todas las listas",LEN(13_Buscador!$C$6)=0,13_Buscador!$C$6=$B369)),1,0)</f>
        <v>0</v>
      </c>
      <c r="W369" s="55" t="str">
        <f aca="false">IF(V369=1,SUM($V$2:V369),"")</f>
        <v/>
      </c>
    </row>
    <row r="370" customFormat="false" ht="23.25" hidden="false" customHeight="true" outlineLevel="0" collapsed="false">
      <c r="A370" s="55" t="n">
        <v>369</v>
      </c>
      <c r="B370" s="55" t="s">
        <v>3329</v>
      </c>
      <c r="C370" s="55" t="str">
        <f aca="false">IF(03_Cenas!B107="","",03_Cenas!B107)</f>
        <v>Sushi y otros</v>
      </c>
      <c r="D370" s="56" t="str">
        <f aca="false">IF(03_Cenas!C107="","",03_Cenas!C107)</f>
        <v>Roll vegetariano</v>
      </c>
      <c r="E370" s="56" t="str">
        <f aca="false">IF(03_Cenas!D107="","",03_Cenas!D107)</f>
        <v>Roll sin pescado</v>
      </c>
      <c r="F370" s="56" t="str">
        <f aca="false">IF(03_Cenas!E107="","",03_Cenas!E107)</f>
        <v>arroz de sushi, alga nori, pescado o palta, queso crema, vinagre de arroz</v>
      </c>
      <c r="G370" s="55" t="str">
        <f aca="false">IF(03_Cenas!F107="","",03_Cenas!F107)</f>
        <v>Porción</v>
      </c>
      <c r="H370" s="55" t="str">
        <f aca="false">IF(03_Cenas!G107="","",03_Cenas!G107)</f>
        <v>Estándar</v>
      </c>
      <c r="I370" s="58" t="n">
        <f aca="false">IF(03_Cenas!H107="","",03_Cenas!H107)</f>
        <v>15</v>
      </c>
      <c r="J370" s="58" t="n">
        <f aca="false">IF(03_Cenas!I107="","",03_Cenas!I107)</f>
        <v>30</v>
      </c>
      <c r="K370" s="58" t="n">
        <f aca="false">IF(03_Cenas!J107="","",03_Cenas!J107)</f>
        <v>22.5</v>
      </c>
      <c r="L370" s="58" t="n">
        <f aca="false">IF(03_Cenas!L107="","",03_Cenas!L107)</f>
        <v>23.5</v>
      </c>
      <c r="M370" s="58" t="n">
        <f aca="false">IF(03_Cenas!N107="","",03_Cenas!N107)</f>
        <v>2.03</v>
      </c>
      <c r="N370" s="58" t="n">
        <f aca="false">IF(03_Cenas!O107="","",03_Cenas!O107)</f>
        <v>20.47</v>
      </c>
      <c r="O370" s="55" t="str">
        <f aca="false">IF(03_Cenas!P107="","",03_Cenas!P107)</f>
        <v>18:00-22:00</v>
      </c>
      <c r="P370" s="55" t="n">
        <f aca="false">IF(03_Cenas!Q107="","",03_Cenas!Q107)</f>
        <v>14</v>
      </c>
      <c r="Q370" s="55" t="str">
        <f aca="false">IF(03_Cenas!R107="","",03_Cenas!R107)</f>
        <v>Medio</v>
      </c>
      <c r="R370" s="55" t="str">
        <f aca="false">IF(03_Cenas!S107="","",03_Cenas!S107)</f>
        <v>Todo el año</v>
      </c>
      <c r="S370" s="55" t="str">
        <f aca="false">IF(03_Cenas!T107="","",03_Cenas!T107)</f>
        <v>Japonés</v>
      </c>
      <c r="T370" s="56" t="str">
        <f aca="false">IF(03_Cenas!U107="","",03_Cenas!U107)</f>
        <v/>
      </c>
      <c r="U370" s="55" t="n">
        <v>107</v>
      </c>
      <c r="V370" s="55" t="n">
        <f aca="false">IF(AND(OR(LEN(13_Buscador!$C$5)=0,ISNUMBER(SEARCH(13_Buscador!$C$5,$C370&amp;" "&amp;$D370&amp;" "&amp;$E370&amp;" "&amp;$F370&amp;" "&amp;$S370))),OR(13_Buscador!$C$6="Todas las listas",LEN(13_Buscador!$C$6)=0,13_Buscador!$C$6=$B370)),1,0)</f>
        <v>0</v>
      </c>
      <c r="W370" s="55" t="str">
        <f aca="false">IF(V370=1,SUM($V$2:V370),"")</f>
        <v/>
      </c>
    </row>
    <row r="371" customFormat="false" ht="15" hidden="false" customHeight="true" outlineLevel="0" collapsed="false">
      <c r="A371" s="55" t="n">
        <v>370</v>
      </c>
      <c r="B371" s="55" t="s">
        <v>3329</v>
      </c>
      <c r="C371" s="55" t="str">
        <f aca="false">IF(03_Cenas!B108="","",03_Cenas!B108)</f>
        <v>Sushi y otros</v>
      </c>
      <c r="D371" s="56" t="str">
        <f aca="false">IF(03_Cenas!C108="","",03_Cenas!C108)</f>
        <v>Gyozas (6 und)</v>
      </c>
      <c r="E371" s="56" t="str">
        <f aca="false">IF(03_Cenas!D108="","",03_Cenas!D108)</f>
        <v>Empanaditas al vapor</v>
      </c>
      <c r="F371" s="56" t="str">
        <f aca="false">IF(03_Cenas!E108="","",03_Cenas!E108)</f>
        <v>masa de gyoza, cerdo, col, kion, sillao</v>
      </c>
      <c r="G371" s="55" t="str">
        <f aca="false">IF(03_Cenas!F108="","",03_Cenas!F108)</f>
        <v>Porción</v>
      </c>
      <c r="H371" s="55" t="str">
        <f aca="false">IF(03_Cenas!G108="","",03_Cenas!G108)</f>
        <v>Estándar</v>
      </c>
      <c r="I371" s="58" t="n">
        <f aca="false">IF(03_Cenas!H108="","",03_Cenas!H108)</f>
        <v>12</v>
      </c>
      <c r="J371" s="58" t="n">
        <f aca="false">IF(03_Cenas!I108="","",03_Cenas!I108)</f>
        <v>24</v>
      </c>
      <c r="K371" s="58" t="n">
        <f aca="false">IF(03_Cenas!J108="","",03_Cenas!J108)</f>
        <v>18</v>
      </c>
      <c r="L371" s="58" t="n">
        <f aca="false">IF(03_Cenas!L108="","",03_Cenas!L108)</f>
        <v>19</v>
      </c>
      <c r="M371" s="58" t="n">
        <f aca="false">IF(03_Cenas!N108="","",03_Cenas!N108)</f>
        <v>1.62</v>
      </c>
      <c r="N371" s="58" t="n">
        <f aca="false">IF(03_Cenas!O108="","",03_Cenas!O108)</f>
        <v>16.38</v>
      </c>
      <c r="O371" s="55" t="str">
        <f aca="false">IF(03_Cenas!P108="","",03_Cenas!P108)</f>
        <v>18:00-22:00</v>
      </c>
      <c r="P371" s="55" t="n">
        <f aca="false">IF(03_Cenas!Q108="","",03_Cenas!Q108)</f>
        <v>12</v>
      </c>
      <c r="Q371" s="55" t="str">
        <f aca="false">IF(03_Cenas!R108="","",03_Cenas!R108)</f>
        <v>Medio</v>
      </c>
      <c r="R371" s="55" t="str">
        <f aca="false">IF(03_Cenas!S108="","",03_Cenas!S108)</f>
        <v>Todo el año</v>
      </c>
      <c r="S371" s="55" t="str">
        <f aca="false">IF(03_Cenas!T108="","",03_Cenas!T108)</f>
        <v>Japonés</v>
      </c>
      <c r="T371" s="56" t="str">
        <f aca="false">IF(03_Cenas!U108="","",03_Cenas!U108)</f>
        <v/>
      </c>
      <c r="U371" s="55" t="n">
        <v>108</v>
      </c>
      <c r="V371" s="55" t="n">
        <f aca="false">IF(AND(OR(LEN(13_Buscador!$C$5)=0,ISNUMBER(SEARCH(13_Buscador!$C$5,$C371&amp;" "&amp;$D371&amp;" "&amp;$E371&amp;" "&amp;$F371&amp;" "&amp;$S371))),OR(13_Buscador!$C$6="Todas las listas",LEN(13_Buscador!$C$6)=0,13_Buscador!$C$6=$B371)),1,0)</f>
        <v>0</v>
      </c>
      <c r="W371" s="55" t="str">
        <f aca="false">IF(V371=1,SUM($V$2:V371),"")</f>
        <v/>
      </c>
    </row>
    <row r="372" customFormat="false" ht="15" hidden="false" customHeight="true" outlineLevel="0" collapsed="false">
      <c r="A372" s="55" t="n">
        <v>371</v>
      </c>
      <c r="B372" s="55" t="s">
        <v>3329</v>
      </c>
      <c r="C372" s="55" t="str">
        <f aca="false">IF(03_Cenas!B109="","",03_Cenas!B109)</f>
        <v>Sushi y otros</v>
      </c>
      <c r="D372" s="56" t="str">
        <f aca="false">IF(03_Cenas!C109="","",03_Cenas!C109)</f>
        <v>Tabla de quesos y embutidos</v>
      </c>
      <c r="E372" s="56" t="str">
        <f aca="false">IF(03_Cenas!D109="","",03_Cenas!D109)</f>
        <v>Para acompañar vino</v>
      </c>
      <c r="F372" s="56" t="str">
        <f aca="false">IF(03_Cenas!E109="","",03_Cenas!E109)</f>
        <v>surtido de preparaciones de la casa</v>
      </c>
      <c r="G372" s="55" t="str">
        <f aca="false">IF(03_Cenas!F109="","",03_Cenas!F109)</f>
        <v>Fuente</v>
      </c>
      <c r="H372" s="55" t="str">
        <f aca="false">IF(03_Cenas!G109="","",03_Cenas!G109)</f>
        <v>Premium</v>
      </c>
      <c r="I372" s="58" t="n">
        <f aca="false">IF(03_Cenas!H109="","",03_Cenas!H109)</f>
        <v>35</v>
      </c>
      <c r="J372" s="58" t="n">
        <f aca="false">IF(03_Cenas!I109="","",03_Cenas!I109)</f>
        <v>75</v>
      </c>
      <c r="K372" s="58" t="n">
        <f aca="false">IF(03_Cenas!J109="","",03_Cenas!J109)</f>
        <v>55</v>
      </c>
      <c r="L372" s="58" t="n">
        <f aca="false">IF(03_Cenas!L109="","",03_Cenas!L109)</f>
        <v>56</v>
      </c>
      <c r="M372" s="58" t="n">
        <f aca="false">IF(03_Cenas!N109="","",03_Cenas!N109)</f>
        <v>7.15</v>
      </c>
      <c r="N372" s="58" t="n">
        <f aca="false">IF(03_Cenas!O109="","",03_Cenas!O109)</f>
        <v>47.85</v>
      </c>
      <c r="O372" s="55" t="str">
        <f aca="false">IF(03_Cenas!P109="","",03_Cenas!P109)</f>
        <v>19:00-23:00</v>
      </c>
      <c r="P372" s="55" t="n">
        <f aca="false">IF(03_Cenas!Q109="","",03_Cenas!Q109)</f>
        <v>12</v>
      </c>
      <c r="Q372" s="55" t="str">
        <f aca="false">IF(03_Cenas!R109="","",03_Cenas!R109)</f>
        <v>Alto</v>
      </c>
      <c r="R372" s="55" t="str">
        <f aca="false">IF(03_Cenas!S109="","",03_Cenas!S109)</f>
        <v>Todo el año</v>
      </c>
      <c r="S372" s="55" t="str">
        <f aca="false">IF(03_Cenas!T109="","",03_Cenas!T109)</f>
        <v>Bar</v>
      </c>
      <c r="T372" s="56" t="str">
        <f aca="false">IF(03_Cenas!U109="","",03_Cenas!U109)</f>
        <v>Se pide con la lista 07</v>
      </c>
      <c r="U372" s="55" t="n">
        <v>109</v>
      </c>
      <c r="V372" s="55" t="n">
        <f aca="false">IF(AND(OR(LEN(13_Buscador!$C$5)=0,ISNUMBER(SEARCH(13_Buscador!$C$5,$C372&amp;" "&amp;$D372&amp;" "&amp;$E372&amp;" "&amp;$F372&amp;" "&amp;$S372))),OR(13_Buscador!$C$6="Todas las listas",LEN(13_Buscador!$C$6)=0,13_Buscador!$C$6=$B372)),1,0)</f>
        <v>0</v>
      </c>
      <c r="W372" s="55" t="str">
        <f aca="false">IF(V372=1,SUM($V$2:V372),"")</f>
        <v/>
      </c>
    </row>
    <row r="373" customFormat="false" ht="23.25" hidden="false" customHeight="true" outlineLevel="0" collapsed="false">
      <c r="A373" s="55" t="n">
        <v>372</v>
      </c>
      <c r="B373" s="55" t="s">
        <v>3329</v>
      </c>
      <c r="C373" s="55" t="str">
        <f aca="false">IF(03_Cenas!B110="","",03_Cenas!B110)</f>
        <v>Sushi y otros</v>
      </c>
      <c r="D373" s="56" t="str">
        <f aca="false">IF(03_Cenas!C110="","",03_Cenas!C110)</f>
        <v>Alitas + cerveza (combo)</v>
      </c>
      <c r="E373" s="56" t="str">
        <f aca="false">IF(03_Cenas!D110="","",03_Cenas!D110)</f>
        <v>Combo de bar</v>
      </c>
      <c r="F373" s="56" t="str">
        <f aca="false">IF(03_Cenas!E110="","",03_Cenas!E110)</f>
        <v>alitas de pollo, harina o salsa (BBQ o picante), papas fritas, cremas</v>
      </c>
      <c r="G373" s="55" t="str">
        <f aca="false">IF(03_Cenas!F110="","",03_Cenas!F110)</f>
        <v>Combo</v>
      </c>
      <c r="H373" s="55" t="str">
        <f aca="false">IF(03_Cenas!G110="","",03_Cenas!G110)</f>
        <v>Medio</v>
      </c>
      <c r="I373" s="58" t="n">
        <f aca="false">IF(03_Cenas!H110="","",03_Cenas!H110)</f>
        <v>25</v>
      </c>
      <c r="J373" s="58" t="n">
        <f aca="false">IF(03_Cenas!I110="","",03_Cenas!I110)</f>
        <v>45</v>
      </c>
      <c r="K373" s="58" t="n">
        <f aca="false">IF(03_Cenas!J110="","",03_Cenas!J110)</f>
        <v>35</v>
      </c>
      <c r="L373" s="58" t="n">
        <f aca="false">IF(03_Cenas!L110="","",03_Cenas!L110)</f>
        <v>36</v>
      </c>
      <c r="M373" s="58" t="n">
        <f aca="false">IF(03_Cenas!N110="","",03_Cenas!N110)</f>
        <v>3.85</v>
      </c>
      <c r="N373" s="58" t="n">
        <f aca="false">IF(03_Cenas!O110="","",03_Cenas!O110)</f>
        <v>31.15</v>
      </c>
      <c r="O373" s="55" t="str">
        <f aca="false">IF(03_Cenas!P110="","",03_Cenas!P110)</f>
        <v>19:00-23:00</v>
      </c>
      <c r="P373" s="55" t="n">
        <f aca="false">IF(03_Cenas!Q110="","",03_Cenas!Q110)</f>
        <v>18</v>
      </c>
      <c r="Q373" s="55" t="str">
        <f aca="false">IF(03_Cenas!R110="","",03_Cenas!R110)</f>
        <v>Medio</v>
      </c>
      <c r="R373" s="55" t="str">
        <f aca="false">IF(03_Cenas!S110="","",03_Cenas!S110)</f>
        <v>Fin de semana</v>
      </c>
      <c r="S373" s="55" t="str">
        <f aca="false">IF(03_Cenas!T110="","",03_Cenas!T110)</f>
        <v>Bar</v>
      </c>
      <c r="T373" s="56" t="str">
        <f aca="false">IF(03_Cenas!U110="","",03_Cenas!U110)</f>
        <v>Cruce natural con la lista de licorería</v>
      </c>
      <c r="U373" s="55" t="n">
        <v>110</v>
      </c>
      <c r="V373" s="55" t="n">
        <f aca="false">IF(AND(OR(LEN(13_Buscador!$C$5)=0,ISNUMBER(SEARCH(13_Buscador!$C$5,$C373&amp;" "&amp;$D373&amp;" "&amp;$E373&amp;" "&amp;$F373&amp;" "&amp;$S373))),OR(13_Buscador!$C$6="Todas las listas",LEN(13_Buscador!$C$6)=0,13_Buscador!$C$6=$B373)),1,0)</f>
        <v>1</v>
      </c>
      <c r="W373" s="55" t="n">
        <f aca="false">IF(V373=1,SUM($V$2:V373),"")</f>
        <v>97</v>
      </c>
    </row>
    <row r="374" customFormat="false" ht="15" hidden="false" customHeight="true" outlineLevel="0" collapsed="false">
      <c r="A374" s="55" t="n">
        <v>373</v>
      </c>
      <c r="B374" s="55" t="s">
        <v>3329</v>
      </c>
      <c r="C374" s="55" t="str">
        <f aca="false">IF(03_Cenas!B111="","",03_Cenas!B111)</f>
        <v>Sushi y otros</v>
      </c>
      <c r="D374" s="56" t="str">
        <f aca="false">IF(03_Cenas!C111="","",03_Cenas!C111)</f>
        <v>Piqueo criollo</v>
      </c>
      <c r="E374" s="56" t="str">
        <f aca="false">IF(03_Cenas!D111="","",03_Cenas!D111)</f>
        <v>Papa huancaína, ceviche, chicharrón</v>
      </c>
      <c r="F374" s="56" t="str">
        <f aca="false">IF(03_Cenas!E111="","",03_Cenas!E111)</f>
        <v>surtido de preparaciones de la casa</v>
      </c>
      <c r="G374" s="55" t="str">
        <f aca="false">IF(03_Cenas!F111="","",03_Cenas!F111)</f>
        <v>Fuente</v>
      </c>
      <c r="H374" s="55" t="str">
        <f aca="false">IF(03_Cenas!G111="","",03_Cenas!G111)</f>
        <v>Medio</v>
      </c>
      <c r="I374" s="58" t="n">
        <f aca="false">IF(03_Cenas!H111="","",03_Cenas!H111)</f>
        <v>25</v>
      </c>
      <c r="J374" s="58" t="n">
        <f aca="false">IF(03_Cenas!I111="","",03_Cenas!I111)</f>
        <v>45</v>
      </c>
      <c r="K374" s="58" t="n">
        <f aca="false">IF(03_Cenas!J111="","",03_Cenas!J111)</f>
        <v>35</v>
      </c>
      <c r="L374" s="58" t="n">
        <f aca="false">IF(03_Cenas!L111="","",03_Cenas!L111)</f>
        <v>36</v>
      </c>
      <c r="M374" s="58" t="n">
        <f aca="false">IF(03_Cenas!N111="","",03_Cenas!N111)</f>
        <v>3.85</v>
      </c>
      <c r="N374" s="58" t="n">
        <f aca="false">IF(03_Cenas!O111="","",03_Cenas!O111)</f>
        <v>31.15</v>
      </c>
      <c r="O374" s="55" t="str">
        <f aca="false">IF(03_Cenas!P111="","",03_Cenas!P111)</f>
        <v>18:00-22:00</v>
      </c>
      <c r="P374" s="55" t="n">
        <f aca="false">IF(03_Cenas!Q111="","",03_Cenas!Q111)</f>
        <v>20</v>
      </c>
      <c r="Q374" s="55" t="str">
        <f aca="false">IF(03_Cenas!R111="","",03_Cenas!R111)</f>
        <v>Medio</v>
      </c>
      <c r="R374" s="55" t="str">
        <f aca="false">IF(03_Cenas!S111="","",03_Cenas!S111)</f>
        <v>Todo el año</v>
      </c>
      <c r="S374" s="55" t="str">
        <f aca="false">IF(03_Cenas!T111="","",03_Cenas!T111)</f>
        <v>Restaurante</v>
      </c>
      <c r="T374" s="56" t="str">
        <f aca="false">IF(03_Cenas!U111="","",03_Cenas!U111)</f>
        <v/>
      </c>
      <c r="U374" s="55" t="n">
        <v>111</v>
      </c>
      <c r="V374" s="55" t="n">
        <f aca="false">IF(AND(OR(LEN(13_Buscador!$C$5)=0,ISNUMBER(SEARCH(13_Buscador!$C$5,$C374&amp;" "&amp;$D374&amp;" "&amp;$E374&amp;" "&amp;$F374&amp;" "&amp;$S374))),OR(13_Buscador!$C$6="Todas las listas",LEN(13_Buscador!$C$6)=0,13_Buscador!$C$6=$B374)),1,0)</f>
        <v>0</v>
      </c>
      <c r="W374" s="55" t="str">
        <f aca="false">IF(V374=1,SUM($V$2:V374),"")</f>
        <v/>
      </c>
    </row>
    <row r="375" customFormat="false" ht="15" hidden="false" customHeight="true" outlineLevel="0" collapsed="false">
      <c r="A375" s="55" t="n">
        <v>374</v>
      </c>
      <c r="B375" s="55" t="s">
        <v>3329</v>
      </c>
      <c r="C375" s="55" t="str">
        <f aca="false">IF(03_Cenas!B112="","",03_Cenas!B112)</f>
        <v>Sushi y otros</v>
      </c>
      <c r="D375" s="56" t="str">
        <f aca="false">IF(03_Cenas!C112="","",03_Cenas!C112)</f>
        <v>Choripán doble</v>
      </c>
      <c r="E375" s="56" t="str">
        <f aca="false">IF(03_Cenas!D112="","",03_Cenas!D112)</f>
        <v>Dos chorizos en pan</v>
      </c>
      <c r="F375" s="56" t="str">
        <f aca="false">IF(03_Cenas!E112="","",03_Cenas!E112)</f>
        <v>pan, salchicha o chorizo, papas al hilo, salsas</v>
      </c>
      <c r="G375" s="55" t="str">
        <f aca="false">IF(03_Cenas!F112="","",03_Cenas!F112)</f>
        <v>1 unidad</v>
      </c>
      <c r="H375" s="55" t="str">
        <f aca="false">IF(03_Cenas!G112="","",03_Cenas!G112)</f>
        <v>Económico</v>
      </c>
      <c r="I375" s="58" t="n">
        <f aca="false">IF(03_Cenas!H112="","",03_Cenas!H112)</f>
        <v>9</v>
      </c>
      <c r="J375" s="58" t="n">
        <f aca="false">IF(03_Cenas!I112="","",03_Cenas!I112)</f>
        <v>16</v>
      </c>
      <c r="K375" s="58" t="n">
        <f aca="false">IF(03_Cenas!J112="","",03_Cenas!J112)</f>
        <v>12.5</v>
      </c>
      <c r="L375" s="58" t="n">
        <f aca="false">IF(03_Cenas!L112="","",03_Cenas!L112)</f>
        <v>13.5</v>
      </c>
      <c r="M375" s="58" t="n">
        <f aca="false">IF(03_Cenas!N112="","",03_Cenas!N112)</f>
        <v>0.88</v>
      </c>
      <c r="N375" s="58" t="n">
        <f aca="false">IF(03_Cenas!O112="","",03_Cenas!O112)</f>
        <v>11.62</v>
      </c>
      <c r="O375" s="55" t="str">
        <f aca="false">IF(03_Cenas!P112="","",03_Cenas!P112)</f>
        <v>18:00-23:00</v>
      </c>
      <c r="P375" s="55" t="n">
        <f aca="false">IF(03_Cenas!Q112="","",03_Cenas!Q112)</f>
        <v>10</v>
      </c>
      <c r="Q375" s="55" t="str">
        <f aca="false">IF(03_Cenas!R112="","",03_Cenas!R112)</f>
        <v>Alto</v>
      </c>
      <c r="R375" s="55" t="str">
        <f aca="false">IF(03_Cenas!S112="","",03_Cenas!S112)</f>
        <v>Todo el año</v>
      </c>
      <c r="S375" s="55" t="str">
        <f aca="false">IF(03_Cenas!T112="","",03_Cenas!T112)</f>
        <v>Parrilla, ambulante</v>
      </c>
      <c r="T375" s="56" t="str">
        <f aca="false">IF(03_Cenas!U112="","",03_Cenas!U112)</f>
        <v/>
      </c>
      <c r="U375" s="55" t="n">
        <v>112</v>
      </c>
      <c r="V375" s="55" t="n">
        <f aca="false">IF(AND(OR(LEN(13_Buscador!$C$5)=0,ISNUMBER(SEARCH(13_Buscador!$C$5,$C375&amp;" "&amp;$D375&amp;" "&amp;$E375&amp;" "&amp;$F375&amp;" "&amp;$S375))),OR(13_Buscador!$C$6="Todas las listas",LEN(13_Buscador!$C$6)=0,13_Buscador!$C$6=$B375)),1,0)</f>
        <v>0</v>
      </c>
      <c r="W375" s="55" t="str">
        <f aca="false">IF(V375=1,SUM($V$2:V375),"")</f>
        <v/>
      </c>
    </row>
    <row r="376" customFormat="false" ht="15" hidden="false" customHeight="true" outlineLevel="0" collapsed="false">
      <c r="A376" s="55" t="n">
        <v>375</v>
      </c>
      <c r="B376" s="55" t="s">
        <v>3329</v>
      </c>
      <c r="C376" s="55" t="str">
        <f aca="false">IF(03_Cenas!B113="","",03_Cenas!B113)</f>
        <v>Sushi y otros</v>
      </c>
      <c r="D376" s="56" t="str">
        <f aca="false">IF(03_Cenas!C113="","",03_Cenas!C113)</f>
        <v>Tequeños dulces</v>
      </c>
      <c r="E376" s="56" t="str">
        <f aca="false">IF(03_Cenas!D113="","",03_Cenas!D113)</f>
        <v>Con manjar o chocolate</v>
      </c>
      <c r="F376" s="56" t="str">
        <f aca="false">IF(03_Cenas!E113="","",03_Cenas!E113)</f>
        <v>masa de wantán, queso, aceite, salsa de guacamole</v>
      </c>
      <c r="G376" s="55" t="str">
        <f aca="false">IF(03_Cenas!F113="","",03_Cenas!F113)</f>
        <v>Porción</v>
      </c>
      <c r="H376" s="55" t="str">
        <f aca="false">IF(03_Cenas!G113="","",03_Cenas!G113)</f>
        <v>Económico</v>
      </c>
      <c r="I376" s="58" t="n">
        <f aca="false">IF(03_Cenas!H113="","",03_Cenas!H113)</f>
        <v>8</v>
      </c>
      <c r="J376" s="58" t="n">
        <f aca="false">IF(03_Cenas!I113="","",03_Cenas!I113)</f>
        <v>16</v>
      </c>
      <c r="K376" s="58" t="n">
        <f aca="false">IF(03_Cenas!J113="","",03_Cenas!J113)</f>
        <v>12</v>
      </c>
      <c r="L376" s="58" t="n">
        <f aca="false">IF(03_Cenas!L113="","",03_Cenas!L113)</f>
        <v>13</v>
      </c>
      <c r="M376" s="58" t="n">
        <f aca="false">IF(03_Cenas!N113="","",03_Cenas!N113)</f>
        <v>0.84</v>
      </c>
      <c r="N376" s="58" t="n">
        <f aca="false">IF(03_Cenas!O113="","",03_Cenas!O113)</f>
        <v>11.16</v>
      </c>
      <c r="O376" s="55" t="str">
        <f aca="false">IF(03_Cenas!P113="","",03_Cenas!P113)</f>
        <v>18:00-23:00</v>
      </c>
      <c r="P376" s="55" t="n">
        <f aca="false">IF(03_Cenas!Q113="","",03_Cenas!Q113)</f>
        <v>10</v>
      </c>
      <c r="Q376" s="55" t="str">
        <f aca="false">IF(03_Cenas!R113="","",03_Cenas!R113)</f>
        <v>Alto</v>
      </c>
      <c r="R376" s="55" t="str">
        <f aca="false">IF(03_Cenas!S113="","",03_Cenas!S113)</f>
        <v>Todo el año</v>
      </c>
      <c r="S376" s="55" t="str">
        <f aca="false">IF(03_Cenas!T113="","",03_Cenas!T113)</f>
        <v>Pizzería, bar</v>
      </c>
      <c r="T376" s="56" t="str">
        <f aca="false">IF(03_Cenas!U113="","",03_Cenas!U113)</f>
        <v/>
      </c>
      <c r="U376" s="55" t="n">
        <v>113</v>
      </c>
      <c r="V376" s="55" t="n">
        <f aca="false">IF(AND(OR(LEN(13_Buscador!$C$5)=0,ISNUMBER(SEARCH(13_Buscador!$C$5,$C376&amp;" "&amp;$D376&amp;" "&amp;$E376&amp;" "&amp;$F376&amp;" "&amp;$S376))),OR(13_Buscador!$C$6="Todas las listas",LEN(13_Buscador!$C$6)=0,13_Buscador!$C$6=$B376)),1,0)</f>
        <v>0</v>
      </c>
      <c r="W376" s="55" t="str">
        <f aca="false">IF(V376=1,SUM($V$2:V376),"")</f>
        <v/>
      </c>
    </row>
    <row r="377" customFormat="false" ht="23.25" hidden="false" customHeight="true" outlineLevel="0" collapsed="false">
      <c r="A377" s="55" t="n">
        <v>376</v>
      </c>
      <c r="B377" s="55" t="s">
        <v>3330</v>
      </c>
      <c r="C377" s="55" t="str">
        <f aca="false">IF(04_Especiales!B2="","",04_Especiales!B2)</f>
        <v>Cuy</v>
      </c>
      <c r="D377" s="56" t="str">
        <f aca="false">IF(04_Especiales!C2="","",04_Especiales!C2)</f>
        <v>Cuy chactado</v>
      </c>
      <c r="E377" s="56" t="str">
        <f aca="false">IF(04_Especiales!D2="","",04_Especiales!D2)</f>
        <v>Cuy frito prensado, papa, mote</v>
      </c>
      <c r="F377" s="56" t="str">
        <f aca="false">IF(04_Especiales!E2="","",04_Especiales!E2)</f>
        <v>cuy, ajo, comino, sal, harina o maíz molido, papa, mote, ají</v>
      </c>
      <c r="G377" s="55" t="str">
        <f aca="false">IF(04_Especiales!F2="","",04_Especiales!F2)</f>
        <v>Plato</v>
      </c>
      <c r="H377" s="55" t="str">
        <f aca="false">IF(04_Especiales!G2="","",04_Especiales!G2)</f>
        <v>Premium</v>
      </c>
      <c r="I377" s="58" t="n">
        <f aca="false">IF(04_Especiales!H2="","",04_Especiales!H2)</f>
        <v>30</v>
      </c>
      <c r="J377" s="58" t="n">
        <f aca="false">IF(04_Especiales!I2="","",04_Especiales!I2)</f>
        <v>50</v>
      </c>
      <c r="K377" s="58" t="n">
        <f aca="false">IF(04_Especiales!J2="","",04_Especiales!J2)</f>
        <v>40</v>
      </c>
      <c r="L377" s="58" t="n">
        <f aca="false">IF(04_Especiales!L2="","",04_Especiales!L2)</f>
        <v>41.5</v>
      </c>
      <c r="M377" s="58" t="n">
        <f aca="false">IF(04_Especiales!N2="","",04_Especiales!N2)</f>
        <v>5.2</v>
      </c>
      <c r="N377" s="58" t="n">
        <f aca="false">IF(04_Especiales!O2="","",04_Especiales!O2)</f>
        <v>34.8</v>
      </c>
      <c r="O377" s="55" t="str">
        <f aca="false">IF(04_Especiales!P2="","",04_Especiales!P2)</f>
        <v>11:00-16:00</v>
      </c>
      <c r="P377" s="55" t="n">
        <f aca="false">IF(04_Especiales!Q2="","",04_Especiales!Q2)</f>
        <v>30</v>
      </c>
      <c r="Q377" s="55" t="str">
        <f aca="false">IF(04_Especiales!R2="","",04_Especiales!R2)</f>
        <v>Medio</v>
      </c>
      <c r="R377" s="55" t="str">
        <f aca="false">IF(04_Especiales!S2="","",04_Especiales!S2)</f>
        <v>Fin de semana y fiestas</v>
      </c>
      <c r="S377" s="55" t="str">
        <f aca="false">IF(04_Especiales!T2="","",04_Especiales!T2)</f>
        <v>Regional, campestre</v>
      </c>
      <c r="T377" s="56" t="str">
        <f aca="false">IF(04_Especiales!U2="","",04_Especiales!U2)</f>
        <v>Requiere pedido anticipado; avisar 1 hora antes</v>
      </c>
      <c r="U377" s="55" t="n">
        <v>2</v>
      </c>
      <c r="V377" s="55" t="n">
        <f aca="false">IF(AND(OR(LEN(13_Buscador!$C$5)=0,ISNUMBER(SEARCH(13_Buscador!$C$5,$C377&amp;" "&amp;$D377&amp;" "&amp;$E377&amp;" "&amp;$F377&amp;" "&amp;$S377))),OR(13_Buscador!$C$6="Todas las listas",LEN(13_Buscador!$C$6)=0,13_Buscador!$C$6=$B377)),1,0)</f>
        <v>0</v>
      </c>
      <c r="W377" s="55" t="str">
        <f aca="false">IF(V377=1,SUM($V$2:V377),"")</f>
        <v/>
      </c>
    </row>
    <row r="378" customFormat="false" ht="23.25" hidden="false" customHeight="true" outlineLevel="0" collapsed="false">
      <c r="A378" s="55" t="n">
        <v>377</v>
      </c>
      <c r="B378" s="55" t="s">
        <v>3330</v>
      </c>
      <c r="C378" s="55" t="str">
        <f aca="false">IF(04_Especiales!B3="","",04_Especiales!B3)</f>
        <v>Cuy</v>
      </c>
      <c r="D378" s="56" t="str">
        <f aca="false">IF(04_Especiales!C3="","",04_Especiales!C3)</f>
        <v>Cuy al horno</v>
      </c>
      <c r="E378" s="56" t="str">
        <f aca="false">IF(04_Especiales!D3="","",04_Especiales!D3)</f>
        <v>Cuy horneado con guarnición</v>
      </c>
      <c r="F378" s="56" t="str">
        <f aca="false">IF(04_Especiales!E3="","",04_Especiales!E3)</f>
        <v>cuy, ajo, comino, sal, harina o maíz molido, papa, mote, ají</v>
      </c>
      <c r="G378" s="55" t="str">
        <f aca="false">IF(04_Especiales!F3="","",04_Especiales!F3)</f>
        <v>Plato</v>
      </c>
      <c r="H378" s="55" t="str">
        <f aca="false">IF(04_Especiales!G3="","",04_Especiales!G3)</f>
        <v>Premium</v>
      </c>
      <c r="I378" s="58" t="n">
        <f aca="false">IF(04_Especiales!H3="","",04_Especiales!H3)</f>
        <v>30</v>
      </c>
      <c r="J378" s="58" t="n">
        <f aca="false">IF(04_Especiales!I3="","",04_Especiales!I3)</f>
        <v>50</v>
      </c>
      <c r="K378" s="58" t="n">
        <f aca="false">IF(04_Especiales!J3="","",04_Especiales!J3)</f>
        <v>40</v>
      </c>
      <c r="L378" s="58" t="n">
        <f aca="false">IF(04_Especiales!L3="","",04_Especiales!L3)</f>
        <v>41.5</v>
      </c>
      <c r="M378" s="58" t="n">
        <f aca="false">IF(04_Especiales!N3="","",04_Especiales!N3)</f>
        <v>5.2</v>
      </c>
      <c r="N378" s="58" t="n">
        <f aca="false">IF(04_Especiales!O3="","",04_Especiales!O3)</f>
        <v>34.8</v>
      </c>
      <c r="O378" s="55" t="str">
        <f aca="false">IF(04_Especiales!P3="","",04_Especiales!P3)</f>
        <v>11:00-16:00</v>
      </c>
      <c r="P378" s="55" t="n">
        <f aca="false">IF(04_Especiales!Q3="","",04_Especiales!Q3)</f>
        <v>40</v>
      </c>
      <c r="Q378" s="55" t="str">
        <f aca="false">IF(04_Especiales!R3="","",04_Especiales!R3)</f>
        <v>Medio</v>
      </c>
      <c r="R378" s="55" t="str">
        <f aca="false">IF(04_Especiales!S3="","",04_Especiales!S3)</f>
        <v>Fin de semana y fiestas</v>
      </c>
      <c r="S378" s="55" t="str">
        <f aca="false">IF(04_Especiales!T3="","",04_Especiales!T3)</f>
        <v>Regional, campestre</v>
      </c>
      <c r="T378" s="56" t="str">
        <f aca="false">IF(04_Especiales!U3="","",04_Especiales!U3)</f>
        <v/>
      </c>
      <c r="U378" s="55" t="n">
        <v>3</v>
      </c>
      <c r="V378" s="55" t="n">
        <f aca="false">IF(AND(OR(LEN(13_Buscador!$C$5)=0,ISNUMBER(SEARCH(13_Buscador!$C$5,$C378&amp;" "&amp;$D378&amp;" "&amp;$E378&amp;" "&amp;$F378&amp;" "&amp;$S378))),OR(13_Buscador!$C$6="Todas las listas",LEN(13_Buscador!$C$6)=0,13_Buscador!$C$6=$B378)),1,0)</f>
        <v>0</v>
      </c>
      <c r="W378" s="55" t="str">
        <f aca="false">IF(V378=1,SUM($V$2:V378),"")</f>
        <v/>
      </c>
    </row>
    <row r="379" customFormat="false" ht="15" hidden="false" customHeight="true" outlineLevel="0" collapsed="false">
      <c r="A379" s="55" t="n">
        <v>378</v>
      </c>
      <c r="B379" s="55" t="s">
        <v>3330</v>
      </c>
      <c r="C379" s="55" t="str">
        <f aca="false">IF(04_Especiales!B4="","",04_Especiales!B4)</f>
        <v>Cuy</v>
      </c>
      <c r="D379" s="56" t="str">
        <f aca="false">IF(04_Especiales!C4="","",04_Especiales!C4)</f>
        <v>Cuy broaster</v>
      </c>
      <c r="E379" s="56" t="str">
        <f aca="false">IF(04_Especiales!D4="","",04_Especiales!D4)</f>
        <v>Cuy apanado frito</v>
      </c>
      <c r="F379" s="56" t="str">
        <f aca="false">IF(04_Especiales!E4="","",04_Especiales!E4)</f>
        <v>pollo, harina, huevo, especias, aceite, papas fritas</v>
      </c>
      <c r="G379" s="55" t="str">
        <f aca="false">IF(04_Especiales!F4="","",04_Especiales!F4)</f>
        <v>Plato</v>
      </c>
      <c r="H379" s="55" t="str">
        <f aca="false">IF(04_Especiales!G4="","",04_Especiales!G4)</f>
        <v>Premium</v>
      </c>
      <c r="I379" s="58" t="n">
        <f aca="false">IF(04_Especiales!H4="","",04_Especiales!H4)</f>
        <v>25</v>
      </c>
      <c r="J379" s="58" t="n">
        <f aca="false">IF(04_Especiales!I4="","",04_Especiales!I4)</f>
        <v>45</v>
      </c>
      <c r="K379" s="58" t="n">
        <f aca="false">IF(04_Especiales!J4="","",04_Especiales!J4)</f>
        <v>35</v>
      </c>
      <c r="L379" s="58" t="n">
        <f aca="false">IF(04_Especiales!L4="","",04_Especiales!L4)</f>
        <v>36.5</v>
      </c>
      <c r="M379" s="58" t="n">
        <f aca="false">IF(04_Especiales!N4="","",04_Especiales!N4)</f>
        <v>4.55</v>
      </c>
      <c r="N379" s="58" t="n">
        <f aca="false">IF(04_Especiales!O4="","",04_Especiales!O4)</f>
        <v>30.45</v>
      </c>
      <c r="O379" s="55" t="str">
        <f aca="false">IF(04_Especiales!P4="","",04_Especiales!P4)</f>
        <v>11:00-20:00</v>
      </c>
      <c r="P379" s="55" t="n">
        <f aca="false">IF(04_Especiales!Q4="","",04_Especiales!Q4)</f>
        <v>25</v>
      </c>
      <c r="Q379" s="55" t="str">
        <f aca="false">IF(04_Especiales!R4="","",04_Especiales!R4)</f>
        <v>Medio</v>
      </c>
      <c r="R379" s="55" t="str">
        <f aca="false">IF(04_Especiales!S4="","",04_Especiales!S4)</f>
        <v>Fin de semana</v>
      </c>
      <c r="S379" s="55" t="str">
        <f aca="false">IF(04_Especiales!T4="","",04_Especiales!T4)</f>
        <v>Regional</v>
      </c>
      <c r="T379" s="56" t="str">
        <f aca="false">IF(04_Especiales!U4="","",04_Especiales!U4)</f>
        <v/>
      </c>
      <c r="U379" s="55" t="n">
        <v>4</v>
      </c>
      <c r="V379" s="55" t="n">
        <f aca="false">IF(AND(OR(LEN(13_Buscador!$C$5)=0,ISNUMBER(SEARCH(13_Buscador!$C$5,$C379&amp;" "&amp;$D379&amp;" "&amp;$E379&amp;" "&amp;$F379&amp;" "&amp;$S379))),OR(13_Buscador!$C$6="Todas las listas",LEN(13_Buscador!$C$6)=0,13_Buscador!$C$6=$B379)),1,0)</f>
        <v>1</v>
      </c>
      <c r="W379" s="55" t="n">
        <f aca="false">IF(V379=1,SUM($V$2:V379),"")</f>
        <v>98</v>
      </c>
    </row>
    <row r="380" customFormat="false" ht="23.25" hidden="false" customHeight="true" outlineLevel="0" collapsed="false">
      <c r="A380" s="55" t="n">
        <v>379</v>
      </c>
      <c r="B380" s="55" t="s">
        <v>3330</v>
      </c>
      <c r="C380" s="55" t="str">
        <f aca="false">IF(04_Especiales!B5="","",04_Especiales!B5)</f>
        <v>Cuy</v>
      </c>
      <c r="D380" s="56" t="str">
        <f aca="false">IF(04_Especiales!C5="","",04_Especiales!C5)</f>
        <v>Medio cuy</v>
      </c>
      <c r="E380" s="56" t="str">
        <f aca="false">IF(04_Especiales!D5="","",04_Especiales!D5)</f>
        <v>Media porción</v>
      </c>
      <c r="F380" s="56" t="str">
        <f aca="false">IF(04_Especiales!E5="","",04_Especiales!E5)</f>
        <v>cuy, ajo, comino, sal, harina o maíz molido, papa, mote, ají</v>
      </c>
      <c r="G380" s="55" t="str">
        <f aca="false">IF(04_Especiales!F5="","",04_Especiales!F5)</f>
        <v>Porción</v>
      </c>
      <c r="H380" s="55" t="str">
        <f aca="false">IF(04_Especiales!G5="","",04_Especiales!G5)</f>
        <v>Medio</v>
      </c>
      <c r="I380" s="58" t="n">
        <f aca="false">IF(04_Especiales!H5="","",04_Especiales!H5)</f>
        <v>18</v>
      </c>
      <c r="J380" s="58" t="n">
        <f aca="false">IF(04_Especiales!I5="","",04_Especiales!I5)</f>
        <v>30</v>
      </c>
      <c r="K380" s="58" t="n">
        <f aca="false">IF(04_Especiales!J5="","",04_Especiales!J5)</f>
        <v>24</v>
      </c>
      <c r="L380" s="58" t="n">
        <f aca="false">IF(04_Especiales!L5="","",04_Especiales!L5)</f>
        <v>25.5</v>
      </c>
      <c r="M380" s="58" t="n">
        <f aca="false">IF(04_Especiales!N5="","",04_Especiales!N5)</f>
        <v>2.64</v>
      </c>
      <c r="N380" s="58" t="n">
        <f aca="false">IF(04_Especiales!O5="","",04_Especiales!O5)</f>
        <v>21.36</v>
      </c>
      <c r="O380" s="55" t="str">
        <f aca="false">IF(04_Especiales!P5="","",04_Especiales!P5)</f>
        <v>11:00-16:00</v>
      </c>
      <c r="P380" s="55" t="n">
        <f aca="false">IF(04_Especiales!Q5="","",04_Especiales!Q5)</f>
        <v>25</v>
      </c>
      <c r="Q380" s="55" t="str">
        <f aca="false">IF(04_Especiales!R5="","",04_Especiales!R5)</f>
        <v>Medio</v>
      </c>
      <c r="R380" s="55" t="str">
        <f aca="false">IF(04_Especiales!S5="","",04_Especiales!S5)</f>
        <v>Fin de semana</v>
      </c>
      <c r="S380" s="55" t="str">
        <f aca="false">IF(04_Especiales!T5="","",04_Especiales!T5)</f>
        <v>Regional</v>
      </c>
      <c r="T380" s="56" t="str">
        <f aca="false">IF(04_Especiales!U5="","",04_Especiales!U5)</f>
        <v/>
      </c>
      <c r="U380" s="55" t="n">
        <v>5</v>
      </c>
      <c r="V380" s="55" t="n">
        <f aca="false">IF(AND(OR(LEN(13_Buscador!$C$5)=0,ISNUMBER(SEARCH(13_Buscador!$C$5,$C380&amp;" "&amp;$D380&amp;" "&amp;$E380&amp;" "&amp;$F380&amp;" "&amp;$S380))),OR(13_Buscador!$C$6="Todas las listas",LEN(13_Buscador!$C$6)=0,13_Buscador!$C$6=$B380)),1,0)</f>
        <v>0</v>
      </c>
      <c r="W380" s="55" t="str">
        <f aca="false">IF(V380=1,SUM($V$2:V380),"")</f>
        <v/>
      </c>
    </row>
    <row r="381" customFormat="false" ht="15" hidden="false" customHeight="true" outlineLevel="0" collapsed="false">
      <c r="A381" s="55" t="n">
        <v>380</v>
      </c>
      <c r="B381" s="55" t="s">
        <v>3330</v>
      </c>
      <c r="C381" s="55" t="str">
        <f aca="false">IF(04_Especiales!B6="","",04_Especiales!B6)</f>
        <v>Carnes andinas</v>
      </c>
      <c r="D381" s="56" t="str">
        <f aca="false">IF(04_Especiales!C6="","",04_Especiales!C6)</f>
        <v>Cancacho de cordero</v>
      </c>
      <c r="E381" s="56" t="str">
        <f aca="false">IF(04_Especiales!D6="","",04_Especiales!D6)</f>
        <v>Cordero al horno macerado</v>
      </c>
      <c r="F381" s="56" t="str">
        <f aca="false">IF(04_Especiales!E6="","",04_Especiales!E6)</f>
        <v>cordero, ají panca, ajo, comino, chicha, papa</v>
      </c>
      <c r="G381" s="55" t="str">
        <f aca="false">IF(04_Especiales!F6="","",04_Especiales!F6)</f>
        <v>Plato</v>
      </c>
      <c r="H381" s="55" t="str">
        <f aca="false">IF(04_Especiales!G6="","",04_Especiales!G6)</f>
        <v>Premium</v>
      </c>
      <c r="I381" s="58" t="n">
        <f aca="false">IF(04_Especiales!H6="","",04_Especiales!H6)</f>
        <v>20</v>
      </c>
      <c r="J381" s="58" t="n">
        <f aca="false">IF(04_Especiales!I6="","",04_Especiales!I6)</f>
        <v>35</v>
      </c>
      <c r="K381" s="58" t="n">
        <f aca="false">IF(04_Especiales!J6="","",04_Especiales!J6)</f>
        <v>27.5</v>
      </c>
      <c r="L381" s="58" t="n">
        <f aca="false">IF(04_Especiales!L6="","",04_Especiales!L6)</f>
        <v>29</v>
      </c>
      <c r="M381" s="58" t="n">
        <f aca="false">IF(04_Especiales!N6="","",04_Especiales!N6)</f>
        <v>3.58</v>
      </c>
      <c r="N381" s="58" t="n">
        <f aca="false">IF(04_Especiales!O6="","",04_Especiales!O6)</f>
        <v>23.92</v>
      </c>
      <c r="O381" s="55" t="str">
        <f aca="false">IF(04_Especiales!P6="","",04_Especiales!P6)</f>
        <v>11:00-16:00</v>
      </c>
      <c r="P381" s="55" t="n">
        <f aca="false">IF(04_Especiales!Q6="","",04_Especiales!Q6)</f>
        <v>40</v>
      </c>
      <c r="Q381" s="55" t="str">
        <f aca="false">IF(04_Especiales!R6="","",04_Especiales!R6)</f>
        <v>Medio</v>
      </c>
      <c r="R381" s="55" t="str">
        <f aca="false">IF(04_Especiales!S6="","",04_Especiales!S6)</f>
        <v>Domingo y fiestas</v>
      </c>
      <c r="S381" s="55" t="str">
        <f aca="false">IF(04_Especiales!T6="","",04_Especiales!T6)</f>
        <v>Campestre</v>
      </c>
      <c r="T381" s="56" t="str">
        <f aca="false">IF(04_Especiales!U6="","",04_Especiales!U6)</f>
        <v>Típico de Ayaviri y zona alta</v>
      </c>
      <c r="U381" s="55" t="n">
        <v>6</v>
      </c>
      <c r="V381" s="55" t="n">
        <f aca="false">IF(AND(OR(LEN(13_Buscador!$C$5)=0,ISNUMBER(SEARCH(13_Buscador!$C$5,$C381&amp;" "&amp;$D381&amp;" "&amp;$E381&amp;" "&amp;$F381&amp;" "&amp;$S381))),OR(13_Buscador!$C$6="Todas las listas",LEN(13_Buscador!$C$6)=0,13_Buscador!$C$6=$B381)),1,0)</f>
        <v>0</v>
      </c>
      <c r="W381" s="55" t="str">
        <f aca="false">IF(V381=1,SUM($V$2:V381),"")</f>
        <v/>
      </c>
    </row>
    <row r="382" customFormat="false" ht="23.25" hidden="false" customHeight="true" outlineLevel="0" collapsed="false">
      <c r="A382" s="55" t="n">
        <v>381</v>
      </c>
      <c r="B382" s="55" t="s">
        <v>3330</v>
      </c>
      <c r="C382" s="55" t="str">
        <f aca="false">IF(04_Especiales!B7="","",04_Especiales!B7)</f>
        <v>Carnes andinas</v>
      </c>
      <c r="D382" s="56" t="str">
        <f aca="false">IF(04_Especiales!C7="","",04_Especiales!C7)</f>
        <v>Alpaca a la parrilla</v>
      </c>
      <c r="E382" s="56" t="str">
        <f aca="false">IF(04_Especiales!D7="","",04_Especiales!D7)</f>
        <v>Lomo de alpaca con guarnición</v>
      </c>
      <c r="F382" s="56" t="str">
        <f aca="false">IF(04_Especiales!E7="","",04_Especiales!E7)</f>
        <v>lomo de alpaca, ajo, comino, sal, guarnición de papa o quinua</v>
      </c>
      <c r="G382" s="55" t="str">
        <f aca="false">IF(04_Especiales!F7="","",04_Especiales!F7)</f>
        <v>Plato</v>
      </c>
      <c r="H382" s="55" t="str">
        <f aca="false">IF(04_Especiales!G7="","",04_Especiales!G7)</f>
        <v>Premium</v>
      </c>
      <c r="I382" s="58" t="n">
        <f aca="false">IF(04_Especiales!H7="","",04_Especiales!H7)</f>
        <v>25</v>
      </c>
      <c r="J382" s="58" t="n">
        <f aca="false">IF(04_Especiales!I7="","",04_Especiales!I7)</f>
        <v>45</v>
      </c>
      <c r="K382" s="58" t="n">
        <f aca="false">IF(04_Especiales!J7="","",04_Especiales!J7)</f>
        <v>35</v>
      </c>
      <c r="L382" s="58" t="n">
        <f aca="false">IF(04_Especiales!L7="","",04_Especiales!L7)</f>
        <v>36.5</v>
      </c>
      <c r="M382" s="58" t="n">
        <f aca="false">IF(04_Especiales!N7="","",04_Especiales!N7)</f>
        <v>4.55</v>
      </c>
      <c r="N382" s="58" t="n">
        <f aca="false">IF(04_Especiales!O7="","",04_Especiales!O7)</f>
        <v>30.45</v>
      </c>
      <c r="O382" s="55" t="str">
        <f aca="false">IF(04_Especiales!P7="","",04_Especiales!P7)</f>
        <v>12:00-22:00</v>
      </c>
      <c r="P382" s="55" t="n">
        <f aca="false">IF(04_Especiales!Q7="","",04_Especiales!Q7)</f>
        <v>20</v>
      </c>
      <c r="Q382" s="55" t="str">
        <f aca="false">IF(04_Especiales!R7="","",04_Especiales!R7)</f>
        <v>Medio</v>
      </c>
      <c r="R382" s="55" t="str">
        <f aca="false">IF(04_Especiales!S7="","",04_Especiales!S7)</f>
        <v>Todo el año</v>
      </c>
      <c r="S382" s="55" t="str">
        <f aca="false">IF(04_Especiales!T7="","",04_Especiales!T7)</f>
        <v>Restaurante turístico</v>
      </c>
      <c r="T382" s="56" t="str">
        <f aca="false">IF(04_Especiales!U7="","",04_Especiales!U7)</f>
        <v>Alta demanda turística</v>
      </c>
      <c r="U382" s="55" t="n">
        <v>7</v>
      </c>
      <c r="V382" s="55" t="n">
        <f aca="false">IF(AND(OR(LEN(13_Buscador!$C$5)=0,ISNUMBER(SEARCH(13_Buscador!$C$5,$C382&amp;" "&amp;$D382&amp;" "&amp;$E382&amp;" "&amp;$F382&amp;" "&amp;$S382))),OR(13_Buscador!$C$6="Todas las listas",LEN(13_Buscador!$C$6)=0,13_Buscador!$C$6=$B382)),1,0)</f>
        <v>0</v>
      </c>
      <c r="W382" s="55" t="str">
        <f aca="false">IF(V382=1,SUM($V$2:V382),"")</f>
        <v/>
      </c>
    </row>
    <row r="383" customFormat="false" ht="23.25" hidden="false" customHeight="true" outlineLevel="0" collapsed="false">
      <c r="A383" s="55" t="n">
        <v>382</v>
      </c>
      <c r="B383" s="55" t="s">
        <v>3330</v>
      </c>
      <c r="C383" s="55" t="str">
        <f aca="false">IF(04_Especiales!B8="","",04_Especiales!B8)</f>
        <v>Carnes andinas</v>
      </c>
      <c r="D383" s="56" t="str">
        <f aca="false">IF(04_Especiales!C8="","",04_Especiales!C8)</f>
        <v>Lomo de alpaca en salsa</v>
      </c>
      <c r="E383" s="56" t="str">
        <f aca="false">IF(04_Especiales!D8="","",04_Especiales!D8)</f>
        <v>Con salsa de vino o muña</v>
      </c>
      <c r="F383" s="56" t="str">
        <f aca="false">IF(04_Especiales!E8="","",04_Especiales!E8)</f>
        <v>lomo de alpaca, ajo, comino, sal, guarnición de papa o quinua</v>
      </c>
      <c r="G383" s="55" t="str">
        <f aca="false">IF(04_Especiales!F8="","",04_Especiales!F8)</f>
        <v>Plato</v>
      </c>
      <c r="H383" s="55" t="str">
        <f aca="false">IF(04_Especiales!G8="","",04_Especiales!G8)</f>
        <v>Premium</v>
      </c>
      <c r="I383" s="58" t="n">
        <f aca="false">IF(04_Especiales!H8="","",04_Especiales!H8)</f>
        <v>28</v>
      </c>
      <c r="J383" s="58" t="n">
        <f aca="false">IF(04_Especiales!I8="","",04_Especiales!I8)</f>
        <v>50</v>
      </c>
      <c r="K383" s="58" t="n">
        <f aca="false">IF(04_Especiales!J8="","",04_Especiales!J8)</f>
        <v>39</v>
      </c>
      <c r="L383" s="58" t="n">
        <f aca="false">IF(04_Especiales!L8="","",04_Especiales!L8)</f>
        <v>40.5</v>
      </c>
      <c r="M383" s="58" t="n">
        <f aca="false">IF(04_Especiales!N8="","",04_Especiales!N8)</f>
        <v>5.07</v>
      </c>
      <c r="N383" s="58" t="n">
        <f aca="false">IF(04_Especiales!O8="","",04_Especiales!O8)</f>
        <v>33.93</v>
      </c>
      <c r="O383" s="55" t="str">
        <f aca="false">IF(04_Especiales!P8="","",04_Especiales!P8)</f>
        <v>12:00-22:00</v>
      </c>
      <c r="P383" s="55" t="n">
        <f aca="false">IF(04_Especiales!Q8="","",04_Especiales!Q8)</f>
        <v>20</v>
      </c>
      <c r="Q383" s="55" t="str">
        <f aca="false">IF(04_Especiales!R8="","",04_Especiales!R8)</f>
        <v>Medio</v>
      </c>
      <c r="R383" s="55" t="str">
        <f aca="false">IF(04_Especiales!S8="","",04_Especiales!S8)</f>
        <v>Todo el año</v>
      </c>
      <c r="S383" s="55" t="str">
        <f aca="false">IF(04_Especiales!T8="","",04_Especiales!T8)</f>
        <v>Restaurante turístico</v>
      </c>
      <c r="T383" s="56" t="str">
        <f aca="false">IF(04_Especiales!U8="","",04_Especiales!U8)</f>
        <v/>
      </c>
      <c r="U383" s="55" t="n">
        <v>8</v>
      </c>
      <c r="V383" s="55" t="n">
        <f aca="false">IF(AND(OR(LEN(13_Buscador!$C$5)=0,ISNUMBER(SEARCH(13_Buscador!$C$5,$C383&amp;" "&amp;$D383&amp;" "&amp;$E383&amp;" "&amp;$F383&amp;" "&amp;$S383))),OR(13_Buscador!$C$6="Todas las listas",LEN(13_Buscador!$C$6)=0,13_Buscador!$C$6=$B383)),1,0)</f>
        <v>0</v>
      </c>
      <c r="W383" s="55" t="str">
        <f aca="false">IF(V383=1,SUM($V$2:V383),"")</f>
        <v/>
      </c>
    </row>
    <row r="384" customFormat="false" ht="15" hidden="false" customHeight="true" outlineLevel="0" collapsed="false">
      <c r="A384" s="55" t="n">
        <v>383</v>
      </c>
      <c r="B384" s="55" t="s">
        <v>3330</v>
      </c>
      <c r="C384" s="55" t="str">
        <f aca="false">IF(04_Especiales!B9="","",04_Especiales!B9)</f>
        <v>Carnes andinas</v>
      </c>
      <c r="D384" s="56" t="str">
        <f aca="false">IF(04_Especiales!C9="","",04_Especiales!C9)</f>
        <v>Chicharrón de alpaca</v>
      </c>
      <c r="E384" s="56" t="str">
        <f aca="false">IF(04_Especiales!D9="","",04_Especiales!D9)</f>
        <v>Alpaca frita con mote</v>
      </c>
      <c r="F384" s="56" t="str">
        <f aca="false">IF(04_Especiales!E9="","",04_Especiales!E9)</f>
        <v>carne de alpaca, sal, aceite, mote, papa</v>
      </c>
      <c r="G384" s="55" t="str">
        <f aca="false">IF(04_Especiales!F9="","",04_Especiales!F9)</f>
        <v>Plato</v>
      </c>
      <c r="H384" s="55" t="str">
        <f aca="false">IF(04_Especiales!G9="","",04_Especiales!G9)</f>
        <v>Medio</v>
      </c>
      <c r="I384" s="58" t="n">
        <f aca="false">IF(04_Especiales!H9="","",04_Especiales!H9)</f>
        <v>18</v>
      </c>
      <c r="J384" s="58" t="n">
        <f aca="false">IF(04_Especiales!I9="","",04_Especiales!I9)</f>
        <v>30</v>
      </c>
      <c r="K384" s="58" t="n">
        <f aca="false">IF(04_Especiales!J9="","",04_Especiales!J9)</f>
        <v>24</v>
      </c>
      <c r="L384" s="58" t="n">
        <f aca="false">IF(04_Especiales!L9="","",04_Especiales!L9)</f>
        <v>25.5</v>
      </c>
      <c r="M384" s="58" t="n">
        <f aca="false">IF(04_Especiales!N9="","",04_Especiales!N9)</f>
        <v>2.64</v>
      </c>
      <c r="N384" s="58" t="n">
        <f aca="false">IF(04_Especiales!O9="","",04_Especiales!O9)</f>
        <v>21.36</v>
      </c>
      <c r="O384" s="55" t="str">
        <f aca="false">IF(04_Especiales!P9="","",04_Especiales!P9)</f>
        <v>11:00-17:00</v>
      </c>
      <c r="P384" s="55" t="n">
        <f aca="false">IF(04_Especiales!Q9="","",04_Especiales!Q9)</f>
        <v>20</v>
      </c>
      <c r="Q384" s="55" t="str">
        <f aca="false">IF(04_Especiales!R9="","",04_Especiales!R9)</f>
        <v>Medio</v>
      </c>
      <c r="R384" s="55" t="str">
        <f aca="false">IF(04_Especiales!S9="","",04_Especiales!S9)</f>
        <v>Todo el año</v>
      </c>
      <c r="S384" s="55" t="str">
        <f aca="false">IF(04_Especiales!T9="","",04_Especiales!T9)</f>
        <v>Regional</v>
      </c>
      <c r="T384" s="56" t="str">
        <f aca="false">IF(04_Especiales!U9="","",04_Especiales!U9)</f>
        <v/>
      </c>
      <c r="U384" s="55" t="n">
        <v>9</v>
      </c>
      <c r="V384" s="55" t="n">
        <f aca="false">IF(AND(OR(LEN(13_Buscador!$C$5)=0,ISNUMBER(SEARCH(13_Buscador!$C$5,$C384&amp;" "&amp;$D384&amp;" "&amp;$E384&amp;" "&amp;$F384&amp;" "&amp;$S384))),OR(13_Buscador!$C$6="Todas las listas",LEN(13_Buscador!$C$6)=0,13_Buscador!$C$6=$B384)),1,0)</f>
        <v>0</v>
      </c>
      <c r="W384" s="55" t="str">
        <f aca="false">IF(V384=1,SUM($V$2:V384),"")</f>
        <v/>
      </c>
    </row>
    <row r="385" customFormat="false" ht="23.25" hidden="false" customHeight="true" outlineLevel="0" collapsed="false">
      <c r="A385" s="55" t="n">
        <v>384</v>
      </c>
      <c r="B385" s="55" t="s">
        <v>3330</v>
      </c>
      <c r="C385" s="55" t="str">
        <f aca="false">IF(04_Especiales!B10="","",04_Especiales!B10)</f>
        <v>Carnes andinas</v>
      </c>
      <c r="D385" s="56" t="str">
        <f aca="false">IF(04_Especiales!C10="","",04_Especiales!C10)</f>
        <v>Parrillada andina</v>
      </c>
      <c r="E385" s="56" t="str">
        <f aca="false">IF(04_Especiales!D10="","",04_Especiales!D10)</f>
        <v>Alpaca, cordero, res</v>
      </c>
      <c r="F385" s="56" t="str">
        <f aca="false">IF(04_Especiales!E10="","",04_Especiales!E10)</f>
        <v>cortes de carne, chorizo, ajo, sal, papa, ensalada, carbón</v>
      </c>
      <c r="G385" s="55" t="str">
        <f aca="false">IF(04_Especiales!F10="","",04_Especiales!F10)</f>
        <v>Fuente</v>
      </c>
      <c r="H385" s="55" t="str">
        <f aca="false">IF(04_Especiales!G10="","",04_Especiales!G10)</f>
        <v>Premium</v>
      </c>
      <c r="I385" s="58" t="n">
        <f aca="false">IF(04_Especiales!H10="","",04_Especiales!H10)</f>
        <v>40</v>
      </c>
      <c r="J385" s="58" t="n">
        <f aca="false">IF(04_Especiales!I10="","",04_Especiales!I10)</f>
        <v>80</v>
      </c>
      <c r="K385" s="58" t="n">
        <f aca="false">IF(04_Especiales!J10="","",04_Especiales!J10)</f>
        <v>60</v>
      </c>
      <c r="L385" s="58" t="n">
        <f aca="false">IF(04_Especiales!L10="","",04_Especiales!L10)</f>
        <v>61.5</v>
      </c>
      <c r="M385" s="58" t="n">
        <f aca="false">IF(04_Especiales!N10="","",04_Especiales!N10)</f>
        <v>7.8</v>
      </c>
      <c r="N385" s="58" t="n">
        <f aca="false">IF(04_Especiales!O10="","",04_Especiales!O10)</f>
        <v>52.2</v>
      </c>
      <c r="O385" s="55" t="str">
        <f aca="false">IF(04_Especiales!P10="","",04_Especiales!P10)</f>
        <v>12:00-22:00</v>
      </c>
      <c r="P385" s="55" t="n">
        <f aca="false">IF(04_Especiales!Q10="","",04_Especiales!Q10)</f>
        <v>30</v>
      </c>
      <c r="Q385" s="55" t="str">
        <f aca="false">IF(04_Especiales!R10="","",04_Especiales!R10)</f>
        <v>Medio</v>
      </c>
      <c r="R385" s="55" t="str">
        <f aca="false">IF(04_Especiales!S10="","",04_Especiales!S10)</f>
        <v>Fin de semana</v>
      </c>
      <c r="S385" s="55" t="str">
        <f aca="false">IF(04_Especiales!T10="","",04_Especiales!T10)</f>
        <v>Parrilla turística</v>
      </c>
      <c r="T385" s="56" t="str">
        <f aca="false">IF(04_Especiales!U10="","",04_Especiales!U10)</f>
        <v>Ticket muy alto</v>
      </c>
      <c r="U385" s="55" t="n">
        <v>10</v>
      </c>
      <c r="V385" s="55" t="n">
        <f aca="false">IF(AND(OR(LEN(13_Buscador!$C$5)=0,ISNUMBER(SEARCH(13_Buscador!$C$5,$C385&amp;" "&amp;$D385&amp;" "&amp;$E385&amp;" "&amp;$F385&amp;" "&amp;$S385))),OR(13_Buscador!$C$6="Todas las listas",LEN(13_Buscador!$C$6)=0,13_Buscador!$C$6=$B385)),1,0)</f>
        <v>0</v>
      </c>
      <c r="W385" s="55" t="str">
        <f aca="false">IF(V385=1,SUM($V$2:V385),"")</f>
        <v/>
      </c>
    </row>
    <row r="386" customFormat="false" ht="23.25" hidden="false" customHeight="true" outlineLevel="0" collapsed="false">
      <c r="A386" s="55" t="n">
        <v>385</v>
      </c>
      <c r="B386" s="55" t="s">
        <v>3330</v>
      </c>
      <c r="C386" s="55" t="str">
        <f aca="false">IF(04_Especiales!B11="","",04_Especiales!B11)</f>
        <v>Carnes andinas</v>
      </c>
      <c r="D386" s="56" t="str">
        <f aca="false">IF(04_Especiales!C11="","",04_Especiales!C11)</f>
        <v>Chairo de fiesta</v>
      </c>
      <c r="E386" s="56" t="str">
        <f aca="false">IF(04_Especiales!D11="","",04_Especiales!D11)</f>
        <v>Chairo reforzado</v>
      </c>
      <c r="F386" s="56" t="str">
        <f aca="false">IF(04_Especiales!E11="","",04_Especiales!E11)</f>
        <v>chuño, carne de cordero o res, trigo, habas, zanahoria, papa, cebolla, hierbabuena</v>
      </c>
      <c r="G386" s="55" t="str">
        <f aca="false">IF(04_Especiales!F11="","",04_Especiales!F11)</f>
        <v>Plato hondo</v>
      </c>
      <c r="H386" s="55" t="str">
        <f aca="false">IF(04_Especiales!G11="","",04_Especiales!G11)</f>
        <v>Medio</v>
      </c>
      <c r="I386" s="58" t="n">
        <f aca="false">IF(04_Especiales!H11="","",04_Especiales!H11)</f>
        <v>15</v>
      </c>
      <c r="J386" s="58" t="n">
        <f aca="false">IF(04_Especiales!I11="","",04_Especiales!I11)</f>
        <v>25</v>
      </c>
      <c r="K386" s="58" t="n">
        <f aca="false">IF(04_Especiales!J11="","",04_Especiales!J11)</f>
        <v>20</v>
      </c>
      <c r="L386" s="58" t="n">
        <f aca="false">IF(04_Especiales!L11="","",04_Especiales!L11)</f>
        <v>21.5</v>
      </c>
      <c r="M386" s="58" t="n">
        <f aca="false">IF(04_Especiales!N11="","",04_Especiales!N11)</f>
        <v>2.2</v>
      </c>
      <c r="N386" s="58" t="n">
        <f aca="false">IF(04_Especiales!O11="","",04_Especiales!O11)</f>
        <v>17.8</v>
      </c>
      <c r="O386" s="55" t="str">
        <f aca="false">IF(04_Especiales!P11="","",04_Especiales!P11)</f>
        <v>11:00-16:00</v>
      </c>
      <c r="P386" s="55" t="n">
        <f aca="false">IF(04_Especiales!Q11="","",04_Especiales!Q11)</f>
        <v>20</v>
      </c>
      <c r="Q386" s="55" t="str">
        <f aca="false">IF(04_Especiales!R11="","",04_Especiales!R11)</f>
        <v>Medio</v>
      </c>
      <c r="R386" s="55" t="str">
        <f aca="false">IF(04_Especiales!S11="","",04_Especiales!S11)</f>
        <v>Fiestas patronales</v>
      </c>
      <c r="S386" s="55" t="str">
        <f aca="false">IF(04_Especiales!T11="","",04_Especiales!T11)</f>
        <v>Regional</v>
      </c>
      <c r="T386" s="56" t="str">
        <f aca="false">IF(04_Especiales!U11="","",04_Especiales!U11)</f>
        <v/>
      </c>
      <c r="U386" s="55" t="n">
        <v>11</v>
      </c>
      <c r="V386" s="55" t="n">
        <f aca="false">IF(AND(OR(LEN(13_Buscador!$C$5)=0,ISNUMBER(SEARCH(13_Buscador!$C$5,$C386&amp;" "&amp;$D386&amp;" "&amp;$E386&amp;" "&amp;$F386&amp;" "&amp;$S386))),OR(13_Buscador!$C$6="Todas las listas",LEN(13_Buscador!$C$6)=0,13_Buscador!$C$6=$B386)),1,0)</f>
        <v>0</v>
      </c>
      <c r="W386" s="55" t="str">
        <f aca="false">IF(V386=1,SUM($V$2:V386),"")</f>
        <v/>
      </c>
    </row>
    <row r="387" customFormat="false" ht="15" hidden="false" customHeight="true" outlineLevel="0" collapsed="false">
      <c r="A387" s="55" t="n">
        <v>386</v>
      </c>
      <c r="B387" s="55" t="s">
        <v>3330</v>
      </c>
      <c r="C387" s="55" t="str">
        <f aca="false">IF(04_Especiales!B12="","",04_Especiales!B12)</f>
        <v>Platos de celebración</v>
      </c>
      <c r="D387" s="56" t="str">
        <f aca="false">IF(04_Especiales!C12="","",04_Especiales!C12)</f>
        <v>Lechón al horno</v>
      </c>
      <c r="E387" s="56" t="str">
        <f aca="false">IF(04_Especiales!D12="","",04_Especiales!D12)</f>
        <v>Cerdo horneado</v>
      </c>
      <c r="F387" s="56" t="str">
        <f aca="false">IF(04_Especiales!E12="","",04_Especiales!E12)</f>
        <v>cerdo, ajo, comino, ají panca, chicha, sal</v>
      </c>
      <c r="G387" s="55" t="str">
        <f aca="false">IF(04_Especiales!F12="","",04_Especiales!F12)</f>
        <v>Plato</v>
      </c>
      <c r="H387" s="55" t="str">
        <f aca="false">IF(04_Especiales!G12="","",04_Especiales!G12)</f>
        <v>Premium</v>
      </c>
      <c r="I387" s="58" t="n">
        <f aca="false">IF(04_Especiales!H12="","",04_Especiales!H12)</f>
        <v>25</v>
      </c>
      <c r="J387" s="58" t="n">
        <f aca="false">IF(04_Especiales!I12="","",04_Especiales!I12)</f>
        <v>45</v>
      </c>
      <c r="K387" s="58" t="n">
        <f aca="false">IF(04_Especiales!J12="","",04_Especiales!J12)</f>
        <v>35</v>
      </c>
      <c r="L387" s="58" t="n">
        <f aca="false">IF(04_Especiales!L12="","",04_Especiales!L12)</f>
        <v>36.5</v>
      </c>
      <c r="M387" s="58" t="n">
        <f aca="false">IF(04_Especiales!N12="","",04_Especiales!N12)</f>
        <v>4.55</v>
      </c>
      <c r="N387" s="58" t="n">
        <f aca="false">IF(04_Especiales!O12="","",04_Especiales!O12)</f>
        <v>30.45</v>
      </c>
      <c r="O387" s="55" t="str">
        <f aca="false">IF(04_Especiales!P12="","",04_Especiales!P12)</f>
        <v>11:00-16:00</v>
      </c>
      <c r="P387" s="55" t="n">
        <f aca="false">IF(04_Especiales!Q12="","",04_Especiales!Q12)</f>
        <v>40</v>
      </c>
      <c r="Q387" s="55" t="str">
        <f aca="false">IF(04_Especiales!R12="","",04_Especiales!R12)</f>
        <v>Medio</v>
      </c>
      <c r="R387" s="55" t="str">
        <f aca="false">IF(04_Especiales!S12="","",04_Especiales!S12)</f>
        <v>Fiestas y fin de año</v>
      </c>
      <c r="S387" s="55" t="str">
        <f aca="false">IF(04_Especiales!T12="","",04_Especiales!T12)</f>
        <v>Campestre</v>
      </c>
      <c r="T387" s="56" t="str">
        <f aca="false">IF(04_Especiales!U12="","",04_Especiales!U12)</f>
        <v>Alta demanda en diciembre</v>
      </c>
      <c r="U387" s="55" t="n">
        <v>12</v>
      </c>
      <c r="V387" s="55" t="n">
        <f aca="false">IF(AND(OR(LEN(13_Buscador!$C$5)=0,ISNUMBER(SEARCH(13_Buscador!$C$5,$C387&amp;" "&amp;$D387&amp;" "&amp;$E387&amp;" "&amp;$F387&amp;" "&amp;$S387))),OR(13_Buscador!$C$6="Todas las listas",LEN(13_Buscador!$C$6)=0,13_Buscador!$C$6=$B387)),1,0)</f>
        <v>0</v>
      </c>
      <c r="W387" s="55" t="str">
        <f aca="false">IF(V387=1,SUM($V$2:V387),"")</f>
        <v/>
      </c>
    </row>
    <row r="388" customFormat="false" ht="23.25" hidden="false" customHeight="true" outlineLevel="0" collapsed="false">
      <c r="A388" s="55" t="n">
        <v>387</v>
      </c>
      <c r="B388" s="55" t="s">
        <v>3330</v>
      </c>
      <c r="C388" s="55" t="str">
        <f aca="false">IF(04_Especiales!B13="","",04_Especiales!B13)</f>
        <v>Platos de celebración</v>
      </c>
      <c r="D388" s="56" t="str">
        <f aca="false">IF(04_Especiales!C13="","",04_Especiales!C13)</f>
        <v>Pachamanca</v>
      </c>
      <c r="E388" s="56" t="str">
        <f aca="false">IF(04_Especiales!D13="","",04_Especiales!D13)</f>
        <v>Carnes y tubérculos en horno de tierra</v>
      </c>
      <c r="F388" s="56" t="str">
        <f aca="false">IF(04_Especiales!E13="","",04_Especiales!E13)</f>
        <v>carne de cerdo, cordero y pollo, papa, camote, habas, humita, hierbas, piedras calientes</v>
      </c>
      <c r="G388" s="55" t="str">
        <f aca="false">IF(04_Especiales!F13="","",04_Especiales!F13)</f>
        <v>Plato</v>
      </c>
      <c r="H388" s="55" t="str">
        <f aca="false">IF(04_Especiales!G13="","",04_Especiales!G13)</f>
        <v>Premium</v>
      </c>
      <c r="I388" s="58" t="n">
        <f aca="false">IF(04_Especiales!H13="","",04_Especiales!H13)</f>
        <v>30</v>
      </c>
      <c r="J388" s="58" t="n">
        <f aca="false">IF(04_Especiales!I13="","",04_Especiales!I13)</f>
        <v>55</v>
      </c>
      <c r="K388" s="58" t="n">
        <f aca="false">IF(04_Especiales!J13="","",04_Especiales!J13)</f>
        <v>42.5</v>
      </c>
      <c r="L388" s="58" t="n">
        <f aca="false">IF(04_Especiales!L13="","",04_Especiales!L13)</f>
        <v>44</v>
      </c>
      <c r="M388" s="58" t="n">
        <f aca="false">IF(04_Especiales!N13="","",04_Especiales!N13)</f>
        <v>5.53</v>
      </c>
      <c r="N388" s="58" t="n">
        <f aca="false">IF(04_Especiales!O13="","",04_Especiales!O13)</f>
        <v>36.97</v>
      </c>
      <c r="O388" s="55" t="str">
        <f aca="false">IF(04_Especiales!P13="","",04_Especiales!P13)</f>
        <v>11:00-16:00</v>
      </c>
      <c r="P388" s="55" t="n">
        <f aca="false">IF(04_Especiales!Q13="","",04_Especiales!Q13)</f>
        <v>60</v>
      </c>
      <c r="Q388" s="55" t="str">
        <f aca="false">IF(04_Especiales!R13="","",04_Especiales!R13)</f>
        <v>Bajo</v>
      </c>
      <c r="R388" s="55" t="str">
        <f aca="false">IF(04_Especiales!S13="","",04_Especiales!S13)</f>
        <v>Fin de semana y fiestas</v>
      </c>
      <c r="S388" s="55" t="str">
        <f aca="false">IF(04_Especiales!T13="","",04_Especiales!T13)</f>
        <v>Campestre</v>
      </c>
      <c r="T388" s="56" t="str">
        <f aca="false">IF(04_Especiales!U13="","",04_Especiales!U13)</f>
        <v>Se cocina por tandas: requiere pedido anticipado</v>
      </c>
      <c r="U388" s="55" t="n">
        <v>13</v>
      </c>
      <c r="V388" s="55" t="n">
        <f aca="false">IF(AND(OR(LEN(13_Buscador!$C$5)=0,ISNUMBER(SEARCH(13_Buscador!$C$5,$C388&amp;" "&amp;$D388&amp;" "&amp;$E388&amp;" "&amp;$F388&amp;" "&amp;$S388))),OR(13_Buscador!$C$6="Todas las listas",LEN(13_Buscador!$C$6)=0,13_Buscador!$C$6=$B388)),1,0)</f>
        <v>1</v>
      </c>
      <c r="W388" s="55" t="n">
        <f aca="false">IF(V388=1,SUM($V$2:V388),"")</f>
        <v>99</v>
      </c>
    </row>
    <row r="389" customFormat="false" ht="23.25" hidden="false" customHeight="true" outlineLevel="0" collapsed="false">
      <c r="A389" s="55" t="n">
        <v>388</v>
      </c>
      <c r="B389" s="55" t="s">
        <v>3330</v>
      </c>
      <c r="C389" s="55" t="str">
        <f aca="false">IF(04_Especiales!B14="","",04_Especiales!B14)</f>
        <v>Platos de celebración</v>
      </c>
      <c r="D389" s="56" t="str">
        <f aca="false">IF(04_Especiales!C14="","",04_Especiales!C14)</f>
        <v>Huatia de fiesta</v>
      </c>
      <c r="E389" s="56" t="str">
        <f aca="false">IF(04_Especiales!D14="","",04_Especiales!D14)</f>
        <v>Papas y carnes en horno de tierra</v>
      </c>
      <c r="F389" s="56" t="str">
        <f aca="false">IF(04_Especiales!E14="","",04_Especiales!E14)</f>
        <v>papa, oca, carne, chuño, tierra y terrones calientes, sal</v>
      </c>
      <c r="G389" s="55" t="str">
        <f aca="false">IF(04_Especiales!F14="","",04_Especiales!F14)</f>
        <v>Plato</v>
      </c>
      <c r="H389" s="55" t="str">
        <f aca="false">IF(04_Especiales!G14="","",04_Especiales!G14)</f>
        <v>Medio</v>
      </c>
      <c r="I389" s="58" t="n">
        <f aca="false">IF(04_Especiales!H14="","",04_Especiales!H14)</f>
        <v>20</v>
      </c>
      <c r="J389" s="58" t="n">
        <f aca="false">IF(04_Especiales!I14="","",04_Especiales!I14)</f>
        <v>35</v>
      </c>
      <c r="K389" s="58" t="n">
        <f aca="false">IF(04_Especiales!J14="","",04_Especiales!J14)</f>
        <v>27.5</v>
      </c>
      <c r="L389" s="58" t="n">
        <f aca="false">IF(04_Especiales!L14="","",04_Especiales!L14)</f>
        <v>29</v>
      </c>
      <c r="M389" s="58" t="n">
        <f aca="false">IF(04_Especiales!N14="","",04_Especiales!N14)</f>
        <v>3.03</v>
      </c>
      <c r="N389" s="58" t="n">
        <f aca="false">IF(04_Especiales!O14="","",04_Especiales!O14)</f>
        <v>24.47</v>
      </c>
      <c r="O389" s="55" t="str">
        <f aca="false">IF(04_Especiales!P14="","",04_Especiales!P14)</f>
        <v>11:00-16:00</v>
      </c>
      <c r="P389" s="55" t="n">
        <f aca="false">IF(04_Especiales!Q14="","",04_Especiales!Q14)</f>
        <v>60</v>
      </c>
      <c r="Q389" s="55" t="str">
        <f aca="false">IF(04_Especiales!R14="","",04_Especiales!R14)</f>
        <v>Bajo</v>
      </c>
      <c r="R389" s="55" t="str">
        <f aca="false">IF(04_Especiales!S14="","",04_Especiales!S14)</f>
        <v>Abril a junio</v>
      </c>
      <c r="S389" s="55" t="str">
        <f aca="false">IF(04_Especiales!T14="","",04_Especiales!T14)</f>
        <v>Campestre</v>
      </c>
      <c r="T389" s="56" t="str">
        <f aca="false">IF(04_Especiales!U14="","",04_Especiales!U14)</f>
        <v>Fuerte estacionalidad de cosecha</v>
      </c>
      <c r="U389" s="55" t="n">
        <v>14</v>
      </c>
      <c r="V389" s="55" t="n">
        <f aca="false">IF(AND(OR(LEN(13_Buscador!$C$5)=0,ISNUMBER(SEARCH(13_Buscador!$C$5,$C389&amp;" "&amp;$D389&amp;" "&amp;$E389&amp;" "&amp;$F389&amp;" "&amp;$S389))),OR(13_Buscador!$C$6="Todas las listas",LEN(13_Buscador!$C$6)=0,13_Buscador!$C$6=$B389)),1,0)</f>
        <v>0</v>
      </c>
      <c r="W389" s="55" t="str">
        <f aca="false">IF(V389=1,SUM($V$2:V389),"")</f>
        <v/>
      </c>
    </row>
    <row r="390" customFormat="false" ht="15" hidden="false" customHeight="true" outlineLevel="0" collapsed="false">
      <c r="A390" s="55" t="n">
        <v>389</v>
      </c>
      <c r="B390" s="55" t="s">
        <v>3330</v>
      </c>
      <c r="C390" s="55" t="str">
        <f aca="false">IF(04_Especiales!B15="","",04_Especiales!B15)</f>
        <v>Platos de celebración</v>
      </c>
      <c r="D390" s="56" t="str">
        <f aca="false">IF(04_Especiales!C15="","",04_Especiales!C15)</f>
        <v>Asado de res</v>
      </c>
      <c r="E390" s="56" t="str">
        <f aca="false">IF(04_Especiales!D15="","",04_Especiales!D15)</f>
        <v>Res al horno con guarnición</v>
      </c>
      <c r="F390" s="56" t="str">
        <f aca="false">IF(04_Especiales!E15="","",04_Especiales!E15)</f>
        <v>carne o pollo, ajo, comino, sal, papa, guarnición</v>
      </c>
      <c r="G390" s="55" t="str">
        <f aca="false">IF(04_Especiales!F15="","",04_Especiales!F15)</f>
        <v>Plato</v>
      </c>
      <c r="H390" s="55" t="str">
        <f aca="false">IF(04_Especiales!G15="","",04_Especiales!G15)</f>
        <v>Medio</v>
      </c>
      <c r="I390" s="58" t="n">
        <f aca="false">IF(04_Especiales!H15="","",04_Especiales!H15)</f>
        <v>20</v>
      </c>
      <c r="J390" s="58" t="n">
        <f aca="false">IF(04_Especiales!I15="","",04_Especiales!I15)</f>
        <v>35</v>
      </c>
      <c r="K390" s="58" t="n">
        <f aca="false">IF(04_Especiales!J15="","",04_Especiales!J15)</f>
        <v>27.5</v>
      </c>
      <c r="L390" s="58" t="n">
        <f aca="false">IF(04_Especiales!L15="","",04_Especiales!L15)</f>
        <v>29</v>
      </c>
      <c r="M390" s="58" t="n">
        <f aca="false">IF(04_Especiales!N15="","",04_Especiales!N15)</f>
        <v>3.03</v>
      </c>
      <c r="N390" s="58" t="n">
        <f aca="false">IF(04_Especiales!O15="","",04_Especiales!O15)</f>
        <v>24.47</v>
      </c>
      <c r="O390" s="55" t="str">
        <f aca="false">IF(04_Especiales!P15="","",04_Especiales!P15)</f>
        <v>11:00-16:00</v>
      </c>
      <c r="P390" s="55" t="n">
        <f aca="false">IF(04_Especiales!Q15="","",04_Especiales!Q15)</f>
        <v>30</v>
      </c>
      <c r="Q390" s="55" t="str">
        <f aca="false">IF(04_Especiales!R15="","",04_Especiales!R15)</f>
        <v>Medio</v>
      </c>
      <c r="R390" s="55" t="str">
        <f aca="false">IF(04_Especiales!S15="","",04_Especiales!S15)</f>
        <v>Fin de semana</v>
      </c>
      <c r="S390" s="55" t="str">
        <f aca="false">IF(04_Especiales!T15="","",04_Especiales!T15)</f>
        <v>Restaurante</v>
      </c>
      <c r="T390" s="56" t="str">
        <f aca="false">IF(04_Especiales!U15="","",04_Especiales!U15)</f>
        <v/>
      </c>
      <c r="U390" s="55" t="n">
        <v>15</v>
      </c>
      <c r="V390" s="55" t="n">
        <f aca="false">IF(AND(OR(LEN(13_Buscador!$C$5)=0,ISNUMBER(SEARCH(13_Buscador!$C$5,$C390&amp;" "&amp;$D390&amp;" "&amp;$E390&amp;" "&amp;$F390&amp;" "&amp;$S390))),OR(13_Buscador!$C$6="Todas las listas",LEN(13_Buscador!$C$6)=0,13_Buscador!$C$6=$B390)),1,0)</f>
        <v>1</v>
      </c>
      <c r="W390" s="55" t="n">
        <f aca="false">IF(V390=1,SUM($V$2:V390),"")</f>
        <v>100</v>
      </c>
    </row>
    <row r="391" customFormat="false" ht="15" hidden="false" customHeight="true" outlineLevel="0" collapsed="false">
      <c r="A391" s="55" t="n">
        <v>390</v>
      </c>
      <c r="B391" s="55" t="s">
        <v>3330</v>
      </c>
      <c r="C391" s="55" t="str">
        <f aca="false">IF(04_Especiales!B16="","",04_Especiales!B16)</f>
        <v>Platos de celebración</v>
      </c>
      <c r="D391" s="56" t="str">
        <f aca="false">IF(04_Especiales!C16="","",04_Especiales!C16)</f>
        <v>Chicharrón familiar</v>
      </c>
      <c r="E391" s="56" t="str">
        <f aca="false">IF(04_Especiales!D16="","",04_Especiales!D16)</f>
        <v>Fuente de chicharrón para 4</v>
      </c>
      <c r="F391" s="56" t="str">
        <f aca="false">IF(04_Especiales!E16="","",04_Especiales!E16)</f>
        <v>carne de cerdo, sal, agua, mote, papa, salsa criolla</v>
      </c>
      <c r="G391" s="55" t="str">
        <f aca="false">IF(04_Especiales!F16="","",04_Especiales!F16)</f>
        <v>Fuente</v>
      </c>
      <c r="H391" s="55" t="str">
        <f aca="false">IF(04_Especiales!G16="","",04_Especiales!G16)</f>
        <v>Premium</v>
      </c>
      <c r="I391" s="58" t="n">
        <f aca="false">IF(04_Especiales!H16="","",04_Especiales!H16)</f>
        <v>50</v>
      </c>
      <c r="J391" s="58" t="n">
        <f aca="false">IF(04_Especiales!I16="","",04_Especiales!I16)</f>
        <v>90</v>
      </c>
      <c r="K391" s="58" t="n">
        <f aca="false">IF(04_Especiales!J16="","",04_Especiales!J16)</f>
        <v>70</v>
      </c>
      <c r="L391" s="58" t="n">
        <f aca="false">IF(04_Especiales!L16="","",04_Especiales!L16)</f>
        <v>71.5</v>
      </c>
      <c r="M391" s="58" t="n">
        <f aca="false">IF(04_Especiales!N16="","",04_Especiales!N16)</f>
        <v>9.1</v>
      </c>
      <c r="N391" s="58" t="n">
        <f aca="false">IF(04_Especiales!O16="","",04_Especiales!O16)</f>
        <v>60.9</v>
      </c>
      <c r="O391" s="55" t="str">
        <f aca="false">IF(04_Especiales!P16="","",04_Especiales!P16)</f>
        <v>07:00-16:00</v>
      </c>
      <c r="P391" s="55" t="n">
        <f aca="false">IF(04_Especiales!Q16="","",04_Especiales!Q16)</f>
        <v>30</v>
      </c>
      <c r="Q391" s="55" t="str">
        <f aca="false">IF(04_Especiales!R16="","",04_Especiales!R16)</f>
        <v>Medio</v>
      </c>
      <c r="R391" s="55" t="str">
        <f aca="false">IF(04_Especiales!S16="","",04_Especiales!S16)</f>
        <v>Domingo</v>
      </c>
      <c r="S391" s="55" t="str">
        <f aca="false">IF(04_Especiales!T16="","",04_Especiales!T16)</f>
        <v>Chicharronería</v>
      </c>
      <c r="T391" s="56" t="str">
        <f aca="false">IF(04_Especiales!U16="","",04_Especiales!U16)</f>
        <v>Ticket alto de domingo</v>
      </c>
      <c r="U391" s="55" t="n">
        <v>16</v>
      </c>
      <c r="V391" s="55" t="n">
        <f aca="false">IF(AND(OR(LEN(13_Buscador!$C$5)=0,ISNUMBER(SEARCH(13_Buscador!$C$5,$C391&amp;" "&amp;$D391&amp;" "&amp;$E391&amp;" "&amp;$F391&amp;" "&amp;$S391))),OR(13_Buscador!$C$6="Todas las listas",LEN(13_Buscador!$C$6)=0,13_Buscador!$C$6=$B391)),1,0)</f>
        <v>0</v>
      </c>
      <c r="W391" s="55" t="str">
        <f aca="false">IF(V391=1,SUM($V$2:V391),"")</f>
        <v/>
      </c>
    </row>
    <row r="392" customFormat="false" ht="15" hidden="false" customHeight="true" outlineLevel="0" collapsed="false">
      <c r="A392" s="55" t="n">
        <v>391</v>
      </c>
      <c r="B392" s="55" t="s">
        <v>3330</v>
      </c>
      <c r="C392" s="55" t="str">
        <f aca="false">IF(04_Especiales!B17="","",04_Especiales!B17)</f>
        <v>Platos de celebración</v>
      </c>
      <c r="D392" s="56" t="str">
        <f aca="false">IF(04_Especiales!C17="","",04_Especiales!C17)</f>
        <v>Pollo entero al horno</v>
      </c>
      <c r="E392" s="56" t="str">
        <f aca="false">IF(04_Especiales!D17="","",04_Especiales!D17)</f>
        <v>Pollo horneado para 4</v>
      </c>
      <c r="F392" s="56" t="str">
        <f aca="false">IF(04_Especiales!E17="","",04_Especiales!E17)</f>
        <v>carne o pollo, ajo, comino, sal, papa, guarnición</v>
      </c>
      <c r="G392" s="55" t="str">
        <f aca="false">IF(04_Especiales!F17="","",04_Especiales!F17)</f>
        <v>Entero</v>
      </c>
      <c r="H392" s="55" t="str">
        <f aca="false">IF(04_Especiales!G17="","",04_Especiales!G17)</f>
        <v>Premium</v>
      </c>
      <c r="I392" s="58" t="n">
        <f aca="false">IF(04_Especiales!H17="","",04_Especiales!H17)</f>
        <v>40</v>
      </c>
      <c r="J392" s="58" t="n">
        <f aca="false">IF(04_Especiales!I17="","",04_Especiales!I17)</f>
        <v>65</v>
      </c>
      <c r="K392" s="58" t="n">
        <f aca="false">IF(04_Especiales!J17="","",04_Especiales!J17)</f>
        <v>52.5</v>
      </c>
      <c r="L392" s="58" t="n">
        <f aca="false">IF(04_Especiales!L17="","",04_Especiales!L17)</f>
        <v>54</v>
      </c>
      <c r="M392" s="58" t="n">
        <f aca="false">IF(04_Especiales!N17="","",04_Especiales!N17)</f>
        <v>6.83</v>
      </c>
      <c r="N392" s="58" t="n">
        <f aca="false">IF(04_Especiales!O17="","",04_Especiales!O17)</f>
        <v>45.67</v>
      </c>
      <c r="O392" s="55" t="str">
        <f aca="false">IF(04_Especiales!P17="","",04_Especiales!P17)</f>
        <v>11:00-21:00</v>
      </c>
      <c r="P392" s="55" t="n">
        <f aca="false">IF(04_Especiales!Q17="","",04_Especiales!Q17)</f>
        <v>40</v>
      </c>
      <c r="Q392" s="55" t="str">
        <f aca="false">IF(04_Especiales!R17="","",04_Especiales!R17)</f>
        <v>Medio</v>
      </c>
      <c r="R392" s="55" t="str">
        <f aca="false">IF(04_Especiales!S17="","",04_Especiales!S17)</f>
        <v>Fin de semana</v>
      </c>
      <c r="S392" s="55" t="str">
        <f aca="false">IF(04_Especiales!T17="","",04_Especiales!T17)</f>
        <v>Restaurante</v>
      </c>
      <c r="T392" s="56" t="str">
        <f aca="false">IF(04_Especiales!U17="","",04_Especiales!U17)</f>
        <v/>
      </c>
      <c r="U392" s="55" t="n">
        <v>17</v>
      </c>
      <c r="V392" s="55" t="n">
        <f aca="false">IF(AND(OR(LEN(13_Buscador!$C$5)=0,ISNUMBER(SEARCH(13_Buscador!$C$5,$C392&amp;" "&amp;$D392&amp;" "&amp;$E392&amp;" "&amp;$F392&amp;" "&amp;$S392))),OR(13_Buscador!$C$6="Todas las listas",LEN(13_Buscador!$C$6)=0,13_Buscador!$C$6=$B392)),1,0)</f>
        <v>1</v>
      </c>
      <c r="W392" s="55" t="n">
        <f aca="false">IF(V392=1,SUM($V$2:V392),"")</f>
        <v>101</v>
      </c>
    </row>
    <row r="393" customFormat="false" ht="23.25" hidden="false" customHeight="true" outlineLevel="0" collapsed="false">
      <c r="A393" s="55" t="n">
        <v>392</v>
      </c>
      <c r="B393" s="55" t="s">
        <v>3330</v>
      </c>
      <c r="C393" s="55" t="str">
        <f aca="false">IF(04_Especiales!B18="","",04_Especiales!B18)</f>
        <v>Truchas especiales</v>
      </c>
      <c r="D393" s="56" t="str">
        <f aca="false">IF(04_Especiales!C18="","",04_Especiales!C18)</f>
        <v>Trucha rellena</v>
      </c>
      <c r="E393" s="56" t="str">
        <f aca="false">IF(04_Especiales!D18="","",04_Especiales!D18)</f>
        <v>Trucha con relleno de mariscos</v>
      </c>
      <c r="F393" s="56" t="str">
        <f aca="false">IF(04_Especiales!E18="","",04_Especiales!E18)</f>
        <v>trucha del lago Titicaca, sal, limón, harina o hierbas, guarnición de papa o arroz</v>
      </c>
      <c r="G393" s="55" t="str">
        <f aca="false">IF(04_Especiales!F18="","",04_Especiales!F18)</f>
        <v>Plato</v>
      </c>
      <c r="H393" s="55" t="str">
        <f aca="false">IF(04_Especiales!G18="","",04_Especiales!G18)</f>
        <v>Premium</v>
      </c>
      <c r="I393" s="58" t="n">
        <f aca="false">IF(04_Especiales!H18="","",04_Especiales!H18)</f>
        <v>25</v>
      </c>
      <c r="J393" s="58" t="n">
        <f aca="false">IF(04_Especiales!I18="","",04_Especiales!I18)</f>
        <v>45</v>
      </c>
      <c r="K393" s="58" t="n">
        <f aca="false">IF(04_Especiales!J18="","",04_Especiales!J18)</f>
        <v>35</v>
      </c>
      <c r="L393" s="58" t="n">
        <f aca="false">IF(04_Especiales!L18="","",04_Especiales!L18)</f>
        <v>36.5</v>
      </c>
      <c r="M393" s="58" t="n">
        <f aca="false">IF(04_Especiales!N18="","",04_Especiales!N18)</f>
        <v>4.55</v>
      </c>
      <c r="N393" s="58" t="n">
        <f aca="false">IF(04_Especiales!O18="","",04_Especiales!O18)</f>
        <v>30.45</v>
      </c>
      <c r="O393" s="55" t="str">
        <f aca="false">IF(04_Especiales!P18="","",04_Especiales!P18)</f>
        <v>12:00-21:00</v>
      </c>
      <c r="P393" s="55" t="n">
        <f aca="false">IF(04_Especiales!Q18="","",04_Especiales!Q18)</f>
        <v>25</v>
      </c>
      <c r="Q393" s="55" t="str">
        <f aca="false">IF(04_Especiales!R18="","",04_Especiales!R18)</f>
        <v>Medio</v>
      </c>
      <c r="R393" s="55" t="str">
        <f aca="false">IF(04_Especiales!S18="","",04_Especiales!S18)</f>
        <v>Todo el año</v>
      </c>
      <c r="S393" s="55" t="str">
        <f aca="false">IF(04_Especiales!T18="","",04_Especiales!T18)</f>
        <v>Restaurante turístico</v>
      </c>
      <c r="T393" s="56" t="str">
        <f aca="false">IF(04_Especiales!U18="","",04_Especiales!U18)</f>
        <v/>
      </c>
      <c r="U393" s="55" t="n">
        <v>18</v>
      </c>
      <c r="V393" s="55" t="n">
        <f aca="false">IF(AND(OR(LEN(13_Buscador!$C$5)=0,ISNUMBER(SEARCH(13_Buscador!$C$5,$C393&amp;" "&amp;$D393&amp;" "&amp;$E393&amp;" "&amp;$F393&amp;" "&amp;$S393))),OR(13_Buscador!$C$6="Todas las listas",LEN(13_Buscador!$C$6)=0,13_Buscador!$C$6=$B393)),1,0)</f>
        <v>0</v>
      </c>
      <c r="W393" s="55" t="str">
        <f aca="false">IF(V393=1,SUM($V$2:V393),"")</f>
        <v/>
      </c>
    </row>
    <row r="394" customFormat="false" ht="23.25" hidden="false" customHeight="true" outlineLevel="0" collapsed="false">
      <c r="A394" s="55" t="n">
        <v>393</v>
      </c>
      <c r="B394" s="55" t="s">
        <v>3330</v>
      </c>
      <c r="C394" s="55" t="str">
        <f aca="false">IF(04_Especiales!B19="","",04_Especiales!B19)</f>
        <v>Truchas especiales</v>
      </c>
      <c r="D394" s="56" t="str">
        <f aca="false">IF(04_Especiales!C19="","",04_Especiales!C19)</f>
        <v>Trucha a la muña</v>
      </c>
      <c r="E394" s="56" t="str">
        <f aca="false">IF(04_Especiales!D19="","",04_Especiales!D19)</f>
        <v>Trucha en salsa de muña</v>
      </c>
      <c r="F394" s="56" t="str">
        <f aca="false">IF(04_Especiales!E19="","",04_Especiales!E19)</f>
        <v>trucha del lago Titicaca, sal, limón, harina o hierbas, guarnición de papa o arroz</v>
      </c>
      <c r="G394" s="55" t="str">
        <f aca="false">IF(04_Especiales!F19="","",04_Especiales!F19)</f>
        <v>Plato</v>
      </c>
      <c r="H394" s="55" t="str">
        <f aca="false">IF(04_Especiales!G19="","",04_Especiales!G19)</f>
        <v>Premium</v>
      </c>
      <c r="I394" s="58" t="n">
        <f aca="false">IF(04_Especiales!H19="","",04_Especiales!H19)</f>
        <v>25</v>
      </c>
      <c r="J394" s="58" t="n">
        <f aca="false">IF(04_Especiales!I19="","",04_Especiales!I19)</f>
        <v>45</v>
      </c>
      <c r="K394" s="58" t="n">
        <f aca="false">IF(04_Especiales!J19="","",04_Especiales!J19)</f>
        <v>35</v>
      </c>
      <c r="L394" s="58" t="n">
        <f aca="false">IF(04_Especiales!L19="","",04_Especiales!L19)</f>
        <v>36.5</v>
      </c>
      <c r="M394" s="58" t="n">
        <f aca="false">IF(04_Especiales!N19="","",04_Especiales!N19)</f>
        <v>4.55</v>
      </c>
      <c r="N394" s="58" t="n">
        <f aca="false">IF(04_Especiales!O19="","",04_Especiales!O19)</f>
        <v>30.45</v>
      </c>
      <c r="O394" s="55" t="str">
        <f aca="false">IF(04_Especiales!P19="","",04_Especiales!P19)</f>
        <v>12:00-21:00</v>
      </c>
      <c r="P394" s="55" t="n">
        <f aca="false">IF(04_Especiales!Q19="","",04_Especiales!Q19)</f>
        <v>20</v>
      </c>
      <c r="Q394" s="55" t="str">
        <f aca="false">IF(04_Especiales!R19="","",04_Especiales!R19)</f>
        <v>Medio</v>
      </c>
      <c r="R394" s="55" t="str">
        <f aca="false">IF(04_Especiales!S19="","",04_Especiales!S19)</f>
        <v>Todo el año</v>
      </c>
      <c r="S394" s="55" t="str">
        <f aca="false">IF(04_Especiales!T19="","",04_Especiales!T19)</f>
        <v>Restaurante turístico</v>
      </c>
      <c r="T394" s="56" t="str">
        <f aca="false">IF(04_Especiales!U19="","",04_Especiales!U19)</f>
        <v>Diferenciador regional</v>
      </c>
      <c r="U394" s="55" t="n">
        <v>19</v>
      </c>
      <c r="V394" s="55" t="n">
        <f aca="false">IF(AND(OR(LEN(13_Buscador!$C$5)=0,ISNUMBER(SEARCH(13_Buscador!$C$5,$C394&amp;" "&amp;$D394&amp;" "&amp;$E394&amp;" "&amp;$F394&amp;" "&amp;$S394))),OR(13_Buscador!$C$6="Todas las listas",LEN(13_Buscador!$C$6)=0,13_Buscador!$C$6=$B394)),1,0)</f>
        <v>0</v>
      </c>
      <c r="W394" s="55" t="str">
        <f aca="false">IF(V394=1,SUM($V$2:V394),"")</f>
        <v/>
      </c>
    </row>
    <row r="395" customFormat="false" ht="23.25" hidden="false" customHeight="true" outlineLevel="0" collapsed="false">
      <c r="A395" s="55" t="n">
        <v>394</v>
      </c>
      <c r="B395" s="55" t="s">
        <v>3330</v>
      </c>
      <c r="C395" s="55" t="str">
        <f aca="false">IF(04_Especiales!B20="","",04_Especiales!B20)</f>
        <v>Truchas especiales</v>
      </c>
      <c r="D395" s="56" t="str">
        <f aca="false">IF(04_Especiales!C20="","",04_Especiales!C20)</f>
        <v>Parrilla de trucha</v>
      </c>
      <c r="E395" s="56" t="str">
        <f aca="false">IF(04_Especiales!D20="","",04_Especiales!D20)</f>
        <v>Trucha a la parrilla con guarnición</v>
      </c>
      <c r="F395" s="56" t="str">
        <f aca="false">IF(04_Especiales!E20="","",04_Especiales!E20)</f>
        <v>trucha del lago Titicaca, sal, limón, harina o hierbas, guarnición de papa o arroz</v>
      </c>
      <c r="G395" s="55" t="str">
        <f aca="false">IF(04_Especiales!F20="","",04_Especiales!F20)</f>
        <v>Plato</v>
      </c>
      <c r="H395" s="55" t="str">
        <f aca="false">IF(04_Especiales!G20="","",04_Especiales!G20)</f>
        <v>Premium</v>
      </c>
      <c r="I395" s="58" t="n">
        <f aca="false">IF(04_Especiales!H20="","",04_Especiales!H20)</f>
        <v>25</v>
      </c>
      <c r="J395" s="58" t="n">
        <f aca="false">IF(04_Especiales!I20="","",04_Especiales!I20)</f>
        <v>45</v>
      </c>
      <c r="K395" s="58" t="n">
        <f aca="false">IF(04_Especiales!J20="","",04_Especiales!J20)</f>
        <v>35</v>
      </c>
      <c r="L395" s="58" t="n">
        <f aca="false">IF(04_Especiales!L20="","",04_Especiales!L20)</f>
        <v>36.5</v>
      </c>
      <c r="M395" s="58" t="n">
        <f aca="false">IF(04_Especiales!N20="","",04_Especiales!N20)</f>
        <v>4.55</v>
      </c>
      <c r="N395" s="58" t="n">
        <f aca="false">IF(04_Especiales!O20="","",04_Especiales!O20)</f>
        <v>30.45</v>
      </c>
      <c r="O395" s="55" t="str">
        <f aca="false">IF(04_Especiales!P20="","",04_Especiales!P20)</f>
        <v>12:00-21:00</v>
      </c>
      <c r="P395" s="55" t="n">
        <f aca="false">IF(04_Especiales!Q20="","",04_Especiales!Q20)</f>
        <v>20</v>
      </c>
      <c r="Q395" s="55" t="str">
        <f aca="false">IF(04_Especiales!R20="","",04_Especiales!R20)</f>
        <v>Medio</v>
      </c>
      <c r="R395" s="55" t="str">
        <f aca="false">IF(04_Especiales!S20="","",04_Especiales!S20)</f>
        <v>Todo el año</v>
      </c>
      <c r="S395" s="55" t="str">
        <f aca="false">IF(04_Especiales!T20="","",04_Especiales!T20)</f>
        <v>Restaurante turístico</v>
      </c>
      <c r="T395" s="56" t="str">
        <f aca="false">IF(04_Especiales!U20="","",04_Especiales!U20)</f>
        <v/>
      </c>
      <c r="U395" s="55" t="n">
        <v>20</v>
      </c>
      <c r="V395" s="55" t="n">
        <f aca="false">IF(AND(OR(LEN(13_Buscador!$C$5)=0,ISNUMBER(SEARCH(13_Buscador!$C$5,$C395&amp;" "&amp;$D395&amp;" "&amp;$E395&amp;" "&amp;$F395&amp;" "&amp;$S395))),OR(13_Buscador!$C$6="Todas las listas",LEN(13_Buscador!$C$6)=0,13_Buscador!$C$6=$B395)),1,0)</f>
        <v>0</v>
      </c>
      <c r="W395" s="55" t="str">
        <f aca="false">IF(V395=1,SUM($V$2:V395),"")</f>
        <v/>
      </c>
    </row>
    <row r="396" customFormat="false" ht="23.25" hidden="false" customHeight="true" outlineLevel="0" collapsed="false">
      <c r="A396" s="55" t="n">
        <v>395</v>
      </c>
      <c r="B396" s="55" t="s">
        <v>3330</v>
      </c>
      <c r="C396" s="55" t="str">
        <f aca="false">IF(04_Especiales!B21="","",04_Especiales!B21)</f>
        <v>Truchas especiales</v>
      </c>
      <c r="D396" s="56" t="str">
        <f aca="false">IF(04_Especiales!C21="","",04_Especiales!C21)</f>
        <v>Fuente de trucha para 2</v>
      </c>
      <c r="E396" s="56" t="str">
        <f aca="false">IF(04_Especiales!D21="","",04_Especiales!D21)</f>
        <v>Porción doble</v>
      </c>
      <c r="F396" s="56" t="str">
        <f aca="false">IF(04_Especiales!E21="","",04_Especiales!E21)</f>
        <v>trucha del lago Titicaca, sal, limón, harina o hierbas, guarnición de papa o arroz</v>
      </c>
      <c r="G396" s="55" t="str">
        <f aca="false">IF(04_Especiales!F21="","",04_Especiales!F21)</f>
        <v>Fuente</v>
      </c>
      <c r="H396" s="55" t="str">
        <f aca="false">IF(04_Especiales!G21="","",04_Especiales!G21)</f>
        <v>Premium</v>
      </c>
      <c r="I396" s="58" t="n">
        <f aca="false">IF(04_Especiales!H21="","",04_Especiales!H21)</f>
        <v>40</v>
      </c>
      <c r="J396" s="58" t="n">
        <f aca="false">IF(04_Especiales!I21="","",04_Especiales!I21)</f>
        <v>70</v>
      </c>
      <c r="K396" s="58" t="n">
        <f aca="false">IF(04_Especiales!J21="","",04_Especiales!J21)</f>
        <v>55</v>
      </c>
      <c r="L396" s="58" t="n">
        <f aca="false">IF(04_Especiales!L21="","",04_Especiales!L21)</f>
        <v>56.5</v>
      </c>
      <c r="M396" s="58" t="n">
        <f aca="false">IF(04_Especiales!N21="","",04_Especiales!N21)</f>
        <v>7.15</v>
      </c>
      <c r="N396" s="58" t="n">
        <f aca="false">IF(04_Especiales!O21="","",04_Especiales!O21)</f>
        <v>47.85</v>
      </c>
      <c r="O396" s="55" t="str">
        <f aca="false">IF(04_Especiales!P21="","",04_Especiales!P21)</f>
        <v>12:00-21:00</v>
      </c>
      <c r="P396" s="55" t="n">
        <f aca="false">IF(04_Especiales!Q21="","",04_Especiales!Q21)</f>
        <v>25</v>
      </c>
      <c r="Q396" s="55" t="str">
        <f aca="false">IF(04_Especiales!R21="","",04_Especiales!R21)</f>
        <v>Medio</v>
      </c>
      <c r="R396" s="55" t="str">
        <f aca="false">IF(04_Especiales!S21="","",04_Especiales!S21)</f>
        <v>Todo el año</v>
      </c>
      <c r="S396" s="55" t="str">
        <f aca="false">IF(04_Especiales!T21="","",04_Especiales!T21)</f>
        <v>Restaurante turístico</v>
      </c>
      <c r="T396" s="56" t="str">
        <f aca="false">IF(04_Especiales!U21="","",04_Especiales!U21)</f>
        <v/>
      </c>
      <c r="U396" s="55" t="n">
        <v>21</v>
      </c>
      <c r="V396" s="55" t="n">
        <f aca="false">IF(AND(OR(LEN(13_Buscador!$C$5)=0,ISNUMBER(SEARCH(13_Buscador!$C$5,$C396&amp;" "&amp;$D396&amp;" "&amp;$E396&amp;" "&amp;$F396&amp;" "&amp;$S396))),OR(13_Buscador!$C$6="Todas las listas",LEN(13_Buscador!$C$6)=0,13_Buscador!$C$6=$B396)),1,0)</f>
        <v>0</v>
      </c>
      <c r="W396" s="55" t="str">
        <f aca="false">IF(V396=1,SUM($V$2:V396),"")</f>
        <v/>
      </c>
    </row>
    <row r="397" customFormat="false" ht="23.25" hidden="false" customHeight="true" outlineLevel="0" collapsed="false">
      <c r="A397" s="55" t="n">
        <v>396</v>
      </c>
      <c r="B397" s="55" t="s">
        <v>3330</v>
      </c>
      <c r="C397" s="55" t="str">
        <f aca="false">IF(04_Especiales!B22="","",04_Especiales!B22)</f>
        <v>Menús especiales</v>
      </c>
      <c r="D397" s="56" t="str">
        <f aca="false">IF(04_Especiales!C22="","",04_Especiales!C22)</f>
        <v>Menú de fiesta patronal</v>
      </c>
      <c r="E397" s="56" t="str">
        <f aca="false">IF(04_Especiales!D22="","",04_Especiales!D22)</f>
        <v>Plato típico de celebración</v>
      </c>
      <c r="F397" s="56" t="str">
        <f aca="false">IF(04_Especiales!E22="","",04_Especiales!E22)</f>
        <v>preparación del día del local</v>
      </c>
      <c r="G397" s="55" t="str">
        <f aca="false">IF(04_Especiales!F22="","",04_Especiales!F22)</f>
        <v>Bandeja</v>
      </c>
      <c r="H397" s="55" t="str">
        <f aca="false">IF(04_Especiales!G22="","",04_Especiales!G22)</f>
        <v>Medio</v>
      </c>
      <c r="I397" s="58" t="n">
        <f aca="false">IF(04_Especiales!H22="","",04_Especiales!H22)</f>
        <v>15</v>
      </c>
      <c r="J397" s="58" t="n">
        <f aca="false">IF(04_Especiales!I22="","",04_Especiales!I22)</f>
        <v>30</v>
      </c>
      <c r="K397" s="58" t="n">
        <f aca="false">IF(04_Especiales!J22="","",04_Especiales!J22)</f>
        <v>22.5</v>
      </c>
      <c r="L397" s="58" t="n">
        <f aca="false">IF(04_Especiales!L22="","",04_Especiales!L22)</f>
        <v>24</v>
      </c>
      <c r="M397" s="58" t="n">
        <f aca="false">IF(04_Especiales!N22="","",04_Especiales!N22)</f>
        <v>2.48</v>
      </c>
      <c r="N397" s="58" t="n">
        <f aca="false">IF(04_Especiales!O22="","",04_Especiales!O22)</f>
        <v>20.02</v>
      </c>
      <c r="O397" s="55" t="str">
        <f aca="false">IF(04_Especiales!P22="","",04_Especiales!P22)</f>
        <v>11:00-17:00</v>
      </c>
      <c r="P397" s="55" t="n">
        <f aca="false">IF(04_Especiales!Q22="","",04_Especiales!Q22)</f>
        <v>20</v>
      </c>
      <c r="Q397" s="55" t="str">
        <f aca="false">IF(04_Especiales!R22="","",04_Especiales!R22)</f>
        <v>Medio</v>
      </c>
      <c r="R397" s="55" t="str">
        <f aca="false">IF(04_Especiales!S22="","",04_Especiales!S22)</f>
        <v>Fiestas patronales</v>
      </c>
      <c r="S397" s="55" t="str">
        <f aca="false">IF(04_Especiales!T22="","",04_Especiales!T22)</f>
        <v>Regional</v>
      </c>
      <c r="T397" s="56" t="str">
        <f aca="false">IF(04_Especiales!U22="","",04_Especiales!U22)</f>
        <v>Picos en Candelaria (febrero) y aniversario de Puno (noviembre)</v>
      </c>
      <c r="U397" s="55" t="n">
        <v>22</v>
      </c>
      <c r="V397" s="55" t="n">
        <f aca="false">IF(AND(OR(LEN(13_Buscador!$C$5)=0,ISNUMBER(SEARCH(13_Buscador!$C$5,$C397&amp;" "&amp;$D397&amp;" "&amp;$E397&amp;" "&amp;$F397&amp;" "&amp;$S397))),OR(13_Buscador!$C$6="Todas las listas",LEN(13_Buscador!$C$6)=0,13_Buscador!$C$6=$B397)),1,0)</f>
        <v>0</v>
      </c>
      <c r="W397" s="55" t="str">
        <f aca="false">IF(V397=1,SUM($V$2:V397),"")</f>
        <v/>
      </c>
    </row>
    <row r="398" customFormat="false" ht="15" hidden="false" customHeight="true" outlineLevel="0" collapsed="false">
      <c r="A398" s="55" t="n">
        <v>397</v>
      </c>
      <c r="B398" s="55" t="s">
        <v>3330</v>
      </c>
      <c r="C398" s="55" t="str">
        <f aca="false">IF(04_Especiales!B23="","",04_Especiales!B23)</f>
        <v>Menús especiales</v>
      </c>
      <c r="D398" s="56" t="str">
        <f aca="false">IF(04_Especiales!C23="","",04_Especiales!C23)</f>
        <v>Menú del Día de la Madre</v>
      </c>
      <c r="E398" s="56" t="str">
        <f aca="false">IF(04_Especiales!D23="","",04_Especiales!D23)</f>
        <v>Menú especial de fecha</v>
      </c>
      <c r="F398" s="56" t="str">
        <f aca="false">IF(04_Especiales!E23="","",04_Especiales!E23)</f>
        <v>sopa del día, segundo del día, refresco o bebida</v>
      </c>
      <c r="G398" s="55" t="str">
        <f aca="false">IF(04_Especiales!F23="","",04_Especiales!F23)</f>
        <v>Bandeja</v>
      </c>
      <c r="H398" s="55" t="str">
        <f aca="false">IF(04_Especiales!G23="","",04_Especiales!G23)</f>
        <v>Medio</v>
      </c>
      <c r="I398" s="58" t="n">
        <f aca="false">IF(04_Especiales!H23="","",04_Especiales!H23)</f>
        <v>25</v>
      </c>
      <c r="J398" s="58" t="n">
        <f aca="false">IF(04_Especiales!I23="","",04_Especiales!I23)</f>
        <v>50</v>
      </c>
      <c r="K398" s="58" t="n">
        <f aca="false">IF(04_Especiales!J23="","",04_Especiales!J23)</f>
        <v>37.5</v>
      </c>
      <c r="L398" s="58" t="n">
        <f aca="false">IF(04_Especiales!L23="","",04_Especiales!L23)</f>
        <v>39</v>
      </c>
      <c r="M398" s="58" t="n">
        <f aca="false">IF(04_Especiales!N23="","",04_Especiales!N23)</f>
        <v>4.13</v>
      </c>
      <c r="N398" s="58" t="n">
        <f aca="false">IF(04_Especiales!O23="","",04_Especiales!O23)</f>
        <v>33.37</v>
      </c>
      <c r="O398" s="55" t="str">
        <f aca="false">IF(04_Especiales!P23="","",04_Especiales!P23)</f>
        <v>11:00-17:00</v>
      </c>
      <c r="P398" s="55" t="n">
        <f aca="false">IF(04_Especiales!Q23="","",04_Especiales!Q23)</f>
        <v>25</v>
      </c>
      <c r="Q398" s="55" t="str">
        <f aca="false">IF(04_Especiales!R23="","",04_Especiales!R23)</f>
        <v>Medio</v>
      </c>
      <c r="R398" s="55" t="str">
        <f aca="false">IF(04_Especiales!S23="","",04_Especiales!S23)</f>
        <v>Segundo domingo de mayo</v>
      </c>
      <c r="S398" s="55" t="str">
        <f aca="false">IF(04_Especiales!T23="","",04_Especiales!T23)</f>
        <v>Restaurante</v>
      </c>
      <c r="T398" s="56" t="str">
        <f aca="false">IF(04_Especiales!U23="","",04_Especiales!U23)</f>
        <v>Pico de pedidos del año</v>
      </c>
      <c r="U398" s="55" t="n">
        <v>23</v>
      </c>
      <c r="V398" s="55" t="n">
        <f aca="false">IF(AND(OR(LEN(13_Buscador!$C$5)=0,ISNUMBER(SEARCH(13_Buscador!$C$5,$C398&amp;" "&amp;$D398&amp;" "&amp;$E398&amp;" "&amp;$F398&amp;" "&amp;$S398))),OR(13_Buscador!$C$6="Todas las listas",LEN(13_Buscador!$C$6)=0,13_Buscador!$C$6=$B398)),1,0)</f>
        <v>0</v>
      </c>
      <c r="W398" s="55" t="str">
        <f aca="false">IF(V398=1,SUM($V$2:V398),"")</f>
        <v/>
      </c>
    </row>
    <row r="399" customFormat="false" ht="15" hidden="false" customHeight="true" outlineLevel="0" collapsed="false">
      <c r="A399" s="55" t="n">
        <v>398</v>
      </c>
      <c r="B399" s="55" t="s">
        <v>3330</v>
      </c>
      <c r="C399" s="55" t="str">
        <f aca="false">IF(04_Especiales!B24="","",04_Especiales!B24)</f>
        <v>Menús especiales</v>
      </c>
      <c r="D399" s="56" t="str">
        <f aca="false">IF(04_Especiales!C24="","",04_Especiales!C24)</f>
        <v>Cena navideña</v>
      </c>
      <c r="E399" s="56" t="str">
        <f aca="false">IF(04_Especiales!D24="","",04_Especiales!D24)</f>
        <v>Pavo o lechón con guarnición</v>
      </c>
      <c r="F399" s="56" t="str">
        <f aca="false">IF(04_Especiales!E24="","",04_Especiales!E24)</f>
        <v>preparación del día del local</v>
      </c>
      <c r="G399" s="55" t="str">
        <f aca="false">IF(04_Especiales!F24="","",04_Especiales!F24)</f>
        <v>Bandeja</v>
      </c>
      <c r="H399" s="55" t="str">
        <f aca="false">IF(04_Especiales!G24="","",04_Especiales!G24)</f>
        <v>Premium</v>
      </c>
      <c r="I399" s="58" t="n">
        <f aca="false">IF(04_Especiales!H24="","",04_Especiales!H24)</f>
        <v>35</v>
      </c>
      <c r="J399" s="58" t="n">
        <f aca="false">IF(04_Especiales!I24="","",04_Especiales!I24)</f>
        <v>80</v>
      </c>
      <c r="K399" s="58" t="n">
        <f aca="false">IF(04_Especiales!J24="","",04_Especiales!J24)</f>
        <v>57.5</v>
      </c>
      <c r="L399" s="58" t="n">
        <f aca="false">IF(04_Especiales!L24="","",04_Especiales!L24)</f>
        <v>59</v>
      </c>
      <c r="M399" s="58" t="n">
        <f aca="false">IF(04_Especiales!N24="","",04_Especiales!N24)</f>
        <v>7.48</v>
      </c>
      <c r="N399" s="58" t="n">
        <f aca="false">IF(04_Especiales!O24="","",04_Especiales!O24)</f>
        <v>50.02</v>
      </c>
      <c r="O399" s="55" t="str">
        <f aca="false">IF(04_Especiales!P24="","",04_Especiales!P24)</f>
        <v>18:00-23:00</v>
      </c>
      <c r="P399" s="55" t="n">
        <f aca="false">IF(04_Especiales!Q24="","",04_Especiales!Q24)</f>
        <v>30</v>
      </c>
      <c r="Q399" s="55" t="str">
        <f aca="false">IF(04_Especiales!R24="","",04_Especiales!R24)</f>
        <v>Medio</v>
      </c>
      <c r="R399" s="55" t="str">
        <f aca="false">IF(04_Especiales!S24="","",04_Especiales!S24)</f>
        <v>Diciembre</v>
      </c>
      <c r="S399" s="55" t="str">
        <f aca="false">IF(04_Especiales!T24="","",04_Especiales!T24)</f>
        <v>Restaurante</v>
      </c>
      <c r="T399" s="56" t="str">
        <f aca="false">IF(04_Especiales!U24="","",04_Especiales!U24)</f>
        <v/>
      </c>
      <c r="U399" s="55" t="n">
        <v>24</v>
      </c>
      <c r="V399" s="55" t="n">
        <f aca="false">IF(AND(OR(LEN(13_Buscador!$C$5)=0,ISNUMBER(SEARCH(13_Buscador!$C$5,$C399&amp;" "&amp;$D399&amp;" "&amp;$E399&amp;" "&amp;$F399&amp;" "&amp;$S399))),OR(13_Buscador!$C$6="Todas las listas",LEN(13_Buscador!$C$6)=0,13_Buscador!$C$6=$B399)),1,0)</f>
        <v>0</v>
      </c>
      <c r="W399" s="55" t="str">
        <f aca="false">IF(V399=1,SUM($V$2:V399),"")</f>
        <v/>
      </c>
    </row>
    <row r="400" customFormat="false" ht="15" hidden="false" customHeight="true" outlineLevel="0" collapsed="false">
      <c r="A400" s="55" t="n">
        <v>399</v>
      </c>
      <c r="B400" s="55" t="s">
        <v>3330</v>
      </c>
      <c r="C400" s="55" t="str">
        <f aca="false">IF(04_Especiales!B25="","",04_Especiales!B25)</f>
        <v>Menús especiales</v>
      </c>
      <c r="D400" s="56" t="str">
        <f aca="false">IF(04_Especiales!C25="","",04_Especiales!C25)</f>
        <v>Menú de Año Nuevo</v>
      </c>
      <c r="E400" s="56" t="str">
        <f aca="false">IF(04_Especiales!D25="","",04_Especiales!D25)</f>
        <v>Cena de fin de año</v>
      </c>
      <c r="F400" s="56" t="str">
        <f aca="false">IF(04_Especiales!E25="","",04_Especiales!E25)</f>
        <v>preparación del día del local</v>
      </c>
      <c r="G400" s="55" t="str">
        <f aca="false">IF(04_Especiales!F25="","",04_Especiales!F25)</f>
        <v>Bandeja</v>
      </c>
      <c r="H400" s="55" t="str">
        <f aca="false">IF(04_Especiales!G25="","",04_Especiales!G25)</f>
        <v>Premium</v>
      </c>
      <c r="I400" s="58" t="n">
        <f aca="false">IF(04_Especiales!H25="","",04_Especiales!H25)</f>
        <v>35</v>
      </c>
      <c r="J400" s="58" t="n">
        <f aca="false">IF(04_Especiales!I25="","",04_Especiales!I25)</f>
        <v>80</v>
      </c>
      <c r="K400" s="58" t="n">
        <f aca="false">IF(04_Especiales!J25="","",04_Especiales!J25)</f>
        <v>57.5</v>
      </c>
      <c r="L400" s="58" t="n">
        <f aca="false">IF(04_Especiales!L25="","",04_Especiales!L25)</f>
        <v>59</v>
      </c>
      <c r="M400" s="58" t="n">
        <f aca="false">IF(04_Especiales!N25="","",04_Especiales!N25)</f>
        <v>7.48</v>
      </c>
      <c r="N400" s="58" t="n">
        <f aca="false">IF(04_Especiales!O25="","",04_Especiales!O25)</f>
        <v>50.02</v>
      </c>
      <c r="O400" s="55" t="str">
        <f aca="false">IF(04_Especiales!P25="","",04_Especiales!P25)</f>
        <v>18:00-23:00</v>
      </c>
      <c r="P400" s="55" t="n">
        <f aca="false">IF(04_Especiales!Q25="","",04_Especiales!Q25)</f>
        <v>30</v>
      </c>
      <c r="Q400" s="55" t="str">
        <f aca="false">IF(04_Especiales!R25="","",04_Especiales!R25)</f>
        <v>Medio</v>
      </c>
      <c r="R400" s="55" t="str">
        <f aca="false">IF(04_Especiales!S25="","",04_Especiales!S25)</f>
        <v>31 de diciembre</v>
      </c>
      <c r="S400" s="55" t="str">
        <f aca="false">IF(04_Especiales!T25="","",04_Especiales!T25)</f>
        <v>Restaurante</v>
      </c>
      <c r="T400" s="56" t="str">
        <f aca="false">IF(04_Especiales!U25="","",04_Especiales!U25)</f>
        <v/>
      </c>
      <c r="U400" s="55" t="n">
        <v>25</v>
      </c>
      <c r="V400" s="55" t="n">
        <f aca="false">IF(AND(OR(LEN(13_Buscador!$C$5)=0,ISNUMBER(SEARCH(13_Buscador!$C$5,$C400&amp;" "&amp;$D400&amp;" "&amp;$E400&amp;" "&amp;$F400&amp;" "&amp;$S400))),OR(13_Buscador!$C$6="Todas las listas",LEN(13_Buscador!$C$6)=0,13_Buscador!$C$6=$B400)),1,0)</f>
        <v>0</v>
      </c>
      <c r="W400" s="55" t="str">
        <f aca="false">IF(V400=1,SUM($V$2:V400),"")</f>
        <v/>
      </c>
    </row>
    <row r="401" customFormat="false" ht="15" hidden="false" customHeight="true" outlineLevel="0" collapsed="false">
      <c r="A401" s="55" t="n">
        <v>400</v>
      </c>
      <c r="B401" s="55" t="s">
        <v>3330</v>
      </c>
      <c r="C401" s="55" t="str">
        <f aca="false">IF(04_Especiales!B26="","",04_Especiales!B26)</f>
        <v>Menús especiales</v>
      </c>
      <c r="D401" s="56" t="str">
        <f aca="false">IF(04_Especiales!C26="","",04_Especiales!C26)</f>
        <v>Buffet turístico</v>
      </c>
      <c r="E401" s="56" t="str">
        <f aca="false">IF(04_Especiales!D26="","",04_Especiales!D26)</f>
        <v>Buffet libre</v>
      </c>
      <c r="F401" s="56" t="str">
        <f aca="false">IF(04_Especiales!E26="","",04_Especiales!E26)</f>
        <v>surtido de platos del servicio contratado</v>
      </c>
      <c r="G401" s="55" t="str">
        <f aca="false">IF(04_Especiales!F26="","",04_Especiales!F26)</f>
        <v>Por persona</v>
      </c>
      <c r="H401" s="55" t="str">
        <f aca="false">IF(04_Especiales!G26="","",04_Especiales!G26)</f>
        <v>Premium</v>
      </c>
      <c r="I401" s="58" t="n">
        <f aca="false">IF(04_Especiales!H26="","",04_Especiales!H26)</f>
        <v>35</v>
      </c>
      <c r="J401" s="58" t="n">
        <f aca="false">IF(04_Especiales!I26="","",04_Especiales!I26)</f>
        <v>70</v>
      </c>
      <c r="K401" s="58" t="n">
        <f aca="false">IF(04_Especiales!J26="","",04_Especiales!J26)</f>
        <v>52.5</v>
      </c>
      <c r="L401" s="58" t="n">
        <f aca="false">IF(04_Especiales!L26="","",04_Especiales!L26)</f>
        <v>54</v>
      </c>
      <c r="M401" s="58" t="n">
        <f aca="false">IF(04_Especiales!N26="","",04_Especiales!N26)</f>
        <v>6.83</v>
      </c>
      <c r="N401" s="58" t="n">
        <f aca="false">IF(04_Especiales!O26="","",04_Especiales!O26)</f>
        <v>45.67</v>
      </c>
      <c r="O401" s="55" t="str">
        <f aca="false">IF(04_Especiales!P26="","",04_Especiales!P26)</f>
        <v>12:00-15:00</v>
      </c>
      <c r="P401" s="55" t="n">
        <f aca="false">IF(04_Especiales!Q26="","",04_Especiales!Q26)</f>
        <v>0</v>
      </c>
      <c r="Q401" s="55" t="str">
        <f aca="false">IF(04_Especiales!R26="","",04_Especiales!R26)</f>
        <v>Bajo</v>
      </c>
      <c r="R401" s="55" t="str">
        <f aca="false">IF(04_Especiales!S26="","",04_Especiales!S26)</f>
        <v>Temporada alta jun-ago</v>
      </c>
      <c r="S401" s="55" t="str">
        <f aca="false">IF(04_Especiales!T26="","",04_Especiales!T26)</f>
        <v>Hotel, turístico</v>
      </c>
      <c r="T401" s="56" t="str">
        <f aca="false">IF(04_Especiales!U26="","",04_Especiales!U26)</f>
        <v>Difícil de operar por delivery</v>
      </c>
      <c r="U401" s="55" t="n">
        <v>26</v>
      </c>
      <c r="V401" s="55" t="n">
        <f aca="false">IF(AND(OR(LEN(13_Buscador!$C$5)=0,ISNUMBER(SEARCH(13_Buscador!$C$5,$C401&amp;" "&amp;$D401&amp;" "&amp;$E401&amp;" "&amp;$F401&amp;" "&amp;$S401))),OR(13_Buscador!$C$6="Todas las listas",LEN(13_Buscador!$C$6)=0,13_Buscador!$C$6=$B401)),1,0)</f>
        <v>0</v>
      </c>
      <c r="W401" s="55" t="str">
        <f aca="false">IF(V401=1,SUM($V$2:V401),"")</f>
        <v/>
      </c>
    </row>
    <row r="402" customFormat="false" ht="23.25" hidden="false" customHeight="true" outlineLevel="0" collapsed="false">
      <c r="A402" s="55" t="n">
        <v>401</v>
      </c>
      <c r="B402" s="55" t="s">
        <v>3330</v>
      </c>
      <c r="C402" s="55" t="str">
        <f aca="false">IF(04_Especiales!B27="","",04_Especiales!B27)</f>
        <v>Catering y volumen</v>
      </c>
      <c r="D402" s="56" t="str">
        <f aca="false">IF(04_Especiales!C27="","",04_Especiales!C27)</f>
        <v>Almuerzo para evento (x10)</v>
      </c>
      <c r="E402" s="56" t="str">
        <f aca="false">IF(04_Especiales!D27="","",04_Especiales!D27)</f>
        <v>10 menús empacados</v>
      </c>
      <c r="F402" s="56" t="str">
        <f aca="false">IF(04_Especiales!E27="","",04_Especiales!E27)</f>
        <v>preparación del menú contratado en la cantidad solicitada</v>
      </c>
      <c r="G402" s="55" t="str">
        <f aca="false">IF(04_Especiales!F27="","",04_Especiales!F27)</f>
        <v>Pedido</v>
      </c>
      <c r="H402" s="55" t="str">
        <f aca="false">IF(04_Especiales!G27="","",04_Especiales!G27)</f>
        <v>Medio</v>
      </c>
      <c r="I402" s="58" t="n">
        <f aca="false">IF(04_Especiales!H27="","",04_Especiales!H27)</f>
        <v>90</v>
      </c>
      <c r="J402" s="58" t="n">
        <f aca="false">IF(04_Especiales!I27="","",04_Especiales!I27)</f>
        <v>150</v>
      </c>
      <c r="K402" s="58" t="n">
        <f aca="false">IF(04_Especiales!J27="","",04_Especiales!J27)</f>
        <v>120</v>
      </c>
      <c r="L402" s="58" t="n">
        <f aca="false">IF(04_Especiales!L27="","",04_Especiales!L27)</f>
        <v>121.5</v>
      </c>
      <c r="M402" s="58" t="n">
        <f aca="false">IF(04_Especiales!N27="","",04_Especiales!N27)</f>
        <v>13.2</v>
      </c>
      <c r="N402" s="58" t="n">
        <f aca="false">IF(04_Especiales!O27="","",04_Especiales!O27)</f>
        <v>106.8</v>
      </c>
      <c r="O402" s="55" t="str">
        <f aca="false">IF(04_Especiales!P27="","",04_Especiales!P27)</f>
        <v>11:00-15:00</v>
      </c>
      <c r="P402" s="55" t="n">
        <f aca="false">IF(04_Especiales!Q27="","",04_Especiales!Q27)</f>
        <v>60</v>
      </c>
      <c r="Q402" s="55" t="str">
        <f aca="false">IF(04_Especiales!R27="","",04_Especiales!R27)</f>
        <v>Medio</v>
      </c>
      <c r="R402" s="55" t="str">
        <f aca="false">IF(04_Especiales!S27="","",04_Especiales!S27)</f>
        <v>Todo el año</v>
      </c>
      <c r="S402" s="55" t="str">
        <f aca="false">IF(04_Especiales!T27="","",04_Especiales!T27)</f>
        <v>Menú, catering</v>
      </c>
      <c r="T402" s="56" t="str">
        <f aca="false">IF(04_Especiales!U27="","",04_Especiales!U27)</f>
        <v>Línea B2B: oficinas e instituciones</v>
      </c>
      <c r="U402" s="55" t="n">
        <v>27</v>
      </c>
      <c r="V402" s="55" t="n">
        <f aca="false">IF(AND(OR(LEN(13_Buscador!$C$5)=0,ISNUMBER(SEARCH(13_Buscador!$C$5,$C402&amp;" "&amp;$D402&amp;" "&amp;$E402&amp;" "&amp;$F402&amp;" "&amp;$S402))),OR(13_Buscador!$C$6="Todas las listas",LEN(13_Buscador!$C$6)=0,13_Buscador!$C$6=$B402)),1,0)</f>
        <v>0</v>
      </c>
      <c r="W402" s="55" t="str">
        <f aca="false">IF(V402=1,SUM($V$2:V402),"")</f>
        <v/>
      </c>
    </row>
    <row r="403" customFormat="false" ht="23.25" hidden="false" customHeight="true" outlineLevel="0" collapsed="false">
      <c r="A403" s="55" t="n">
        <v>402</v>
      </c>
      <c r="B403" s="55" t="s">
        <v>3330</v>
      </c>
      <c r="C403" s="55" t="str">
        <f aca="false">IF(04_Especiales!B28="","",04_Especiales!B28)</f>
        <v>Catering y volumen</v>
      </c>
      <c r="D403" s="56" t="str">
        <f aca="false">IF(04_Especiales!C28="","",04_Especiales!C28)</f>
        <v>Almuerzo para evento (x25)</v>
      </c>
      <c r="E403" s="56" t="str">
        <f aca="false">IF(04_Especiales!D28="","",04_Especiales!D28)</f>
        <v>25 menús empacados</v>
      </c>
      <c r="F403" s="56" t="str">
        <f aca="false">IF(04_Especiales!E28="","",04_Especiales!E28)</f>
        <v>preparación del menú contratado en la cantidad solicitada</v>
      </c>
      <c r="G403" s="55" t="str">
        <f aca="false">IF(04_Especiales!F28="","",04_Especiales!F28)</f>
        <v>Pedido</v>
      </c>
      <c r="H403" s="55" t="str">
        <f aca="false">IF(04_Especiales!G28="","",04_Especiales!G28)</f>
        <v>Premium</v>
      </c>
      <c r="I403" s="58" t="n">
        <f aca="false">IF(04_Especiales!H28="","",04_Especiales!H28)</f>
        <v>220</v>
      </c>
      <c r="J403" s="58" t="n">
        <f aca="false">IF(04_Especiales!I28="","",04_Especiales!I28)</f>
        <v>375</v>
      </c>
      <c r="K403" s="58" t="n">
        <f aca="false">IF(04_Especiales!J28="","",04_Especiales!J28)</f>
        <v>297.5</v>
      </c>
      <c r="L403" s="58" t="n">
        <f aca="false">IF(04_Especiales!L28="","",04_Especiales!L28)</f>
        <v>299</v>
      </c>
      <c r="M403" s="58" t="n">
        <f aca="false">IF(04_Especiales!N28="","",04_Especiales!N28)</f>
        <v>38.68</v>
      </c>
      <c r="N403" s="58" t="n">
        <f aca="false">IF(04_Especiales!O28="","",04_Especiales!O28)</f>
        <v>258.82</v>
      </c>
      <c r="O403" s="55" t="str">
        <f aca="false">IF(04_Especiales!P28="","",04_Especiales!P28)</f>
        <v>11:00-15:00</v>
      </c>
      <c r="P403" s="55" t="n">
        <f aca="false">IF(04_Especiales!Q28="","",04_Especiales!Q28)</f>
        <v>90</v>
      </c>
      <c r="Q403" s="55" t="str">
        <f aca="false">IF(04_Especiales!R28="","",04_Especiales!R28)</f>
        <v>Medio</v>
      </c>
      <c r="R403" s="55" t="str">
        <f aca="false">IF(04_Especiales!S28="","",04_Especiales!S28)</f>
        <v>Todo el año</v>
      </c>
      <c r="S403" s="55" t="str">
        <f aca="false">IF(04_Especiales!T28="","",04_Especiales!T28)</f>
        <v>Catering</v>
      </c>
      <c r="T403" s="56" t="str">
        <f aca="false">IF(04_Especiales!U28="","",04_Especiales!U28)</f>
        <v>Requiere aviso de 24 horas</v>
      </c>
      <c r="U403" s="55" t="n">
        <v>28</v>
      </c>
      <c r="V403" s="55" t="n">
        <f aca="false">IF(AND(OR(LEN(13_Buscador!$C$5)=0,ISNUMBER(SEARCH(13_Buscador!$C$5,$C403&amp;" "&amp;$D403&amp;" "&amp;$E403&amp;" "&amp;$F403&amp;" "&amp;$S403))),OR(13_Buscador!$C$6="Todas las listas",LEN(13_Buscador!$C$6)=0,13_Buscador!$C$6=$B403)),1,0)</f>
        <v>0</v>
      </c>
      <c r="W403" s="55" t="str">
        <f aca="false">IF(V403=1,SUM($V$2:V403),"")</f>
        <v/>
      </c>
    </row>
    <row r="404" customFormat="false" ht="15" hidden="false" customHeight="true" outlineLevel="0" collapsed="false">
      <c r="A404" s="55" t="n">
        <v>403</v>
      </c>
      <c r="B404" s="55" t="s">
        <v>3330</v>
      </c>
      <c r="C404" s="55" t="str">
        <f aca="false">IF(04_Especiales!B29="","",04_Especiales!B29)</f>
        <v>Catering y volumen</v>
      </c>
      <c r="D404" s="56" t="str">
        <f aca="false">IF(04_Especiales!C29="","",04_Especiales!C29)</f>
        <v>Box lunch individual</v>
      </c>
      <c r="E404" s="56" t="str">
        <f aca="false">IF(04_Especiales!D29="","",04_Especiales!D29)</f>
        <v>Sándwich, fruta, bebida</v>
      </c>
      <c r="F404" s="56" t="str">
        <f aca="false">IF(04_Especiales!E29="","",04_Especiales!E29)</f>
        <v>sándwich, fruta, bebida, galleta</v>
      </c>
      <c r="G404" s="55" t="str">
        <f aca="false">IF(04_Especiales!F29="","",04_Especiales!F29)</f>
        <v>Caja</v>
      </c>
      <c r="H404" s="55" t="str">
        <f aca="false">IF(04_Especiales!G29="","",04_Especiales!G29)</f>
        <v>Estándar</v>
      </c>
      <c r="I404" s="58" t="n">
        <f aca="false">IF(04_Especiales!H29="","",04_Especiales!H29)</f>
        <v>10</v>
      </c>
      <c r="J404" s="58" t="n">
        <f aca="false">IF(04_Especiales!I29="","",04_Especiales!I29)</f>
        <v>20</v>
      </c>
      <c r="K404" s="58" t="n">
        <f aca="false">IF(04_Especiales!J29="","",04_Especiales!J29)</f>
        <v>15</v>
      </c>
      <c r="L404" s="58" t="n">
        <f aca="false">IF(04_Especiales!L29="","",04_Especiales!L29)</f>
        <v>16.5</v>
      </c>
      <c r="M404" s="58" t="n">
        <f aca="false">IF(04_Especiales!N29="","",04_Especiales!N29)</f>
        <v>1.35</v>
      </c>
      <c r="N404" s="58" t="n">
        <f aca="false">IF(04_Especiales!O29="","",04_Especiales!O29)</f>
        <v>13.65</v>
      </c>
      <c r="O404" s="55" t="str">
        <f aca="false">IF(04_Especiales!P29="","",04_Especiales!P29)</f>
        <v>06:00-12:00</v>
      </c>
      <c r="P404" s="55" t="n">
        <f aca="false">IF(04_Especiales!Q29="","",04_Especiales!Q29)</f>
        <v>10</v>
      </c>
      <c r="Q404" s="55" t="str">
        <f aca="false">IF(04_Especiales!R29="","",04_Especiales!R29)</f>
        <v>Medio</v>
      </c>
      <c r="R404" s="55" t="str">
        <f aca="false">IF(04_Especiales!S29="","",04_Especiales!S29)</f>
        <v>Todo el año</v>
      </c>
      <c r="S404" s="55" t="str">
        <f aca="false">IF(04_Especiales!T29="","",04_Especiales!T29)</f>
        <v>Catering</v>
      </c>
      <c r="T404" s="56" t="str">
        <f aca="false">IF(04_Especiales!U29="","",04_Especiales!U29)</f>
        <v>Para tours y viajes; demanda turística</v>
      </c>
      <c r="U404" s="55" t="n">
        <v>29</v>
      </c>
      <c r="V404" s="55" t="n">
        <f aca="false">IF(AND(OR(LEN(13_Buscador!$C$5)=0,ISNUMBER(SEARCH(13_Buscador!$C$5,$C404&amp;" "&amp;$D404&amp;" "&amp;$E404&amp;" "&amp;$F404&amp;" "&amp;$S404))),OR(13_Buscador!$C$6="Todas las listas",LEN(13_Buscador!$C$6)=0,13_Buscador!$C$6=$B404)),1,0)</f>
        <v>0</v>
      </c>
      <c r="W404" s="55" t="str">
        <f aca="false">IF(V404=1,SUM($V$2:V404),"")</f>
        <v/>
      </c>
    </row>
    <row r="405" customFormat="false" ht="23.25" hidden="false" customHeight="true" outlineLevel="0" collapsed="false">
      <c r="A405" s="55" t="n">
        <v>404</v>
      </c>
      <c r="B405" s="55" t="s">
        <v>3330</v>
      </c>
      <c r="C405" s="55" t="str">
        <f aca="false">IF(04_Especiales!B30="","",04_Especiales!B30)</f>
        <v>Catering y volumen</v>
      </c>
      <c r="D405" s="56" t="str">
        <f aca="false">IF(04_Especiales!C30="","",04_Especiales!C30)</f>
        <v>Desayuno para grupo (x10)</v>
      </c>
      <c r="E405" s="56" t="str">
        <f aca="false">IF(04_Especiales!D30="","",04_Especiales!D30)</f>
        <v>10 desayunos</v>
      </c>
      <c r="F405" s="56" t="str">
        <f aca="false">IF(04_Especiales!E30="","",04_Especiales!E30)</f>
        <v>preparación del menú contratado en la cantidad solicitada</v>
      </c>
      <c r="G405" s="55" t="str">
        <f aca="false">IF(04_Especiales!F30="","",04_Especiales!F30)</f>
        <v>Pedido</v>
      </c>
      <c r="H405" s="55" t="str">
        <f aca="false">IF(04_Especiales!G30="","",04_Especiales!G30)</f>
        <v>Medio</v>
      </c>
      <c r="I405" s="58" t="n">
        <f aca="false">IF(04_Especiales!H30="","",04_Especiales!H30)</f>
        <v>80</v>
      </c>
      <c r="J405" s="58" t="n">
        <f aca="false">IF(04_Especiales!I30="","",04_Especiales!I30)</f>
        <v>150</v>
      </c>
      <c r="K405" s="58" t="n">
        <f aca="false">IF(04_Especiales!J30="","",04_Especiales!J30)</f>
        <v>115</v>
      </c>
      <c r="L405" s="58" t="n">
        <f aca="false">IF(04_Especiales!L30="","",04_Especiales!L30)</f>
        <v>116.5</v>
      </c>
      <c r="M405" s="58" t="n">
        <f aca="false">IF(04_Especiales!N30="","",04_Especiales!N30)</f>
        <v>12.65</v>
      </c>
      <c r="N405" s="58" t="n">
        <f aca="false">IF(04_Especiales!O30="","",04_Especiales!O30)</f>
        <v>102.35</v>
      </c>
      <c r="O405" s="55" t="str">
        <f aca="false">IF(04_Especiales!P30="","",04_Especiales!P30)</f>
        <v>05:00-09:00</v>
      </c>
      <c r="P405" s="55" t="n">
        <f aca="false">IF(04_Especiales!Q30="","",04_Especiales!Q30)</f>
        <v>45</v>
      </c>
      <c r="Q405" s="55" t="str">
        <f aca="false">IF(04_Especiales!R30="","",04_Especiales!R30)</f>
        <v>Medio</v>
      </c>
      <c r="R405" s="55" t="str">
        <f aca="false">IF(04_Especiales!S30="","",04_Especiales!S30)</f>
        <v>Todo el año</v>
      </c>
      <c r="S405" s="55" t="str">
        <f aca="false">IF(04_Especiales!T30="","",04_Especiales!T30)</f>
        <v>Catering</v>
      </c>
      <c r="T405" s="56" t="str">
        <f aca="false">IF(04_Especiales!U30="","",04_Especiales!U30)</f>
        <v/>
      </c>
      <c r="U405" s="55" t="n">
        <v>30</v>
      </c>
      <c r="V405" s="55" t="n">
        <f aca="false">IF(AND(OR(LEN(13_Buscador!$C$5)=0,ISNUMBER(SEARCH(13_Buscador!$C$5,$C405&amp;" "&amp;$D405&amp;" "&amp;$E405&amp;" "&amp;$F405&amp;" "&amp;$S405))),OR(13_Buscador!$C$6="Todas las listas",LEN(13_Buscador!$C$6)=0,13_Buscador!$C$6=$B405)),1,0)</f>
        <v>0</v>
      </c>
      <c r="W405" s="55" t="str">
        <f aca="false">IF(V405=1,SUM($V$2:V405),"")</f>
        <v/>
      </c>
    </row>
    <row r="406" customFormat="false" ht="15" hidden="false" customHeight="true" outlineLevel="0" collapsed="false">
      <c r="A406" s="55" t="n">
        <v>405</v>
      </c>
      <c r="B406" s="55" t="s">
        <v>3330</v>
      </c>
      <c r="C406" s="55" t="str">
        <f aca="false">IF(04_Especiales!B31="","",04_Especiales!B31)</f>
        <v>Catering y volumen</v>
      </c>
      <c r="D406" s="56" t="str">
        <f aca="false">IF(04_Especiales!C31="","",04_Especiales!C31)</f>
        <v>Coffee break (x10)</v>
      </c>
      <c r="E406" s="56" t="str">
        <f aca="false">IF(04_Especiales!D31="","",04_Especiales!D31)</f>
        <v>Bocaditos y bebidas calientes</v>
      </c>
      <c r="F406" s="56" t="str">
        <f aca="false">IF(04_Especiales!E31="","",04_Especiales!E31)</f>
        <v>bocaditos salados y dulces, café, té, jugo</v>
      </c>
      <c r="G406" s="55" t="str">
        <f aca="false">IF(04_Especiales!F31="","",04_Especiales!F31)</f>
        <v>Pedido</v>
      </c>
      <c r="H406" s="55" t="str">
        <f aca="false">IF(04_Especiales!G31="","",04_Especiales!G31)</f>
        <v>Medio</v>
      </c>
      <c r="I406" s="58" t="n">
        <f aca="false">IF(04_Especiales!H31="","",04_Especiales!H31)</f>
        <v>80</v>
      </c>
      <c r="J406" s="58" t="n">
        <f aca="false">IF(04_Especiales!I31="","",04_Especiales!I31)</f>
        <v>180</v>
      </c>
      <c r="K406" s="58" t="n">
        <f aca="false">IF(04_Especiales!J31="","",04_Especiales!J31)</f>
        <v>130</v>
      </c>
      <c r="L406" s="58" t="n">
        <f aca="false">IF(04_Especiales!L31="","",04_Especiales!L31)</f>
        <v>131.5</v>
      </c>
      <c r="M406" s="58" t="n">
        <f aca="false">IF(04_Especiales!N31="","",04_Especiales!N31)</f>
        <v>14.3</v>
      </c>
      <c r="N406" s="58" t="n">
        <f aca="false">IF(04_Especiales!O31="","",04_Especiales!O31)</f>
        <v>115.7</v>
      </c>
      <c r="O406" s="55" t="str">
        <f aca="false">IF(04_Especiales!P31="","",04_Especiales!P31)</f>
        <v>09:00-17:00</v>
      </c>
      <c r="P406" s="55" t="n">
        <f aca="false">IF(04_Especiales!Q31="","",04_Especiales!Q31)</f>
        <v>45</v>
      </c>
      <c r="Q406" s="55" t="str">
        <f aca="false">IF(04_Especiales!R31="","",04_Especiales!R31)</f>
        <v>Medio</v>
      </c>
      <c r="R406" s="55" t="str">
        <f aca="false">IF(04_Especiales!S31="","",04_Especiales!S31)</f>
        <v>Todo el año</v>
      </c>
      <c r="S406" s="55" t="str">
        <f aca="false">IF(04_Especiales!T31="","",04_Especiales!T31)</f>
        <v>Catering</v>
      </c>
      <c r="T406" s="56" t="str">
        <f aca="false">IF(04_Especiales!U31="","",04_Especiales!U31)</f>
        <v>Instituciones públicas y capacitaciones</v>
      </c>
      <c r="U406" s="55" t="n">
        <v>31</v>
      </c>
      <c r="V406" s="55" t="n">
        <f aca="false">IF(AND(OR(LEN(13_Buscador!$C$5)=0,ISNUMBER(SEARCH(13_Buscador!$C$5,$C406&amp;" "&amp;$D406&amp;" "&amp;$E406&amp;" "&amp;$F406&amp;" "&amp;$S406))),OR(13_Buscador!$C$6="Todas las listas",LEN(13_Buscador!$C$6)=0,13_Buscador!$C$6=$B406)),1,0)</f>
        <v>0</v>
      </c>
      <c r="W406" s="55" t="str">
        <f aca="false">IF(V406=1,SUM($V$2:V406),"")</f>
        <v/>
      </c>
    </row>
    <row r="407" customFormat="false" ht="23.25" hidden="false" customHeight="true" outlineLevel="0" collapsed="false">
      <c r="A407" s="55" t="n">
        <v>406</v>
      </c>
      <c r="B407" s="55" t="s">
        <v>3330</v>
      </c>
      <c r="C407" s="55" t="str">
        <f aca="false">IF(04_Especiales!B32="","",04_Especiales!B32)</f>
        <v>Catering y volumen</v>
      </c>
      <c r="D407" s="56" t="str">
        <f aca="false">IF(04_Especiales!C32="","",04_Especiales!C32)</f>
        <v>Torta de cumpleaños</v>
      </c>
      <c r="E407" s="56" t="str">
        <f aca="false">IF(04_Especiales!D32="","",04_Especiales!D32)</f>
        <v>Torta para 10-15 porciones</v>
      </c>
      <c r="F407" s="56" t="str">
        <f aca="false">IF(04_Especiales!E32="","",04_Especiales!E32)</f>
        <v>harina, huevo, azúcar, mantequilla, crema o fruta según el sabor</v>
      </c>
      <c r="G407" s="55" t="str">
        <f aca="false">IF(04_Especiales!F32="","",04_Especiales!F32)</f>
        <v>Unidad</v>
      </c>
      <c r="H407" s="55" t="str">
        <f aca="false">IF(04_Especiales!G32="","",04_Especiales!G32)</f>
        <v>Medio</v>
      </c>
      <c r="I407" s="58" t="n">
        <f aca="false">IF(04_Especiales!H32="","",04_Especiales!H32)</f>
        <v>40</v>
      </c>
      <c r="J407" s="58" t="n">
        <f aca="false">IF(04_Especiales!I32="","",04_Especiales!I32)</f>
        <v>90</v>
      </c>
      <c r="K407" s="58" t="n">
        <f aca="false">IF(04_Especiales!J32="","",04_Especiales!J32)</f>
        <v>65</v>
      </c>
      <c r="L407" s="58" t="n">
        <f aca="false">IF(04_Especiales!L32="","",04_Especiales!L32)</f>
        <v>66.5</v>
      </c>
      <c r="M407" s="58" t="n">
        <f aca="false">IF(04_Especiales!N32="","",04_Especiales!N32)</f>
        <v>7.15</v>
      </c>
      <c r="N407" s="58" t="n">
        <f aca="false">IF(04_Especiales!O32="","",04_Especiales!O32)</f>
        <v>57.85</v>
      </c>
      <c r="O407" s="55" t="str">
        <f aca="false">IF(04_Especiales!P32="","",04_Especiales!P32)</f>
        <v>Todo el día</v>
      </c>
      <c r="P407" s="55" t="n">
        <f aca="false">IF(04_Especiales!Q32="","",04_Especiales!Q32)</f>
        <v>120</v>
      </c>
      <c r="Q407" s="55" t="str">
        <f aca="false">IF(04_Especiales!R32="","",04_Especiales!R32)</f>
        <v>Bajo</v>
      </c>
      <c r="R407" s="55" t="str">
        <f aca="false">IF(04_Especiales!S32="","",04_Especiales!S32)</f>
        <v>Todo el año</v>
      </c>
      <c r="S407" s="55" t="str">
        <f aca="false">IF(04_Especiales!T32="","",04_Especiales!T32)</f>
        <v>Pastelería</v>
      </c>
      <c r="T407" s="56" t="str">
        <f aca="false">IF(04_Especiales!U32="","",04_Especiales!U32)</f>
        <v>Requiere pedido anticipado</v>
      </c>
      <c r="U407" s="55" t="n">
        <v>32</v>
      </c>
      <c r="V407" s="55" t="n">
        <f aca="false">IF(AND(OR(LEN(13_Buscador!$C$5)=0,ISNUMBER(SEARCH(13_Buscador!$C$5,$C407&amp;" "&amp;$D407&amp;" "&amp;$E407&amp;" "&amp;$F407&amp;" "&amp;$S407))),OR(13_Buscador!$C$6="Todas las listas",LEN(13_Buscador!$C$6)=0,13_Buscador!$C$6=$B407)),1,0)</f>
        <v>0</v>
      </c>
      <c r="W407" s="55" t="str">
        <f aca="false">IF(V407=1,SUM($V$2:V407),"")</f>
        <v/>
      </c>
    </row>
    <row r="408" customFormat="false" ht="15" hidden="false" customHeight="true" outlineLevel="0" collapsed="false">
      <c r="A408" s="55" t="n">
        <v>407</v>
      </c>
      <c r="B408" s="55" t="s">
        <v>3330</v>
      </c>
      <c r="C408" s="55" t="str">
        <f aca="false">IF(04_Especiales!B33="","",04_Especiales!B33)</f>
        <v>Catering y volumen</v>
      </c>
      <c r="D408" s="56" t="str">
        <f aca="false">IF(04_Especiales!C33="","",04_Especiales!C33)</f>
        <v>Bocaditos surtidos (50 und)</v>
      </c>
      <c r="E408" s="56" t="str">
        <f aca="false">IF(04_Especiales!D33="","",04_Especiales!D33)</f>
        <v>Bocaditos para evento</v>
      </c>
      <c r="F408" s="56" t="str">
        <f aca="false">IF(04_Especiales!E33="","",04_Especiales!E33)</f>
        <v>bocaditos salados y dulces, café, té, jugo</v>
      </c>
      <c r="G408" s="55" t="str">
        <f aca="false">IF(04_Especiales!F33="","",04_Especiales!F33)</f>
        <v>Bandeja</v>
      </c>
      <c r="H408" s="55" t="str">
        <f aca="false">IF(04_Especiales!G33="","",04_Especiales!G33)</f>
        <v>Premium</v>
      </c>
      <c r="I408" s="58" t="n">
        <f aca="false">IF(04_Especiales!H33="","",04_Especiales!H33)</f>
        <v>80</v>
      </c>
      <c r="J408" s="58" t="n">
        <f aca="false">IF(04_Especiales!I33="","",04_Especiales!I33)</f>
        <v>180</v>
      </c>
      <c r="K408" s="58" t="n">
        <f aca="false">IF(04_Especiales!J33="","",04_Especiales!J33)</f>
        <v>130</v>
      </c>
      <c r="L408" s="58" t="n">
        <f aca="false">IF(04_Especiales!L33="","",04_Especiales!L33)</f>
        <v>131.5</v>
      </c>
      <c r="M408" s="58" t="n">
        <f aca="false">IF(04_Especiales!N33="","",04_Especiales!N33)</f>
        <v>16.9</v>
      </c>
      <c r="N408" s="58" t="n">
        <f aca="false">IF(04_Especiales!O33="","",04_Especiales!O33)</f>
        <v>113.1</v>
      </c>
      <c r="O408" s="55" t="str">
        <f aca="false">IF(04_Especiales!P33="","",04_Especiales!P33)</f>
        <v>Todo el día</v>
      </c>
      <c r="P408" s="55" t="n">
        <f aca="false">IF(04_Especiales!Q33="","",04_Especiales!Q33)</f>
        <v>120</v>
      </c>
      <c r="Q408" s="55" t="str">
        <f aca="false">IF(04_Especiales!R33="","",04_Especiales!R33)</f>
        <v>Bajo</v>
      </c>
      <c r="R408" s="55" t="str">
        <f aca="false">IF(04_Especiales!S33="","",04_Especiales!S33)</f>
        <v>Todo el año</v>
      </c>
      <c r="S408" s="55" t="str">
        <f aca="false">IF(04_Especiales!T33="","",04_Especiales!T33)</f>
        <v>Pastelería</v>
      </c>
      <c r="T408" s="56" t="str">
        <f aca="false">IF(04_Especiales!U33="","",04_Especiales!U33)</f>
        <v/>
      </c>
      <c r="U408" s="55" t="n">
        <v>33</v>
      </c>
      <c r="V408" s="55" t="n">
        <f aca="false">IF(AND(OR(LEN(13_Buscador!$C$5)=0,ISNUMBER(SEARCH(13_Buscador!$C$5,$C408&amp;" "&amp;$D408&amp;" "&amp;$E408&amp;" "&amp;$F408&amp;" "&amp;$S408))),OR(13_Buscador!$C$6="Todas las listas",LEN(13_Buscador!$C$6)=0,13_Buscador!$C$6=$B408)),1,0)</f>
        <v>0</v>
      </c>
      <c r="W408" s="55" t="str">
        <f aca="false">IF(V408=1,SUM($V$2:V408),"")</f>
        <v/>
      </c>
    </row>
    <row r="409" customFormat="false" ht="15" hidden="false" customHeight="true" outlineLevel="0" collapsed="false">
      <c r="A409" s="55" t="n">
        <v>408</v>
      </c>
      <c r="B409" s="55" t="s">
        <v>3330</v>
      </c>
      <c r="C409" s="55" t="str">
        <f aca="false">IF(04_Especiales!B34="","",04_Especiales!B34)</f>
        <v>Dietas especiales</v>
      </c>
      <c r="D409" s="56" t="str">
        <f aca="false">IF(04_Especiales!C34="","",04_Especiales!C34)</f>
        <v>Menú sin gluten</v>
      </c>
      <c r="E409" s="56" t="str">
        <f aca="false">IF(04_Especiales!D34="","",04_Especiales!D34)</f>
        <v>Preparación sin harina de trigo</v>
      </c>
      <c r="F409" s="56" t="str">
        <f aca="false">IF(04_Especiales!E34="","",04_Especiales!E34)</f>
        <v>preparación sin harina de trigo, verificada</v>
      </c>
      <c r="G409" s="55" t="str">
        <f aca="false">IF(04_Especiales!F34="","",04_Especiales!F34)</f>
        <v>Bandeja</v>
      </c>
      <c r="H409" s="55" t="str">
        <f aca="false">IF(04_Especiales!G34="","",04_Especiales!G34)</f>
        <v>Medio</v>
      </c>
      <c r="I409" s="58" t="n">
        <f aca="false">IF(04_Especiales!H34="","",04_Especiales!H34)</f>
        <v>15</v>
      </c>
      <c r="J409" s="58" t="n">
        <f aca="false">IF(04_Especiales!I34="","",04_Especiales!I34)</f>
        <v>28</v>
      </c>
      <c r="K409" s="58" t="n">
        <f aca="false">IF(04_Especiales!J34="","",04_Especiales!J34)</f>
        <v>21.5</v>
      </c>
      <c r="L409" s="58" t="n">
        <f aca="false">IF(04_Especiales!L34="","",04_Especiales!L34)</f>
        <v>23</v>
      </c>
      <c r="M409" s="58" t="n">
        <f aca="false">IF(04_Especiales!N34="","",04_Especiales!N34)</f>
        <v>2.37</v>
      </c>
      <c r="N409" s="58" t="n">
        <f aca="false">IF(04_Especiales!O34="","",04_Especiales!O34)</f>
        <v>19.13</v>
      </c>
      <c r="O409" s="55" t="str">
        <f aca="false">IF(04_Especiales!P34="","",04_Especiales!P34)</f>
        <v>12:00-15:00</v>
      </c>
      <c r="P409" s="55" t="n">
        <f aca="false">IF(04_Especiales!Q34="","",04_Especiales!Q34)</f>
        <v>15</v>
      </c>
      <c r="Q409" s="55" t="str">
        <f aca="false">IF(04_Especiales!R34="","",04_Especiales!R34)</f>
        <v>Medio</v>
      </c>
      <c r="R409" s="55" t="str">
        <f aca="false">IF(04_Especiales!S34="","",04_Especiales!S34)</f>
        <v>Todo el año</v>
      </c>
      <c r="S409" s="55" t="str">
        <f aca="false">IF(04_Especiales!T34="","",04_Especiales!T34)</f>
        <v>Vegetariano, saludable</v>
      </c>
      <c r="T409" s="56" t="str">
        <f aca="false">IF(04_Especiales!U34="","",04_Especiales!U34)</f>
        <v>Nicho pequeño pero fiel</v>
      </c>
      <c r="U409" s="55" t="n">
        <v>34</v>
      </c>
      <c r="V409" s="55" t="n">
        <f aca="false">IF(AND(OR(LEN(13_Buscador!$C$5)=0,ISNUMBER(SEARCH(13_Buscador!$C$5,$C409&amp;" "&amp;$D409&amp;" "&amp;$E409&amp;" "&amp;$F409&amp;" "&amp;$S409))),OR(13_Buscador!$C$6="Todas las listas",LEN(13_Buscador!$C$6)=0,13_Buscador!$C$6=$B409)),1,0)</f>
        <v>0</v>
      </c>
      <c r="W409" s="55" t="str">
        <f aca="false">IF(V409=1,SUM($V$2:V409),"")</f>
        <v/>
      </c>
    </row>
    <row r="410" customFormat="false" ht="23.25" hidden="false" customHeight="true" outlineLevel="0" collapsed="false">
      <c r="A410" s="55" t="n">
        <v>409</v>
      </c>
      <c r="B410" s="55" t="s">
        <v>3330</v>
      </c>
      <c r="C410" s="55" t="str">
        <f aca="false">IF(04_Especiales!B35="","",04_Especiales!B35)</f>
        <v>Dietas especiales</v>
      </c>
      <c r="D410" s="56" t="str">
        <f aca="false">IF(04_Especiales!C35="","",04_Especiales!C35)</f>
        <v>Menú vegano completo</v>
      </c>
      <c r="E410" s="56" t="str">
        <f aca="false">IF(04_Especiales!D35="","",04_Especiales!D35)</f>
        <v>Sin productos de origen animal</v>
      </c>
      <c r="F410" s="56" t="str">
        <f aca="false">IF(04_Especiales!E35="","",04_Especiales!E35)</f>
        <v>sopa sin carne, segundo a base de vegetales o legumbres, refresco</v>
      </c>
      <c r="G410" s="55" t="str">
        <f aca="false">IF(04_Especiales!F35="","",04_Especiales!F35)</f>
        <v>Bandeja</v>
      </c>
      <c r="H410" s="55" t="str">
        <f aca="false">IF(04_Especiales!G35="","",04_Especiales!G35)</f>
        <v>Medio</v>
      </c>
      <c r="I410" s="58" t="n">
        <f aca="false">IF(04_Especiales!H35="","",04_Especiales!H35)</f>
        <v>12</v>
      </c>
      <c r="J410" s="58" t="n">
        <f aca="false">IF(04_Especiales!I35="","",04_Especiales!I35)</f>
        <v>22</v>
      </c>
      <c r="K410" s="58" t="n">
        <f aca="false">IF(04_Especiales!J35="","",04_Especiales!J35)</f>
        <v>17</v>
      </c>
      <c r="L410" s="58" t="n">
        <f aca="false">IF(04_Especiales!L35="","",04_Especiales!L35)</f>
        <v>18.5</v>
      </c>
      <c r="M410" s="58" t="n">
        <f aca="false">IF(04_Especiales!N35="","",04_Especiales!N35)</f>
        <v>1.87</v>
      </c>
      <c r="N410" s="58" t="n">
        <f aca="false">IF(04_Especiales!O35="","",04_Especiales!O35)</f>
        <v>15.13</v>
      </c>
      <c r="O410" s="55" t="str">
        <f aca="false">IF(04_Especiales!P35="","",04_Especiales!P35)</f>
        <v>12:00-15:00</v>
      </c>
      <c r="P410" s="55" t="n">
        <f aca="false">IF(04_Especiales!Q35="","",04_Especiales!Q35)</f>
        <v>12</v>
      </c>
      <c r="Q410" s="55" t="str">
        <f aca="false">IF(04_Especiales!R35="","",04_Especiales!R35)</f>
        <v>Medio</v>
      </c>
      <c r="R410" s="55" t="str">
        <f aca="false">IF(04_Especiales!S35="","",04_Especiales!S35)</f>
        <v>Todo el año</v>
      </c>
      <c r="S410" s="55" t="str">
        <f aca="false">IF(04_Especiales!T35="","",04_Especiales!T35)</f>
        <v>Vegano</v>
      </c>
      <c r="T410" s="56" t="str">
        <f aca="false">IF(04_Especiales!U35="","",04_Especiales!U35)</f>
        <v>Loving Hut es referencia local</v>
      </c>
      <c r="U410" s="55" t="n">
        <v>35</v>
      </c>
      <c r="V410" s="55" t="n">
        <f aca="false">IF(AND(OR(LEN(13_Buscador!$C$5)=0,ISNUMBER(SEARCH(13_Buscador!$C$5,$C410&amp;" "&amp;$D410&amp;" "&amp;$E410&amp;" "&amp;$F410&amp;" "&amp;$S410))),OR(13_Buscador!$C$6="Todas las listas",LEN(13_Buscador!$C$6)=0,13_Buscador!$C$6=$B410)),1,0)</f>
        <v>0</v>
      </c>
      <c r="W410" s="55" t="str">
        <f aca="false">IF(V410=1,SUM($V$2:V410),"")</f>
        <v/>
      </c>
    </row>
    <row r="411" customFormat="false" ht="23.25" hidden="false" customHeight="true" outlineLevel="0" collapsed="false">
      <c r="A411" s="55" t="n">
        <v>410</v>
      </c>
      <c r="B411" s="55" t="s">
        <v>3330</v>
      </c>
      <c r="C411" s="55" t="str">
        <f aca="false">IF(04_Especiales!B36="","",04_Especiales!B36)</f>
        <v>Dietas especiales</v>
      </c>
      <c r="D411" s="56" t="str">
        <f aca="false">IF(04_Especiales!C36="","",04_Especiales!C36)</f>
        <v>Menú hipocalórico</v>
      </c>
      <c r="E411" s="56" t="str">
        <f aca="false">IF(04_Especiales!D36="","",04_Especiales!D36)</f>
        <v>Porción controlada</v>
      </c>
      <c r="F411" s="56" t="str">
        <f aca="false">IF(04_Especiales!E36="","",04_Especiales!E36)</f>
        <v>preparación adaptada a la indicación dietética, sin fritura</v>
      </c>
      <c r="G411" s="55" t="str">
        <f aca="false">IF(04_Especiales!F36="","",04_Especiales!F36)</f>
        <v>Bandeja</v>
      </c>
      <c r="H411" s="55" t="str">
        <f aca="false">IF(04_Especiales!G36="","",04_Especiales!G36)</f>
        <v>Medio</v>
      </c>
      <c r="I411" s="58" t="n">
        <f aca="false">IF(04_Especiales!H36="","",04_Especiales!H36)</f>
        <v>15</v>
      </c>
      <c r="J411" s="58" t="n">
        <f aca="false">IF(04_Especiales!I36="","",04_Especiales!I36)</f>
        <v>25</v>
      </c>
      <c r="K411" s="58" t="n">
        <f aca="false">IF(04_Especiales!J36="","",04_Especiales!J36)</f>
        <v>20</v>
      </c>
      <c r="L411" s="58" t="n">
        <f aca="false">IF(04_Especiales!L36="","",04_Especiales!L36)</f>
        <v>21.5</v>
      </c>
      <c r="M411" s="58" t="n">
        <f aca="false">IF(04_Especiales!N36="","",04_Especiales!N36)</f>
        <v>2.2</v>
      </c>
      <c r="N411" s="58" t="n">
        <f aca="false">IF(04_Especiales!O36="","",04_Especiales!O36)</f>
        <v>17.8</v>
      </c>
      <c r="O411" s="55" t="str">
        <f aca="false">IF(04_Especiales!P36="","",04_Especiales!P36)</f>
        <v>12:00-15:00</v>
      </c>
      <c r="P411" s="55" t="n">
        <f aca="false">IF(04_Especiales!Q36="","",04_Especiales!Q36)</f>
        <v>12</v>
      </c>
      <c r="Q411" s="55" t="str">
        <f aca="false">IF(04_Especiales!R36="","",04_Especiales!R36)</f>
        <v>Medio</v>
      </c>
      <c r="R411" s="55" t="str">
        <f aca="false">IF(04_Especiales!S36="","",04_Especiales!S36)</f>
        <v>Todo el año</v>
      </c>
      <c r="S411" s="55" t="str">
        <f aca="false">IF(04_Especiales!T36="","",04_Especiales!T36)</f>
        <v>Saludable</v>
      </c>
      <c r="T411" s="56" t="str">
        <f aca="false">IF(04_Especiales!U36="","",04_Especiales!U36)</f>
        <v/>
      </c>
      <c r="U411" s="55" t="n">
        <v>36</v>
      </c>
      <c r="V411" s="55" t="n">
        <f aca="false">IF(AND(OR(LEN(13_Buscador!$C$5)=0,ISNUMBER(SEARCH(13_Buscador!$C$5,$C411&amp;" "&amp;$D411&amp;" "&amp;$E411&amp;" "&amp;$F411&amp;" "&amp;$S411))),OR(13_Buscador!$C$6="Todas las listas",LEN(13_Buscador!$C$6)=0,13_Buscador!$C$6=$B411)),1,0)</f>
        <v>0</v>
      </c>
      <c r="W411" s="55" t="str">
        <f aca="false">IF(V411=1,SUM($V$2:V411),"")</f>
        <v/>
      </c>
    </row>
    <row r="412" customFormat="false" ht="23.25" hidden="false" customHeight="true" outlineLevel="0" collapsed="false">
      <c r="A412" s="55" t="n">
        <v>411</v>
      </c>
      <c r="B412" s="55" t="s">
        <v>3330</v>
      </c>
      <c r="C412" s="55" t="str">
        <f aca="false">IF(04_Especiales!B37="","",04_Especiales!B37)</f>
        <v>Dietas especiales</v>
      </c>
      <c r="D412" s="56" t="str">
        <f aca="false">IF(04_Especiales!C37="","",04_Especiales!C37)</f>
        <v>Menú para deportistas</v>
      </c>
      <c r="E412" s="56" t="str">
        <f aca="false">IF(04_Especiales!D37="","",04_Especiales!D37)</f>
        <v>Alto en proteína</v>
      </c>
      <c r="F412" s="56" t="str">
        <f aca="false">IF(04_Especiales!E37="","",04_Especiales!E37)</f>
        <v>preparación adaptada a la indicación dietética, sin fritura</v>
      </c>
      <c r="G412" s="55" t="str">
        <f aca="false">IF(04_Especiales!F37="","",04_Especiales!F37)</f>
        <v>Bandeja</v>
      </c>
      <c r="H412" s="55" t="str">
        <f aca="false">IF(04_Especiales!G37="","",04_Especiales!G37)</f>
        <v>Medio</v>
      </c>
      <c r="I412" s="58" t="n">
        <f aca="false">IF(04_Especiales!H37="","",04_Especiales!H37)</f>
        <v>15</v>
      </c>
      <c r="J412" s="58" t="n">
        <f aca="false">IF(04_Especiales!I37="","",04_Especiales!I37)</f>
        <v>28</v>
      </c>
      <c r="K412" s="58" t="n">
        <f aca="false">IF(04_Especiales!J37="","",04_Especiales!J37)</f>
        <v>21.5</v>
      </c>
      <c r="L412" s="58" t="n">
        <f aca="false">IF(04_Especiales!L37="","",04_Especiales!L37)</f>
        <v>23</v>
      </c>
      <c r="M412" s="58" t="n">
        <f aca="false">IF(04_Especiales!N37="","",04_Especiales!N37)</f>
        <v>2.37</v>
      </c>
      <c r="N412" s="58" t="n">
        <f aca="false">IF(04_Especiales!O37="","",04_Especiales!O37)</f>
        <v>19.13</v>
      </c>
      <c r="O412" s="55" t="str">
        <f aca="false">IF(04_Especiales!P37="","",04_Especiales!P37)</f>
        <v>12:00-20:00</v>
      </c>
      <c r="P412" s="55" t="n">
        <f aca="false">IF(04_Especiales!Q37="","",04_Especiales!Q37)</f>
        <v>15</v>
      </c>
      <c r="Q412" s="55" t="str">
        <f aca="false">IF(04_Especiales!R37="","",04_Especiales!R37)</f>
        <v>Medio</v>
      </c>
      <c r="R412" s="55" t="str">
        <f aca="false">IF(04_Especiales!S37="","",04_Especiales!S37)</f>
        <v>Todo el año</v>
      </c>
      <c r="S412" s="55" t="str">
        <f aca="false">IF(04_Especiales!T37="","",04_Especiales!T37)</f>
        <v>Saludable</v>
      </c>
      <c r="T412" s="56" t="str">
        <f aca="false">IF(04_Especiales!U37="","",04_Especiales!U37)</f>
        <v/>
      </c>
      <c r="U412" s="55" t="n">
        <v>37</v>
      </c>
      <c r="V412" s="55" t="n">
        <f aca="false">IF(AND(OR(LEN(13_Buscador!$C$5)=0,ISNUMBER(SEARCH(13_Buscador!$C$5,$C412&amp;" "&amp;$D412&amp;" "&amp;$E412&amp;" "&amp;$F412&amp;" "&amp;$S412))),OR(13_Buscador!$C$6="Todas las listas",LEN(13_Buscador!$C$6)=0,13_Buscador!$C$6=$B412)),1,0)</f>
        <v>0</v>
      </c>
      <c r="W412" s="55" t="str">
        <f aca="false">IF(V412=1,SUM($V$2:V412),"")</f>
        <v/>
      </c>
    </row>
    <row r="413" customFormat="false" ht="15" hidden="false" customHeight="true" outlineLevel="0" collapsed="false">
      <c r="A413" s="55" t="n">
        <v>412</v>
      </c>
      <c r="B413" s="55" t="s">
        <v>3330</v>
      </c>
      <c r="C413" s="55" t="str">
        <f aca="false">IF(04_Especiales!B38="","",04_Especiales!B38)</f>
        <v>Dietas especiales</v>
      </c>
      <c r="D413" s="56" t="str">
        <f aca="false">IF(04_Especiales!C38="","",04_Especiales!C38)</f>
        <v>Papilla / comida para bebé</v>
      </c>
      <c r="E413" s="56" t="str">
        <f aca="false">IF(04_Especiales!D38="","",04_Especiales!D38)</f>
        <v>Preparación suave</v>
      </c>
      <c r="F413" s="56" t="str">
        <f aca="false">IF(04_Especiales!E38="","",04_Especiales!E38)</f>
        <v>verdura y cereal cocidos y triturados</v>
      </c>
      <c r="G413" s="55" t="str">
        <f aca="false">IF(04_Especiales!F38="","",04_Especiales!F38)</f>
        <v>Porción</v>
      </c>
      <c r="H413" s="55" t="str">
        <f aca="false">IF(04_Especiales!G38="","",04_Especiales!G38)</f>
        <v>Económico</v>
      </c>
      <c r="I413" s="58" t="n">
        <f aca="false">IF(04_Especiales!H38="","",04_Especiales!H38)</f>
        <v>5</v>
      </c>
      <c r="J413" s="58" t="n">
        <f aca="false">IF(04_Especiales!I38="","",04_Especiales!I38)</f>
        <v>12</v>
      </c>
      <c r="K413" s="58" t="n">
        <f aca="false">IF(04_Especiales!J38="","",04_Especiales!J38)</f>
        <v>8.5</v>
      </c>
      <c r="L413" s="58" t="n">
        <f aca="false">IF(04_Especiales!L38="","",04_Especiales!L38)</f>
        <v>10</v>
      </c>
      <c r="M413" s="58" t="n">
        <f aca="false">IF(04_Especiales!N38="","",04_Especiales!N38)</f>
        <v>0.6</v>
      </c>
      <c r="N413" s="58" t="n">
        <f aca="false">IF(04_Especiales!O38="","",04_Especiales!O38)</f>
        <v>7.9</v>
      </c>
      <c r="O413" s="55" t="str">
        <f aca="false">IF(04_Especiales!P38="","",04_Especiales!P38)</f>
        <v>Todo el día</v>
      </c>
      <c r="P413" s="55" t="n">
        <f aca="false">IF(04_Especiales!Q38="","",04_Especiales!Q38)</f>
        <v>10</v>
      </c>
      <c r="Q413" s="55" t="str">
        <f aca="false">IF(04_Especiales!R38="","",04_Especiales!R38)</f>
        <v>Medio</v>
      </c>
      <c r="R413" s="55" t="str">
        <f aca="false">IF(04_Especiales!S38="","",04_Especiales!S38)</f>
        <v>Todo el año</v>
      </c>
      <c r="S413" s="55" t="str">
        <f aca="false">IF(04_Especiales!T38="","",04_Especiales!T38)</f>
        <v>Menú</v>
      </c>
      <c r="T413" s="56" t="str">
        <f aca="false">IF(04_Especiales!U38="","",04_Especiales!U38)</f>
        <v>Nicho solicitado por familias</v>
      </c>
      <c r="U413" s="55" t="n">
        <v>38</v>
      </c>
      <c r="V413" s="55" t="n">
        <f aca="false">IF(AND(OR(LEN(13_Buscador!$C$5)=0,ISNUMBER(SEARCH(13_Buscador!$C$5,$C413&amp;" "&amp;$D413&amp;" "&amp;$E413&amp;" "&amp;$F413&amp;" "&amp;$S413))),OR(13_Buscador!$C$6="Todas las listas",LEN(13_Buscador!$C$6)=0,13_Buscador!$C$6=$B413)),1,0)</f>
        <v>0</v>
      </c>
      <c r="W413" s="55" t="str">
        <f aca="false">IF(V413=1,SUM($V$2:V413),"")</f>
        <v/>
      </c>
    </row>
    <row r="414" customFormat="false" ht="23.25" hidden="false" customHeight="true" outlineLevel="0" collapsed="false">
      <c r="A414" s="55" t="n">
        <v>413</v>
      </c>
      <c r="B414" s="55" t="s">
        <v>3330</v>
      </c>
      <c r="C414" s="55" t="str">
        <f aca="false">IF(04_Especiales!B39="","",04_Especiales!B39)</f>
        <v>Dietas especiales</v>
      </c>
      <c r="D414" s="56" t="str">
        <f aca="false">IF(04_Especiales!C39="","",04_Especiales!C39)</f>
        <v>Menú para adulto mayor</v>
      </c>
      <c r="E414" s="56" t="str">
        <f aca="false">IF(04_Especiales!D39="","",04_Especiales!D39)</f>
        <v>Porción blanda y baja en sal</v>
      </c>
      <c r="F414" s="56" t="str">
        <f aca="false">IF(04_Especiales!E39="","",04_Especiales!E39)</f>
        <v>preparación adaptada a la indicación dietética, sin fritura</v>
      </c>
      <c r="G414" s="55" t="str">
        <f aca="false">IF(04_Especiales!F39="","",04_Especiales!F39)</f>
        <v>Bandeja</v>
      </c>
      <c r="H414" s="55" t="str">
        <f aca="false">IF(04_Especiales!G39="","",04_Especiales!G39)</f>
        <v>Estándar</v>
      </c>
      <c r="I414" s="58" t="n">
        <f aca="false">IF(04_Especiales!H39="","",04_Especiales!H39)</f>
        <v>10</v>
      </c>
      <c r="J414" s="58" t="n">
        <f aca="false">IF(04_Especiales!I39="","",04_Especiales!I39)</f>
        <v>18</v>
      </c>
      <c r="K414" s="58" t="n">
        <f aca="false">IF(04_Especiales!J39="","",04_Especiales!J39)</f>
        <v>14</v>
      </c>
      <c r="L414" s="58" t="n">
        <f aca="false">IF(04_Especiales!L39="","",04_Especiales!L39)</f>
        <v>15.5</v>
      </c>
      <c r="M414" s="58" t="n">
        <f aca="false">IF(04_Especiales!N39="","",04_Especiales!N39)</f>
        <v>1.26</v>
      </c>
      <c r="N414" s="58" t="n">
        <f aca="false">IF(04_Especiales!O39="","",04_Especiales!O39)</f>
        <v>12.74</v>
      </c>
      <c r="O414" s="55" t="str">
        <f aca="false">IF(04_Especiales!P39="","",04_Especiales!P39)</f>
        <v>12:00-15:00</v>
      </c>
      <c r="P414" s="55" t="n">
        <f aca="false">IF(04_Especiales!Q39="","",04_Especiales!Q39)</f>
        <v>12</v>
      </c>
      <c r="Q414" s="55" t="str">
        <f aca="false">IF(04_Especiales!R39="","",04_Especiales!R39)</f>
        <v>Medio</v>
      </c>
      <c r="R414" s="55" t="str">
        <f aca="false">IF(04_Especiales!S39="","",04_Especiales!S39)</f>
        <v>Todo el año</v>
      </c>
      <c r="S414" s="55" t="str">
        <f aca="false">IF(04_Especiales!T39="","",04_Especiales!T39)</f>
        <v>Menú</v>
      </c>
      <c r="T414" s="56" t="str">
        <f aca="false">IF(04_Especiales!U39="","",04_Especiales!U39)</f>
        <v/>
      </c>
      <c r="U414" s="55" t="n">
        <v>39</v>
      </c>
      <c r="V414" s="55" t="n">
        <f aca="false">IF(AND(OR(LEN(13_Buscador!$C$5)=0,ISNUMBER(SEARCH(13_Buscador!$C$5,$C414&amp;" "&amp;$D414&amp;" "&amp;$E414&amp;" "&amp;$F414&amp;" "&amp;$S414))),OR(13_Buscador!$C$6="Todas las listas",LEN(13_Buscador!$C$6)=0,13_Buscador!$C$6=$B414)),1,0)</f>
        <v>0</v>
      </c>
      <c r="W414" s="55" t="str">
        <f aca="false">IF(V414=1,SUM($V$2:V414),"")</f>
        <v/>
      </c>
    </row>
    <row r="415" customFormat="false" ht="15" hidden="false" customHeight="true" outlineLevel="0" collapsed="false">
      <c r="A415" s="55" t="n">
        <v>414</v>
      </c>
      <c r="B415" s="55" t="s">
        <v>3330</v>
      </c>
      <c r="C415" s="55" t="str">
        <f aca="false">IF(04_Especiales!B40="","",04_Especiales!B40)</f>
        <v>Especial turístico</v>
      </c>
      <c r="D415" s="56" t="str">
        <f aca="false">IF(04_Especiales!C40="","",04_Especiales!C40)</f>
        <v>Degustación de platos puneños</v>
      </c>
      <c r="E415" s="56" t="str">
        <f aca="false">IF(04_Especiales!D40="","",04_Especiales!D40)</f>
        <v>Tabla con varios platos típicos</v>
      </c>
      <c r="F415" s="56" t="str">
        <f aca="false">IF(04_Especiales!E40="","",04_Especiales!E40)</f>
        <v>surtido de preparaciones típicas de la casa</v>
      </c>
      <c r="G415" s="55" t="str">
        <f aca="false">IF(04_Especiales!F40="","",04_Especiales!F40)</f>
        <v>Fuente</v>
      </c>
      <c r="H415" s="55" t="str">
        <f aca="false">IF(04_Especiales!G40="","",04_Especiales!G40)</f>
        <v>Premium</v>
      </c>
      <c r="I415" s="58" t="n">
        <f aca="false">IF(04_Especiales!H40="","",04_Especiales!H40)</f>
        <v>40</v>
      </c>
      <c r="J415" s="58" t="n">
        <f aca="false">IF(04_Especiales!I40="","",04_Especiales!I40)</f>
        <v>90</v>
      </c>
      <c r="K415" s="58" t="n">
        <f aca="false">IF(04_Especiales!J40="","",04_Especiales!J40)</f>
        <v>65</v>
      </c>
      <c r="L415" s="58" t="n">
        <f aca="false">IF(04_Especiales!L40="","",04_Especiales!L40)</f>
        <v>66.5</v>
      </c>
      <c r="M415" s="58" t="n">
        <f aca="false">IF(04_Especiales!N40="","",04_Especiales!N40)</f>
        <v>8.45</v>
      </c>
      <c r="N415" s="58" t="n">
        <f aca="false">IF(04_Especiales!O40="","",04_Especiales!O40)</f>
        <v>56.55</v>
      </c>
      <c r="O415" s="55" t="str">
        <f aca="false">IF(04_Especiales!P40="","",04_Especiales!P40)</f>
        <v>12:00-21:00</v>
      </c>
      <c r="P415" s="55" t="n">
        <f aca="false">IF(04_Especiales!Q40="","",04_Especiales!Q40)</f>
        <v>30</v>
      </c>
      <c r="Q415" s="55" t="str">
        <f aca="false">IF(04_Especiales!R40="","",04_Especiales!R40)</f>
        <v>Medio</v>
      </c>
      <c r="R415" s="55" t="str">
        <f aca="false">IF(04_Especiales!S40="","",04_Especiales!S40)</f>
        <v>Temporada alta jun-ago</v>
      </c>
      <c r="S415" s="55" t="str">
        <f aca="false">IF(04_Especiales!T40="","",04_Especiales!T40)</f>
        <v>Turístico</v>
      </c>
      <c r="T415" s="56" t="str">
        <f aca="false">IF(04_Especiales!U40="","",04_Especiales!U40)</f>
        <v>Alto margen, baja frecuencia</v>
      </c>
      <c r="U415" s="55" t="n">
        <v>40</v>
      </c>
      <c r="V415" s="55" t="n">
        <f aca="false">IF(AND(OR(LEN(13_Buscador!$C$5)=0,ISNUMBER(SEARCH(13_Buscador!$C$5,$C415&amp;" "&amp;$D415&amp;" "&amp;$E415&amp;" "&amp;$F415&amp;" "&amp;$S415))),OR(13_Buscador!$C$6="Todas las listas",LEN(13_Buscador!$C$6)=0,13_Buscador!$C$6=$B415)),1,0)</f>
        <v>0</v>
      </c>
      <c r="W415" s="55" t="str">
        <f aca="false">IF(V415=1,SUM($V$2:V415),"")</f>
        <v/>
      </c>
    </row>
    <row r="416" customFormat="false" ht="15" hidden="false" customHeight="true" outlineLevel="0" collapsed="false">
      <c r="A416" s="55" t="n">
        <v>415</v>
      </c>
      <c r="B416" s="55" t="s">
        <v>3330</v>
      </c>
      <c r="C416" s="55" t="str">
        <f aca="false">IF(04_Especiales!B41="","",04_Especiales!B41)</f>
        <v>Especial turístico</v>
      </c>
      <c r="D416" s="56" t="str">
        <f aca="false">IF(04_Especiales!C41="","",04_Especiales!C41)</f>
        <v>Cena show folclórica</v>
      </c>
      <c r="E416" s="56" t="str">
        <f aca="false">IF(04_Especiales!D41="","",04_Especiales!D41)</f>
        <v>Cena con espectáculo</v>
      </c>
      <c r="F416" s="56" t="str">
        <f aca="false">IF(04_Especiales!E41="","",04_Especiales!E41)</f>
        <v>cena del menú contratado con espectáculo en vivo</v>
      </c>
      <c r="G416" s="55" t="str">
        <f aca="false">IF(04_Especiales!F41="","",04_Especiales!F41)</f>
        <v>Por persona</v>
      </c>
      <c r="H416" s="55" t="str">
        <f aca="false">IF(04_Especiales!G41="","",04_Especiales!G41)</f>
        <v>Premium</v>
      </c>
      <c r="I416" s="58" t="n">
        <f aca="false">IF(04_Especiales!H41="","",04_Especiales!H41)</f>
        <v>50</v>
      </c>
      <c r="J416" s="58" t="n">
        <f aca="false">IF(04_Especiales!I41="","",04_Especiales!I41)</f>
        <v>120</v>
      </c>
      <c r="K416" s="58" t="n">
        <f aca="false">IF(04_Especiales!J41="","",04_Especiales!J41)</f>
        <v>85</v>
      </c>
      <c r="L416" s="58" t="n">
        <f aca="false">IF(04_Especiales!L41="","",04_Especiales!L41)</f>
        <v>86.5</v>
      </c>
      <c r="M416" s="58" t="n">
        <f aca="false">IF(04_Especiales!N41="","",04_Especiales!N41)</f>
        <v>11.05</v>
      </c>
      <c r="N416" s="58" t="n">
        <f aca="false">IF(04_Especiales!O41="","",04_Especiales!O41)</f>
        <v>73.95</v>
      </c>
      <c r="O416" s="55" t="str">
        <f aca="false">IF(04_Especiales!P41="","",04_Especiales!P41)</f>
        <v>19:00-22:00</v>
      </c>
      <c r="P416" s="55" t="n">
        <f aca="false">IF(04_Especiales!Q41="","",04_Especiales!Q41)</f>
        <v>0</v>
      </c>
      <c r="Q416" s="55" t="str">
        <f aca="false">IF(04_Especiales!R41="","",04_Especiales!R41)</f>
        <v>Bajo</v>
      </c>
      <c r="R416" s="55" t="str">
        <f aca="false">IF(04_Especiales!S41="","",04_Especiales!S41)</f>
        <v>Temporada alta jun-ago</v>
      </c>
      <c r="S416" s="55" t="str">
        <f aca="false">IF(04_Especiales!T41="","",04_Especiales!T41)</f>
        <v>Turístico</v>
      </c>
      <c r="T416" s="56" t="str">
        <f aca="false">IF(04_Especiales!U41="","",04_Especiales!U41)</f>
        <v>No aplica a delivery</v>
      </c>
      <c r="U416" s="55" t="n">
        <v>41</v>
      </c>
      <c r="V416" s="55" t="n">
        <f aca="false">IF(AND(OR(LEN(13_Buscador!$C$5)=0,ISNUMBER(SEARCH(13_Buscador!$C$5,$C416&amp;" "&amp;$D416&amp;" "&amp;$E416&amp;" "&amp;$F416&amp;" "&amp;$S416))),OR(13_Buscador!$C$6="Todas las listas",LEN(13_Buscador!$C$6)=0,13_Buscador!$C$6=$B416)),1,0)</f>
        <v>0</v>
      </c>
      <c r="W416" s="55" t="str">
        <f aca="false">IF(V416=1,SUM($V$2:V416),"")</f>
        <v/>
      </c>
    </row>
    <row r="417" customFormat="false" ht="23.25" hidden="false" customHeight="true" outlineLevel="0" collapsed="false">
      <c r="A417" s="55" t="n">
        <v>416</v>
      </c>
      <c r="B417" s="55" t="s">
        <v>3330</v>
      </c>
      <c r="C417" s="55" t="str">
        <f aca="false">IF(04_Especiales!B42="","",04_Especiales!B42)</f>
        <v>Cuy</v>
      </c>
      <c r="D417" s="56" t="str">
        <f aca="false">IF(04_Especiales!C42="","",04_Especiales!C42)</f>
        <v>Cuy relleno</v>
      </c>
      <c r="E417" s="56" t="str">
        <f aca="false">IF(04_Especiales!D42="","",04_Especiales!D42)</f>
        <v>Cuy con relleno tradicional</v>
      </c>
      <c r="F417" s="56" t="str">
        <f aca="false">IF(04_Especiales!E42="","",04_Especiales!E42)</f>
        <v>cuy, ajo, comino, sal, harina o maíz molido, papa, mote, ají</v>
      </c>
      <c r="G417" s="55" t="str">
        <f aca="false">IF(04_Especiales!F42="","",04_Especiales!F42)</f>
        <v>Plato</v>
      </c>
      <c r="H417" s="55" t="str">
        <f aca="false">IF(04_Especiales!G42="","",04_Especiales!G42)</f>
        <v>Premium</v>
      </c>
      <c r="I417" s="58" t="n">
        <f aca="false">IF(04_Especiales!H42="","",04_Especiales!H42)</f>
        <v>35</v>
      </c>
      <c r="J417" s="58" t="n">
        <f aca="false">IF(04_Especiales!I42="","",04_Especiales!I42)</f>
        <v>60</v>
      </c>
      <c r="K417" s="58" t="n">
        <f aca="false">IF(04_Especiales!J42="","",04_Especiales!J42)</f>
        <v>47.5</v>
      </c>
      <c r="L417" s="58" t="n">
        <f aca="false">IF(04_Especiales!L42="","",04_Especiales!L42)</f>
        <v>49</v>
      </c>
      <c r="M417" s="58" t="n">
        <f aca="false">IF(04_Especiales!N42="","",04_Especiales!N42)</f>
        <v>6.18</v>
      </c>
      <c r="N417" s="58" t="n">
        <f aca="false">IF(04_Especiales!O42="","",04_Especiales!O42)</f>
        <v>41.32</v>
      </c>
      <c r="O417" s="55" t="str">
        <f aca="false">IF(04_Especiales!P42="","",04_Especiales!P42)</f>
        <v>11:00-16:00</v>
      </c>
      <c r="P417" s="55" t="n">
        <f aca="false">IF(04_Especiales!Q42="","",04_Especiales!Q42)</f>
        <v>45</v>
      </c>
      <c r="Q417" s="55" t="str">
        <f aca="false">IF(04_Especiales!R42="","",04_Especiales!R42)</f>
        <v>Medio</v>
      </c>
      <c r="R417" s="55" t="str">
        <f aca="false">IF(04_Especiales!S42="","",04_Especiales!S42)</f>
        <v>Fiestas</v>
      </c>
      <c r="S417" s="55" t="str">
        <f aca="false">IF(04_Especiales!T42="","",04_Especiales!T42)</f>
        <v>Campestre</v>
      </c>
      <c r="T417" s="56" t="str">
        <f aca="false">IF(04_Especiales!U42="","",04_Especiales!U42)</f>
        <v/>
      </c>
      <c r="U417" s="55" t="n">
        <v>42</v>
      </c>
      <c r="V417" s="55" t="n">
        <f aca="false">IF(AND(OR(LEN(13_Buscador!$C$5)=0,ISNUMBER(SEARCH(13_Buscador!$C$5,$C417&amp;" "&amp;$D417&amp;" "&amp;$E417&amp;" "&amp;$F417&amp;" "&amp;$S417))),OR(13_Buscador!$C$6="Todas las listas",LEN(13_Buscador!$C$6)=0,13_Buscador!$C$6=$B417)),1,0)</f>
        <v>0</v>
      </c>
      <c r="W417" s="55" t="str">
        <f aca="false">IF(V417=1,SUM($V$2:V417),"")</f>
        <v/>
      </c>
    </row>
    <row r="418" customFormat="false" ht="23.25" hidden="false" customHeight="true" outlineLevel="0" collapsed="false">
      <c r="A418" s="55" t="n">
        <v>417</v>
      </c>
      <c r="B418" s="55" t="s">
        <v>3330</v>
      </c>
      <c r="C418" s="55" t="str">
        <f aca="false">IF(04_Especiales!B43="","",04_Especiales!B43)</f>
        <v>Cuy</v>
      </c>
      <c r="D418" s="56" t="str">
        <f aca="false">IF(04_Especiales!C43="","",04_Especiales!C43)</f>
        <v>Fuente de cuy para 4</v>
      </c>
      <c r="E418" s="56" t="str">
        <f aca="false">IF(04_Especiales!D43="","",04_Especiales!D43)</f>
        <v>Varios cuyes con guarnición</v>
      </c>
      <c r="F418" s="56" t="str">
        <f aca="false">IF(04_Especiales!E43="","",04_Especiales!E43)</f>
        <v>cuy, ajo, comino, sal, harina o maíz molido, papa, mote, ají</v>
      </c>
      <c r="G418" s="55" t="str">
        <f aca="false">IF(04_Especiales!F43="","",04_Especiales!F43)</f>
        <v>Fuente</v>
      </c>
      <c r="H418" s="55" t="str">
        <f aca="false">IF(04_Especiales!G43="","",04_Especiales!G43)</f>
        <v>Premium</v>
      </c>
      <c r="I418" s="58" t="n">
        <f aca="false">IF(04_Especiales!H43="","",04_Especiales!H43)</f>
        <v>100</v>
      </c>
      <c r="J418" s="58" t="n">
        <f aca="false">IF(04_Especiales!I43="","",04_Especiales!I43)</f>
        <v>180</v>
      </c>
      <c r="K418" s="58" t="n">
        <f aca="false">IF(04_Especiales!J43="","",04_Especiales!J43)</f>
        <v>140</v>
      </c>
      <c r="L418" s="58" t="n">
        <f aca="false">IF(04_Especiales!L43="","",04_Especiales!L43)</f>
        <v>141.5</v>
      </c>
      <c r="M418" s="58" t="n">
        <f aca="false">IF(04_Especiales!N43="","",04_Especiales!N43)</f>
        <v>18.2</v>
      </c>
      <c r="N418" s="58" t="n">
        <f aca="false">IF(04_Especiales!O43="","",04_Especiales!O43)</f>
        <v>121.8</v>
      </c>
      <c r="O418" s="55" t="str">
        <f aca="false">IF(04_Especiales!P43="","",04_Especiales!P43)</f>
        <v>11:00-16:00</v>
      </c>
      <c r="P418" s="55" t="n">
        <f aca="false">IF(04_Especiales!Q43="","",04_Especiales!Q43)</f>
        <v>60</v>
      </c>
      <c r="Q418" s="55" t="str">
        <f aca="false">IF(04_Especiales!R43="","",04_Especiales!R43)</f>
        <v>Medio</v>
      </c>
      <c r="R418" s="55" t="str">
        <f aca="false">IF(04_Especiales!S43="","",04_Especiales!S43)</f>
        <v>Fiestas</v>
      </c>
      <c r="S418" s="55" t="str">
        <f aca="false">IF(04_Especiales!T43="","",04_Especiales!T43)</f>
        <v>Campestre</v>
      </c>
      <c r="T418" s="56" t="str">
        <f aca="false">IF(04_Especiales!U43="","",04_Especiales!U43)</f>
        <v>Requiere pedido con 24 horas</v>
      </c>
      <c r="U418" s="55" t="n">
        <v>43</v>
      </c>
      <c r="V418" s="55" t="n">
        <f aca="false">IF(AND(OR(LEN(13_Buscador!$C$5)=0,ISNUMBER(SEARCH(13_Buscador!$C$5,$C418&amp;" "&amp;$D418&amp;" "&amp;$E418&amp;" "&amp;$F418&amp;" "&amp;$S418))),OR(13_Buscador!$C$6="Todas las listas",LEN(13_Buscador!$C$6)=0,13_Buscador!$C$6=$B418)),1,0)</f>
        <v>0</v>
      </c>
      <c r="W418" s="55" t="str">
        <f aca="false">IF(V418=1,SUM($V$2:V418),"")</f>
        <v/>
      </c>
    </row>
    <row r="419" customFormat="false" ht="15" hidden="false" customHeight="true" outlineLevel="0" collapsed="false">
      <c r="A419" s="55" t="n">
        <v>418</v>
      </c>
      <c r="B419" s="55" t="s">
        <v>3330</v>
      </c>
      <c r="C419" s="55" t="str">
        <f aca="false">IF(04_Especiales!B44="","",04_Especiales!B44)</f>
        <v>Carnes andinas</v>
      </c>
      <c r="D419" s="56" t="str">
        <f aca="false">IF(04_Especiales!C44="","",04_Especiales!C44)</f>
        <v>Cordero al palo</v>
      </c>
      <c r="E419" s="56" t="str">
        <f aca="false">IF(04_Especiales!D44="","",04_Especiales!D44)</f>
        <v>Cordero asado entero</v>
      </c>
      <c r="F419" s="56" t="str">
        <f aca="false">IF(04_Especiales!E44="","",04_Especiales!E44)</f>
        <v>cordero, ajo, comino, ají panca, papa, sal</v>
      </c>
      <c r="G419" s="55" t="str">
        <f aca="false">IF(04_Especiales!F44="","",04_Especiales!F44)</f>
        <v>Porción</v>
      </c>
      <c r="H419" s="55" t="str">
        <f aca="false">IF(04_Especiales!G44="","",04_Especiales!G44)</f>
        <v>Premium</v>
      </c>
      <c r="I419" s="58" t="n">
        <f aca="false">IF(04_Especiales!H44="","",04_Especiales!H44)</f>
        <v>25</v>
      </c>
      <c r="J419" s="58" t="n">
        <f aca="false">IF(04_Especiales!I44="","",04_Especiales!I44)</f>
        <v>45</v>
      </c>
      <c r="K419" s="58" t="n">
        <f aca="false">IF(04_Especiales!J44="","",04_Especiales!J44)</f>
        <v>35</v>
      </c>
      <c r="L419" s="58" t="n">
        <f aca="false">IF(04_Especiales!L44="","",04_Especiales!L44)</f>
        <v>36.5</v>
      </c>
      <c r="M419" s="58" t="n">
        <f aca="false">IF(04_Especiales!N44="","",04_Especiales!N44)</f>
        <v>4.55</v>
      </c>
      <c r="N419" s="58" t="n">
        <f aca="false">IF(04_Especiales!O44="","",04_Especiales!O44)</f>
        <v>30.45</v>
      </c>
      <c r="O419" s="55" t="str">
        <f aca="false">IF(04_Especiales!P44="","",04_Especiales!P44)</f>
        <v>11:00-17:00</v>
      </c>
      <c r="P419" s="55" t="n">
        <f aca="false">IF(04_Especiales!Q44="","",04_Especiales!Q44)</f>
        <v>60</v>
      </c>
      <c r="Q419" s="55" t="str">
        <f aca="false">IF(04_Especiales!R44="","",04_Especiales!R44)</f>
        <v>Medio</v>
      </c>
      <c r="R419" s="55" t="str">
        <f aca="false">IF(04_Especiales!S44="","",04_Especiales!S44)</f>
        <v>Fin de semana</v>
      </c>
      <c r="S419" s="55" t="str">
        <f aca="false">IF(04_Especiales!T44="","",04_Especiales!T44)</f>
        <v>Campestre</v>
      </c>
      <c r="T419" s="56" t="str">
        <f aca="false">IF(04_Especiales!U44="","",04_Especiales!U44)</f>
        <v/>
      </c>
      <c r="U419" s="55" t="n">
        <v>44</v>
      </c>
      <c r="V419" s="55" t="n">
        <f aca="false">IF(AND(OR(LEN(13_Buscador!$C$5)=0,ISNUMBER(SEARCH(13_Buscador!$C$5,$C419&amp;" "&amp;$D419&amp;" "&amp;$E419&amp;" "&amp;$F419&amp;" "&amp;$S419))),OR(13_Buscador!$C$6="Todas las listas",LEN(13_Buscador!$C$6)=0,13_Buscador!$C$6=$B419)),1,0)</f>
        <v>0</v>
      </c>
      <c r="W419" s="55" t="str">
        <f aca="false">IF(V419=1,SUM($V$2:V419),"")</f>
        <v/>
      </c>
    </row>
    <row r="420" customFormat="false" ht="23.25" hidden="false" customHeight="true" outlineLevel="0" collapsed="false">
      <c r="A420" s="55" t="n">
        <v>419</v>
      </c>
      <c r="B420" s="55" t="s">
        <v>3330</v>
      </c>
      <c r="C420" s="55" t="str">
        <f aca="false">IF(04_Especiales!B45="","",04_Especiales!B45)</f>
        <v>Carnes andinas</v>
      </c>
      <c r="D420" s="56" t="str">
        <f aca="false">IF(04_Especiales!C45="","",04_Especiales!C45)</f>
        <v>Alpaca a la muña</v>
      </c>
      <c r="E420" s="56" t="str">
        <f aca="false">IF(04_Especiales!D45="","",04_Especiales!D45)</f>
        <v>Alpaca en salsa regional</v>
      </c>
      <c r="F420" s="56" t="str">
        <f aca="false">IF(04_Especiales!E45="","",04_Especiales!E45)</f>
        <v>lomo de alpaca, ajo, comino, sal, guarnición de papa o quinua</v>
      </c>
      <c r="G420" s="55" t="str">
        <f aca="false">IF(04_Especiales!F45="","",04_Especiales!F45)</f>
        <v>Plato</v>
      </c>
      <c r="H420" s="55" t="str">
        <f aca="false">IF(04_Especiales!G45="","",04_Especiales!G45)</f>
        <v>Premium</v>
      </c>
      <c r="I420" s="58" t="n">
        <f aca="false">IF(04_Especiales!H45="","",04_Especiales!H45)</f>
        <v>28</v>
      </c>
      <c r="J420" s="58" t="n">
        <f aca="false">IF(04_Especiales!I45="","",04_Especiales!I45)</f>
        <v>50</v>
      </c>
      <c r="K420" s="58" t="n">
        <f aca="false">IF(04_Especiales!J45="","",04_Especiales!J45)</f>
        <v>39</v>
      </c>
      <c r="L420" s="58" t="n">
        <f aca="false">IF(04_Especiales!L45="","",04_Especiales!L45)</f>
        <v>40.5</v>
      </c>
      <c r="M420" s="58" t="n">
        <f aca="false">IF(04_Especiales!N45="","",04_Especiales!N45)</f>
        <v>5.07</v>
      </c>
      <c r="N420" s="58" t="n">
        <f aca="false">IF(04_Especiales!O45="","",04_Especiales!O45)</f>
        <v>33.93</v>
      </c>
      <c r="O420" s="55" t="str">
        <f aca="false">IF(04_Especiales!P45="","",04_Especiales!P45)</f>
        <v>12:00-22:00</v>
      </c>
      <c r="P420" s="55" t="n">
        <f aca="false">IF(04_Especiales!Q45="","",04_Especiales!Q45)</f>
        <v>20</v>
      </c>
      <c r="Q420" s="55" t="str">
        <f aca="false">IF(04_Especiales!R45="","",04_Especiales!R45)</f>
        <v>Medio</v>
      </c>
      <c r="R420" s="55" t="str">
        <f aca="false">IF(04_Especiales!S45="","",04_Especiales!S45)</f>
        <v>Todo el año</v>
      </c>
      <c r="S420" s="55" t="str">
        <f aca="false">IF(04_Especiales!T45="","",04_Especiales!T45)</f>
        <v>Restaurante turístico</v>
      </c>
      <c r="T420" s="56" t="str">
        <f aca="false">IF(04_Especiales!U45="","",04_Especiales!U45)</f>
        <v/>
      </c>
      <c r="U420" s="55" t="n">
        <v>45</v>
      </c>
      <c r="V420" s="55" t="n">
        <f aca="false">IF(AND(OR(LEN(13_Buscador!$C$5)=0,ISNUMBER(SEARCH(13_Buscador!$C$5,$C420&amp;" "&amp;$D420&amp;" "&amp;$E420&amp;" "&amp;$F420&amp;" "&amp;$S420))),OR(13_Buscador!$C$6="Todas las listas",LEN(13_Buscador!$C$6)=0,13_Buscador!$C$6=$B420)),1,0)</f>
        <v>0</v>
      </c>
      <c r="W420" s="55" t="str">
        <f aca="false">IF(V420=1,SUM($V$2:V420),"")</f>
        <v/>
      </c>
    </row>
    <row r="421" customFormat="false" ht="15" hidden="false" customHeight="true" outlineLevel="0" collapsed="false">
      <c r="A421" s="55" t="n">
        <v>420</v>
      </c>
      <c r="B421" s="55" t="s">
        <v>3330</v>
      </c>
      <c r="C421" s="55" t="str">
        <f aca="false">IF(04_Especiales!B46="","",04_Especiales!B46)</f>
        <v>Carnes andinas</v>
      </c>
      <c r="D421" s="56" t="str">
        <f aca="false">IF(04_Especiales!C46="","",04_Especiales!C46)</f>
        <v>Charquicán</v>
      </c>
      <c r="E421" s="56" t="str">
        <f aca="false">IF(04_Especiales!D46="","",04_Especiales!D46)</f>
        <v>Guiso de charqui</v>
      </c>
      <c r="F421" s="56" t="str">
        <f aca="false">IF(04_Especiales!E46="","",04_Especiales!E46)</f>
        <v>charqui, papa, ají panca, cebolla, ajo</v>
      </c>
      <c r="G421" s="55" t="str">
        <f aca="false">IF(04_Especiales!F46="","",04_Especiales!F46)</f>
        <v>Plato</v>
      </c>
      <c r="H421" s="55" t="str">
        <f aca="false">IF(04_Especiales!G46="","",04_Especiales!G46)</f>
        <v>Estándar</v>
      </c>
      <c r="I421" s="58" t="n">
        <f aca="false">IF(04_Especiales!H46="","",04_Especiales!H46)</f>
        <v>12</v>
      </c>
      <c r="J421" s="58" t="n">
        <f aca="false">IF(04_Especiales!I46="","",04_Especiales!I46)</f>
        <v>22</v>
      </c>
      <c r="K421" s="58" t="n">
        <f aca="false">IF(04_Especiales!J46="","",04_Especiales!J46)</f>
        <v>17</v>
      </c>
      <c r="L421" s="58" t="n">
        <f aca="false">IF(04_Especiales!L46="","",04_Especiales!L46)</f>
        <v>18.5</v>
      </c>
      <c r="M421" s="58" t="n">
        <f aca="false">IF(04_Especiales!N46="","",04_Especiales!N46)</f>
        <v>1.53</v>
      </c>
      <c r="N421" s="58" t="n">
        <f aca="false">IF(04_Especiales!O46="","",04_Especiales!O46)</f>
        <v>15.47</v>
      </c>
      <c r="O421" s="55" t="str">
        <f aca="false">IF(04_Especiales!P46="","",04_Especiales!P46)</f>
        <v>12:00-16:00</v>
      </c>
      <c r="P421" s="55" t="n">
        <f aca="false">IF(04_Especiales!Q46="","",04_Especiales!Q46)</f>
        <v>18</v>
      </c>
      <c r="Q421" s="55" t="str">
        <f aca="false">IF(04_Especiales!R46="","",04_Especiales!R46)</f>
        <v>Alto</v>
      </c>
      <c r="R421" s="55" t="str">
        <f aca="false">IF(04_Especiales!S46="","",04_Especiales!S46)</f>
        <v>Todo el año</v>
      </c>
      <c r="S421" s="55" t="str">
        <f aca="false">IF(04_Especiales!T46="","",04_Especiales!T46)</f>
        <v>Regional</v>
      </c>
      <c r="T421" s="56" t="str">
        <f aca="false">IF(04_Especiales!U46="","",04_Especiales!U46)</f>
        <v/>
      </c>
      <c r="U421" s="55" t="n">
        <v>46</v>
      </c>
      <c r="V421" s="55" t="n">
        <f aca="false">IF(AND(OR(LEN(13_Buscador!$C$5)=0,ISNUMBER(SEARCH(13_Buscador!$C$5,$C421&amp;" "&amp;$D421&amp;" "&amp;$E421&amp;" "&amp;$F421&amp;" "&amp;$S421))),OR(13_Buscador!$C$6="Todas las listas",LEN(13_Buscador!$C$6)=0,13_Buscador!$C$6=$B421)),1,0)</f>
        <v>0</v>
      </c>
      <c r="W421" s="55" t="str">
        <f aca="false">IF(V421=1,SUM($V$2:V421),"")</f>
        <v/>
      </c>
    </row>
    <row r="422" customFormat="false" ht="15" hidden="false" customHeight="true" outlineLevel="0" collapsed="false">
      <c r="A422" s="55" t="n">
        <v>421</v>
      </c>
      <c r="B422" s="55" t="s">
        <v>3330</v>
      </c>
      <c r="C422" s="55" t="str">
        <f aca="false">IF(04_Especiales!B47="","",04_Especiales!B47)</f>
        <v>Platos de celebración</v>
      </c>
      <c r="D422" s="56" t="str">
        <f aca="false">IF(04_Especiales!C47="","",04_Especiales!C47)</f>
        <v>Pavo al horno</v>
      </c>
      <c r="E422" s="56" t="str">
        <f aca="false">IF(04_Especiales!D47="","",04_Especiales!D47)</f>
        <v>Pavo entero horneado</v>
      </c>
      <c r="F422" s="56" t="str">
        <f aca="false">IF(04_Especiales!E47="","",04_Especiales!E47)</f>
        <v>pavo, mantequilla, ajo, vino, especias</v>
      </c>
      <c r="G422" s="55" t="str">
        <f aca="false">IF(04_Especiales!F47="","",04_Especiales!F47)</f>
        <v>Entero</v>
      </c>
      <c r="H422" s="55" t="str">
        <f aca="false">IF(04_Especiales!G47="","",04_Especiales!G47)</f>
        <v>Premium</v>
      </c>
      <c r="I422" s="58" t="n">
        <f aca="false">IF(04_Especiales!H47="","",04_Especiales!H47)</f>
        <v>180</v>
      </c>
      <c r="J422" s="58" t="n">
        <f aca="false">IF(04_Especiales!I47="","",04_Especiales!I47)</f>
        <v>350</v>
      </c>
      <c r="K422" s="58" t="n">
        <f aca="false">IF(04_Especiales!J47="","",04_Especiales!J47)</f>
        <v>265</v>
      </c>
      <c r="L422" s="58" t="n">
        <f aca="false">IF(04_Especiales!L47="","",04_Especiales!L47)</f>
        <v>266.5</v>
      </c>
      <c r="M422" s="58" t="n">
        <f aca="false">IF(04_Especiales!N47="","",04_Especiales!N47)</f>
        <v>34.45</v>
      </c>
      <c r="N422" s="58" t="n">
        <f aca="false">IF(04_Especiales!O47="","",04_Especiales!O47)</f>
        <v>230.55</v>
      </c>
      <c r="O422" s="55" t="str">
        <f aca="false">IF(04_Especiales!P47="","",04_Especiales!P47)</f>
        <v>Todo el día</v>
      </c>
      <c r="P422" s="55" t="n">
        <f aca="false">IF(04_Especiales!Q47="","",04_Especiales!Q47)</f>
        <v>180</v>
      </c>
      <c r="Q422" s="55" t="str">
        <f aca="false">IF(04_Especiales!R47="","",04_Especiales!R47)</f>
        <v>Medio</v>
      </c>
      <c r="R422" s="55" t="str">
        <f aca="false">IF(04_Especiales!S47="","",04_Especiales!S47)</f>
        <v>Diciembre</v>
      </c>
      <c r="S422" s="55" t="str">
        <f aca="false">IF(04_Especiales!T47="","",04_Especiales!T47)</f>
        <v>Pastelería, catering</v>
      </c>
      <c r="T422" s="56" t="str">
        <f aca="false">IF(04_Especiales!U47="","",04_Especiales!U47)</f>
        <v>Pedido anticipado obligatorio en diciembre</v>
      </c>
      <c r="U422" s="55" t="n">
        <v>47</v>
      </c>
      <c r="V422" s="55" t="n">
        <f aca="false">IF(AND(OR(LEN(13_Buscador!$C$5)=0,ISNUMBER(SEARCH(13_Buscador!$C$5,$C422&amp;" "&amp;$D422&amp;" "&amp;$E422&amp;" "&amp;$F422&amp;" "&amp;$S422))),OR(13_Buscador!$C$6="Todas las listas",LEN(13_Buscador!$C$6)=0,13_Buscador!$C$6=$B422)),1,0)</f>
        <v>0</v>
      </c>
      <c r="W422" s="55" t="str">
        <f aca="false">IF(V422=1,SUM($V$2:V422),"")</f>
        <v/>
      </c>
    </row>
    <row r="423" customFormat="false" ht="15" hidden="false" customHeight="true" outlineLevel="0" collapsed="false">
      <c r="A423" s="55" t="n">
        <v>422</v>
      </c>
      <c r="B423" s="55" t="s">
        <v>3330</v>
      </c>
      <c r="C423" s="55" t="str">
        <f aca="false">IF(04_Especiales!B48="","",04_Especiales!B48)</f>
        <v>Platos de celebración</v>
      </c>
      <c r="D423" s="56" t="str">
        <f aca="false">IF(04_Especiales!C48="","",04_Especiales!C48)</f>
        <v>Lechón para 10</v>
      </c>
      <c r="E423" s="56" t="str">
        <f aca="false">IF(04_Especiales!D48="","",04_Especiales!D48)</f>
        <v>Fuente familiar</v>
      </c>
      <c r="F423" s="56" t="str">
        <f aca="false">IF(04_Especiales!E48="","",04_Especiales!E48)</f>
        <v>cerdo, ajo, comino, ají panca, chicha, sal</v>
      </c>
      <c r="G423" s="55" t="str">
        <f aca="false">IF(04_Especiales!F48="","",04_Especiales!F48)</f>
        <v>Fuente</v>
      </c>
      <c r="H423" s="55" t="str">
        <f aca="false">IF(04_Especiales!G48="","",04_Especiales!G48)</f>
        <v>Premium</v>
      </c>
      <c r="I423" s="58" t="n">
        <f aca="false">IF(04_Especiales!H48="","",04_Especiales!H48)</f>
        <v>180</v>
      </c>
      <c r="J423" s="58" t="n">
        <f aca="false">IF(04_Especiales!I48="","",04_Especiales!I48)</f>
        <v>350</v>
      </c>
      <c r="K423" s="58" t="n">
        <f aca="false">IF(04_Especiales!J48="","",04_Especiales!J48)</f>
        <v>265</v>
      </c>
      <c r="L423" s="58" t="n">
        <f aca="false">IF(04_Especiales!L48="","",04_Especiales!L48)</f>
        <v>266.5</v>
      </c>
      <c r="M423" s="58" t="n">
        <f aca="false">IF(04_Especiales!N48="","",04_Especiales!N48)</f>
        <v>34.45</v>
      </c>
      <c r="N423" s="58" t="n">
        <f aca="false">IF(04_Especiales!O48="","",04_Especiales!O48)</f>
        <v>230.55</v>
      </c>
      <c r="O423" s="55" t="str">
        <f aca="false">IF(04_Especiales!P48="","",04_Especiales!P48)</f>
        <v>11:00-16:00</v>
      </c>
      <c r="P423" s="55" t="n">
        <f aca="false">IF(04_Especiales!Q48="","",04_Especiales!Q48)</f>
        <v>120</v>
      </c>
      <c r="Q423" s="55" t="str">
        <f aca="false">IF(04_Especiales!R48="","",04_Especiales!R48)</f>
        <v>Medio</v>
      </c>
      <c r="R423" s="55" t="str">
        <f aca="false">IF(04_Especiales!S48="","",04_Especiales!S48)</f>
        <v>Fiestas</v>
      </c>
      <c r="S423" s="55" t="str">
        <f aca="false">IF(04_Especiales!T48="","",04_Especiales!T48)</f>
        <v>Campestre</v>
      </c>
      <c r="T423" s="56" t="str">
        <f aca="false">IF(04_Especiales!U48="","",04_Especiales!U48)</f>
        <v/>
      </c>
      <c r="U423" s="55" t="n">
        <v>48</v>
      </c>
      <c r="V423" s="55" t="n">
        <f aca="false">IF(AND(OR(LEN(13_Buscador!$C$5)=0,ISNUMBER(SEARCH(13_Buscador!$C$5,$C423&amp;" "&amp;$D423&amp;" "&amp;$E423&amp;" "&amp;$F423&amp;" "&amp;$S423))),OR(13_Buscador!$C$6="Todas las listas",LEN(13_Buscador!$C$6)=0,13_Buscador!$C$6=$B423)),1,0)</f>
        <v>0</v>
      </c>
      <c r="W423" s="55" t="str">
        <f aca="false">IF(V423=1,SUM($V$2:V423),"")</f>
        <v/>
      </c>
    </row>
    <row r="424" customFormat="false" ht="23.25" hidden="false" customHeight="true" outlineLevel="0" collapsed="false">
      <c r="A424" s="55" t="n">
        <v>423</v>
      </c>
      <c r="B424" s="55" t="s">
        <v>3330</v>
      </c>
      <c r="C424" s="55" t="str">
        <f aca="false">IF(04_Especiales!B49="","",04_Especiales!B49)</f>
        <v>Platos de celebración</v>
      </c>
      <c r="D424" s="56" t="str">
        <f aca="false">IF(04_Especiales!C49="","",04_Especiales!C49)</f>
        <v>Parrillada para 6</v>
      </c>
      <c r="E424" s="56" t="str">
        <f aca="false">IF(04_Especiales!D49="","",04_Especiales!D49)</f>
        <v>Carnes surtidas</v>
      </c>
      <c r="F424" s="56" t="str">
        <f aca="false">IF(04_Especiales!E49="","",04_Especiales!E49)</f>
        <v>cortes de carne, chorizo, ajo, sal, papa, ensalada, carbón</v>
      </c>
      <c r="G424" s="55" t="str">
        <f aca="false">IF(04_Especiales!F49="","",04_Especiales!F49)</f>
        <v>Fuente</v>
      </c>
      <c r="H424" s="55" t="str">
        <f aca="false">IF(04_Especiales!G49="","",04_Especiales!G49)</f>
        <v>Premium</v>
      </c>
      <c r="I424" s="58" t="n">
        <f aca="false">IF(04_Especiales!H49="","",04_Especiales!H49)</f>
        <v>120</v>
      </c>
      <c r="J424" s="58" t="n">
        <f aca="false">IF(04_Especiales!I49="","",04_Especiales!I49)</f>
        <v>220</v>
      </c>
      <c r="K424" s="58" t="n">
        <f aca="false">IF(04_Especiales!J49="","",04_Especiales!J49)</f>
        <v>170</v>
      </c>
      <c r="L424" s="58" t="n">
        <f aca="false">IF(04_Especiales!L49="","",04_Especiales!L49)</f>
        <v>171.5</v>
      </c>
      <c r="M424" s="58" t="n">
        <f aca="false">IF(04_Especiales!N49="","",04_Especiales!N49)</f>
        <v>22.1</v>
      </c>
      <c r="N424" s="58" t="n">
        <f aca="false">IF(04_Especiales!O49="","",04_Especiales!O49)</f>
        <v>147.9</v>
      </c>
      <c r="O424" s="55" t="str">
        <f aca="false">IF(04_Especiales!P49="","",04_Especiales!P49)</f>
        <v>12:00-22:00</v>
      </c>
      <c r="P424" s="55" t="n">
        <f aca="false">IF(04_Especiales!Q49="","",04_Especiales!Q49)</f>
        <v>40</v>
      </c>
      <c r="Q424" s="55" t="str">
        <f aca="false">IF(04_Especiales!R49="","",04_Especiales!R49)</f>
        <v>Medio</v>
      </c>
      <c r="R424" s="55" t="str">
        <f aca="false">IF(04_Especiales!S49="","",04_Especiales!S49)</f>
        <v>Fin de semana</v>
      </c>
      <c r="S424" s="55" t="str">
        <f aca="false">IF(04_Especiales!T49="","",04_Especiales!T49)</f>
        <v>Parrilla</v>
      </c>
      <c r="T424" s="56" t="str">
        <f aca="false">IF(04_Especiales!U49="","",04_Especiales!U49)</f>
        <v/>
      </c>
      <c r="U424" s="55" t="n">
        <v>49</v>
      </c>
      <c r="V424" s="55" t="n">
        <f aca="false">IF(AND(OR(LEN(13_Buscador!$C$5)=0,ISNUMBER(SEARCH(13_Buscador!$C$5,$C424&amp;" "&amp;$D424&amp;" "&amp;$E424&amp;" "&amp;$F424&amp;" "&amp;$S424))),OR(13_Buscador!$C$6="Todas las listas",LEN(13_Buscador!$C$6)=0,13_Buscador!$C$6=$B424)),1,0)</f>
        <v>0</v>
      </c>
      <c r="W424" s="55" t="str">
        <f aca="false">IF(V424=1,SUM($V$2:V424),"")</f>
        <v/>
      </c>
    </row>
    <row r="425" customFormat="false" ht="15" hidden="false" customHeight="true" outlineLevel="0" collapsed="false">
      <c r="A425" s="55" t="n">
        <v>424</v>
      </c>
      <c r="B425" s="55" t="s">
        <v>3330</v>
      </c>
      <c r="C425" s="55" t="str">
        <f aca="false">IF(04_Especiales!B50="","",04_Especiales!B50)</f>
        <v>Platos de celebración</v>
      </c>
      <c r="D425" s="56" t="str">
        <f aca="false">IF(04_Especiales!C50="","",04_Especiales!C50)</f>
        <v>Arroz con pato familiar</v>
      </c>
      <c r="E425" s="56" t="str">
        <f aca="false">IF(04_Especiales!D50="","",04_Especiales!D50)</f>
        <v>Fuente para 4</v>
      </c>
      <c r="F425" s="56" t="str">
        <f aca="false">IF(04_Especiales!E50="","",04_Especiales!E50)</f>
        <v>arroz, pato, culantro, chicha de jora, arveja, pimiento</v>
      </c>
      <c r="G425" s="55" t="str">
        <f aca="false">IF(04_Especiales!F50="","",04_Especiales!F50)</f>
        <v>Fuente</v>
      </c>
      <c r="H425" s="55" t="str">
        <f aca="false">IF(04_Especiales!G50="","",04_Especiales!G50)</f>
        <v>Premium</v>
      </c>
      <c r="I425" s="58" t="n">
        <f aca="false">IF(04_Especiales!H50="","",04_Especiales!H50)</f>
        <v>70</v>
      </c>
      <c r="J425" s="58" t="n">
        <f aca="false">IF(04_Especiales!I50="","",04_Especiales!I50)</f>
        <v>130</v>
      </c>
      <c r="K425" s="58" t="n">
        <f aca="false">IF(04_Especiales!J50="","",04_Especiales!J50)</f>
        <v>100</v>
      </c>
      <c r="L425" s="58" t="n">
        <f aca="false">IF(04_Especiales!L50="","",04_Especiales!L50)</f>
        <v>101.5</v>
      </c>
      <c r="M425" s="58" t="n">
        <f aca="false">IF(04_Especiales!N50="","",04_Especiales!N50)</f>
        <v>13</v>
      </c>
      <c r="N425" s="58" t="n">
        <f aca="false">IF(04_Especiales!O50="","",04_Especiales!O50)</f>
        <v>87</v>
      </c>
      <c r="O425" s="55" t="str">
        <f aca="false">IF(04_Especiales!P50="","",04_Especiales!P50)</f>
        <v>11:00-17:00</v>
      </c>
      <c r="P425" s="55" t="n">
        <f aca="false">IF(04_Especiales!Q50="","",04_Especiales!Q50)</f>
        <v>45</v>
      </c>
      <c r="Q425" s="55" t="str">
        <f aca="false">IF(04_Especiales!R50="","",04_Especiales!R50)</f>
        <v>Alto</v>
      </c>
      <c r="R425" s="55" t="str">
        <f aca="false">IF(04_Especiales!S50="","",04_Especiales!S50)</f>
        <v>Fin de semana</v>
      </c>
      <c r="S425" s="55" t="str">
        <f aca="false">IF(04_Especiales!T50="","",04_Especiales!T50)</f>
        <v>Restaurante</v>
      </c>
      <c r="T425" s="56" t="str">
        <f aca="false">IF(04_Especiales!U50="","",04_Especiales!U50)</f>
        <v/>
      </c>
      <c r="U425" s="55" t="n">
        <v>50</v>
      </c>
      <c r="V425" s="55" t="n">
        <f aca="false">IF(AND(OR(LEN(13_Buscador!$C$5)=0,ISNUMBER(SEARCH(13_Buscador!$C$5,$C425&amp;" "&amp;$D425&amp;" "&amp;$E425&amp;" "&amp;$F425&amp;" "&amp;$S425))),OR(13_Buscador!$C$6="Todas las listas",LEN(13_Buscador!$C$6)=0,13_Buscador!$C$6=$B425)),1,0)</f>
        <v>0</v>
      </c>
      <c r="W425" s="55" t="str">
        <f aca="false">IF(V425=1,SUM($V$2:V425),"")</f>
        <v/>
      </c>
    </row>
    <row r="426" customFormat="false" ht="23.25" hidden="false" customHeight="true" outlineLevel="0" collapsed="false">
      <c r="A426" s="55" t="n">
        <v>425</v>
      </c>
      <c r="B426" s="55" t="s">
        <v>3330</v>
      </c>
      <c r="C426" s="55" t="str">
        <f aca="false">IF(04_Especiales!B51="","",04_Especiales!B51)</f>
        <v>Truchas especiales</v>
      </c>
      <c r="D426" s="56" t="str">
        <f aca="false">IF(04_Especiales!C51="","",04_Especiales!C51)</f>
        <v>Trucha al vapor con verduras</v>
      </c>
      <c r="E426" s="56" t="str">
        <f aca="false">IF(04_Especiales!D51="","",04_Especiales!D51)</f>
        <v>Versión saludable</v>
      </c>
      <c r="F426" s="56" t="str">
        <f aca="false">IF(04_Especiales!E51="","",04_Especiales!E51)</f>
        <v>trucha del lago Titicaca, sal, limón, harina o hierbas, guarnición de papa o arroz</v>
      </c>
      <c r="G426" s="55" t="str">
        <f aca="false">IF(04_Especiales!F51="","",04_Especiales!F51)</f>
        <v>Plato</v>
      </c>
      <c r="H426" s="55" t="str">
        <f aca="false">IF(04_Especiales!G51="","",04_Especiales!G51)</f>
        <v>Premium</v>
      </c>
      <c r="I426" s="58" t="n">
        <f aca="false">IF(04_Especiales!H51="","",04_Especiales!H51)</f>
        <v>25</v>
      </c>
      <c r="J426" s="58" t="n">
        <f aca="false">IF(04_Especiales!I51="","",04_Especiales!I51)</f>
        <v>45</v>
      </c>
      <c r="K426" s="58" t="n">
        <f aca="false">IF(04_Especiales!J51="","",04_Especiales!J51)</f>
        <v>35</v>
      </c>
      <c r="L426" s="58" t="n">
        <f aca="false">IF(04_Especiales!L51="","",04_Especiales!L51)</f>
        <v>36.5</v>
      </c>
      <c r="M426" s="58" t="n">
        <f aca="false">IF(04_Especiales!N51="","",04_Especiales!N51)</f>
        <v>4.55</v>
      </c>
      <c r="N426" s="58" t="n">
        <f aca="false">IF(04_Especiales!O51="","",04_Especiales!O51)</f>
        <v>30.45</v>
      </c>
      <c r="O426" s="55" t="str">
        <f aca="false">IF(04_Especiales!P51="","",04_Especiales!P51)</f>
        <v>12:00-21:00</v>
      </c>
      <c r="P426" s="55" t="n">
        <f aca="false">IF(04_Especiales!Q51="","",04_Especiales!Q51)</f>
        <v>20</v>
      </c>
      <c r="Q426" s="55" t="str">
        <f aca="false">IF(04_Especiales!R51="","",04_Especiales!R51)</f>
        <v>Medio</v>
      </c>
      <c r="R426" s="55" t="str">
        <f aca="false">IF(04_Especiales!S51="","",04_Especiales!S51)</f>
        <v>Todo el año</v>
      </c>
      <c r="S426" s="55" t="str">
        <f aca="false">IF(04_Especiales!T51="","",04_Especiales!T51)</f>
        <v>Restaurante turístico</v>
      </c>
      <c r="T426" s="56" t="str">
        <f aca="false">IF(04_Especiales!U51="","",04_Especiales!U51)</f>
        <v/>
      </c>
      <c r="U426" s="55" t="n">
        <v>51</v>
      </c>
      <c r="V426" s="55" t="n">
        <f aca="false">IF(AND(OR(LEN(13_Buscador!$C$5)=0,ISNUMBER(SEARCH(13_Buscador!$C$5,$C426&amp;" "&amp;$D426&amp;" "&amp;$E426&amp;" "&amp;$F426&amp;" "&amp;$S426))),OR(13_Buscador!$C$6="Todas las listas",LEN(13_Buscador!$C$6)=0,13_Buscador!$C$6=$B426)),1,0)</f>
        <v>0</v>
      </c>
      <c r="W426" s="55" t="str">
        <f aca="false">IF(V426=1,SUM($V$2:V426),"")</f>
        <v/>
      </c>
    </row>
    <row r="427" customFormat="false" ht="23.25" hidden="false" customHeight="true" outlineLevel="0" collapsed="false">
      <c r="A427" s="55" t="n">
        <v>426</v>
      </c>
      <c r="B427" s="55" t="s">
        <v>3330</v>
      </c>
      <c r="C427" s="55" t="str">
        <f aca="false">IF(04_Especiales!B52="","",04_Especiales!B52)</f>
        <v>Truchas especiales</v>
      </c>
      <c r="D427" s="56" t="str">
        <f aca="false">IF(04_Especiales!C52="","",04_Especiales!C52)</f>
        <v>Trucha a lo macho</v>
      </c>
      <c r="E427" s="56" t="str">
        <f aca="false">IF(04_Especiales!D52="","",04_Especiales!D52)</f>
        <v>Trucha con salsa de mariscos</v>
      </c>
      <c r="F427" s="56" t="str">
        <f aca="false">IF(04_Especiales!E52="","",04_Especiales!E52)</f>
        <v>trucha del lago Titicaca, sal, limón, harina o hierbas, guarnición de papa o arroz</v>
      </c>
      <c r="G427" s="55" t="str">
        <f aca="false">IF(04_Especiales!F52="","",04_Especiales!F52)</f>
        <v>Plato</v>
      </c>
      <c r="H427" s="55" t="str">
        <f aca="false">IF(04_Especiales!G52="","",04_Especiales!G52)</f>
        <v>Premium</v>
      </c>
      <c r="I427" s="58" t="n">
        <f aca="false">IF(04_Especiales!H52="","",04_Especiales!H52)</f>
        <v>28</v>
      </c>
      <c r="J427" s="58" t="n">
        <f aca="false">IF(04_Especiales!I52="","",04_Especiales!I52)</f>
        <v>50</v>
      </c>
      <c r="K427" s="58" t="n">
        <f aca="false">IF(04_Especiales!J52="","",04_Especiales!J52)</f>
        <v>39</v>
      </c>
      <c r="L427" s="58" t="n">
        <f aca="false">IF(04_Especiales!L52="","",04_Especiales!L52)</f>
        <v>40.5</v>
      </c>
      <c r="M427" s="58" t="n">
        <f aca="false">IF(04_Especiales!N52="","",04_Especiales!N52)</f>
        <v>5.07</v>
      </c>
      <c r="N427" s="58" t="n">
        <f aca="false">IF(04_Especiales!O52="","",04_Especiales!O52)</f>
        <v>33.93</v>
      </c>
      <c r="O427" s="55" t="str">
        <f aca="false">IF(04_Especiales!P52="","",04_Especiales!P52)</f>
        <v>12:00-21:00</v>
      </c>
      <c r="P427" s="55" t="n">
        <f aca="false">IF(04_Especiales!Q52="","",04_Especiales!Q52)</f>
        <v>22</v>
      </c>
      <c r="Q427" s="55" t="str">
        <f aca="false">IF(04_Especiales!R52="","",04_Especiales!R52)</f>
        <v>Medio</v>
      </c>
      <c r="R427" s="55" t="str">
        <f aca="false">IF(04_Especiales!S52="","",04_Especiales!S52)</f>
        <v>Todo el año</v>
      </c>
      <c r="S427" s="55" t="str">
        <f aca="false">IF(04_Especiales!T52="","",04_Especiales!T52)</f>
        <v>Restaurante turístico</v>
      </c>
      <c r="T427" s="56" t="str">
        <f aca="false">IF(04_Especiales!U52="","",04_Especiales!U52)</f>
        <v/>
      </c>
      <c r="U427" s="55" t="n">
        <v>52</v>
      </c>
      <c r="V427" s="55" t="n">
        <f aca="false">IF(AND(OR(LEN(13_Buscador!$C$5)=0,ISNUMBER(SEARCH(13_Buscador!$C$5,$C427&amp;" "&amp;$D427&amp;" "&amp;$E427&amp;" "&amp;$F427&amp;" "&amp;$S427))),OR(13_Buscador!$C$6="Todas las listas",LEN(13_Buscador!$C$6)=0,13_Buscador!$C$6=$B427)),1,0)</f>
        <v>0</v>
      </c>
      <c r="W427" s="55" t="str">
        <f aca="false">IF(V427=1,SUM($V$2:V427),"")</f>
        <v/>
      </c>
    </row>
    <row r="428" customFormat="false" ht="23.25" hidden="false" customHeight="true" outlineLevel="0" collapsed="false">
      <c r="A428" s="55" t="n">
        <v>427</v>
      </c>
      <c r="B428" s="55" t="s">
        <v>3330</v>
      </c>
      <c r="C428" s="55" t="str">
        <f aca="false">IF(04_Especiales!B53="","",04_Especiales!B53)</f>
        <v>Catering y volumen</v>
      </c>
      <c r="D428" s="56" t="str">
        <f aca="false">IF(04_Especiales!C53="","",04_Especiales!C53)</f>
        <v>Cena para evento (x20)</v>
      </c>
      <c r="E428" s="56" t="str">
        <f aca="false">IF(04_Especiales!D53="","",04_Especiales!D53)</f>
        <v>20 cenas empacadas</v>
      </c>
      <c r="F428" s="56" t="str">
        <f aca="false">IF(04_Especiales!E53="","",04_Especiales!E53)</f>
        <v>preparación del menú contratado en la cantidad solicitada</v>
      </c>
      <c r="G428" s="55" t="str">
        <f aca="false">IF(04_Especiales!F53="","",04_Especiales!F53)</f>
        <v>Pedido</v>
      </c>
      <c r="H428" s="55" t="str">
        <f aca="false">IF(04_Especiales!G53="","",04_Especiales!G53)</f>
        <v>Premium</v>
      </c>
      <c r="I428" s="58" t="n">
        <f aca="false">IF(04_Especiales!H53="","",04_Especiales!H53)</f>
        <v>200</v>
      </c>
      <c r="J428" s="58" t="n">
        <f aca="false">IF(04_Especiales!I53="","",04_Especiales!I53)</f>
        <v>400</v>
      </c>
      <c r="K428" s="58" t="n">
        <f aca="false">IF(04_Especiales!J53="","",04_Especiales!J53)</f>
        <v>300</v>
      </c>
      <c r="L428" s="58" t="n">
        <f aca="false">IF(04_Especiales!L53="","",04_Especiales!L53)</f>
        <v>301.5</v>
      </c>
      <c r="M428" s="58" t="n">
        <f aca="false">IF(04_Especiales!N53="","",04_Especiales!N53)</f>
        <v>39</v>
      </c>
      <c r="N428" s="58" t="n">
        <f aca="false">IF(04_Especiales!O53="","",04_Especiales!O53)</f>
        <v>261</v>
      </c>
      <c r="O428" s="55" t="str">
        <f aca="false">IF(04_Especiales!P53="","",04_Especiales!P53)</f>
        <v>18:00-22:00</v>
      </c>
      <c r="P428" s="55" t="n">
        <f aca="false">IF(04_Especiales!Q53="","",04_Especiales!Q53)</f>
        <v>90</v>
      </c>
      <c r="Q428" s="55" t="str">
        <f aca="false">IF(04_Especiales!R53="","",04_Especiales!R53)</f>
        <v>Medio</v>
      </c>
      <c r="R428" s="55" t="str">
        <f aca="false">IF(04_Especiales!S53="","",04_Especiales!S53)</f>
        <v>Todo el año</v>
      </c>
      <c r="S428" s="55" t="str">
        <f aca="false">IF(04_Especiales!T53="","",04_Especiales!T53)</f>
        <v>Catering</v>
      </c>
      <c r="T428" s="56" t="str">
        <f aca="false">IF(04_Especiales!U53="","",04_Especiales!U53)</f>
        <v/>
      </c>
      <c r="U428" s="55" t="n">
        <v>53</v>
      </c>
      <c r="V428" s="55" t="n">
        <f aca="false">IF(AND(OR(LEN(13_Buscador!$C$5)=0,ISNUMBER(SEARCH(13_Buscador!$C$5,$C428&amp;" "&amp;$D428&amp;" "&amp;$E428&amp;" "&amp;$F428&amp;" "&amp;$S428))),OR(13_Buscador!$C$6="Todas las listas",LEN(13_Buscador!$C$6)=0,13_Buscador!$C$6=$B428)),1,0)</f>
        <v>0</v>
      </c>
      <c r="W428" s="55" t="str">
        <f aca="false">IF(V428=1,SUM($V$2:V428),"")</f>
        <v/>
      </c>
    </row>
    <row r="429" customFormat="false" ht="23.25" hidden="false" customHeight="true" outlineLevel="0" collapsed="false">
      <c r="A429" s="55" t="n">
        <v>428</v>
      </c>
      <c r="B429" s="55" t="s">
        <v>3330</v>
      </c>
      <c r="C429" s="55" t="str">
        <f aca="false">IF(04_Especiales!B54="","",04_Especiales!B54)</f>
        <v>Catering y volumen</v>
      </c>
      <c r="D429" s="56" t="str">
        <f aca="false">IF(04_Especiales!C54="","",04_Especiales!C54)</f>
        <v>Refrigerio escolar (x30)</v>
      </c>
      <c r="E429" s="56" t="str">
        <f aca="false">IF(04_Especiales!D54="","",04_Especiales!D54)</f>
        <v>Sándwich y bebida</v>
      </c>
      <c r="F429" s="56" t="str">
        <f aca="false">IF(04_Especiales!E54="","",04_Especiales!E54)</f>
        <v>sándwich, fruta, bebida, galleta</v>
      </c>
      <c r="G429" s="55" t="str">
        <f aca="false">IF(04_Especiales!F54="","",04_Especiales!F54)</f>
        <v>Pedido</v>
      </c>
      <c r="H429" s="55" t="str">
        <f aca="false">IF(04_Especiales!G54="","",04_Especiales!G54)</f>
        <v>Medio</v>
      </c>
      <c r="I429" s="58" t="n">
        <f aca="false">IF(04_Especiales!H54="","",04_Especiales!H54)</f>
        <v>150</v>
      </c>
      <c r="J429" s="58" t="n">
        <f aca="false">IF(04_Especiales!I54="","",04_Especiales!I54)</f>
        <v>300</v>
      </c>
      <c r="K429" s="58" t="n">
        <f aca="false">IF(04_Especiales!J54="","",04_Especiales!J54)</f>
        <v>225</v>
      </c>
      <c r="L429" s="58" t="n">
        <f aca="false">IF(04_Especiales!L54="","",04_Especiales!L54)</f>
        <v>226.5</v>
      </c>
      <c r="M429" s="58" t="n">
        <f aca="false">IF(04_Especiales!N54="","",04_Especiales!N54)</f>
        <v>24.75</v>
      </c>
      <c r="N429" s="58" t="n">
        <f aca="false">IF(04_Especiales!O54="","",04_Especiales!O54)</f>
        <v>200.25</v>
      </c>
      <c r="O429" s="55" t="str">
        <f aca="false">IF(04_Especiales!P54="","",04_Especiales!P54)</f>
        <v>07:00-10:00</v>
      </c>
      <c r="P429" s="55" t="n">
        <f aca="false">IF(04_Especiales!Q54="","",04_Especiales!Q54)</f>
        <v>60</v>
      </c>
      <c r="Q429" s="55" t="str">
        <f aca="false">IF(04_Especiales!R54="","",04_Especiales!R54)</f>
        <v>Alto</v>
      </c>
      <c r="R429" s="55" t="str">
        <f aca="false">IF(04_Especiales!S54="","",04_Especiales!S54)</f>
        <v>Año escolar</v>
      </c>
      <c r="S429" s="55" t="str">
        <f aca="false">IF(04_Especiales!T54="","",04_Especiales!T54)</f>
        <v>Catering</v>
      </c>
      <c r="T429" s="56" t="str">
        <f aca="false">IF(04_Especiales!U54="","",04_Especiales!U54)</f>
        <v>Mercado institucional estable de marzo a diciembre</v>
      </c>
      <c r="U429" s="55" t="n">
        <v>54</v>
      </c>
      <c r="V429" s="55" t="n">
        <f aca="false">IF(AND(OR(LEN(13_Buscador!$C$5)=0,ISNUMBER(SEARCH(13_Buscador!$C$5,$C429&amp;" "&amp;$D429&amp;" "&amp;$E429&amp;" "&amp;$F429&amp;" "&amp;$S429))),OR(13_Buscador!$C$6="Todas las listas",LEN(13_Buscador!$C$6)=0,13_Buscador!$C$6=$B429)),1,0)</f>
        <v>0</v>
      </c>
      <c r="W429" s="55" t="str">
        <f aca="false">IF(V429=1,SUM($V$2:V429),"")</f>
        <v/>
      </c>
    </row>
    <row r="430" customFormat="false" ht="23.25" hidden="false" customHeight="true" outlineLevel="0" collapsed="false">
      <c r="A430" s="55" t="n">
        <v>429</v>
      </c>
      <c r="B430" s="55" t="s">
        <v>3330</v>
      </c>
      <c r="C430" s="55" t="str">
        <f aca="false">IF(04_Especiales!B55="","",04_Especiales!B55)</f>
        <v>Catering y volumen</v>
      </c>
      <c r="D430" s="56" t="str">
        <f aca="false">IF(04_Especiales!C55="","",04_Especiales!C55)</f>
        <v>Almuerzo para obra (x50)</v>
      </c>
      <c r="E430" s="56" t="str">
        <f aca="false">IF(04_Especiales!D55="","",04_Especiales!D55)</f>
        <v>50 menús en táper</v>
      </c>
      <c r="F430" s="56" t="str">
        <f aca="false">IF(04_Especiales!E55="","",04_Especiales!E55)</f>
        <v>preparación del menú contratado en la cantidad solicitada</v>
      </c>
      <c r="G430" s="55" t="str">
        <f aca="false">IF(04_Especiales!F55="","",04_Especiales!F55)</f>
        <v>Pedido</v>
      </c>
      <c r="H430" s="55" t="str">
        <f aca="false">IF(04_Especiales!G55="","",04_Especiales!G55)</f>
        <v>Premium</v>
      </c>
      <c r="I430" s="58" t="n">
        <f aca="false">IF(04_Especiales!H55="","",04_Especiales!H55)</f>
        <v>450</v>
      </c>
      <c r="J430" s="58" t="n">
        <f aca="false">IF(04_Especiales!I55="","",04_Especiales!I55)</f>
        <v>700</v>
      </c>
      <c r="K430" s="58" t="n">
        <f aca="false">IF(04_Especiales!J55="","",04_Especiales!J55)</f>
        <v>575</v>
      </c>
      <c r="L430" s="58" t="n">
        <f aca="false">IF(04_Especiales!L55="","",04_Especiales!L55)</f>
        <v>576.5</v>
      </c>
      <c r="M430" s="58" t="n">
        <f aca="false">IF(04_Especiales!N55="","",04_Especiales!N55)</f>
        <v>74.75</v>
      </c>
      <c r="N430" s="58" t="n">
        <f aca="false">IF(04_Especiales!O55="","",04_Especiales!O55)</f>
        <v>500.25</v>
      </c>
      <c r="O430" s="55" t="str">
        <f aca="false">IF(04_Especiales!P55="","",04_Especiales!P55)</f>
        <v>11:00-14:00</v>
      </c>
      <c r="P430" s="55" t="n">
        <f aca="false">IF(04_Especiales!Q55="","",04_Especiales!Q55)</f>
        <v>120</v>
      </c>
      <c r="Q430" s="55" t="str">
        <f aca="false">IF(04_Especiales!R55="","",04_Especiales!R55)</f>
        <v>Alto</v>
      </c>
      <c r="R430" s="55" t="str">
        <f aca="false">IF(04_Especiales!S55="","",04_Especiales!S55)</f>
        <v>Todo el año</v>
      </c>
      <c r="S430" s="55" t="str">
        <f aca="false">IF(04_Especiales!T55="","",04_Especiales!T55)</f>
        <v>Catering</v>
      </c>
      <c r="T430" s="56" t="str">
        <f aca="false">IF(04_Especiales!U55="","",04_Especiales!U55)</f>
        <v>Contrato recurrente: el cliente B2B más valioso</v>
      </c>
      <c r="U430" s="55" t="n">
        <v>55</v>
      </c>
      <c r="V430" s="55" t="n">
        <f aca="false">IF(AND(OR(LEN(13_Buscador!$C$5)=0,ISNUMBER(SEARCH(13_Buscador!$C$5,$C430&amp;" "&amp;$D430&amp;" "&amp;$E430&amp;" "&amp;$F430&amp;" "&amp;$S430))),OR(13_Buscador!$C$6="Todas las listas",LEN(13_Buscador!$C$6)=0,13_Buscador!$C$6=$B430)),1,0)</f>
        <v>0</v>
      </c>
      <c r="W430" s="55" t="str">
        <f aca="false">IF(V430=1,SUM($V$2:V430),"")</f>
        <v/>
      </c>
    </row>
    <row r="431" customFormat="false" ht="15" hidden="false" customHeight="true" outlineLevel="0" collapsed="false">
      <c r="A431" s="55" t="n">
        <v>430</v>
      </c>
      <c r="B431" s="55" t="s">
        <v>3330</v>
      </c>
      <c r="C431" s="55" t="str">
        <f aca="false">IF(04_Especiales!B56="","",04_Especiales!B56)</f>
        <v>Catering y volumen</v>
      </c>
      <c r="D431" s="56" t="str">
        <f aca="false">IF(04_Especiales!C56="","",04_Especiales!C56)</f>
        <v>Bocaditos dulces (50 und)</v>
      </c>
      <c r="E431" s="56" t="str">
        <f aca="false">IF(04_Especiales!D56="","",04_Especiales!D56)</f>
        <v>Mini postres</v>
      </c>
      <c r="F431" s="56" t="str">
        <f aca="false">IF(04_Especiales!E56="","",04_Especiales!E56)</f>
        <v>bocaditos salados y dulces, café, té, jugo</v>
      </c>
      <c r="G431" s="55" t="str">
        <f aca="false">IF(04_Especiales!F56="","",04_Especiales!F56)</f>
        <v>Bandeja</v>
      </c>
      <c r="H431" s="55" t="str">
        <f aca="false">IF(04_Especiales!G56="","",04_Especiales!G56)</f>
        <v>Premium</v>
      </c>
      <c r="I431" s="58" t="n">
        <f aca="false">IF(04_Especiales!H56="","",04_Especiales!H56)</f>
        <v>90</v>
      </c>
      <c r="J431" s="58" t="n">
        <f aca="false">IF(04_Especiales!I56="","",04_Especiales!I56)</f>
        <v>200</v>
      </c>
      <c r="K431" s="58" t="n">
        <f aca="false">IF(04_Especiales!J56="","",04_Especiales!J56)</f>
        <v>145</v>
      </c>
      <c r="L431" s="58" t="n">
        <f aca="false">IF(04_Especiales!L56="","",04_Especiales!L56)</f>
        <v>146.5</v>
      </c>
      <c r="M431" s="58" t="n">
        <f aca="false">IF(04_Especiales!N56="","",04_Especiales!N56)</f>
        <v>18.85</v>
      </c>
      <c r="N431" s="58" t="n">
        <f aca="false">IF(04_Especiales!O56="","",04_Especiales!O56)</f>
        <v>126.15</v>
      </c>
      <c r="O431" s="55" t="str">
        <f aca="false">IF(04_Especiales!P56="","",04_Especiales!P56)</f>
        <v>Todo el día</v>
      </c>
      <c r="P431" s="55" t="n">
        <f aca="false">IF(04_Especiales!Q56="","",04_Especiales!Q56)</f>
        <v>120</v>
      </c>
      <c r="Q431" s="55" t="str">
        <f aca="false">IF(04_Especiales!R56="","",04_Especiales!R56)</f>
        <v>Medio</v>
      </c>
      <c r="R431" s="55" t="str">
        <f aca="false">IF(04_Especiales!S56="","",04_Especiales!S56)</f>
        <v>Todo el año</v>
      </c>
      <c r="S431" s="55" t="str">
        <f aca="false">IF(04_Especiales!T56="","",04_Especiales!T56)</f>
        <v>Pastelería</v>
      </c>
      <c r="T431" s="56" t="str">
        <f aca="false">IF(04_Especiales!U56="","",04_Especiales!U56)</f>
        <v/>
      </c>
      <c r="U431" s="55" t="n">
        <v>56</v>
      </c>
      <c r="V431" s="55" t="n">
        <f aca="false">IF(AND(OR(LEN(13_Buscador!$C$5)=0,ISNUMBER(SEARCH(13_Buscador!$C$5,$C431&amp;" "&amp;$D431&amp;" "&amp;$E431&amp;" "&amp;$F431&amp;" "&amp;$S431))),OR(13_Buscador!$C$6="Todas las listas",LEN(13_Buscador!$C$6)=0,13_Buscador!$C$6=$B431)),1,0)</f>
        <v>0</v>
      </c>
      <c r="W431" s="55" t="str">
        <f aca="false">IF(V431=1,SUM($V$2:V431),"")</f>
        <v/>
      </c>
    </row>
    <row r="432" customFormat="false" ht="23.25" hidden="false" customHeight="true" outlineLevel="0" collapsed="false">
      <c r="A432" s="55" t="n">
        <v>431</v>
      </c>
      <c r="B432" s="55" t="s">
        <v>3330</v>
      </c>
      <c r="C432" s="55" t="str">
        <f aca="false">IF(04_Especiales!B57="","",04_Especiales!B57)</f>
        <v>Catering y volumen</v>
      </c>
      <c r="D432" s="56" t="str">
        <f aca="false">IF(04_Especiales!C57="","",04_Especiales!C57)</f>
        <v>Torta de matrimonio</v>
      </c>
      <c r="E432" s="56" t="str">
        <f aca="false">IF(04_Especiales!D57="","",04_Especiales!D57)</f>
        <v>Torta de varios pisos</v>
      </c>
      <c r="F432" s="56" t="str">
        <f aca="false">IF(04_Especiales!E57="","",04_Especiales!E57)</f>
        <v>harina, huevo, azúcar, mantequilla, crema o fruta según el sabor</v>
      </c>
      <c r="G432" s="55" t="str">
        <f aca="false">IF(04_Especiales!F57="","",04_Especiales!F57)</f>
        <v>Unidad</v>
      </c>
      <c r="H432" s="55" t="str">
        <f aca="false">IF(04_Especiales!G57="","",04_Especiales!G57)</f>
        <v>Premium</v>
      </c>
      <c r="I432" s="58" t="n">
        <f aca="false">IF(04_Especiales!H57="","",04_Especiales!H57)</f>
        <v>250</v>
      </c>
      <c r="J432" s="58" t="n">
        <f aca="false">IF(04_Especiales!I57="","",04_Especiales!I57)</f>
        <v>700</v>
      </c>
      <c r="K432" s="58" t="n">
        <f aca="false">IF(04_Especiales!J57="","",04_Especiales!J57)</f>
        <v>475</v>
      </c>
      <c r="L432" s="58" t="n">
        <f aca="false">IF(04_Especiales!L57="","",04_Especiales!L57)</f>
        <v>476.5</v>
      </c>
      <c r="M432" s="58" t="n">
        <f aca="false">IF(04_Especiales!N57="","",04_Especiales!N57)</f>
        <v>61.75</v>
      </c>
      <c r="N432" s="58" t="n">
        <f aca="false">IF(04_Especiales!O57="","",04_Especiales!O57)</f>
        <v>413.25</v>
      </c>
      <c r="O432" s="55" t="str">
        <f aca="false">IF(04_Especiales!P57="","",04_Especiales!P57)</f>
        <v>Todo el día</v>
      </c>
      <c r="P432" s="55" t="n">
        <f aca="false">IF(04_Especiales!Q57="","",04_Especiales!Q57)</f>
        <v>300</v>
      </c>
      <c r="Q432" s="55" t="str">
        <f aca="false">IF(04_Especiales!R57="","",04_Especiales!R57)</f>
        <v>Medio</v>
      </c>
      <c r="R432" s="55" t="str">
        <f aca="false">IF(04_Especiales!S57="","",04_Especiales!S57)</f>
        <v>Todo el año</v>
      </c>
      <c r="S432" s="55" t="str">
        <f aca="false">IF(04_Especiales!T57="","",04_Especiales!T57)</f>
        <v>Pastelería</v>
      </c>
      <c r="T432" s="56" t="str">
        <f aca="false">IF(04_Especiales!U57="","",04_Especiales!U57)</f>
        <v>Pedido con una semana de anticipación</v>
      </c>
      <c r="U432" s="55" t="n">
        <v>57</v>
      </c>
      <c r="V432" s="55" t="n">
        <f aca="false">IF(AND(OR(LEN(13_Buscador!$C$5)=0,ISNUMBER(SEARCH(13_Buscador!$C$5,$C432&amp;" "&amp;$D432&amp;" "&amp;$E432&amp;" "&amp;$F432&amp;" "&amp;$S432))),OR(13_Buscador!$C$6="Todas las listas",LEN(13_Buscador!$C$6)=0,13_Buscador!$C$6=$B432)),1,0)</f>
        <v>0</v>
      </c>
      <c r="W432" s="55" t="str">
        <f aca="false">IF(V432=1,SUM($V$2:V432),"")</f>
        <v/>
      </c>
    </row>
    <row r="433" customFormat="false" ht="23.25" hidden="false" customHeight="true" outlineLevel="0" collapsed="false">
      <c r="A433" s="55" t="n">
        <v>432</v>
      </c>
      <c r="B433" s="55" t="s">
        <v>3330</v>
      </c>
      <c r="C433" s="55" t="str">
        <f aca="false">IF(04_Especiales!B58="","",04_Especiales!B58)</f>
        <v>Dietas especiales</v>
      </c>
      <c r="D433" s="56" t="str">
        <f aca="false">IF(04_Especiales!C58="","",04_Especiales!C58)</f>
        <v>Menú para diabético</v>
      </c>
      <c r="E433" s="56" t="str">
        <f aca="false">IF(04_Especiales!D58="","",04_Especiales!D58)</f>
        <v>Sin azúcar añadida</v>
      </c>
      <c r="F433" s="56" t="str">
        <f aca="false">IF(04_Especiales!E58="","",04_Especiales!E58)</f>
        <v>preparación adaptada a la indicación dietética, sin fritura</v>
      </c>
      <c r="G433" s="55" t="str">
        <f aca="false">IF(04_Especiales!F58="","",04_Especiales!F58)</f>
        <v>Bandeja</v>
      </c>
      <c r="H433" s="55" t="str">
        <f aca="false">IF(04_Especiales!G58="","",04_Especiales!G58)</f>
        <v>Medio</v>
      </c>
      <c r="I433" s="58" t="n">
        <f aca="false">IF(04_Especiales!H58="","",04_Especiales!H58)</f>
        <v>14</v>
      </c>
      <c r="J433" s="58" t="n">
        <f aca="false">IF(04_Especiales!I58="","",04_Especiales!I58)</f>
        <v>25</v>
      </c>
      <c r="K433" s="58" t="n">
        <f aca="false">IF(04_Especiales!J58="","",04_Especiales!J58)</f>
        <v>19.5</v>
      </c>
      <c r="L433" s="58" t="n">
        <f aca="false">IF(04_Especiales!L58="","",04_Especiales!L58)</f>
        <v>21</v>
      </c>
      <c r="M433" s="58" t="n">
        <f aca="false">IF(04_Especiales!N58="","",04_Especiales!N58)</f>
        <v>2.15</v>
      </c>
      <c r="N433" s="58" t="n">
        <f aca="false">IF(04_Especiales!O58="","",04_Especiales!O58)</f>
        <v>17.35</v>
      </c>
      <c r="O433" s="55" t="str">
        <f aca="false">IF(04_Especiales!P58="","",04_Especiales!P58)</f>
        <v>12:00-15:00</v>
      </c>
      <c r="P433" s="55" t="n">
        <f aca="false">IF(04_Especiales!Q58="","",04_Especiales!Q58)</f>
        <v>15</v>
      </c>
      <c r="Q433" s="55" t="str">
        <f aca="false">IF(04_Especiales!R58="","",04_Especiales!R58)</f>
        <v>Alto</v>
      </c>
      <c r="R433" s="55" t="str">
        <f aca="false">IF(04_Especiales!S58="","",04_Especiales!S58)</f>
        <v>Todo el año</v>
      </c>
      <c r="S433" s="55" t="str">
        <f aca="false">IF(04_Especiales!T58="","",04_Especiales!T58)</f>
        <v>Saludable</v>
      </c>
      <c r="T433" s="56" t="str">
        <f aca="false">IF(04_Especiales!U58="","",04_Especiales!U58)</f>
        <v/>
      </c>
      <c r="U433" s="55" t="n">
        <v>58</v>
      </c>
      <c r="V433" s="55" t="n">
        <f aca="false">IF(AND(OR(LEN(13_Buscador!$C$5)=0,ISNUMBER(SEARCH(13_Buscador!$C$5,$C433&amp;" "&amp;$D433&amp;" "&amp;$E433&amp;" "&amp;$F433&amp;" "&amp;$S433))),OR(13_Buscador!$C$6="Todas las listas",LEN(13_Buscador!$C$6)=0,13_Buscador!$C$6=$B433)),1,0)</f>
        <v>0</v>
      </c>
      <c r="W433" s="55" t="str">
        <f aca="false">IF(V433=1,SUM($V$2:V433),"")</f>
        <v/>
      </c>
    </row>
    <row r="434" customFormat="false" ht="23.25" hidden="false" customHeight="true" outlineLevel="0" collapsed="false">
      <c r="A434" s="55" t="n">
        <v>433</v>
      </c>
      <c r="B434" s="55" t="s">
        <v>3330</v>
      </c>
      <c r="C434" s="55" t="str">
        <f aca="false">IF(04_Especiales!B59="","",04_Especiales!B59)</f>
        <v>Dietas especiales</v>
      </c>
      <c r="D434" s="56" t="str">
        <f aca="false">IF(04_Especiales!C59="","",04_Especiales!C59)</f>
        <v>Menú blando post operatorio</v>
      </c>
      <c r="E434" s="56" t="str">
        <f aca="false">IF(04_Especiales!D59="","",04_Especiales!D59)</f>
        <v>Preparación suave</v>
      </c>
      <c r="F434" s="56" t="str">
        <f aca="false">IF(04_Especiales!E59="","",04_Especiales!E59)</f>
        <v>preparación adaptada a la indicación dietética, sin fritura</v>
      </c>
      <c r="G434" s="55" t="str">
        <f aca="false">IF(04_Especiales!F59="","",04_Especiales!F59)</f>
        <v>Bandeja</v>
      </c>
      <c r="H434" s="55" t="str">
        <f aca="false">IF(04_Especiales!G59="","",04_Especiales!G59)</f>
        <v>Estándar</v>
      </c>
      <c r="I434" s="58" t="n">
        <f aca="false">IF(04_Especiales!H59="","",04_Especiales!H59)</f>
        <v>12</v>
      </c>
      <c r="J434" s="58" t="n">
        <f aca="false">IF(04_Especiales!I59="","",04_Especiales!I59)</f>
        <v>22</v>
      </c>
      <c r="K434" s="58" t="n">
        <f aca="false">IF(04_Especiales!J59="","",04_Especiales!J59)</f>
        <v>17</v>
      </c>
      <c r="L434" s="58" t="n">
        <f aca="false">IF(04_Especiales!L59="","",04_Especiales!L59)</f>
        <v>18.5</v>
      </c>
      <c r="M434" s="58" t="n">
        <f aca="false">IF(04_Especiales!N59="","",04_Especiales!N59)</f>
        <v>1.53</v>
      </c>
      <c r="N434" s="58" t="n">
        <f aca="false">IF(04_Especiales!O59="","",04_Especiales!O59)</f>
        <v>15.47</v>
      </c>
      <c r="O434" s="55" t="str">
        <f aca="false">IF(04_Especiales!P59="","",04_Especiales!P59)</f>
        <v>Todo el día</v>
      </c>
      <c r="P434" s="55" t="n">
        <f aca="false">IF(04_Especiales!Q59="","",04_Especiales!Q59)</f>
        <v>15</v>
      </c>
      <c r="Q434" s="55" t="str">
        <f aca="false">IF(04_Especiales!R59="","",04_Especiales!R59)</f>
        <v>Alto</v>
      </c>
      <c r="R434" s="55" t="str">
        <f aca="false">IF(04_Especiales!S59="","",04_Especiales!S59)</f>
        <v>Todo el año</v>
      </c>
      <c r="S434" s="55" t="str">
        <f aca="false">IF(04_Especiales!T59="","",04_Especiales!T59)</f>
        <v>Menú</v>
      </c>
      <c r="T434" s="56" t="str">
        <f aca="false">IF(04_Especiales!U59="","",04_Especiales!U59)</f>
        <v>Demanda desde hospitales y clínicas</v>
      </c>
      <c r="U434" s="55" t="n">
        <v>59</v>
      </c>
      <c r="V434" s="55" t="n">
        <f aca="false">IF(AND(OR(LEN(13_Buscador!$C$5)=0,ISNUMBER(SEARCH(13_Buscador!$C$5,$C434&amp;" "&amp;$D434&amp;" "&amp;$E434&amp;" "&amp;$F434&amp;" "&amp;$S434))),OR(13_Buscador!$C$6="Todas las listas",LEN(13_Buscador!$C$6)=0,13_Buscador!$C$6=$B434)),1,0)</f>
        <v>0</v>
      </c>
      <c r="W434" s="55" t="str">
        <f aca="false">IF(V434=1,SUM($V$2:V434),"")</f>
        <v/>
      </c>
    </row>
    <row r="435" customFormat="false" ht="23.25" hidden="false" customHeight="true" outlineLevel="0" collapsed="false">
      <c r="A435" s="55" t="n">
        <v>434</v>
      </c>
      <c r="B435" s="55" t="s">
        <v>3330</v>
      </c>
      <c r="C435" s="55" t="str">
        <f aca="false">IF(04_Especiales!B60="","",04_Especiales!B60)</f>
        <v>Dietas especiales</v>
      </c>
      <c r="D435" s="56" t="str">
        <f aca="false">IF(04_Especiales!C60="","",04_Especiales!C60)</f>
        <v>Menú keto / bajo en carbohidratos</v>
      </c>
      <c r="E435" s="56" t="str">
        <f aca="false">IF(04_Especiales!D60="","",04_Especiales!D60)</f>
        <v>Alto en grasa y proteína</v>
      </c>
      <c r="F435" s="56" t="str">
        <f aca="false">IF(04_Especiales!E60="","",04_Especiales!E60)</f>
        <v>preparación adaptada a la indicación dietética, sin fritura</v>
      </c>
      <c r="G435" s="55" t="str">
        <f aca="false">IF(04_Especiales!F60="","",04_Especiales!F60)</f>
        <v>Bandeja</v>
      </c>
      <c r="H435" s="55" t="str">
        <f aca="false">IF(04_Especiales!G60="","",04_Especiales!G60)</f>
        <v>Medio</v>
      </c>
      <c r="I435" s="58" t="n">
        <f aca="false">IF(04_Especiales!H60="","",04_Especiales!H60)</f>
        <v>18</v>
      </c>
      <c r="J435" s="58" t="n">
        <f aca="false">IF(04_Especiales!I60="","",04_Especiales!I60)</f>
        <v>32</v>
      </c>
      <c r="K435" s="58" t="n">
        <f aca="false">IF(04_Especiales!J60="","",04_Especiales!J60)</f>
        <v>25</v>
      </c>
      <c r="L435" s="58" t="n">
        <f aca="false">IF(04_Especiales!L60="","",04_Especiales!L60)</f>
        <v>26.5</v>
      </c>
      <c r="M435" s="58" t="n">
        <f aca="false">IF(04_Especiales!N60="","",04_Especiales!N60)</f>
        <v>2.75</v>
      </c>
      <c r="N435" s="58" t="n">
        <f aca="false">IF(04_Especiales!O60="","",04_Especiales!O60)</f>
        <v>22.25</v>
      </c>
      <c r="O435" s="55" t="str">
        <f aca="false">IF(04_Especiales!P60="","",04_Especiales!P60)</f>
        <v>12:00-20:00</v>
      </c>
      <c r="P435" s="55" t="n">
        <f aca="false">IF(04_Especiales!Q60="","",04_Especiales!Q60)</f>
        <v>15</v>
      </c>
      <c r="Q435" s="55" t="str">
        <f aca="false">IF(04_Especiales!R60="","",04_Especiales!R60)</f>
        <v>Alto</v>
      </c>
      <c r="R435" s="55" t="str">
        <f aca="false">IF(04_Especiales!S60="","",04_Especiales!S60)</f>
        <v>Todo el año</v>
      </c>
      <c r="S435" s="55" t="str">
        <f aca="false">IF(04_Especiales!T60="","",04_Especiales!T60)</f>
        <v>Saludable</v>
      </c>
      <c r="T435" s="56" t="str">
        <f aca="false">IF(04_Especiales!U60="","",04_Especiales!U60)</f>
        <v/>
      </c>
      <c r="U435" s="55" t="n">
        <v>60</v>
      </c>
      <c r="V435" s="55" t="n">
        <f aca="false">IF(AND(OR(LEN(13_Buscador!$C$5)=0,ISNUMBER(SEARCH(13_Buscador!$C$5,$C435&amp;" "&amp;$D435&amp;" "&amp;$E435&amp;" "&amp;$F435&amp;" "&amp;$S435))),OR(13_Buscador!$C$6="Todas las listas",LEN(13_Buscador!$C$6)=0,13_Buscador!$C$6=$B435)),1,0)</f>
        <v>0</v>
      </c>
      <c r="W435" s="55" t="str">
        <f aca="false">IF(V435=1,SUM($V$2:V435),"")</f>
        <v/>
      </c>
    </row>
    <row r="436" customFormat="false" ht="15" hidden="false" customHeight="true" outlineLevel="0" collapsed="false">
      <c r="A436" s="55" t="n">
        <v>435</v>
      </c>
      <c r="B436" s="55" t="s">
        <v>3330</v>
      </c>
      <c r="C436" s="55" t="str">
        <f aca="false">IF(04_Especiales!B61="","",04_Especiales!B61)</f>
        <v>Especial turístico</v>
      </c>
      <c r="D436" s="56" t="str">
        <f aca="false">IF(04_Especiales!C61="","",04_Especiales!C61)</f>
        <v>Almuerzo en isla de los Uros</v>
      </c>
      <c r="E436" s="56" t="str">
        <f aca="false">IF(04_Especiales!D61="","",04_Especiales!D61)</f>
        <v>Paquete con traslado</v>
      </c>
      <c r="F436" s="56" t="str">
        <f aca="false">IF(04_Especiales!E61="","",04_Especiales!E61)</f>
        <v>preparación del día del local</v>
      </c>
      <c r="G436" s="55" t="str">
        <f aca="false">IF(04_Especiales!F61="","",04_Especiales!F61)</f>
        <v>Por persona</v>
      </c>
      <c r="H436" s="55" t="str">
        <f aca="false">IF(04_Especiales!G61="","",04_Especiales!G61)</f>
        <v>Premium</v>
      </c>
      <c r="I436" s="58" t="n">
        <f aca="false">IF(04_Especiales!H61="","",04_Especiales!H61)</f>
        <v>45</v>
      </c>
      <c r="J436" s="58" t="n">
        <f aca="false">IF(04_Especiales!I61="","",04_Especiales!I61)</f>
        <v>100</v>
      </c>
      <c r="K436" s="58" t="n">
        <f aca="false">IF(04_Especiales!J61="","",04_Especiales!J61)</f>
        <v>72.5</v>
      </c>
      <c r="L436" s="58" t="n">
        <f aca="false">IF(04_Especiales!L61="","",04_Especiales!L61)</f>
        <v>74</v>
      </c>
      <c r="M436" s="58" t="n">
        <f aca="false">IF(04_Especiales!N61="","",04_Especiales!N61)</f>
        <v>9.43</v>
      </c>
      <c r="N436" s="58" t="n">
        <f aca="false">IF(04_Especiales!O61="","",04_Especiales!O61)</f>
        <v>63.07</v>
      </c>
      <c r="O436" s="55" t="str">
        <f aca="false">IF(04_Especiales!P61="","",04_Especiales!P61)</f>
        <v>11:00-15:00</v>
      </c>
      <c r="P436" s="55" t="n">
        <f aca="false">IF(04_Especiales!Q61="","",04_Especiales!Q61)</f>
        <v>0</v>
      </c>
      <c r="Q436" s="55" t="str">
        <f aca="false">IF(04_Especiales!R61="","",04_Especiales!R61)</f>
        <v>Bajo</v>
      </c>
      <c r="R436" s="55" t="str">
        <f aca="false">IF(04_Especiales!S61="","",04_Especiales!S61)</f>
        <v>Temporada alta jun-ago</v>
      </c>
      <c r="S436" s="55" t="str">
        <f aca="false">IF(04_Especiales!T61="","",04_Especiales!T61)</f>
        <v>Turístico</v>
      </c>
      <c r="T436" s="56" t="str">
        <f aca="false">IF(04_Especiales!U61="","",04_Especiales!U61)</f>
        <v>Fuera del alcance de delivery urbano</v>
      </c>
      <c r="U436" s="55" t="n">
        <v>61</v>
      </c>
      <c r="V436" s="55" t="n">
        <f aca="false">IF(AND(OR(LEN(13_Buscador!$C$5)=0,ISNUMBER(SEARCH(13_Buscador!$C$5,$C436&amp;" "&amp;$D436&amp;" "&amp;$E436&amp;" "&amp;$F436&amp;" "&amp;$S436))),OR(13_Buscador!$C$6="Todas las listas",LEN(13_Buscador!$C$6)=0,13_Buscador!$C$6=$B436)),1,0)</f>
        <v>0</v>
      </c>
      <c r="W436" s="55" t="str">
        <f aca="false">IF(V436=1,SUM($V$2:V436),"")</f>
        <v/>
      </c>
    </row>
    <row r="437" customFormat="false" ht="23.25" hidden="false" customHeight="true" outlineLevel="0" collapsed="false">
      <c r="A437" s="55" t="n">
        <v>436</v>
      </c>
      <c r="B437" s="55" t="s">
        <v>3330</v>
      </c>
      <c r="C437" s="55" t="str">
        <f aca="false">IF(04_Especiales!B62="","",04_Especiales!B62)</f>
        <v>Especial turístico</v>
      </c>
      <c r="D437" s="56" t="str">
        <f aca="false">IF(04_Especiales!C62="","",04_Especiales!C62)</f>
        <v>Box lunch para tour</v>
      </c>
      <c r="E437" s="56" t="str">
        <f aca="false">IF(04_Especiales!D62="","",04_Especiales!D62)</f>
        <v>Comida para llevar en excursión</v>
      </c>
      <c r="F437" s="56" t="str">
        <f aca="false">IF(04_Especiales!E62="","",04_Especiales!E62)</f>
        <v>sándwich, fruta, bebida, galleta</v>
      </c>
      <c r="G437" s="55" t="str">
        <f aca="false">IF(04_Especiales!F62="","",04_Especiales!F62)</f>
        <v>Caja</v>
      </c>
      <c r="H437" s="55" t="str">
        <f aca="false">IF(04_Especiales!G62="","",04_Especiales!G62)</f>
        <v>Medio</v>
      </c>
      <c r="I437" s="58" t="n">
        <f aca="false">IF(04_Especiales!H62="","",04_Especiales!H62)</f>
        <v>15</v>
      </c>
      <c r="J437" s="58" t="n">
        <f aca="false">IF(04_Especiales!I62="","",04_Especiales!I62)</f>
        <v>30</v>
      </c>
      <c r="K437" s="58" t="n">
        <f aca="false">IF(04_Especiales!J62="","",04_Especiales!J62)</f>
        <v>22.5</v>
      </c>
      <c r="L437" s="58" t="n">
        <f aca="false">IF(04_Especiales!L62="","",04_Especiales!L62)</f>
        <v>24</v>
      </c>
      <c r="M437" s="58" t="n">
        <f aca="false">IF(04_Especiales!N62="","",04_Especiales!N62)</f>
        <v>2.48</v>
      </c>
      <c r="N437" s="58" t="n">
        <f aca="false">IF(04_Especiales!O62="","",04_Especiales!O62)</f>
        <v>20.02</v>
      </c>
      <c r="O437" s="55" t="str">
        <f aca="false">IF(04_Especiales!P62="","",04_Especiales!P62)</f>
        <v>05:00-08:00</v>
      </c>
      <c r="P437" s="55" t="n">
        <f aca="false">IF(04_Especiales!Q62="","",04_Especiales!Q62)</f>
        <v>15</v>
      </c>
      <c r="Q437" s="55" t="str">
        <f aca="false">IF(04_Especiales!R62="","",04_Especiales!R62)</f>
        <v>Alto</v>
      </c>
      <c r="R437" s="55" t="str">
        <f aca="false">IF(04_Especiales!S62="","",04_Especiales!S62)</f>
        <v>Temporada alta jun-ago</v>
      </c>
      <c r="S437" s="55" t="str">
        <f aca="false">IF(04_Especiales!T62="","",04_Especiales!T62)</f>
        <v>Catering</v>
      </c>
      <c r="T437" s="56" t="str">
        <f aca="false">IF(04_Especiales!U62="","",04_Especiales!U62)</f>
        <v>Alianza con agencias de turismo: pedidos recurrentes de madrugada</v>
      </c>
      <c r="U437" s="55" t="n">
        <v>62</v>
      </c>
      <c r="V437" s="55" t="n">
        <f aca="false">IF(AND(OR(LEN(13_Buscador!$C$5)=0,ISNUMBER(SEARCH(13_Buscador!$C$5,$C437&amp;" "&amp;$D437&amp;" "&amp;$E437&amp;" "&amp;$F437&amp;" "&amp;$S437))),OR(13_Buscador!$C$6="Todas las listas",LEN(13_Buscador!$C$6)=0,13_Buscador!$C$6=$B437)),1,0)</f>
        <v>0</v>
      </c>
      <c r="W437" s="55" t="str">
        <f aca="false">IF(V437=1,SUM($V$2:V437),"")</f>
        <v/>
      </c>
    </row>
    <row r="438" customFormat="false" ht="23.25" hidden="false" customHeight="true" outlineLevel="0" collapsed="false">
      <c r="A438" s="55" t="n">
        <v>437</v>
      </c>
      <c r="B438" s="55" t="s">
        <v>3330</v>
      </c>
      <c r="C438" s="55" t="str">
        <f aca="false">IF(04_Especiales!B63="","",04_Especiales!B63)</f>
        <v>Cuy</v>
      </c>
      <c r="D438" s="56" t="str">
        <f aca="false">IF(04_Especiales!C63="","",04_Especiales!C63)</f>
        <v>Cuy a la parrilla</v>
      </c>
      <c r="E438" s="56" t="str">
        <f aca="false">IF(04_Especiales!D63="","",04_Especiales!D63)</f>
        <v>Cuy abierto a la brasa</v>
      </c>
      <c r="F438" s="56" t="str">
        <f aca="false">IF(04_Especiales!E63="","",04_Especiales!E63)</f>
        <v>cuy, ajo, comino, sal, harina o maíz molido, papa, mote, ají</v>
      </c>
      <c r="G438" s="55" t="str">
        <f aca="false">IF(04_Especiales!F63="","",04_Especiales!F63)</f>
        <v>Plato</v>
      </c>
      <c r="H438" s="55" t="str">
        <f aca="false">IF(04_Especiales!G63="","",04_Especiales!G63)</f>
        <v>Premium</v>
      </c>
      <c r="I438" s="58" t="n">
        <f aca="false">IF(04_Especiales!H63="","",04_Especiales!H63)</f>
        <v>30</v>
      </c>
      <c r="J438" s="58" t="n">
        <f aca="false">IF(04_Especiales!I63="","",04_Especiales!I63)</f>
        <v>50</v>
      </c>
      <c r="K438" s="58" t="n">
        <f aca="false">IF(04_Especiales!J63="","",04_Especiales!J63)</f>
        <v>40</v>
      </c>
      <c r="L438" s="58" t="n">
        <f aca="false">IF(04_Especiales!L63="","",04_Especiales!L63)</f>
        <v>41.5</v>
      </c>
      <c r="M438" s="58" t="n">
        <f aca="false">IF(04_Especiales!N63="","",04_Especiales!N63)</f>
        <v>5.2</v>
      </c>
      <c r="N438" s="58" t="n">
        <f aca="false">IF(04_Especiales!O63="","",04_Especiales!O63)</f>
        <v>34.8</v>
      </c>
      <c r="O438" s="55" t="str">
        <f aca="false">IF(04_Especiales!P63="","",04_Especiales!P63)</f>
        <v>11:00-17:00</v>
      </c>
      <c r="P438" s="55" t="n">
        <f aca="false">IF(04_Especiales!Q63="","",04_Especiales!Q63)</f>
        <v>35</v>
      </c>
      <c r="Q438" s="55" t="str">
        <f aca="false">IF(04_Especiales!R63="","",04_Especiales!R63)</f>
        <v>Medio</v>
      </c>
      <c r="R438" s="55" t="str">
        <f aca="false">IF(04_Especiales!S63="","",04_Especiales!S63)</f>
        <v>Fin de semana</v>
      </c>
      <c r="S438" s="55" t="str">
        <f aca="false">IF(04_Especiales!T63="","",04_Especiales!T63)</f>
        <v>Campestre</v>
      </c>
      <c r="T438" s="56" t="str">
        <f aca="false">IF(04_Especiales!U63="","",04_Especiales!U63)</f>
        <v/>
      </c>
      <c r="U438" s="55" t="n">
        <v>63</v>
      </c>
      <c r="V438" s="55" t="n">
        <f aca="false">IF(AND(OR(LEN(13_Buscador!$C$5)=0,ISNUMBER(SEARCH(13_Buscador!$C$5,$C438&amp;" "&amp;$D438&amp;" "&amp;$E438&amp;" "&amp;$F438&amp;" "&amp;$S438))),OR(13_Buscador!$C$6="Todas las listas",LEN(13_Buscador!$C$6)=0,13_Buscador!$C$6=$B438)),1,0)</f>
        <v>0</v>
      </c>
      <c r="W438" s="55" t="str">
        <f aca="false">IF(V438=1,SUM($V$2:V438),"")</f>
        <v/>
      </c>
    </row>
    <row r="439" customFormat="false" ht="23.25" hidden="false" customHeight="true" outlineLevel="0" collapsed="false">
      <c r="A439" s="55" t="n">
        <v>438</v>
      </c>
      <c r="B439" s="55" t="s">
        <v>3330</v>
      </c>
      <c r="C439" s="55" t="str">
        <f aca="false">IF(04_Especiales!B64="","",04_Especiales!B64)</f>
        <v>Cuy</v>
      </c>
      <c r="D439" s="56" t="str">
        <f aca="false">IF(04_Especiales!C64="","",04_Especiales!C64)</f>
        <v>Cuy con chuño y mote</v>
      </c>
      <c r="E439" s="56" t="str">
        <f aca="false">IF(04_Especiales!D64="","",04_Especiales!D64)</f>
        <v>Con guarnición andina</v>
      </c>
      <c r="F439" s="56" t="str">
        <f aca="false">IF(04_Especiales!E64="","",04_Especiales!E64)</f>
        <v>cuy, ajo, comino, sal, harina o maíz molido, papa, mote, ají</v>
      </c>
      <c r="G439" s="55" t="str">
        <f aca="false">IF(04_Especiales!F64="","",04_Especiales!F64)</f>
        <v>Plato</v>
      </c>
      <c r="H439" s="55" t="str">
        <f aca="false">IF(04_Especiales!G64="","",04_Especiales!G64)</f>
        <v>Premium</v>
      </c>
      <c r="I439" s="58" t="n">
        <f aca="false">IF(04_Especiales!H64="","",04_Especiales!H64)</f>
        <v>32</v>
      </c>
      <c r="J439" s="58" t="n">
        <f aca="false">IF(04_Especiales!I64="","",04_Especiales!I64)</f>
        <v>55</v>
      </c>
      <c r="K439" s="58" t="n">
        <f aca="false">IF(04_Especiales!J64="","",04_Especiales!J64)</f>
        <v>43.5</v>
      </c>
      <c r="L439" s="58" t="n">
        <f aca="false">IF(04_Especiales!L64="","",04_Especiales!L64)</f>
        <v>45</v>
      </c>
      <c r="M439" s="58" t="n">
        <f aca="false">IF(04_Especiales!N64="","",04_Especiales!N64)</f>
        <v>5.66</v>
      </c>
      <c r="N439" s="58" t="n">
        <f aca="false">IF(04_Especiales!O64="","",04_Especiales!O64)</f>
        <v>37.84</v>
      </c>
      <c r="O439" s="55" t="str">
        <f aca="false">IF(04_Especiales!P64="","",04_Especiales!P64)</f>
        <v>11:00-16:00</v>
      </c>
      <c r="P439" s="55" t="n">
        <f aca="false">IF(04_Especiales!Q64="","",04_Especiales!Q64)</f>
        <v>35</v>
      </c>
      <c r="Q439" s="55" t="str">
        <f aca="false">IF(04_Especiales!R64="","",04_Especiales!R64)</f>
        <v>Medio</v>
      </c>
      <c r="R439" s="55" t="str">
        <f aca="false">IF(04_Especiales!S64="","",04_Especiales!S64)</f>
        <v>Fiestas</v>
      </c>
      <c r="S439" s="55" t="str">
        <f aca="false">IF(04_Especiales!T64="","",04_Especiales!T64)</f>
        <v>Regional</v>
      </c>
      <c r="T439" s="56" t="str">
        <f aca="false">IF(04_Especiales!U64="","",04_Especiales!U64)</f>
        <v/>
      </c>
      <c r="U439" s="55" t="n">
        <v>64</v>
      </c>
      <c r="V439" s="55" t="n">
        <f aca="false">IF(AND(OR(LEN(13_Buscador!$C$5)=0,ISNUMBER(SEARCH(13_Buscador!$C$5,$C439&amp;" "&amp;$D439&amp;" "&amp;$E439&amp;" "&amp;$F439&amp;" "&amp;$S439))),OR(13_Buscador!$C$6="Todas las listas",LEN(13_Buscador!$C$6)=0,13_Buscador!$C$6=$B439)),1,0)</f>
        <v>0</v>
      </c>
      <c r="W439" s="55" t="str">
        <f aca="false">IF(V439=1,SUM($V$2:V439),"")</f>
        <v/>
      </c>
    </row>
    <row r="440" customFormat="false" ht="15" hidden="false" customHeight="true" outlineLevel="0" collapsed="false">
      <c r="A440" s="55" t="n">
        <v>439</v>
      </c>
      <c r="B440" s="55" t="s">
        <v>3330</v>
      </c>
      <c r="C440" s="55" t="str">
        <f aca="false">IF(04_Especiales!B65="","",04_Especiales!B65)</f>
        <v>Cuy</v>
      </c>
      <c r="D440" s="56" t="str">
        <f aca="false">IF(04_Especiales!C65="","",04_Especiales!C65)</f>
        <v>Caldo de cuy</v>
      </c>
      <c r="E440" s="56" t="str">
        <f aca="false">IF(04_Especiales!D65="","",04_Especiales!D65)</f>
        <v>Caldo con presa de cuy</v>
      </c>
      <c r="F440" s="56" t="str">
        <f aca="false">IF(04_Especiales!E65="","",04_Especiales!E65)</f>
        <v>presa de cuy, papa, chuño, cebolla, hierbabuena, sal</v>
      </c>
      <c r="G440" s="55" t="str">
        <f aca="false">IF(04_Especiales!F65="","",04_Especiales!F65)</f>
        <v>Plato hondo</v>
      </c>
      <c r="H440" s="55" t="str">
        <f aca="false">IF(04_Especiales!G65="","",04_Especiales!G65)</f>
        <v>Medio</v>
      </c>
      <c r="I440" s="58" t="n">
        <f aca="false">IF(04_Especiales!H65="","",04_Especiales!H65)</f>
        <v>18</v>
      </c>
      <c r="J440" s="58" t="n">
        <f aca="false">IF(04_Especiales!I65="","",04_Especiales!I65)</f>
        <v>32</v>
      </c>
      <c r="K440" s="58" t="n">
        <f aca="false">IF(04_Especiales!J65="","",04_Especiales!J65)</f>
        <v>25</v>
      </c>
      <c r="L440" s="58" t="n">
        <f aca="false">IF(04_Especiales!L65="","",04_Especiales!L65)</f>
        <v>26.5</v>
      </c>
      <c r="M440" s="58" t="n">
        <f aca="false">IF(04_Especiales!N65="","",04_Especiales!N65)</f>
        <v>2.75</v>
      </c>
      <c r="N440" s="58" t="n">
        <f aca="false">IF(04_Especiales!O65="","",04_Especiales!O65)</f>
        <v>22.25</v>
      </c>
      <c r="O440" s="55" t="str">
        <f aca="false">IF(04_Especiales!P65="","",04_Especiales!P65)</f>
        <v>06:00-12:00</v>
      </c>
      <c r="P440" s="55" t="n">
        <f aca="false">IF(04_Especiales!Q65="","",04_Especiales!Q65)</f>
        <v>25</v>
      </c>
      <c r="Q440" s="55" t="str">
        <f aca="false">IF(04_Especiales!R65="","",04_Especiales!R65)</f>
        <v>Medio</v>
      </c>
      <c r="R440" s="55" t="str">
        <f aca="false">IF(04_Especiales!S65="","",04_Especiales!S65)</f>
        <v>Fin de semana</v>
      </c>
      <c r="S440" s="55" t="str">
        <f aca="false">IF(04_Especiales!T65="","",04_Especiales!T65)</f>
        <v>Regional</v>
      </c>
      <c r="T440" s="56" t="str">
        <f aca="false">IF(04_Especiales!U65="","",04_Especiales!U65)</f>
        <v>Se percibe reconstituyente</v>
      </c>
      <c r="U440" s="55" t="n">
        <v>65</v>
      </c>
      <c r="V440" s="55" t="n">
        <f aca="false">IF(AND(OR(LEN(13_Buscador!$C$5)=0,ISNUMBER(SEARCH(13_Buscador!$C$5,$C440&amp;" "&amp;$D440&amp;" "&amp;$E440&amp;" "&amp;$F440&amp;" "&amp;$S440))),OR(13_Buscador!$C$6="Todas las listas",LEN(13_Buscador!$C$6)=0,13_Buscador!$C$6=$B440)),1,0)</f>
        <v>0</v>
      </c>
      <c r="W440" s="55" t="str">
        <f aca="false">IF(V440=1,SUM($V$2:V440),"")</f>
        <v/>
      </c>
    </row>
    <row r="441" customFormat="false" ht="23.25" hidden="false" customHeight="true" outlineLevel="0" collapsed="false">
      <c r="A441" s="55" t="n">
        <v>440</v>
      </c>
      <c r="B441" s="55" t="s">
        <v>3330</v>
      </c>
      <c r="C441" s="55" t="str">
        <f aca="false">IF(04_Especiales!B66="","",04_Especiales!B66)</f>
        <v>Carnes andinas</v>
      </c>
      <c r="D441" s="56" t="str">
        <f aca="false">IF(04_Especiales!C66="","",04_Especiales!C66)</f>
        <v>Asado de alpaca</v>
      </c>
      <c r="E441" s="56" t="str">
        <f aca="false">IF(04_Especiales!D66="","",04_Especiales!D66)</f>
        <v>Alpaca al horno</v>
      </c>
      <c r="F441" s="56" t="str">
        <f aca="false">IF(04_Especiales!E66="","",04_Especiales!E66)</f>
        <v>lomo de alpaca, ajo, comino, sal, guarnición de papa o quinua</v>
      </c>
      <c r="G441" s="55" t="str">
        <f aca="false">IF(04_Especiales!F66="","",04_Especiales!F66)</f>
        <v>Plato</v>
      </c>
      <c r="H441" s="55" t="str">
        <f aca="false">IF(04_Especiales!G66="","",04_Especiales!G66)</f>
        <v>Premium</v>
      </c>
      <c r="I441" s="58" t="n">
        <f aca="false">IF(04_Especiales!H66="","",04_Especiales!H66)</f>
        <v>25</v>
      </c>
      <c r="J441" s="58" t="n">
        <f aca="false">IF(04_Especiales!I66="","",04_Especiales!I66)</f>
        <v>45</v>
      </c>
      <c r="K441" s="58" t="n">
        <f aca="false">IF(04_Especiales!J66="","",04_Especiales!J66)</f>
        <v>35</v>
      </c>
      <c r="L441" s="58" t="n">
        <f aca="false">IF(04_Especiales!L66="","",04_Especiales!L66)</f>
        <v>36.5</v>
      </c>
      <c r="M441" s="58" t="n">
        <f aca="false">IF(04_Especiales!N66="","",04_Especiales!N66)</f>
        <v>4.55</v>
      </c>
      <c r="N441" s="58" t="n">
        <f aca="false">IF(04_Especiales!O66="","",04_Especiales!O66)</f>
        <v>30.45</v>
      </c>
      <c r="O441" s="55" t="str">
        <f aca="false">IF(04_Especiales!P66="","",04_Especiales!P66)</f>
        <v>12:00-20:00</v>
      </c>
      <c r="P441" s="55" t="n">
        <f aca="false">IF(04_Especiales!Q66="","",04_Especiales!Q66)</f>
        <v>40</v>
      </c>
      <c r="Q441" s="55" t="str">
        <f aca="false">IF(04_Especiales!R66="","",04_Especiales!R66)</f>
        <v>Medio</v>
      </c>
      <c r="R441" s="55" t="str">
        <f aca="false">IF(04_Especiales!S66="","",04_Especiales!S66)</f>
        <v>Todo el año</v>
      </c>
      <c r="S441" s="55" t="str">
        <f aca="false">IF(04_Especiales!T66="","",04_Especiales!T66)</f>
        <v>Restaurante turístico</v>
      </c>
      <c r="T441" s="56" t="str">
        <f aca="false">IF(04_Especiales!U66="","",04_Especiales!U66)</f>
        <v/>
      </c>
      <c r="U441" s="55" t="n">
        <v>66</v>
      </c>
      <c r="V441" s="55" t="n">
        <f aca="false">IF(AND(OR(LEN(13_Buscador!$C$5)=0,ISNUMBER(SEARCH(13_Buscador!$C$5,$C441&amp;" "&amp;$D441&amp;" "&amp;$E441&amp;" "&amp;$F441&amp;" "&amp;$S441))),OR(13_Buscador!$C$6="Todas las listas",LEN(13_Buscador!$C$6)=0,13_Buscador!$C$6=$B441)),1,0)</f>
        <v>0</v>
      </c>
      <c r="W441" s="55" t="str">
        <f aca="false">IF(V441=1,SUM($V$2:V441),"")</f>
        <v/>
      </c>
    </row>
    <row r="442" customFormat="false" ht="23.25" hidden="false" customHeight="true" outlineLevel="0" collapsed="false">
      <c r="A442" s="55" t="n">
        <v>441</v>
      </c>
      <c r="B442" s="55" t="s">
        <v>3330</v>
      </c>
      <c r="C442" s="55" t="str">
        <f aca="false">IF(04_Especiales!B67="","",04_Especiales!B67)</f>
        <v>Carnes andinas</v>
      </c>
      <c r="D442" s="56" t="str">
        <f aca="false">IF(04_Especiales!C67="","",04_Especiales!C67)</f>
        <v>Estofado de alpaca</v>
      </c>
      <c r="E442" s="56" t="str">
        <f aca="false">IF(04_Especiales!D67="","",04_Especiales!D67)</f>
        <v>Alpaca guisada</v>
      </c>
      <c r="F442" s="56" t="str">
        <f aca="false">IF(04_Especiales!E67="","",04_Especiales!E67)</f>
        <v>carne o pollo, tomate, cebolla, zanahoria, arveja, laurel, papa, arroz</v>
      </c>
      <c r="G442" s="55" t="str">
        <f aca="false">IF(04_Especiales!F67="","",04_Especiales!F67)</f>
        <v>Plato</v>
      </c>
      <c r="H442" s="55" t="str">
        <f aca="false">IF(04_Especiales!G67="","",04_Especiales!G67)</f>
        <v>Medio</v>
      </c>
      <c r="I442" s="58" t="n">
        <f aca="false">IF(04_Especiales!H67="","",04_Especiales!H67)</f>
        <v>20</v>
      </c>
      <c r="J442" s="58" t="n">
        <f aca="false">IF(04_Especiales!I67="","",04_Especiales!I67)</f>
        <v>35</v>
      </c>
      <c r="K442" s="58" t="n">
        <f aca="false">IF(04_Especiales!J67="","",04_Especiales!J67)</f>
        <v>27.5</v>
      </c>
      <c r="L442" s="58" t="n">
        <f aca="false">IF(04_Especiales!L67="","",04_Especiales!L67)</f>
        <v>29</v>
      </c>
      <c r="M442" s="58" t="n">
        <f aca="false">IF(04_Especiales!N67="","",04_Especiales!N67)</f>
        <v>3.03</v>
      </c>
      <c r="N442" s="58" t="n">
        <f aca="false">IF(04_Especiales!O67="","",04_Especiales!O67)</f>
        <v>24.47</v>
      </c>
      <c r="O442" s="55" t="str">
        <f aca="false">IF(04_Especiales!P67="","",04_Especiales!P67)</f>
        <v>12:00-18:00</v>
      </c>
      <c r="P442" s="55" t="n">
        <f aca="false">IF(04_Especiales!Q67="","",04_Especiales!Q67)</f>
        <v>30</v>
      </c>
      <c r="Q442" s="55" t="str">
        <f aca="false">IF(04_Especiales!R67="","",04_Especiales!R67)</f>
        <v>Alto</v>
      </c>
      <c r="R442" s="55" t="str">
        <f aca="false">IF(04_Especiales!S67="","",04_Especiales!S67)</f>
        <v>Todo el año</v>
      </c>
      <c r="S442" s="55" t="str">
        <f aca="false">IF(04_Especiales!T67="","",04_Especiales!T67)</f>
        <v>Regional</v>
      </c>
      <c r="T442" s="56" t="str">
        <f aca="false">IF(04_Especiales!U67="","",04_Especiales!U67)</f>
        <v/>
      </c>
      <c r="U442" s="55" t="n">
        <v>67</v>
      </c>
      <c r="V442" s="55" t="n">
        <f aca="false">IF(AND(OR(LEN(13_Buscador!$C$5)=0,ISNUMBER(SEARCH(13_Buscador!$C$5,$C442&amp;" "&amp;$D442&amp;" "&amp;$E442&amp;" "&amp;$F442&amp;" "&amp;$S442))),OR(13_Buscador!$C$6="Todas las listas",LEN(13_Buscador!$C$6)=0,13_Buscador!$C$6=$B442)),1,0)</f>
        <v>1</v>
      </c>
      <c r="W442" s="55" t="n">
        <f aca="false">IF(V442=1,SUM($V$2:V442),"")</f>
        <v>102</v>
      </c>
    </row>
    <row r="443" customFormat="false" ht="15" hidden="false" customHeight="true" outlineLevel="0" collapsed="false">
      <c r="A443" s="55" t="n">
        <v>442</v>
      </c>
      <c r="B443" s="55" t="s">
        <v>3330</v>
      </c>
      <c r="C443" s="55" t="str">
        <f aca="false">IF(04_Especiales!B68="","",04_Especiales!B68)</f>
        <v>Carnes andinas</v>
      </c>
      <c r="D443" s="56" t="str">
        <f aca="false">IF(04_Especiales!C68="","",04_Especiales!C68)</f>
        <v>Charqui de alpaca frito</v>
      </c>
      <c r="E443" s="56" t="str">
        <f aca="false">IF(04_Especiales!D68="","",04_Especiales!D68)</f>
        <v>Carne seca frita</v>
      </c>
      <c r="F443" s="56" t="str">
        <f aca="false">IF(04_Especiales!E68="","",04_Especiales!E68)</f>
        <v>carne de alpaca, sal, aceite, mote, papa</v>
      </c>
      <c r="G443" s="55" t="str">
        <f aca="false">IF(04_Especiales!F68="","",04_Especiales!F68)</f>
        <v>Porción</v>
      </c>
      <c r="H443" s="55" t="str">
        <f aca="false">IF(04_Especiales!G68="","",04_Especiales!G68)</f>
        <v>Estándar</v>
      </c>
      <c r="I443" s="58" t="n">
        <f aca="false">IF(04_Especiales!H68="","",04_Especiales!H68)</f>
        <v>14</v>
      </c>
      <c r="J443" s="58" t="n">
        <f aca="false">IF(04_Especiales!I68="","",04_Especiales!I68)</f>
        <v>26</v>
      </c>
      <c r="K443" s="58" t="n">
        <f aca="false">IF(04_Especiales!J68="","",04_Especiales!J68)</f>
        <v>20</v>
      </c>
      <c r="L443" s="58" t="n">
        <f aca="false">IF(04_Especiales!L68="","",04_Especiales!L68)</f>
        <v>21.5</v>
      </c>
      <c r="M443" s="58" t="n">
        <f aca="false">IF(04_Especiales!N68="","",04_Especiales!N68)</f>
        <v>1.8</v>
      </c>
      <c r="N443" s="58" t="n">
        <f aca="false">IF(04_Especiales!O68="","",04_Especiales!O68)</f>
        <v>18.2</v>
      </c>
      <c r="O443" s="55" t="str">
        <f aca="false">IF(04_Especiales!P68="","",04_Especiales!P68)</f>
        <v>12:00-18:00</v>
      </c>
      <c r="P443" s="55" t="n">
        <f aca="false">IF(04_Especiales!Q68="","",04_Especiales!Q68)</f>
        <v>15</v>
      </c>
      <c r="Q443" s="55" t="str">
        <f aca="false">IF(04_Especiales!R68="","",04_Especiales!R68)</f>
        <v>Alto</v>
      </c>
      <c r="R443" s="55" t="str">
        <f aca="false">IF(04_Especiales!S68="","",04_Especiales!S68)</f>
        <v>Todo el año</v>
      </c>
      <c r="S443" s="55" t="str">
        <f aca="false">IF(04_Especiales!T68="","",04_Especiales!T68)</f>
        <v>Regional</v>
      </c>
      <c r="T443" s="56" t="str">
        <f aca="false">IF(04_Especiales!U68="","",04_Especiales!U68)</f>
        <v/>
      </c>
      <c r="U443" s="55" t="n">
        <v>68</v>
      </c>
      <c r="V443" s="55" t="n">
        <f aca="false">IF(AND(OR(LEN(13_Buscador!$C$5)=0,ISNUMBER(SEARCH(13_Buscador!$C$5,$C443&amp;" "&amp;$D443&amp;" "&amp;$E443&amp;" "&amp;$F443&amp;" "&amp;$S443))),OR(13_Buscador!$C$6="Todas las listas",LEN(13_Buscador!$C$6)=0,13_Buscador!$C$6=$B443)),1,0)</f>
        <v>0</v>
      </c>
      <c r="W443" s="55" t="str">
        <f aca="false">IF(V443=1,SUM($V$2:V443),"")</f>
        <v/>
      </c>
    </row>
    <row r="444" customFormat="false" ht="15" hidden="false" customHeight="true" outlineLevel="0" collapsed="false">
      <c r="A444" s="55" t="n">
        <v>443</v>
      </c>
      <c r="B444" s="55" t="s">
        <v>3330</v>
      </c>
      <c r="C444" s="55" t="str">
        <f aca="false">IF(04_Especiales!B69="","",04_Especiales!B69)</f>
        <v>Carnes andinas</v>
      </c>
      <c r="D444" s="56" t="str">
        <f aca="false">IF(04_Especiales!C69="","",04_Especiales!C69)</f>
        <v>Cordero al horno con papas</v>
      </c>
      <c r="E444" s="56" t="str">
        <f aca="false">IF(04_Especiales!D69="","",04_Especiales!D69)</f>
        <v>Cordero horneado</v>
      </c>
      <c r="F444" s="56" t="str">
        <f aca="false">IF(04_Especiales!E69="","",04_Especiales!E69)</f>
        <v>cordero, ajo, comino, ají panca, papa, sal</v>
      </c>
      <c r="G444" s="55" t="str">
        <f aca="false">IF(04_Especiales!F69="","",04_Especiales!F69)</f>
        <v>Plato</v>
      </c>
      <c r="H444" s="55" t="str">
        <f aca="false">IF(04_Especiales!G69="","",04_Especiales!G69)</f>
        <v>Premium</v>
      </c>
      <c r="I444" s="58" t="n">
        <f aca="false">IF(04_Especiales!H69="","",04_Especiales!H69)</f>
        <v>22</v>
      </c>
      <c r="J444" s="58" t="n">
        <f aca="false">IF(04_Especiales!I69="","",04_Especiales!I69)</f>
        <v>40</v>
      </c>
      <c r="K444" s="58" t="n">
        <f aca="false">IF(04_Especiales!J69="","",04_Especiales!J69)</f>
        <v>31</v>
      </c>
      <c r="L444" s="58" t="n">
        <f aca="false">IF(04_Especiales!L69="","",04_Especiales!L69)</f>
        <v>32.5</v>
      </c>
      <c r="M444" s="58" t="n">
        <f aca="false">IF(04_Especiales!N69="","",04_Especiales!N69)</f>
        <v>4.03</v>
      </c>
      <c r="N444" s="58" t="n">
        <f aca="false">IF(04_Especiales!O69="","",04_Especiales!O69)</f>
        <v>26.97</v>
      </c>
      <c r="O444" s="55" t="str">
        <f aca="false">IF(04_Especiales!P69="","",04_Especiales!P69)</f>
        <v>11:00-17:00</v>
      </c>
      <c r="P444" s="55" t="n">
        <f aca="false">IF(04_Especiales!Q69="","",04_Especiales!Q69)</f>
        <v>45</v>
      </c>
      <c r="Q444" s="55" t="str">
        <f aca="false">IF(04_Especiales!R69="","",04_Especiales!R69)</f>
        <v>Medio</v>
      </c>
      <c r="R444" s="55" t="str">
        <f aca="false">IF(04_Especiales!S69="","",04_Especiales!S69)</f>
        <v>Domingo</v>
      </c>
      <c r="S444" s="55" t="str">
        <f aca="false">IF(04_Especiales!T69="","",04_Especiales!T69)</f>
        <v>Campestre</v>
      </c>
      <c r="T444" s="56" t="str">
        <f aca="false">IF(04_Especiales!U69="","",04_Especiales!U69)</f>
        <v/>
      </c>
      <c r="U444" s="55" t="n">
        <v>69</v>
      </c>
      <c r="V444" s="55" t="n">
        <f aca="false">IF(AND(OR(LEN(13_Buscador!$C$5)=0,ISNUMBER(SEARCH(13_Buscador!$C$5,$C444&amp;" "&amp;$D444&amp;" "&amp;$E444&amp;" "&amp;$F444&amp;" "&amp;$S444))),OR(13_Buscador!$C$6="Todas las listas",LEN(13_Buscador!$C$6)=0,13_Buscador!$C$6=$B444)),1,0)</f>
        <v>0</v>
      </c>
      <c r="W444" s="55" t="str">
        <f aca="false">IF(V444=1,SUM($V$2:V444),"")</f>
        <v/>
      </c>
    </row>
    <row r="445" customFormat="false" ht="23.25" hidden="false" customHeight="true" outlineLevel="0" collapsed="false">
      <c r="A445" s="55" t="n">
        <v>444</v>
      </c>
      <c r="B445" s="55" t="s">
        <v>3330</v>
      </c>
      <c r="C445" s="55" t="str">
        <f aca="false">IF(04_Especiales!B70="","",04_Especiales!B70)</f>
        <v>Carnes andinas</v>
      </c>
      <c r="D445" s="56" t="str">
        <f aca="false">IF(04_Especiales!C70="","",04_Especiales!C70)</f>
        <v>Wallake de fiesta</v>
      </c>
      <c r="E445" s="56" t="str">
        <f aca="false">IF(04_Especiales!D70="","",04_Especiales!D70)</f>
        <v>Caldo de carachi reforzado</v>
      </c>
      <c r="F445" s="56" t="str">
        <f aca="false">IF(04_Especiales!E70="","",04_Especiales!E70)</f>
        <v>carachi del lago, chaco (arcilla comestible), papa, muña, cebolla</v>
      </c>
      <c r="G445" s="55" t="str">
        <f aca="false">IF(04_Especiales!F70="","",04_Especiales!F70)</f>
        <v>Plato hondo</v>
      </c>
      <c r="H445" s="55" t="str">
        <f aca="false">IF(04_Especiales!G70="","",04_Especiales!G70)</f>
        <v>Medio</v>
      </c>
      <c r="I445" s="58" t="n">
        <f aca="false">IF(04_Especiales!H70="","",04_Especiales!H70)</f>
        <v>15</v>
      </c>
      <c r="J445" s="58" t="n">
        <f aca="false">IF(04_Especiales!I70="","",04_Especiales!I70)</f>
        <v>28</v>
      </c>
      <c r="K445" s="58" t="n">
        <f aca="false">IF(04_Especiales!J70="","",04_Especiales!J70)</f>
        <v>21.5</v>
      </c>
      <c r="L445" s="58" t="n">
        <f aca="false">IF(04_Especiales!L70="","",04_Especiales!L70)</f>
        <v>23</v>
      </c>
      <c r="M445" s="58" t="n">
        <f aca="false">IF(04_Especiales!N70="","",04_Especiales!N70)</f>
        <v>2.37</v>
      </c>
      <c r="N445" s="58" t="n">
        <f aca="false">IF(04_Especiales!O70="","",04_Especiales!O70)</f>
        <v>19.13</v>
      </c>
      <c r="O445" s="55" t="str">
        <f aca="false">IF(04_Especiales!P70="","",04_Especiales!P70)</f>
        <v>11:00-16:00</v>
      </c>
      <c r="P445" s="55" t="n">
        <f aca="false">IF(04_Especiales!Q70="","",04_Especiales!Q70)</f>
        <v>20</v>
      </c>
      <c r="Q445" s="55" t="str">
        <f aca="false">IF(04_Especiales!R70="","",04_Especiales!R70)</f>
        <v>Medio</v>
      </c>
      <c r="R445" s="55" t="str">
        <f aca="false">IF(04_Especiales!S70="","",04_Especiales!S70)</f>
        <v>Fiestas patronales</v>
      </c>
      <c r="S445" s="55" t="str">
        <f aca="false">IF(04_Especiales!T70="","",04_Especiales!T70)</f>
        <v>Regional</v>
      </c>
      <c r="T445" s="56" t="str">
        <f aca="false">IF(04_Especiales!U70="","",04_Especiales!U70)</f>
        <v/>
      </c>
      <c r="U445" s="55" t="n">
        <v>70</v>
      </c>
      <c r="V445" s="55" t="n">
        <f aca="false">IF(AND(OR(LEN(13_Buscador!$C$5)=0,ISNUMBER(SEARCH(13_Buscador!$C$5,$C445&amp;" "&amp;$D445&amp;" "&amp;$E445&amp;" "&amp;$F445&amp;" "&amp;$S445))),OR(13_Buscador!$C$6="Todas las listas",LEN(13_Buscador!$C$6)=0,13_Buscador!$C$6=$B445)),1,0)</f>
        <v>0</v>
      </c>
      <c r="W445" s="55" t="str">
        <f aca="false">IF(V445=1,SUM($V$2:V445),"")</f>
        <v/>
      </c>
    </row>
    <row r="446" customFormat="false" ht="15" hidden="false" customHeight="true" outlineLevel="0" collapsed="false">
      <c r="A446" s="55" t="n">
        <v>445</v>
      </c>
      <c r="B446" s="55" t="s">
        <v>3330</v>
      </c>
      <c r="C446" s="55" t="str">
        <f aca="false">IF(04_Especiales!B71="","",04_Especiales!B71)</f>
        <v>Platos de celebración</v>
      </c>
      <c r="D446" s="56" t="str">
        <f aca="false">IF(04_Especiales!C71="","",04_Especiales!C71)</f>
        <v>Chancho al palo</v>
      </c>
      <c r="E446" s="56" t="str">
        <f aca="false">IF(04_Especiales!D71="","",04_Especiales!D71)</f>
        <v>Cerdo asado al palo</v>
      </c>
      <c r="F446" s="56" t="str">
        <f aca="false">IF(04_Especiales!E71="","",04_Especiales!E71)</f>
        <v>cerdo, ajo, comino, ají panca, chicha, sal</v>
      </c>
      <c r="G446" s="55" t="str">
        <f aca="false">IF(04_Especiales!F71="","",04_Especiales!F71)</f>
        <v>Porción</v>
      </c>
      <c r="H446" s="55" t="str">
        <f aca="false">IF(04_Especiales!G71="","",04_Especiales!G71)</f>
        <v>Premium</v>
      </c>
      <c r="I446" s="58" t="n">
        <f aca="false">IF(04_Especiales!H71="","",04_Especiales!H71)</f>
        <v>25</v>
      </c>
      <c r="J446" s="58" t="n">
        <f aca="false">IF(04_Especiales!I71="","",04_Especiales!I71)</f>
        <v>45</v>
      </c>
      <c r="K446" s="58" t="n">
        <f aca="false">IF(04_Especiales!J71="","",04_Especiales!J71)</f>
        <v>35</v>
      </c>
      <c r="L446" s="58" t="n">
        <f aca="false">IF(04_Especiales!L71="","",04_Especiales!L71)</f>
        <v>36.5</v>
      </c>
      <c r="M446" s="58" t="n">
        <f aca="false">IF(04_Especiales!N71="","",04_Especiales!N71)</f>
        <v>4.55</v>
      </c>
      <c r="N446" s="58" t="n">
        <f aca="false">IF(04_Especiales!O71="","",04_Especiales!O71)</f>
        <v>30.45</v>
      </c>
      <c r="O446" s="55" t="str">
        <f aca="false">IF(04_Especiales!P71="","",04_Especiales!P71)</f>
        <v>11:00-17:00</v>
      </c>
      <c r="P446" s="55" t="n">
        <f aca="false">IF(04_Especiales!Q71="","",04_Especiales!Q71)</f>
        <v>90</v>
      </c>
      <c r="Q446" s="55" t="str">
        <f aca="false">IF(04_Especiales!R71="","",04_Especiales!R71)</f>
        <v>Medio</v>
      </c>
      <c r="R446" s="55" t="str">
        <f aca="false">IF(04_Especiales!S71="","",04_Especiales!S71)</f>
        <v>Fiestas</v>
      </c>
      <c r="S446" s="55" t="str">
        <f aca="false">IF(04_Especiales!T71="","",04_Especiales!T71)</f>
        <v>Campestre</v>
      </c>
      <c r="T446" s="56" t="str">
        <f aca="false">IF(04_Especiales!U71="","",04_Especiales!U71)</f>
        <v>Pedido con 24 horas</v>
      </c>
      <c r="U446" s="55" t="n">
        <v>71</v>
      </c>
      <c r="V446" s="55" t="n">
        <f aca="false">IF(AND(OR(LEN(13_Buscador!$C$5)=0,ISNUMBER(SEARCH(13_Buscador!$C$5,$C446&amp;" "&amp;$D446&amp;" "&amp;$E446&amp;" "&amp;$F446&amp;" "&amp;$S446))),OR(13_Buscador!$C$6="Todas las listas",LEN(13_Buscador!$C$6)=0,13_Buscador!$C$6=$B446)),1,0)</f>
        <v>0</v>
      </c>
      <c r="W446" s="55" t="str">
        <f aca="false">IF(V446=1,SUM($V$2:V446),"")</f>
        <v/>
      </c>
    </row>
    <row r="447" customFormat="false" ht="23.25" hidden="false" customHeight="true" outlineLevel="0" collapsed="false">
      <c r="A447" s="55" t="n">
        <v>446</v>
      </c>
      <c r="B447" s="55" t="s">
        <v>3330</v>
      </c>
      <c r="C447" s="55" t="str">
        <f aca="false">IF(04_Especiales!B72="","",04_Especiales!B72)</f>
        <v>Platos de celebración</v>
      </c>
      <c r="D447" s="56" t="str">
        <f aca="false">IF(04_Especiales!C72="","",04_Especiales!C72)</f>
        <v>Fuente de anticuchos para 6</v>
      </c>
      <c r="E447" s="56" t="str">
        <f aca="false">IF(04_Especiales!D72="","",04_Especiales!D72)</f>
        <v>Anticuchos surtidos</v>
      </c>
      <c r="F447" s="56" t="str">
        <f aca="false">IF(04_Especiales!E72="","",04_Especiales!E72)</f>
        <v>corazón de res, ají panca, vinagre, comino, ajo, papa, choclo</v>
      </c>
      <c r="G447" s="55" t="str">
        <f aca="false">IF(04_Especiales!F72="","",04_Especiales!F72)</f>
        <v>Fuente</v>
      </c>
      <c r="H447" s="55" t="str">
        <f aca="false">IF(04_Especiales!G72="","",04_Especiales!G72)</f>
        <v>Premium</v>
      </c>
      <c r="I447" s="58" t="n">
        <f aca="false">IF(04_Especiales!H72="","",04_Especiales!H72)</f>
        <v>80</v>
      </c>
      <c r="J447" s="58" t="n">
        <f aca="false">IF(04_Especiales!I72="","",04_Especiales!I72)</f>
        <v>150</v>
      </c>
      <c r="K447" s="58" t="n">
        <f aca="false">IF(04_Especiales!J72="","",04_Especiales!J72)</f>
        <v>115</v>
      </c>
      <c r="L447" s="58" t="n">
        <f aca="false">IF(04_Especiales!L72="","",04_Especiales!L72)</f>
        <v>116.5</v>
      </c>
      <c r="M447" s="58" t="n">
        <f aca="false">IF(04_Especiales!N72="","",04_Especiales!N72)</f>
        <v>14.95</v>
      </c>
      <c r="N447" s="58" t="n">
        <f aca="false">IF(04_Especiales!O72="","",04_Especiales!O72)</f>
        <v>100.05</v>
      </c>
      <c r="O447" s="55" t="str">
        <f aca="false">IF(04_Especiales!P72="","",04_Especiales!P72)</f>
        <v>18:00-23:00</v>
      </c>
      <c r="P447" s="55" t="n">
        <f aca="false">IF(04_Especiales!Q72="","",04_Especiales!Q72)</f>
        <v>35</v>
      </c>
      <c r="Q447" s="55" t="str">
        <f aca="false">IF(04_Especiales!R72="","",04_Especiales!R72)</f>
        <v>Medio</v>
      </c>
      <c r="R447" s="55" t="str">
        <f aca="false">IF(04_Especiales!S72="","",04_Especiales!S72)</f>
        <v>Fin de semana</v>
      </c>
      <c r="S447" s="55" t="str">
        <f aca="false">IF(04_Especiales!T72="","",04_Especiales!T72)</f>
        <v>Parrilla</v>
      </c>
      <c r="T447" s="56" t="str">
        <f aca="false">IF(04_Especiales!U72="","",04_Especiales!U72)</f>
        <v/>
      </c>
      <c r="U447" s="55" t="n">
        <v>72</v>
      </c>
      <c r="V447" s="55" t="n">
        <f aca="false">IF(AND(OR(LEN(13_Buscador!$C$5)=0,ISNUMBER(SEARCH(13_Buscador!$C$5,$C447&amp;" "&amp;$D447&amp;" "&amp;$E447&amp;" "&amp;$F447&amp;" "&amp;$S447))),OR(13_Buscador!$C$6="Todas las listas",LEN(13_Buscador!$C$6)=0,13_Buscador!$C$6=$B447)),1,0)</f>
        <v>0</v>
      </c>
      <c r="W447" s="55" t="str">
        <f aca="false">IF(V447=1,SUM($V$2:V447),"")</f>
        <v/>
      </c>
    </row>
    <row r="448" customFormat="false" ht="23.25" hidden="false" customHeight="true" outlineLevel="0" collapsed="false">
      <c r="A448" s="55" t="n">
        <v>447</v>
      </c>
      <c r="B448" s="55" t="s">
        <v>3330</v>
      </c>
      <c r="C448" s="55" t="str">
        <f aca="false">IF(04_Especiales!B73="","",04_Especiales!B73)</f>
        <v>Platos de celebración</v>
      </c>
      <c r="D448" s="56" t="str">
        <f aca="false">IF(04_Especiales!C73="","",04_Especiales!C73)</f>
        <v>Fuente de trucha para 6</v>
      </c>
      <c r="E448" s="56" t="str">
        <f aca="false">IF(04_Especiales!D73="","",04_Especiales!D73)</f>
        <v>Truchas con guarnición</v>
      </c>
      <c r="F448" s="56" t="str">
        <f aca="false">IF(04_Especiales!E73="","",04_Especiales!E73)</f>
        <v>trucha del lago Titicaca, sal, limón, harina o hierbas, guarnición de papa o arroz</v>
      </c>
      <c r="G448" s="55" t="str">
        <f aca="false">IF(04_Especiales!F73="","",04_Especiales!F73)</f>
        <v>Fuente</v>
      </c>
      <c r="H448" s="55" t="str">
        <f aca="false">IF(04_Especiales!G73="","",04_Especiales!G73)</f>
        <v>Premium</v>
      </c>
      <c r="I448" s="58" t="n">
        <f aca="false">IF(04_Especiales!H73="","",04_Especiales!H73)</f>
        <v>110</v>
      </c>
      <c r="J448" s="58" t="n">
        <f aca="false">IF(04_Especiales!I73="","",04_Especiales!I73)</f>
        <v>200</v>
      </c>
      <c r="K448" s="58" t="n">
        <f aca="false">IF(04_Especiales!J73="","",04_Especiales!J73)</f>
        <v>155</v>
      </c>
      <c r="L448" s="58" t="n">
        <f aca="false">IF(04_Especiales!L73="","",04_Especiales!L73)</f>
        <v>156.5</v>
      </c>
      <c r="M448" s="58" t="n">
        <f aca="false">IF(04_Especiales!N73="","",04_Especiales!N73)</f>
        <v>20.15</v>
      </c>
      <c r="N448" s="58" t="n">
        <f aca="false">IF(04_Especiales!O73="","",04_Especiales!O73)</f>
        <v>134.85</v>
      </c>
      <c r="O448" s="55" t="str">
        <f aca="false">IF(04_Especiales!P73="","",04_Especiales!P73)</f>
        <v>12:00-21:00</v>
      </c>
      <c r="P448" s="55" t="n">
        <f aca="false">IF(04_Especiales!Q73="","",04_Especiales!Q73)</f>
        <v>40</v>
      </c>
      <c r="Q448" s="55" t="str">
        <f aca="false">IF(04_Especiales!R73="","",04_Especiales!R73)</f>
        <v>Medio</v>
      </c>
      <c r="R448" s="55" t="str">
        <f aca="false">IF(04_Especiales!S73="","",04_Especiales!S73)</f>
        <v>Fin de semana</v>
      </c>
      <c r="S448" s="55" t="str">
        <f aca="false">IF(04_Especiales!T73="","",04_Especiales!T73)</f>
        <v>Restaurante turístico</v>
      </c>
      <c r="T448" s="56" t="str">
        <f aca="false">IF(04_Especiales!U73="","",04_Especiales!U73)</f>
        <v/>
      </c>
      <c r="U448" s="55" t="n">
        <v>73</v>
      </c>
      <c r="V448" s="55" t="n">
        <f aca="false">IF(AND(OR(LEN(13_Buscador!$C$5)=0,ISNUMBER(SEARCH(13_Buscador!$C$5,$C448&amp;" "&amp;$D448&amp;" "&amp;$E448&amp;" "&amp;$F448&amp;" "&amp;$S448))),OR(13_Buscador!$C$6="Todas las listas",LEN(13_Buscador!$C$6)=0,13_Buscador!$C$6=$B448)),1,0)</f>
        <v>0</v>
      </c>
      <c r="W448" s="55" t="str">
        <f aca="false">IF(V448=1,SUM($V$2:V448),"")</f>
        <v/>
      </c>
    </row>
    <row r="449" customFormat="false" ht="15" hidden="false" customHeight="true" outlineLevel="0" collapsed="false">
      <c r="A449" s="55" t="n">
        <v>448</v>
      </c>
      <c r="B449" s="55" t="s">
        <v>3330</v>
      </c>
      <c r="C449" s="55" t="str">
        <f aca="false">IF(04_Especiales!B74="","",04_Especiales!B74)</f>
        <v>Platos de celebración</v>
      </c>
      <c r="D449" s="56" t="str">
        <f aca="false">IF(04_Especiales!C74="","",04_Especiales!C74)</f>
        <v>Buffet criollo para 20</v>
      </c>
      <c r="E449" s="56" t="str">
        <f aca="false">IF(04_Especiales!D74="","",04_Especiales!D74)</f>
        <v>Servicio de buffet</v>
      </c>
      <c r="F449" s="56" t="str">
        <f aca="false">IF(04_Especiales!E74="","",04_Especiales!E74)</f>
        <v>surtido de platos del servicio contratado</v>
      </c>
      <c r="G449" s="55" t="str">
        <f aca="false">IF(04_Especiales!F74="","",04_Especiales!F74)</f>
        <v>Servicio</v>
      </c>
      <c r="H449" s="55" t="str">
        <f aca="false">IF(04_Especiales!G74="","",04_Especiales!G74)</f>
        <v>Premium</v>
      </c>
      <c r="I449" s="58" t="n">
        <f aca="false">IF(04_Especiales!H74="","",04_Especiales!H74)</f>
        <v>600</v>
      </c>
      <c r="J449" s="58" t="n">
        <f aca="false">IF(04_Especiales!I74="","",04_Especiales!I74)</f>
        <v>1200</v>
      </c>
      <c r="K449" s="58" t="n">
        <f aca="false">IF(04_Especiales!J74="","",04_Especiales!J74)</f>
        <v>900</v>
      </c>
      <c r="L449" s="58" t="n">
        <f aca="false">IF(04_Especiales!L74="","",04_Especiales!L74)</f>
        <v>901.5</v>
      </c>
      <c r="M449" s="58" t="n">
        <f aca="false">IF(04_Especiales!N74="","",04_Especiales!N74)</f>
        <v>117</v>
      </c>
      <c r="N449" s="58" t="n">
        <f aca="false">IF(04_Especiales!O74="","",04_Especiales!O74)</f>
        <v>783</v>
      </c>
      <c r="O449" s="55" t="str">
        <f aca="false">IF(04_Especiales!P74="","",04_Especiales!P74)</f>
        <v>11:00-17:00</v>
      </c>
      <c r="P449" s="55" t="n">
        <f aca="false">IF(04_Especiales!Q74="","",04_Especiales!Q74)</f>
        <v>240</v>
      </c>
      <c r="Q449" s="55" t="str">
        <f aca="false">IF(04_Especiales!R74="","",04_Especiales!R74)</f>
        <v>Bajo</v>
      </c>
      <c r="R449" s="55" t="str">
        <f aca="false">IF(04_Especiales!S74="","",04_Especiales!S74)</f>
        <v>Todo el año</v>
      </c>
      <c r="S449" s="55" t="str">
        <f aca="false">IF(04_Especiales!T74="","",04_Especiales!T74)</f>
        <v>Catering</v>
      </c>
      <c r="T449" s="56" t="str">
        <f aca="false">IF(04_Especiales!U74="","",04_Especiales!U74)</f>
        <v>Requiere montaje en el local del cliente</v>
      </c>
      <c r="U449" s="55" t="n">
        <v>74</v>
      </c>
      <c r="V449" s="55" t="n">
        <f aca="false">IF(AND(OR(LEN(13_Buscador!$C$5)=0,ISNUMBER(SEARCH(13_Buscador!$C$5,$C449&amp;" "&amp;$D449&amp;" "&amp;$E449&amp;" "&amp;$F449&amp;" "&amp;$S449))),OR(13_Buscador!$C$6="Todas las listas",LEN(13_Buscador!$C$6)=0,13_Buscador!$C$6=$B449)),1,0)</f>
        <v>0</v>
      </c>
      <c r="W449" s="55" t="str">
        <f aca="false">IF(V449=1,SUM($V$2:V449),"")</f>
        <v/>
      </c>
    </row>
    <row r="450" customFormat="false" ht="23.25" hidden="false" customHeight="true" outlineLevel="0" collapsed="false">
      <c r="A450" s="55" t="n">
        <v>449</v>
      </c>
      <c r="B450" s="55" t="s">
        <v>3330</v>
      </c>
      <c r="C450" s="55" t="str">
        <f aca="false">IF(04_Especiales!B75="","",04_Especiales!B75)</f>
        <v>Platos de celebración</v>
      </c>
      <c r="D450" s="56" t="str">
        <f aca="false">IF(04_Especiales!C75="","",04_Especiales!C75)</f>
        <v>Chocolatada navideña (x30)</v>
      </c>
      <c r="E450" s="56" t="str">
        <f aca="false">IF(04_Especiales!D75="","",04_Especiales!D75)</f>
        <v>Chocolate y panetón</v>
      </c>
      <c r="F450" s="56" t="str">
        <f aca="false">IF(04_Especiales!E75="","",04_Especiales!E75)</f>
        <v>preparación del menú contratado en la cantidad solicitada</v>
      </c>
      <c r="G450" s="55" t="str">
        <f aca="false">IF(04_Especiales!F75="","",04_Especiales!F75)</f>
        <v>Pedido</v>
      </c>
      <c r="H450" s="55" t="str">
        <f aca="false">IF(04_Especiales!G75="","",04_Especiales!G75)</f>
        <v>Premium</v>
      </c>
      <c r="I450" s="58" t="n">
        <f aca="false">IF(04_Especiales!H75="","",04_Especiales!H75)</f>
        <v>180</v>
      </c>
      <c r="J450" s="58" t="n">
        <f aca="false">IF(04_Especiales!I75="","",04_Especiales!I75)</f>
        <v>400</v>
      </c>
      <c r="K450" s="58" t="n">
        <f aca="false">IF(04_Especiales!J75="","",04_Especiales!J75)</f>
        <v>290</v>
      </c>
      <c r="L450" s="58" t="n">
        <f aca="false">IF(04_Especiales!L75="","",04_Especiales!L75)</f>
        <v>291.5</v>
      </c>
      <c r="M450" s="58" t="n">
        <f aca="false">IF(04_Especiales!N75="","",04_Especiales!N75)</f>
        <v>37.7</v>
      </c>
      <c r="N450" s="58" t="n">
        <f aca="false">IF(04_Especiales!O75="","",04_Especiales!O75)</f>
        <v>252.3</v>
      </c>
      <c r="O450" s="55" t="str">
        <f aca="false">IF(04_Especiales!P75="","",04_Especiales!P75)</f>
        <v>Todo el día</v>
      </c>
      <c r="P450" s="55" t="n">
        <f aca="false">IF(04_Especiales!Q75="","",04_Especiales!Q75)</f>
        <v>90</v>
      </c>
      <c r="Q450" s="55" t="str">
        <f aca="false">IF(04_Especiales!R75="","",04_Especiales!R75)</f>
        <v>Medio</v>
      </c>
      <c r="R450" s="55" t="str">
        <f aca="false">IF(04_Especiales!S75="","",04_Especiales!S75)</f>
        <v>Diciembre</v>
      </c>
      <c r="S450" s="55" t="str">
        <f aca="false">IF(04_Especiales!T75="","",04_Especiales!T75)</f>
        <v>Catering</v>
      </c>
      <c r="T450" s="56" t="str">
        <f aca="false">IF(04_Especiales!U75="","",04_Especiales!U75)</f>
        <v>Pico de demanda institucional en diciembre</v>
      </c>
      <c r="U450" s="55" t="n">
        <v>75</v>
      </c>
      <c r="V450" s="55" t="n">
        <f aca="false">IF(AND(OR(LEN(13_Buscador!$C$5)=0,ISNUMBER(SEARCH(13_Buscador!$C$5,$C450&amp;" "&amp;$D450&amp;" "&amp;$E450&amp;" "&amp;$F450&amp;" "&amp;$S450))),OR(13_Buscador!$C$6="Todas las listas",LEN(13_Buscador!$C$6)=0,13_Buscador!$C$6=$B450)),1,0)</f>
        <v>0</v>
      </c>
      <c r="W450" s="55" t="str">
        <f aca="false">IF(V450=1,SUM($V$2:V450),"")</f>
        <v/>
      </c>
    </row>
    <row r="451" customFormat="false" ht="15" hidden="false" customHeight="true" outlineLevel="0" collapsed="false">
      <c r="A451" s="55" t="n">
        <v>450</v>
      </c>
      <c r="B451" s="55" t="s">
        <v>3330</v>
      </c>
      <c r="C451" s="55" t="str">
        <f aca="false">IF(04_Especiales!B76="","",04_Especiales!B76)</f>
        <v>Platos de celebración</v>
      </c>
      <c r="D451" s="56" t="str">
        <f aca="false">IF(04_Especiales!C76="","",04_Especiales!C76)</f>
        <v>Panetón con chocolate caliente</v>
      </c>
      <c r="E451" s="56" t="str">
        <f aca="false">IF(04_Especiales!D76="","",04_Especiales!D76)</f>
        <v>Combo navideño individual</v>
      </c>
      <c r="F451" s="56" t="str">
        <f aca="false">IF(04_Especiales!E76="","",04_Especiales!E76)</f>
        <v>chocolate en barra o cocoa, leche, azúcar, canela</v>
      </c>
      <c r="G451" s="55" t="str">
        <f aca="false">IF(04_Especiales!F76="","",04_Especiales!F76)</f>
        <v>Combo</v>
      </c>
      <c r="H451" s="55" t="str">
        <f aca="false">IF(04_Especiales!G76="","",04_Especiales!G76)</f>
        <v>Económico</v>
      </c>
      <c r="I451" s="58" t="n">
        <f aca="false">IF(04_Especiales!H76="","",04_Especiales!H76)</f>
        <v>8</v>
      </c>
      <c r="J451" s="58" t="n">
        <f aca="false">IF(04_Especiales!I76="","",04_Especiales!I76)</f>
        <v>18</v>
      </c>
      <c r="K451" s="58" t="n">
        <f aca="false">IF(04_Especiales!J76="","",04_Especiales!J76)</f>
        <v>13</v>
      </c>
      <c r="L451" s="58" t="n">
        <f aca="false">IF(04_Especiales!L76="","",04_Especiales!L76)</f>
        <v>14.5</v>
      </c>
      <c r="M451" s="58" t="n">
        <f aca="false">IF(04_Especiales!N76="","",04_Especiales!N76)</f>
        <v>0.91</v>
      </c>
      <c r="N451" s="58" t="n">
        <f aca="false">IF(04_Especiales!O76="","",04_Especiales!O76)</f>
        <v>12.09</v>
      </c>
      <c r="O451" s="55" t="str">
        <f aca="false">IF(04_Especiales!P76="","",04_Especiales!P76)</f>
        <v>Todo el día</v>
      </c>
      <c r="P451" s="55" t="n">
        <f aca="false">IF(04_Especiales!Q76="","",04_Especiales!Q76)</f>
        <v>8</v>
      </c>
      <c r="Q451" s="55" t="str">
        <f aca="false">IF(04_Especiales!R76="","",04_Especiales!R76)</f>
        <v>Alto</v>
      </c>
      <c r="R451" s="55" t="str">
        <f aca="false">IF(04_Especiales!S76="","",04_Especiales!S76)</f>
        <v>Diciembre</v>
      </c>
      <c r="S451" s="55" t="str">
        <f aca="false">IF(04_Especiales!T76="","",04_Especiales!T76)</f>
        <v>Pastelería</v>
      </c>
      <c r="T451" s="56" t="str">
        <f aca="false">IF(04_Especiales!U76="","",04_Especiales!U76)</f>
        <v/>
      </c>
      <c r="U451" s="55" t="n">
        <v>76</v>
      </c>
      <c r="V451" s="55" t="n">
        <f aca="false">IF(AND(OR(LEN(13_Buscador!$C$5)=0,ISNUMBER(SEARCH(13_Buscador!$C$5,$C451&amp;" "&amp;$D451&amp;" "&amp;$E451&amp;" "&amp;$F451&amp;" "&amp;$S451))),OR(13_Buscador!$C$6="Todas las listas",LEN(13_Buscador!$C$6)=0,13_Buscador!$C$6=$B451)),1,0)</f>
        <v>0</v>
      </c>
      <c r="W451" s="55" t="str">
        <f aca="false">IF(V451=1,SUM($V$2:V451),"")</f>
        <v/>
      </c>
    </row>
    <row r="452" customFormat="false" ht="23.25" hidden="false" customHeight="true" outlineLevel="0" collapsed="false">
      <c r="A452" s="55" t="n">
        <v>451</v>
      </c>
      <c r="B452" s="55" t="s">
        <v>3330</v>
      </c>
      <c r="C452" s="55" t="str">
        <f aca="false">IF(04_Especiales!B77="","",04_Especiales!B77)</f>
        <v>Truchas especiales</v>
      </c>
      <c r="D452" s="56" t="str">
        <f aca="false">IF(04_Especiales!C77="","",04_Especiales!C77)</f>
        <v>Trucha en salsa de aguaymanto</v>
      </c>
      <c r="E452" s="56" t="str">
        <f aca="false">IF(04_Especiales!D77="","",04_Especiales!D77)</f>
        <v>Preparación de autor</v>
      </c>
      <c r="F452" s="56" t="str">
        <f aca="false">IF(04_Especiales!E77="","",04_Especiales!E77)</f>
        <v>trucha del lago Titicaca, sal, limón, harina o hierbas, guarnición de papa o arroz</v>
      </c>
      <c r="G452" s="55" t="str">
        <f aca="false">IF(04_Especiales!F77="","",04_Especiales!F77)</f>
        <v>Plato</v>
      </c>
      <c r="H452" s="55" t="str">
        <f aca="false">IF(04_Especiales!G77="","",04_Especiales!G77)</f>
        <v>Premium</v>
      </c>
      <c r="I452" s="58" t="n">
        <f aca="false">IF(04_Especiales!H77="","",04_Especiales!H77)</f>
        <v>28</v>
      </c>
      <c r="J452" s="58" t="n">
        <f aca="false">IF(04_Especiales!I77="","",04_Especiales!I77)</f>
        <v>50</v>
      </c>
      <c r="K452" s="58" t="n">
        <f aca="false">IF(04_Especiales!J77="","",04_Especiales!J77)</f>
        <v>39</v>
      </c>
      <c r="L452" s="58" t="n">
        <f aca="false">IF(04_Especiales!L77="","",04_Especiales!L77)</f>
        <v>40.5</v>
      </c>
      <c r="M452" s="58" t="n">
        <f aca="false">IF(04_Especiales!N77="","",04_Especiales!N77)</f>
        <v>5.07</v>
      </c>
      <c r="N452" s="58" t="n">
        <f aca="false">IF(04_Especiales!O77="","",04_Especiales!O77)</f>
        <v>33.93</v>
      </c>
      <c r="O452" s="55" t="str">
        <f aca="false">IF(04_Especiales!P77="","",04_Especiales!P77)</f>
        <v>12:00-21:00</v>
      </c>
      <c r="P452" s="55" t="n">
        <f aca="false">IF(04_Especiales!Q77="","",04_Especiales!Q77)</f>
        <v>22</v>
      </c>
      <c r="Q452" s="55" t="str">
        <f aca="false">IF(04_Especiales!R77="","",04_Especiales!R77)</f>
        <v>Medio</v>
      </c>
      <c r="R452" s="55" t="str">
        <f aca="false">IF(04_Especiales!S77="","",04_Especiales!S77)</f>
        <v>Todo el año</v>
      </c>
      <c r="S452" s="55" t="str">
        <f aca="false">IF(04_Especiales!T77="","",04_Especiales!T77)</f>
        <v>Restaurante turístico</v>
      </c>
      <c r="T452" s="56" t="str">
        <f aca="false">IF(04_Especiales!U77="","",04_Especiales!U77)</f>
        <v/>
      </c>
      <c r="U452" s="55" t="n">
        <v>77</v>
      </c>
      <c r="V452" s="55" t="n">
        <f aca="false">IF(AND(OR(LEN(13_Buscador!$C$5)=0,ISNUMBER(SEARCH(13_Buscador!$C$5,$C452&amp;" "&amp;$D452&amp;" "&amp;$E452&amp;" "&amp;$F452&amp;" "&amp;$S452))),OR(13_Buscador!$C$6="Todas las listas",LEN(13_Buscador!$C$6)=0,13_Buscador!$C$6=$B452)),1,0)</f>
        <v>0</v>
      </c>
      <c r="W452" s="55" t="str">
        <f aca="false">IF(V452=1,SUM($V$2:V452),"")</f>
        <v/>
      </c>
    </row>
    <row r="453" customFormat="false" ht="23.25" hidden="false" customHeight="true" outlineLevel="0" collapsed="false">
      <c r="A453" s="55" t="n">
        <v>452</v>
      </c>
      <c r="B453" s="55" t="s">
        <v>3330</v>
      </c>
      <c r="C453" s="55" t="str">
        <f aca="false">IF(04_Especiales!B78="","",04_Especiales!B78)</f>
        <v>Truchas especiales</v>
      </c>
      <c r="D453" s="56" t="str">
        <f aca="false">IF(04_Especiales!C78="","",04_Especiales!C78)</f>
        <v>Ceviche de trucha premium</v>
      </c>
      <c r="E453" s="56" t="str">
        <f aca="false">IF(04_Especiales!D78="","",04_Especiales!D78)</f>
        <v>Con guarnición de lujo</v>
      </c>
      <c r="F453" s="56" t="str">
        <f aca="false">IF(04_Especiales!E78="","",04_Especiales!E78)</f>
        <v>trucha del lago Titicaca, sal, limón, harina o hierbas, guarnición de papa o arroz</v>
      </c>
      <c r="G453" s="55" t="str">
        <f aca="false">IF(04_Especiales!F78="","",04_Especiales!F78)</f>
        <v>Plato</v>
      </c>
      <c r="H453" s="55" t="str">
        <f aca="false">IF(04_Especiales!G78="","",04_Especiales!G78)</f>
        <v>Premium</v>
      </c>
      <c r="I453" s="58" t="n">
        <f aca="false">IF(04_Especiales!H78="","",04_Especiales!H78)</f>
        <v>25</v>
      </c>
      <c r="J453" s="58" t="n">
        <f aca="false">IF(04_Especiales!I78="","",04_Especiales!I78)</f>
        <v>45</v>
      </c>
      <c r="K453" s="58" t="n">
        <f aca="false">IF(04_Especiales!J78="","",04_Especiales!J78)</f>
        <v>35</v>
      </c>
      <c r="L453" s="58" t="n">
        <f aca="false">IF(04_Especiales!L78="","",04_Especiales!L78)</f>
        <v>36.5</v>
      </c>
      <c r="M453" s="58" t="n">
        <f aca="false">IF(04_Especiales!N78="","",04_Especiales!N78)</f>
        <v>4.55</v>
      </c>
      <c r="N453" s="58" t="n">
        <f aca="false">IF(04_Especiales!O78="","",04_Especiales!O78)</f>
        <v>30.45</v>
      </c>
      <c r="O453" s="55" t="str">
        <f aca="false">IF(04_Especiales!P78="","",04_Especiales!P78)</f>
        <v>11:00-16:00</v>
      </c>
      <c r="P453" s="55" t="n">
        <f aca="false">IF(04_Especiales!Q78="","",04_Especiales!Q78)</f>
        <v>15</v>
      </c>
      <c r="Q453" s="55" t="str">
        <f aca="false">IF(04_Especiales!R78="","",04_Especiales!R78)</f>
        <v>Bajo</v>
      </c>
      <c r="R453" s="55" t="str">
        <f aca="false">IF(04_Especiales!S78="","",04_Especiales!S78)</f>
        <v>Todo el año</v>
      </c>
      <c r="S453" s="55" t="str">
        <f aca="false">IF(04_Especiales!T78="","",04_Especiales!T78)</f>
        <v>Cevichería</v>
      </c>
      <c r="T453" s="56" t="str">
        <f aca="false">IF(04_Especiales!U78="","",04_Especiales!U78)</f>
        <v>Entrega máxima 20 minutos</v>
      </c>
      <c r="U453" s="55" t="n">
        <v>78</v>
      </c>
      <c r="V453" s="55" t="n">
        <f aca="false">IF(AND(OR(LEN(13_Buscador!$C$5)=0,ISNUMBER(SEARCH(13_Buscador!$C$5,$C453&amp;" "&amp;$D453&amp;" "&amp;$E453&amp;" "&amp;$F453&amp;" "&amp;$S453))),OR(13_Buscador!$C$6="Todas las listas",LEN(13_Buscador!$C$6)=0,13_Buscador!$C$6=$B453)),1,0)</f>
        <v>0</v>
      </c>
      <c r="W453" s="55" t="str">
        <f aca="false">IF(V453=1,SUM($V$2:V453),"")</f>
        <v/>
      </c>
    </row>
    <row r="454" customFormat="false" ht="23.25" hidden="false" customHeight="true" outlineLevel="0" collapsed="false">
      <c r="A454" s="55" t="n">
        <v>453</v>
      </c>
      <c r="B454" s="55" t="s">
        <v>3330</v>
      </c>
      <c r="C454" s="55" t="str">
        <f aca="false">IF(04_Especiales!B79="","",04_Especiales!B79)</f>
        <v>Truchas especiales</v>
      </c>
      <c r="D454" s="56" t="str">
        <f aca="false">IF(04_Especiales!C79="","",04_Especiales!C79)</f>
        <v>Trucha a la parrilla con quinua</v>
      </c>
      <c r="E454" s="56" t="str">
        <f aca="false">IF(04_Especiales!D79="","",04_Especiales!D79)</f>
        <v>Plato de autor andino</v>
      </c>
      <c r="F454" s="56" t="str">
        <f aca="false">IF(04_Especiales!E79="","",04_Especiales!E79)</f>
        <v>trucha del lago Titicaca, sal, limón, harina o hierbas, guarnición de papa o arroz</v>
      </c>
      <c r="G454" s="55" t="str">
        <f aca="false">IF(04_Especiales!F79="","",04_Especiales!F79)</f>
        <v>Plato</v>
      </c>
      <c r="H454" s="55" t="str">
        <f aca="false">IF(04_Especiales!G79="","",04_Especiales!G79)</f>
        <v>Premium</v>
      </c>
      <c r="I454" s="58" t="n">
        <f aca="false">IF(04_Especiales!H79="","",04_Especiales!H79)</f>
        <v>28</v>
      </c>
      <c r="J454" s="58" t="n">
        <f aca="false">IF(04_Especiales!I79="","",04_Especiales!I79)</f>
        <v>50</v>
      </c>
      <c r="K454" s="58" t="n">
        <f aca="false">IF(04_Especiales!J79="","",04_Especiales!J79)</f>
        <v>39</v>
      </c>
      <c r="L454" s="58" t="n">
        <f aca="false">IF(04_Especiales!L79="","",04_Especiales!L79)</f>
        <v>40.5</v>
      </c>
      <c r="M454" s="58" t="n">
        <f aca="false">IF(04_Especiales!N79="","",04_Especiales!N79)</f>
        <v>5.07</v>
      </c>
      <c r="N454" s="58" t="n">
        <f aca="false">IF(04_Especiales!O79="","",04_Especiales!O79)</f>
        <v>33.93</v>
      </c>
      <c r="O454" s="55" t="str">
        <f aca="false">IF(04_Especiales!P79="","",04_Especiales!P79)</f>
        <v>12:00-21:00</v>
      </c>
      <c r="P454" s="55" t="n">
        <f aca="false">IF(04_Especiales!Q79="","",04_Especiales!Q79)</f>
        <v>22</v>
      </c>
      <c r="Q454" s="55" t="str">
        <f aca="false">IF(04_Especiales!R79="","",04_Especiales!R79)</f>
        <v>Medio</v>
      </c>
      <c r="R454" s="55" t="str">
        <f aca="false">IF(04_Especiales!S79="","",04_Especiales!S79)</f>
        <v>Todo el año</v>
      </c>
      <c r="S454" s="55" t="str">
        <f aca="false">IF(04_Especiales!T79="","",04_Especiales!T79)</f>
        <v>Restaurante turístico</v>
      </c>
      <c r="T454" s="56" t="str">
        <f aca="false">IF(04_Especiales!U79="","",04_Especiales!U79)</f>
        <v/>
      </c>
      <c r="U454" s="55" t="n">
        <v>79</v>
      </c>
      <c r="V454" s="55" t="n">
        <f aca="false">IF(AND(OR(LEN(13_Buscador!$C$5)=0,ISNUMBER(SEARCH(13_Buscador!$C$5,$C454&amp;" "&amp;$D454&amp;" "&amp;$E454&amp;" "&amp;$F454&amp;" "&amp;$S454))),OR(13_Buscador!$C$6="Todas las listas",LEN(13_Buscador!$C$6)=0,13_Buscador!$C$6=$B454)),1,0)</f>
        <v>0</v>
      </c>
      <c r="W454" s="55" t="str">
        <f aca="false">IF(V454=1,SUM($V$2:V454),"")</f>
        <v/>
      </c>
    </row>
    <row r="455" customFormat="false" ht="15" hidden="false" customHeight="true" outlineLevel="0" collapsed="false">
      <c r="A455" s="55" t="n">
        <v>454</v>
      </c>
      <c r="B455" s="55" t="s">
        <v>3330</v>
      </c>
      <c r="C455" s="55" t="str">
        <f aca="false">IF(04_Especiales!B80="","",04_Especiales!B80)</f>
        <v>Catering y volumen</v>
      </c>
      <c r="D455" s="56" t="str">
        <f aca="false">IF(04_Especiales!C80="","",04_Especiales!C80)</f>
        <v>Desayuno institucional (x50)</v>
      </c>
      <c r="E455" s="56" t="str">
        <f aca="false">IF(04_Especiales!D80="","",04_Especiales!D80)</f>
        <v>50 desayunos empacados</v>
      </c>
      <c r="F455" s="56" t="str">
        <f aca="false">IF(04_Especiales!E80="","",04_Especiales!E80)</f>
        <v>pan, bebida caliente o jugo, huevo o relleno, fruta</v>
      </c>
      <c r="G455" s="55" t="str">
        <f aca="false">IF(04_Especiales!F80="","",04_Especiales!F80)</f>
        <v>Pedido</v>
      </c>
      <c r="H455" s="55" t="str">
        <f aca="false">IF(04_Especiales!G80="","",04_Especiales!G80)</f>
        <v>Premium</v>
      </c>
      <c r="I455" s="58" t="n">
        <f aca="false">IF(04_Especiales!H80="","",04_Especiales!H80)</f>
        <v>400</v>
      </c>
      <c r="J455" s="58" t="n">
        <f aca="false">IF(04_Especiales!I80="","",04_Especiales!I80)</f>
        <v>800</v>
      </c>
      <c r="K455" s="58" t="n">
        <f aca="false">IF(04_Especiales!J80="","",04_Especiales!J80)</f>
        <v>600</v>
      </c>
      <c r="L455" s="58" t="n">
        <f aca="false">IF(04_Especiales!L80="","",04_Especiales!L80)</f>
        <v>601.5</v>
      </c>
      <c r="M455" s="58" t="n">
        <f aca="false">IF(04_Especiales!N80="","",04_Especiales!N80)</f>
        <v>78</v>
      </c>
      <c r="N455" s="58" t="n">
        <f aca="false">IF(04_Especiales!O80="","",04_Especiales!O80)</f>
        <v>522</v>
      </c>
      <c r="O455" s="55" t="str">
        <f aca="false">IF(04_Especiales!P80="","",04_Especiales!P80)</f>
        <v>05:00-09:00</v>
      </c>
      <c r="P455" s="55" t="n">
        <f aca="false">IF(04_Especiales!Q80="","",04_Especiales!Q80)</f>
        <v>150</v>
      </c>
      <c r="Q455" s="55" t="str">
        <f aca="false">IF(04_Especiales!R80="","",04_Especiales!R80)</f>
        <v>Alto</v>
      </c>
      <c r="R455" s="55" t="str">
        <f aca="false">IF(04_Especiales!S80="","",04_Especiales!S80)</f>
        <v>Todo el año</v>
      </c>
      <c r="S455" s="55" t="str">
        <f aca="false">IF(04_Especiales!T80="","",04_Especiales!T80)</f>
        <v>Catering</v>
      </c>
      <c r="T455" s="56" t="str">
        <f aca="false">IF(04_Especiales!U80="","",04_Especiales!U80)</f>
        <v>Municipalidad, colegios, mineras</v>
      </c>
      <c r="U455" s="55" t="n">
        <v>80</v>
      </c>
      <c r="V455" s="55" t="n">
        <f aca="false">IF(AND(OR(LEN(13_Buscador!$C$5)=0,ISNUMBER(SEARCH(13_Buscador!$C$5,$C455&amp;" "&amp;$D455&amp;" "&amp;$E455&amp;" "&amp;$F455&amp;" "&amp;$S455))),OR(13_Buscador!$C$6="Todas las listas",LEN(13_Buscador!$C$6)=0,13_Buscador!$C$6=$B455)),1,0)</f>
        <v>0</v>
      </c>
      <c r="W455" s="55" t="str">
        <f aca="false">IF(V455=1,SUM($V$2:V455),"")</f>
        <v/>
      </c>
    </row>
    <row r="456" customFormat="false" ht="23.25" hidden="false" customHeight="true" outlineLevel="0" collapsed="false">
      <c r="A456" s="55" t="n">
        <v>455</v>
      </c>
      <c r="B456" s="55" t="s">
        <v>3330</v>
      </c>
      <c r="C456" s="55" t="str">
        <f aca="false">IF(04_Especiales!B81="","",04_Especiales!B81)</f>
        <v>Catering y volumen</v>
      </c>
      <c r="D456" s="56" t="str">
        <f aca="false">IF(04_Especiales!C81="","",04_Especiales!C81)</f>
        <v>Almuerzo para capacitación (x15)</v>
      </c>
      <c r="E456" s="56" t="str">
        <f aca="false">IF(04_Especiales!D81="","",04_Especiales!D81)</f>
        <v>15 menús ejecutivos</v>
      </c>
      <c r="F456" s="56" t="str">
        <f aca="false">IF(04_Especiales!E81="","",04_Especiales!E81)</f>
        <v>preparación del menú contratado en la cantidad solicitada</v>
      </c>
      <c r="G456" s="55" t="str">
        <f aca="false">IF(04_Especiales!F81="","",04_Especiales!F81)</f>
        <v>Pedido</v>
      </c>
      <c r="H456" s="55" t="str">
        <f aca="false">IF(04_Especiales!G81="","",04_Especiales!G81)</f>
        <v>Premium</v>
      </c>
      <c r="I456" s="58" t="n">
        <f aca="false">IF(04_Especiales!H81="","",04_Especiales!H81)</f>
        <v>180</v>
      </c>
      <c r="J456" s="58" t="n">
        <f aca="false">IF(04_Especiales!I81="","",04_Especiales!I81)</f>
        <v>330</v>
      </c>
      <c r="K456" s="58" t="n">
        <f aca="false">IF(04_Especiales!J81="","",04_Especiales!J81)</f>
        <v>255</v>
      </c>
      <c r="L456" s="58" t="n">
        <f aca="false">IF(04_Especiales!L81="","",04_Especiales!L81)</f>
        <v>256.5</v>
      </c>
      <c r="M456" s="58" t="n">
        <f aca="false">IF(04_Especiales!N81="","",04_Especiales!N81)</f>
        <v>33.15</v>
      </c>
      <c r="N456" s="58" t="n">
        <f aca="false">IF(04_Especiales!O81="","",04_Especiales!O81)</f>
        <v>221.85</v>
      </c>
      <c r="O456" s="55" t="str">
        <f aca="false">IF(04_Especiales!P81="","",04_Especiales!P81)</f>
        <v>11:00-15:00</v>
      </c>
      <c r="P456" s="55" t="n">
        <f aca="false">IF(04_Especiales!Q81="","",04_Especiales!Q81)</f>
        <v>75</v>
      </c>
      <c r="Q456" s="55" t="str">
        <f aca="false">IF(04_Especiales!R81="","",04_Especiales!R81)</f>
        <v>Alto</v>
      </c>
      <c r="R456" s="55" t="str">
        <f aca="false">IF(04_Especiales!S81="","",04_Especiales!S81)</f>
        <v>Todo el año</v>
      </c>
      <c r="S456" s="55" t="str">
        <f aca="false">IF(04_Especiales!T81="","",04_Especiales!T81)</f>
        <v>Catering</v>
      </c>
      <c r="T456" s="56" t="str">
        <f aca="false">IF(04_Especiales!U81="","",04_Especiales!U81)</f>
        <v/>
      </c>
      <c r="U456" s="55" t="n">
        <v>81</v>
      </c>
      <c r="V456" s="55" t="n">
        <f aca="false">IF(AND(OR(LEN(13_Buscador!$C$5)=0,ISNUMBER(SEARCH(13_Buscador!$C$5,$C456&amp;" "&amp;$D456&amp;" "&amp;$E456&amp;" "&amp;$F456&amp;" "&amp;$S456))),OR(13_Buscador!$C$6="Todas las listas",LEN(13_Buscador!$C$6)=0,13_Buscador!$C$6=$B456)),1,0)</f>
        <v>0</v>
      </c>
      <c r="W456" s="55" t="str">
        <f aca="false">IF(V456=1,SUM($V$2:V456),"")</f>
        <v/>
      </c>
    </row>
    <row r="457" customFormat="false" ht="15" hidden="false" customHeight="true" outlineLevel="0" collapsed="false">
      <c r="A457" s="55" t="n">
        <v>456</v>
      </c>
      <c r="B457" s="55" t="s">
        <v>3330</v>
      </c>
      <c r="C457" s="55" t="str">
        <f aca="false">IF(04_Especiales!B82="","",04_Especiales!B82)</f>
        <v>Catering y volumen</v>
      </c>
      <c r="D457" s="56" t="str">
        <f aca="false">IF(04_Especiales!C82="","",04_Especiales!C82)</f>
        <v>Coffee break premium (x20)</v>
      </c>
      <c r="E457" s="56" t="str">
        <f aca="false">IF(04_Especiales!D82="","",04_Especiales!D82)</f>
        <v>Bocaditos finos y bebidas</v>
      </c>
      <c r="F457" s="56" t="str">
        <f aca="false">IF(04_Especiales!E82="","",04_Especiales!E82)</f>
        <v>bocaditos salados y dulces, café, té, jugo</v>
      </c>
      <c r="G457" s="55" t="str">
        <f aca="false">IF(04_Especiales!F82="","",04_Especiales!F82)</f>
        <v>Pedido</v>
      </c>
      <c r="H457" s="55" t="str">
        <f aca="false">IF(04_Especiales!G82="","",04_Especiales!G82)</f>
        <v>Premium</v>
      </c>
      <c r="I457" s="58" t="n">
        <f aca="false">IF(04_Especiales!H82="","",04_Especiales!H82)</f>
        <v>200</v>
      </c>
      <c r="J457" s="58" t="n">
        <f aca="false">IF(04_Especiales!I82="","",04_Especiales!I82)</f>
        <v>450</v>
      </c>
      <c r="K457" s="58" t="n">
        <f aca="false">IF(04_Especiales!J82="","",04_Especiales!J82)</f>
        <v>325</v>
      </c>
      <c r="L457" s="58" t="n">
        <f aca="false">IF(04_Especiales!L82="","",04_Especiales!L82)</f>
        <v>326.5</v>
      </c>
      <c r="M457" s="58" t="n">
        <f aca="false">IF(04_Especiales!N82="","",04_Especiales!N82)</f>
        <v>42.25</v>
      </c>
      <c r="N457" s="58" t="n">
        <f aca="false">IF(04_Especiales!O82="","",04_Especiales!O82)</f>
        <v>282.75</v>
      </c>
      <c r="O457" s="55" t="str">
        <f aca="false">IF(04_Especiales!P82="","",04_Especiales!P82)</f>
        <v>09:00-17:00</v>
      </c>
      <c r="P457" s="55" t="n">
        <f aca="false">IF(04_Especiales!Q82="","",04_Especiales!Q82)</f>
        <v>90</v>
      </c>
      <c r="Q457" s="55" t="str">
        <f aca="false">IF(04_Especiales!R82="","",04_Especiales!R82)</f>
        <v>Medio</v>
      </c>
      <c r="R457" s="55" t="str">
        <f aca="false">IF(04_Especiales!S82="","",04_Especiales!S82)</f>
        <v>Todo el año</v>
      </c>
      <c r="S457" s="55" t="str">
        <f aca="false">IF(04_Especiales!T82="","",04_Especiales!T82)</f>
        <v>Catering</v>
      </c>
      <c r="T457" s="56" t="str">
        <f aca="false">IF(04_Especiales!U82="","",04_Especiales!U82)</f>
        <v/>
      </c>
      <c r="U457" s="55" t="n">
        <v>82</v>
      </c>
      <c r="V457" s="55" t="n">
        <f aca="false">IF(AND(OR(LEN(13_Buscador!$C$5)=0,ISNUMBER(SEARCH(13_Buscador!$C$5,$C457&amp;" "&amp;$D457&amp;" "&amp;$E457&amp;" "&amp;$F457&amp;" "&amp;$S457))),OR(13_Buscador!$C$6="Todas las listas",LEN(13_Buscador!$C$6)=0,13_Buscador!$C$6=$B457)),1,0)</f>
        <v>0</v>
      </c>
      <c r="W457" s="55" t="str">
        <f aca="false">IF(V457=1,SUM($V$2:V457),"")</f>
        <v/>
      </c>
    </row>
    <row r="458" customFormat="false" ht="15" hidden="false" customHeight="true" outlineLevel="0" collapsed="false">
      <c r="A458" s="55" t="n">
        <v>457</v>
      </c>
      <c r="B458" s="55" t="s">
        <v>3330</v>
      </c>
      <c r="C458" s="55" t="str">
        <f aca="false">IF(04_Especiales!B83="","",04_Especiales!B83)</f>
        <v>Catering y volumen</v>
      </c>
      <c r="D458" s="56" t="str">
        <f aca="false">IF(04_Especiales!C83="","",04_Especiales!C83)</f>
        <v>Cena de aniversario (x40)</v>
      </c>
      <c r="E458" s="56" t="str">
        <f aca="false">IF(04_Especiales!D83="","",04_Especiales!D83)</f>
        <v>Servicio completo</v>
      </c>
      <c r="F458" s="56" t="str">
        <f aca="false">IF(04_Especiales!E83="","",04_Especiales!E83)</f>
        <v>preparación del día del local</v>
      </c>
      <c r="G458" s="55" t="str">
        <f aca="false">IF(04_Especiales!F83="","",04_Especiales!F83)</f>
        <v>Servicio</v>
      </c>
      <c r="H458" s="55" t="str">
        <f aca="false">IF(04_Especiales!G83="","",04_Especiales!G83)</f>
        <v>Premium</v>
      </c>
      <c r="I458" s="58" t="n">
        <f aca="false">IF(04_Especiales!H83="","",04_Especiales!H83)</f>
        <v>900</v>
      </c>
      <c r="J458" s="58" t="n">
        <f aca="false">IF(04_Especiales!I83="","",04_Especiales!I83)</f>
        <v>2000</v>
      </c>
      <c r="K458" s="58" t="n">
        <f aca="false">IF(04_Especiales!J83="","",04_Especiales!J83)</f>
        <v>1450</v>
      </c>
      <c r="L458" s="58" t="n">
        <f aca="false">IF(04_Especiales!L83="","",04_Especiales!L83)</f>
        <v>1451.5</v>
      </c>
      <c r="M458" s="58" t="n">
        <f aca="false">IF(04_Especiales!N83="","",04_Especiales!N83)</f>
        <v>188.5</v>
      </c>
      <c r="N458" s="58" t="n">
        <f aca="false">IF(04_Especiales!O83="","",04_Especiales!O83)</f>
        <v>1261.5</v>
      </c>
      <c r="O458" s="55" t="str">
        <f aca="false">IF(04_Especiales!P83="","",04_Especiales!P83)</f>
        <v>18:00-23:00</v>
      </c>
      <c r="P458" s="55" t="n">
        <f aca="false">IF(04_Especiales!Q83="","",04_Especiales!Q83)</f>
        <v>300</v>
      </c>
      <c r="Q458" s="55" t="str">
        <f aca="false">IF(04_Especiales!R83="","",04_Especiales!R83)</f>
        <v>Bajo</v>
      </c>
      <c r="R458" s="55" t="str">
        <f aca="false">IF(04_Especiales!S83="","",04_Especiales!S83)</f>
        <v>Todo el año</v>
      </c>
      <c r="S458" s="55" t="str">
        <f aca="false">IF(04_Especiales!T83="","",04_Especiales!T83)</f>
        <v>Catering</v>
      </c>
      <c r="T458" s="56" t="str">
        <f aca="false">IF(04_Especiales!U83="","",04_Especiales!U83)</f>
        <v/>
      </c>
      <c r="U458" s="55" t="n">
        <v>83</v>
      </c>
      <c r="V458" s="55" t="n">
        <f aca="false">IF(AND(OR(LEN(13_Buscador!$C$5)=0,ISNUMBER(SEARCH(13_Buscador!$C$5,$C458&amp;" "&amp;$D458&amp;" "&amp;$E458&amp;" "&amp;$F458&amp;" "&amp;$S458))),OR(13_Buscador!$C$6="Todas las listas",LEN(13_Buscador!$C$6)=0,13_Buscador!$C$6=$B458)),1,0)</f>
        <v>0</v>
      </c>
      <c r="W458" s="55" t="str">
        <f aca="false">IF(V458=1,SUM($V$2:V458),"")</f>
        <v/>
      </c>
    </row>
    <row r="459" customFormat="false" ht="23.25" hidden="false" customHeight="true" outlineLevel="0" collapsed="false">
      <c r="A459" s="55" t="n">
        <v>458</v>
      </c>
      <c r="B459" s="55" t="s">
        <v>3330</v>
      </c>
      <c r="C459" s="55" t="str">
        <f aca="false">IF(04_Especiales!B84="","",04_Especiales!B84)</f>
        <v>Catering y volumen</v>
      </c>
      <c r="D459" s="56" t="str">
        <f aca="false">IF(04_Especiales!C84="","",04_Especiales!C84)</f>
        <v>Torta personalizada</v>
      </c>
      <c r="E459" s="56" t="str">
        <f aca="false">IF(04_Especiales!D84="","",04_Especiales!D84)</f>
        <v>Diseño a pedido</v>
      </c>
      <c r="F459" s="56" t="str">
        <f aca="false">IF(04_Especiales!E84="","",04_Especiales!E84)</f>
        <v>harina, huevo, azúcar, mantequilla, crema o fruta según el sabor</v>
      </c>
      <c r="G459" s="55" t="str">
        <f aca="false">IF(04_Especiales!F84="","",04_Especiales!F84)</f>
        <v>Unidad</v>
      </c>
      <c r="H459" s="55" t="str">
        <f aca="false">IF(04_Especiales!G84="","",04_Especiales!G84)</f>
        <v>Premium</v>
      </c>
      <c r="I459" s="58" t="n">
        <f aca="false">IF(04_Especiales!H84="","",04_Especiales!H84)</f>
        <v>80</v>
      </c>
      <c r="J459" s="58" t="n">
        <f aca="false">IF(04_Especiales!I84="","",04_Especiales!I84)</f>
        <v>250</v>
      </c>
      <c r="K459" s="58" t="n">
        <f aca="false">IF(04_Especiales!J84="","",04_Especiales!J84)</f>
        <v>165</v>
      </c>
      <c r="L459" s="58" t="n">
        <f aca="false">IF(04_Especiales!L84="","",04_Especiales!L84)</f>
        <v>166.5</v>
      </c>
      <c r="M459" s="58" t="n">
        <f aca="false">IF(04_Especiales!N84="","",04_Especiales!N84)</f>
        <v>21.45</v>
      </c>
      <c r="N459" s="58" t="n">
        <f aca="false">IF(04_Especiales!O84="","",04_Especiales!O84)</f>
        <v>143.55</v>
      </c>
      <c r="O459" s="55" t="str">
        <f aca="false">IF(04_Especiales!P84="","",04_Especiales!P84)</f>
        <v>Todo el día</v>
      </c>
      <c r="P459" s="55" t="n">
        <f aca="false">IF(04_Especiales!Q84="","",04_Especiales!Q84)</f>
        <v>180</v>
      </c>
      <c r="Q459" s="55" t="str">
        <f aca="false">IF(04_Especiales!R84="","",04_Especiales!R84)</f>
        <v>Medio</v>
      </c>
      <c r="R459" s="55" t="str">
        <f aca="false">IF(04_Especiales!S84="","",04_Especiales!S84)</f>
        <v>Todo el año</v>
      </c>
      <c r="S459" s="55" t="str">
        <f aca="false">IF(04_Especiales!T84="","",04_Especiales!T84)</f>
        <v>Pastelería</v>
      </c>
      <c r="T459" s="56" t="str">
        <f aca="false">IF(04_Especiales!U84="","",04_Especiales!U84)</f>
        <v/>
      </c>
      <c r="U459" s="55" t="n">
        <v>84</v>
      </c>
      <c r="V459" s="55" t="n">
        <f aca="false">IF(AND(OR(LEN(13_Buscador!$C$5)=0,ISNUMBER(SEARCH(13_Buscador!$C$5,$C459&amp;" "&amp;$D459&amp;" "&amp;$E459&amp;" "&amp;$F459&amp;" "&amp;$S459))),OR(13_Buscador!$C$6="Todas las listas",LEN(13_Buscador!$C$6)=0,13_Buscador!$C$6=$B459)),1,0)</f>
        <v>0</v>
      </c>
      <c r="W459" s="55" t="str">
        <f aca="false">IF(V459=1,SUM($V$2:V459),"")</f>
        <v/>
      </c>
    </row>
    <row r="460" customFormat="false" ht="15" hidden="false" customHeight="true" outlineLevel="0" collapsed="false">
      <c r="A460" s="55" t="n">
        <v>459</v>
      </c>
      <c r="B460" s="55" t="s">
        <v>3330</v>
      </c>
      <c r="C460" s="55" t="str">
        <f aca="false">IF(04_Especiales!B85="","",04_Especiales!B85)</f>
        <v>Catering y volumen</v>
      </c>
      <c r="D460" s="56" t="str">
        <f aca="false">IF(04_Especiales!C85="","",04_Especiales!C85)</f>
        <v>Bandeja de sándwiches (30 und)</v>
      </c>
      <c r="E460" s="56" t="str">
        <f aca="false">IF(04_Especiales!D85="","",04_Especiales!D85)</f>
        <v>Sándwiches surtidos</v>
      </c>
      <c r="F460" s="56" t="str">
        <f aca="false">IF(04_Especiales!E85="","",04_Especiales!E85)</f>
        <v>pan, relleno del sabor elegido, vegetales, salsas</v>
      </c>
      <c r="G460" s="55" t="str">
        <f aca="false">IF(04_Especiales!F85="","",04_Especiales!F85)</f>
        <v>Bandeja</v>
      </c>
      <c r="H460" s="55" t="str">
        <f aca="false">IF(04_Especiales!G85="","",04_Especiales!G85)</f>
        <v>Premium</v>
      </c>
      <c r="I460" s="58" t="n">
        <f aca="false">IF(04_Especiales!H85="","",04_Especiales!H85)</f>
        <v>90</v>
      </c>
      <c r="J460" s="58" t="n">
        <f aca="false">IF(04_Especiales!I85="","",04_Especiales!I85)</f>
        <v>180</v>
      </c>
      <c r="K460" s="58" t="n">
        <f aca="false">IF(04_Especiales!J85="","",04_Especiales!J85)</f>
        <v>135</v>
      </c>
      <c r="L460" s="58" t="n">
        <f aca="false">IF(04_Especiales!L85="","",04_Especiales!L85)</f>
        <v>136.5</v>
      </c>
      <c r="M460" s="58" t="n">
        <f aca="false">IF(04_Especiales!N85="","",04_Especiales!N85)</f>
        <v>17.55</v>
      </c>
      <c r="N460" s="58" t="n">
        <f aca="false">IF(04_Especiales!O85="","",04_Especiales!O85)</f>
        <v>117.45</v>
      </c>
      <c r="O460" s="55" t="str">
        <f aca="false">IF(04_Especiales!P85="","",04_Especiales!P85)</f>
        <v>Todo el día</v>
      </c>
      <c r="P460" s="55" t="n">
        <f aca="false">IF(04_Especiales!Q85="","",04_Especiales!Q85)</f>
        <v>90</v>
      </c>
      <c r="Q460" s="55" t="str">
        <f aca="false">IF(04_Especiales!R85="","",04_Especiales!R85)</f>
        <v>Alto</v>
      </c>
      <c r="R460" s="55" t="str">
        <f aca="false">IF(04_Especiales!S85="","",04_Especiales!S85)</f>
        <v>Todo el año</v>
      </c>
      <c r="S460" s="55" t="str">
        <f aca="false">IF(04_Especiales!T85="","",04_Especiales!T85)</f>
        <v>Catering</v>
      </c>
      <c r="T460" s="56" t="str">
        <f aca="false">IF(04_Especiales!U85="","",04_Especiales!U85)</f>
        <v/>
      </c>
      <c r="U460" s="55" t="n">
        <v>85</v>
      </c>
      <c r="V460" s="55" t="n">
        <f aca="false">IF(AND(OR(LEN(13_Buscador!$C$5)=0,ISNUMBER(SEARCH(13_Buscador!$C$5,$C460&amp;" "&amp;$D460&amp;" "&amp;$E460&amp;" "&amp;$F460&amp;" "&amp;$S460))),OR(13_Buscador!$C$6="Todas las listas",LEN(13_Buscador!$C$6)=0,13_Buscador!$C$6=$B460)),1,0)</f>
        <v>0</v>
      </c>
      <c r="W460" s="55" t="str">
        <f aca="false">IF(V460=1,SUM($V$2:V460),"")</f>
        <v/>
      </c>
    </row>
    <row r="461" customFormat="false" ht="15" hidden="false" customHeight="true" outlineLevel="0" collapsed="false">
      <c r="A461" s="55" t="n">
        <v>460</v>
      </c>
      <c r="B461" s="55" t="s">
        <v>3330</v>
      </c>
      <c r="C461" s="55" t="str">
        <f aca="false">IF(04_Especiales!B86="","",04_Especiales!B86)</f>
        <v>Catering y volumen</v>
      </c>
      <c r="D461" s="56" t="str">
        <f aca="false">IF(04_Especiales!C86="","",04_Especiales!C86)</f>
        <v>Refrigerio para reunión (x10)</v>
      </c>
      <c r="E461" s="56" t="str">
        <f aca="false">IF(04_Especiales!D86="","",04_Especiales!D86)</f>
        <v>Bocadito y bebida</v>
      </c>
      <c r="F461" s="56" t="str">
        <f aca="false">IF(04_Especiales!E86="","",04_Especiales!E86)</f>
        <v>sándwich, fruta, bebida, galleta</v>
      </c>
      <c r="G461" s="55" t="str">
        <f aca="false">IF(04_Especiales!F86="","",04_Especiales!F86)</f>
        <v>Pedido</v>
      </c>
      <c r="H461" s="55" t="str">
        <f aca="false">IF(04_Especiales!G86="","",04_Especiales!G86)</f>
        <v>Medio</v>
      </c>
      <c r="I461" s="58" t="n">
        <f aca="false">IF(04_Especiales!H86="","",04_Especiales!H86)</f>
        <v>60</v>
      </c>
      <c r="J461" s="58" t="n">
        <f aca="false">IF(04_Especiales!I86="","",04_Especiales!I86)</f>
        <v>130</v>
      </c>
      <c r="K461" s="58" t="n">
        <f aca="false">IF(04_Especiales!J86="","",04_Especiales!J86)</f>
        <v>95</v>
      </c>
      <c r="L461" s="58" t="n">
        <f aca="false">IF(04_Especiales!L86="","",04_Especiales!L86)</f>
        <v>96.5</v>
      </c>
      <c r="M461" s="58" t="n">
        <f aca="false">IF(04_Especiales!N86="","",04_Especiales!N86)</f>
        <v>10.45</v>
      </c>
      <c r="N461" s="58" t="n">
        <f aca="false">IF(04_Especiales!O86="","",04_Especiales!O86)</f>
        <v>84.55</v>
      </c>
      <c r="O461" s="55" t="str">
        <f aca="false">IF(04_Especiales!P86="","",04_Especiales!P86)</f>
        <v>09:00-18:00</v>
      </c>
      <c r="P461" s="55" t="n">
        <f aca="false">IF(04_Especiales!Q86="","",04_Especiales!Q86)</f>
        <v>45</v>
      </c>
      <c r="Q461" s="55" t="str">
        <f aca="false">IF(04_Especiales!R86="","",04_Especiales!R86)</f>
        <v>Alto</v>
      </c>
      <c r="R461" s="55" t="str">
        <f aca="false">IF(04_Especiales!S86="","",04_Especiales!S86)</f>
        <v>Todo el año</v>
      </c>
      <c r="S461" s="55" t="str">
        <f aca="false">IF(04_Especiales!T86="","",04_Especiales!T86)</f>
        <v>Catering</v>
      </c>
      <c r="T461" s="56" t="str">
        <f aca="false">IF(04_Especiales!U86="","",04_Especiales!U86)</f>
        <v>Pedido frecuente de oficinas públicas</v>
      </c>
      <c r="U461" s="55" t="n">
        <v>86</v>
      </c>
      <c r="V461" s="55" t="n">
        <f aca="false">IF(AND(OR(LEN(13_Buscador!$C$5)=0,ISNUMBER(SEARCH(13_Buscador!$C$5,$C461&amp;" "&amp;$D461&amp;" "&amp;$E461&amp;" "&amp;$F461&amp;" "&amp;$S461))),OR(13_Buscador!$C$6="Todas las listas",LEN(13_Buscador!$C$6)=0,13_Buscador!$C$6=$B461)),1,0)</f>
        <v>0</v>
      </c>
      <c r="W461" s="55" t="str">
        <f aca="false">IF(V461=1,SUM($V$2:V461),"")</f>
        <v/>
      </c>
    </row>
    <row r="462" customFormat="false" ht="15" hidden="false" customHeight="true" outlineLevel="0" collapsed="false">
      <c r="A462" s="55" t="n">
        <v>461</v>
      </c>
      <c r="B462" s="55" t="s">
        <v>3330</v>
      </c>
      <c r="C462" s="55" t="str">
        <f aca="false">IF(04_Especiales!B87="","",04_Especiales!B87)</f>
        <v>Dietas especiales</v>
      </c>
      <c r="D462" s="56" t="str">
        <f aca="false">IF(04_Especiales!C87="","",04_Especiales!C87)</f>
        <v>Menú sin lactosa</v>
      </c>
      <c r="E462" s="56" t="str">
        <f aca="false">IF(04_Especiales!D87="","",04_Especiales!D87)</f>
        <v>Preparación sin lácteos</v>
      </c>
      <c r="F462" s="56" t="str">
        <f aca="false">IF(04_Especiales!E87="","",04_Especiales!E87)</f>
        <v>preparación sin lácteos</v>
      </c>
      <c r="G462" s="55" t="str">
        <f aca="false">IF(04_Especiales!F87="","",04_Especiales!F87)</f>
        <v>Bandeja</v>
      </c>
      <c r="H462" s="55" t="str">
        <f aca="false">IF(04_Especiales!G87="","",04_Especiales!G87)</f>
        <v>Medio</v>
      </c>
      <c r="I462" s="58" t="n">
        <f aca="false">IF(04_Especiales!H87="","",04_Especiales!H87)</f>
        <v>14</v>
      </c>
      <c r="J462" s="58" t="n">
        <f aca="false">IF(04_Especiales!I87="","",04_Especiales!I87)</f>
        <v>25</v>
      </c>
      <c r="K462" s="58" t="n">
        <f aca="false">IF(04_Especiales!J87="","",04_Especiales!J87)</f>
        <v>19.5</v>
      </c>
      <c r="L462" s="58" t="n">
        <f aca="false">IF(04_Especiales!L87="","",04_Especiales!L87)</f>
        <v>21</v>
      </c>
      <c r="M462" s="58" t="n">
        <f aca="false">IF(04_Especiales!N87="","",04_Especiales!N87)</f>
        <v>2.15</v>
      </c>
      <c r="N462" s="58" t="n">
        <f aca="false">IF(04_Especiales!O87="","",04_Especiales!O87)</f>
        <v>17.35</v>
      </c>
      <c r="O462" s="55" t="str">
        <f aca="false">IF(04_Especiales!P87="","",04_Especiales!P87)</f>
        <v>12:00-15:00</v>
      </c>
      <c r="P462" s="55" t="n">
        <f aca="false">IF(04_Especiales!Q87="","",04_Especiales!Q87)</f>
        <v>15</v>
      </c>
      <c r="Q462" s="55" t="str">
        <f aca="false">IF(04_Especiales!R87="","",04_Especiales!R87)</f>
        <v>Alto</v>
      </c>
      <c r="R462" s="55" t="str">
        <f aca="false">IF(04_Especiales!S87="","",04_Especiales!S87)</f>
        <v>Todo el año</v>
      </c>
      <c r="S462" s="55" t="str">
        <f aca="false">IF(04_Especiales!T87="","",04_Especiales!T87)</f>
        <v>Saludable</v>
      </c>
      <c r="T462" s="56" t="str">
        <f aca="false">IF(04_Especiales!U87="","",04_Especiales!U87)</f>
        <v/>
      </c>
      <c r="U462" s="55" t="n">
        <v>87</v>
      </c>
      <c r="V462" s="55" t="n">
        <f aca="false">IF(AND(OR(LEN(13_Buscador!$C$5)=0,ISNUMBER(SEARCH(13_Buscador!$C$5,$C462&amp;" "&amp;$D462&amp;" "&amp;$E462&amp;" "&amp;$F462&amp;" "&amp;$S462))),OR(13_Buscador!$C$6="Todas las listas",LEN(13_Buscador!$C$6)=0,13_Buscador!$C$6=$B462)),1,0)</f>
        <v>0</v>
      </c>
      <c r="W462" s="55" t="str">
        <f aca="false">IF(V462=1,SUM($V$2:V462),"")</f>
        <v/>
      </c>
    </row>
    <row r="463" customFormat="false" ht="23.25" hidden="false" customHeight="true" outlineLevel="0" collapsed="false">
      <c r="A463" s="55" t="n">
        <v>462</v>
      </c>
      <c r="B463" s="55" t="s">
        <v>3330</v>
      </c>
      <c r="C463" s="55" t="str">
        <f aca="false">IF(04_Especiales!B88="","",04_Especiales!B88)</f>
        <v>Dietas especiales</v>
      </c>
      <c r="D463" s="56" t="str">
        <f aca="false">IF(04_Especiales!C88="","",04_Especiales!C88)</f>
        <v>Menú alto en fibra</v>
      </c>
      <c r="E463" s="56" t="str">
        <f aca="false">IF(04_Especiales!D88="","",04_Especiales!D88)</f>
        <v>Integral y verduras</v>
      </c>
      <c r="F463" s="56" t="str">
        <f aca="false">IF(04_Especiales!E88="","",04_Especiales!E88)</f>
        <v>preparación adaptada a la indicación dietética, sin fritura</v>
      </c>
      <c r="G463" s="55" t="str">
        <f aca="false">IF(04_Especiales!F88="","",04_Especiales!F88)</f>
        <v>Bandeja</v>
      </c>
      <c r="H463" s="55" t="str">
        <f aca="false">IF(04_Especiales!G88="","",04_Especiales!G88)</f>
        <v>Medio</v>
      </c>
      <c r="I463" s="58" t="n">
        <f aca="false">IF(04_Especiales!H88="","",04_Especiales!H88)</f>
        <v>14</v>
      </c>
      <c r="J463" s="58" t="n">
        <f aca="false">IF(04_Especiales!I88="","",04_Especiales!I88)</f>
        <v>25</v>
      </c>
      <c r="K463" s="58" t="n">
        <f aca="false">IF(04_Especiales!J88="","",04_Especiales!J88)</f>
        <v>19.5</v>
      </c>
      <c r="L463" s="58" t="n">
        <f aca="false">IF(04_Especiales!L88="","",04_Especiales!L88)</f>
        <v>21</v>
      </c>
      <c r="M463" s="58" t="n">
        <f aca="false">IF(04_Especiales!N88="","",04_Especiales!N88)</f>
        <v>2.15</v>
      </c>
      <c r="N463" s="58" t="n">
        <f aca="false">IF(04_Especiales!O88="","",04_Especiales!O88)</f>
        <v>17.35</v>
      </c>
      <c r="O463" s="55" t="str">
        <f aca="false">IF(04_Especiales!P88="","",04_Especiales!P88)</f>
        <v>12:00-15:00</v>
      </c>
      <c r="P463" s="55" t="n">
        <f aca="false">IF(04_Especiales!Q88="","",04_Especiales!Q88)</f>
        <v>15</v>
      </c>
      <c r="Q463" s="55" t="str">
        <f aca="false">IF(04_Especiales!R88="","",04_Especiales!R88)</f>
        <v>Alto</v>
      </c>
      <c r="R463" s="55" t="str">
        <f aca="false">IF(04_Especiales!S88="","",04_Especiales!S88)</f>
        <v>Todo el año</v>
      </c>
      <c r="S463" s="55" t="str">
        <f aca="false">IF(04_Especiales!T88="","",04_Especiales!T88)</f>
        <v>Saludable</v>
      </c>
      <c r="T463" s="56" t="str">
        <f aca="false">IF(04_Especiales!U88="","",04_Especiales!U88)</f>
        <v/>
      </c>
      <c r="U463" s="55" t="n">
        <v>88</v>
      </c>
      <c r="V463" s="55" t="n">
        <f aca="false">IF(AND(OR(LEN(13_Buscador!$C$5)=0,ISNUMBER(SEARCH(13_Buscador!$C$5,$C463&amp;" "&amp;$D463&amp;" "&amp;$E463&amp;" "&amp;$F463&amp;" "&amp;$S463))),OR(13_Buscador!$C$6="Todas las listas",LEN(13_Buscador!$C$6)=0,13_Buscador!$C$6=$B463)),1,0)</f>
        <v>0</v>
      </c>
      <c r="W463" s="55" t="str">
        <f aca="false">IF(V463=1,SUM($V$2:V463),"")</f>
        <v/>
      </c>
    </row>
    <row r="464" customFormat="false" ht="15" hidden="false" customHeight="true" outlineLevel="0" collapsed="false">
      <c r="A464" s="55" t="n">
        <v>463</v>
      </c>
      <c r="B464" s="55" t="s">
        <v>3330</v>
      </c>
      <c r="C464" s="55" t="str">
        <f aca="false">IF(04_Especiales!B89="","",04_Especiales!B89)</f>
        <v>Dietas especiales</v>
      </c>
      <c r="D464" s="56" t="str">
        <f aca="false">IF(04_Especiales!C89="","",04_Especiales!C89)</f>
        <v>Vianda semanal (5 almuerzos)</v>
      </c>
      <c r="E464" s="56" t="str">
        <f aca="false">IF(04_Especiales!D89="","",04_Especiales!D89)</f>
        <v>Paquete de 5 menús</v>
      </c>
      <c r="F464" s="56" t="str">
        <f aca="false">IF(04_Especiales!E89="","",04_Especiales!E89)</f>
        <v>menú completo del día empacado en táper</v>
      </c>
      <c r="G464" s="55" t="str">
        <f aca="false">IF(04_Especiales!F89="","",04_Especiales!F89)</f>
        <v>Paquete</v>
      </c>
      <c r="H464" s="55" t="str">
        <f aca="false">IF(04_Especiales!G89="","",04_Especiales!G89)</f>
        <v>Premium</v>
      </c>
      <c r="I464" s="58" t="n">
        <f aca="false">IF(04_Especiales!H89="","",04_Especiales!H89)</f>
        <v>60</v>
      </c>
      <c r="J464" s="58" t="n">
        <f aca="false">IF(04_Especiales!I89="","",04_Especiales!I89)</f>
        <v>110</v>
      </c>
      <c r="K464" s="58" t="n">
        <f aca="false">IF(04_Especiales!J89="","",04_Especiales!J89)</f>
        <v>85</v>
      </c>
      <c r="L464" s="58" t="n">
        <f aca="false">IF(04_Especiales!L89="","",04_Especiales!L89)</f>
        <v>86.5</v>
      </c>
      <c r="M464" s="58" t="n">
        <f aca="false">IF(04_Especiales!N89="","",04_Especiales!N89)</f>
        <v>11.05</v>
      </c>
      <c r="N464" s="58" t="n">
        <f aca="false">IF(04_Especiales!O89="","",04_Especiales!O89)</f>
        <v>73.95</v>
      </c>
      <c r="O464" s="55" t="str">
        <f aca="false">IF(04_Especiales!P89="","",04_Especiales!P89)</f>
        <v>11:00-15:00</v>
      </c>
      <c r="P464" s="55" t="n">
        <f aca="false">IF(04_Especiales!Q89="","",04_Especiales!Q89)</f>
        <v>60</v>
      </c>
      <c r="Q464" s="55" t="str">
        <f aca="false">IF(04_Especiales!R89="","",04_Especiales!R89)</f>
        <v>Alto</v>
      </c>
      <c r="R464" s="55" t="str">
        <f aca="false">IF(04_Especiales!S89="","",04_Especiales!S89)</f>
        <v>Todo el año</v>
      </c>
      <c r="S464" s="55" t="str">
        <f aca="false">IF(04_Especiales!T89="","",04_Especiales!T89)</f>
        <v>Catering, saludable</v>
      </c>
      <c r="T464" s="56" t="str">
        <f aca="false">IF(04_Especiales!U89="","",04_Especiales!U89)</f>
        <v>Suscripción: el producto más fiel del modelo</v>
      </c>
      <c r="U464" s="55" t="n">
        <v>89</v>
      </c>
      <c r="V464" s="55" t="n">
        <f aca="false">IF(AND(OR(LEN(13_Buscador!$C$5)=0,ISNUMBER(SEARCH(13_Buscador!$C$5,$C464&amp;" "&amp;$D464&amp;" "&amp;$E464&amp;" "&amp;$F464&amp;" "&amp;$S464))),OR(13_Buscador!$C$6="Todas las listas",LEN(13_Buscador!$C$6)=0,13_Buscador!$C$6=$B464)),1,0)</f>
        <v>0</v>
      </c>
      <c r="W464" s="55" t="str">
        <f aca="false">IF(V464=1,SUM($V$2:V464),"")</f>
        <v/>
      </c>
    </row>
    <row r="465" customFormat="false" ht="15" hidden="false" customHeight="true" outlineLevel="0" collapsed="false">
      <c r="A465" s="55" t="n">
        <v>464</v>
      </c>
      <c r="B465" s="55" t="s">
        <v>3330</v>
      </c>
      <c r="C465" s="55" t="str">
        <f aca="false">IF(04_Especiales!B90="","",04_Especiales!B90)</f>
        <v>Dietas especiales</v>
      </c>
      <c r="D465" s="56" t="str">
        <f aca="false">IF(04_Especiales!C90="","",04_Especiales!C90)</f>
        <v>Vianda mensual (20 almuerzos)</v>
      </c>
      <c r="E465" s="56" t="str">
        <f aca="false">IF(04_Especiales!D90="","",04_Especiales!D90)</f>
        <v>Paquete mensual</v>
      </c>
      <c r="F465" s="56" t="str">
        <f aca="false">IF(04_Especiales!E90="","",04_Especiales!E90)</f>
        <v>menú completo del día empacado en táper</v>
      </c>
      <c r="G465" s="55" t="str">
        <f aca="false">IF(04_Especiales!F90="","",04_Especiales!F90)</f>
        <v>Paquete</v>
      </c>
      <c r="H465" s="55" t="str">
        <f aca="false">IF(04_Especiales!G90="","",04_Especiales!G90)</f>
        <v>Premium</v>
      </c>
      <c r="I465" s="58" t="n">
        <f aca="false">IF(04_Especiales!H90="","",04_Especiales!H90)</f>
        <v>220</v>
      </c>
      <c r="J465" s="58" t="n">
        <f aca="false">IF(04_Especiales!I90="","",04_Especiales!I90)</f>
        <v>420</v>
      </c>
      <c r="K465" s="58" t="n">
        <f aca="false">IF(04_Especiales!J90="","",04_Especiales!J90)</f>
        <v>320</v>
      </c>
      <c r="L465" s="58" t="n">
        <f aca="false">IF(04_Especiales!L90="","",04_Especiales!L90)</f>
        <v>321.5</v>
      </c>
      <c r="M465" s="58" t="n">
        <f aca="false">IF(04_Especiales!N90="","",04_Especiales!N90)</f>
        <v>41.6</v>
      </c>
      <c r="N465" s="58" t="n">
        <f aca="false">IF(04_Especiales!O90="","",04_Especiales!O90)</f>
        <v>278.4</v>
      </c>
      <c r="O465" s="55" t="str">
        <f aca="false">IF(04_Especiales!P90="","",04_Especiales!P90)</f>
        <v>11:00-15:00</v>
      </c>
      <c r="P465" s="55" t="n">
        <f aca="false">IF(04_Especiales!Q90="","",04_Especiales!Q90)</f>
        <v>0</v>
      </c>
      <c r="Q465" s="55" t="str">
        <f aca="false">IF(04_Especiales!R90="","",04_Especiales!R90)</f>
        <v>Alto</v>
      </c>
      <c r="R465" s="55" t="str">
        <f aca="false">IF(04_Especiales!S90="","",04_Especiales!S90)</f>
        <v>Todo el año</v>
      </c>
      <c r="S465" s="55" t="str">
        <f aca="false">IF(04_Especiales!T90="","",04_Especiales!T90)</f>
        <v>Catering, saludable</v>
      </c>
      <c r="T465" s="56" t="str">
        <f aca="false">IF(04_Especiales!U90="","",04_Especiales!U90)</f>
        <v>Ingreso recurrente y predecible para ComeYa</v>
      </c>
      <c r="U465" s="55" t="n">
        <v>90</v>
      </c>
      <c r="V465" s="55" t="n">
        <f aca="false">IF(AND(OR(LEN(13_Buscador!$C$5)=0,ISNUMBER(SEARCH(13_Buscador!$C$5,$C465&amp;" "&amp;$D465&amp;" "&amp;$E465&amp;" "&amp;$F465&amp;" "&amp;$S465))),OR(13_Buscador!$C$6="Todas las listas",LEN(13_Buscador!$C$6)=0,13_Buscador!$C$6=$B465)),1,0)</f>
        <v>0</v>
      </c>
      <c r="W465" s="55" t="str">
        <f aca="false">IF(V465=1,SUM($V$2:V465),"")</f>
        <v/>
      </c>
    </row>
    <row r="466" customFormat="false" ht="23.25" hidden="false" customHeight="true" outlineLevel="0" collapsed="false">
      <c r="A466" s="55" t="n">
        <v>465</v>
      </c>
      <c r="B466" s="55" t="s">
        <v>3330</v>
      </c>
      <c r="C466" s="55" t="str">
        <f aca="false">IF(04_Especiales!B91="","",04_Especiales!B91)</f>
        <v>Dietas especiales</v>
      </c>
      <c r="D466" s="56" t="str">
        <f aca="false">IF(04_Especiales!C91="","",04_Especiales!C91)</f>
        <v>Menú para gestante</v>
      </c>
      <c r="E466" s="56" t="str">
        <f aca="false">IF(04_Especiales!D91="","",04_Especiales!D91)</f>
        <v>Porción balanceada</v>
      </c>
      <c r="F466" s="56" t="str">
        <f aca="false">IF(04_Especiales!E91="","",04_Especiales!E91)</f>
        <v>preparación adaptada a la indicación dietética, sin fritura</v>
      </c>
      <c r="G466" s="55" t="str">
        <f aca="false">IF(04_Especiales!F91="","",04_Especiales!F91)</f>
        <v>Bandeja</v>
      </c>
      <c r="H466" s="55" t="str">
        <f aca="false">IF(04_Especiales!G91="","",04_Especiales!G91)</f>
        <v>Medio</v>
      </c>
      <c r="I466" s="58" t="n">
        <f aca="false">IF(04_Especiales!H91="","",04_Especiales!H91)</f>
        <v>14</v>
      </c>
      <c r="J466" s="58" t="n">
        <f aca="false">IF(04_Especiales!I91="","",04_Especiales!I91)</f>
        <v>25</v>
      </c>
      <c r="K466" s="58" t="n">
        <f aca="false">IF(04_Especiales!J91="","",04_Especiales!J91)</f>
        <v>19.5</v>
      </c>
      <c r="L466" s="58" t="n">
        <f aca="false">IF(04_Especiales!L91="","",04_Especiales!L91)</f>
        <v>21</v>
      </c>
      <c r="M466" s="58" t="n">
        <f aca="false">IF(04_Especiales!N91="","",04_Especiales!N91)</f>
        <v>2.15</v>
      </c>
      <c r="N466" s="58" t="n">
        <f aca="false">IF(04_Especiales!O91="","",04_Especiales!O91)</f>
        <v>17.35</v>
      </c>
      <c r="O466" s="55" t="str">
        <f aca="false">IF(04_Especiales!P91="","",04_Especiales!P91)</f>
        <v>12:00-15:00</v>
      </c>
      <c r="P466" s="55" t="n">
        <f aca="false">IF(04_Especiales!Q91="","",04_Especiales!Q91)</f>
        <v>15</v>
      </c>
      <c r="Q466" s="55" t="str">
        <f aca="false">IF(04_Especiales!R91="","",04_Especiales!R91)</f>
        <v>Alto</v>
      </c>
      <c r="R466" s="55" t="str">
        <f aca="false">IF(04_Especiales!S91="","",04_Especiales!S91)</f>
        <v>Todo el año</v>
      </c>
      <c r="S466" s="55" t="str">
        <f aca="false">IF(04_Especiales!T91="","",04_Especiales!T91)</f>
        <v>Saludable</v>
      </c>
      <c r="T466" s="56" t="str">
        <f aca="false">IF(04_Especiales!U91="","",04_Especiales!U91)</f>
        <v/>
      </c>
      <c r="U466" s="55" t="n">
        <v>91</v>
      </c>
      <c r="V466" s="55" t="n">
        <f aca="false">IF(AND(OR(LEN(13_Buscador!$C$5)=0,ISNUMBER(SEARCH(13_Buscador!$C$5,$C466&amp;" "&amp;$D466&amp;" "&amp;$E466&amp;" "&amp;$F466&amp;" "&amp;$S466))),OR(13_Buscador!$C$6="Todas las listas",LEN(13_Buscador!$C$6)=0,13_Buscador!$C$6=$B466)),1,0)</f>
        <v>0</v>
      </c>
      <c r="W466" s="55" t="str">
        <f aca="false">IF(V466=1,SUM($V$2:V466),"")</f>
        <v/>
      </c>
    </row>
    <row r="467" customFormat="false" ht="15" hidden="false" customHeight="true" outlineLevel="0" collapsed="false">
      <c r="A467" s="55" t="n">
        <v>466</v>
      </c>
      <c r="B467" s="55" t="s">
        <v>3330</v>
      </c>
      <c r="C467" s="55" t="str">
        <f aca="false">IF(04_Especiales!B92="","",04_Especiales!B92)</f>
        <v>Dietas especiales</v>
      </c>
      <c r="D467" s="56" t="str">
        <f aca="false">IF(04_Especiales!C92="","",04_Especiales!C92)</f>
        <v>Menú infantil saludable</v>
      </c>
      <c r="E467" s="56" t="str">
        <f aca="false">IF(04_Especiales!D92="","",04_Especiales!D92)</f>
        <v>Sin fritura, porción de niño</v>
      </c>
      <c r="F467" s="56" t="str">
        <f aca="false">IF(04_Especiales!E92="","",04_Especiales!E92)</f>
        <v>sopa del día, segundo del día, refresco o bebida</v>
      </c>
      <c r="G467" s="55" t="str">
        <f aca="false">IF(04_Especiales!F92="","",04_Especiales!F92)</f>
        <v>Bandeja</v>
      </c>
      <c r="H467" s="55" t="str">
        <f aca="false">IF(04_Especiales!G92="","",04_Especiales!G92)</f>
        <v>Estándar</v>
      </c>
      <c r="I467" s="58" t="n">
        <f aca="false">IF(04_Especiales!H92="","",04_Especiales!H92)</f>
        <v>9</v>
      </c>
      <c r="J467" s="58" t="n">
        <f aca="false">IF(04_Especiales!I92="","",04_Especiales!I92)</f>
        <v>16</v>
      </c>
      <c r="K467" s="58" t="n">
        <f aca="false">IF(04_Especiales!J92="","",04_Especiales!J92)</f>
        <v>12.5</v>
      </c>
      <c r="L467" s="58" t="n">
        <f aca="false">IF(04_Especiales!L92="","",04_Especiales!L92)</f>
        <v>14</v>
      </c>
      <c r="M467" s="58" t="n">
        <f aca="false">IF(04_Especiales!N92="","",04_Especiales!N92)</f>
        <v>1.13</v>
      </c>
      <c r="N467" s="58" t="n">
        <f aca="false">IF(04_Especiales!O92="","",04_Especiales!O92)</f>
        <v>11.37</v>
      </c>
      <c r="O467" s="55" t="str">
        <f aca="false">IF(04_Especiales!P92="","",04_Especiales!P92)</f>
        <v>12:00-15:00</v>
      </c>
      <c r="P467" s="55" t="n">
        <f aca="false">IF(04_Especiales!Q92="","",04_Especiales!Q92)</f>
        <v>12</v>
      </c>
      <c r="Q467" s="55" t="str">
        <f aca="false">IF(04_Especiales!R92="","",04_Especiales!R92)</f>
        <v>Alto</v>
      </c>
      <c r="R467" s="55" t="str">
        <f aca="false">IF(04_Especiales!S92="","",04_Especiales!S92)</f>
        <v>Año escolar</v>
      </c>
      <c r="S467" s="55" t="str">
        <f aca="false">IF(04_Especiales!T92="","",04_Especiales!T92)</f>
        <v>Saludable</v>
      </c>
      <c r="T467" s="56" t="str">
        <f aca="false">IF(04_Especiales!U92="","",04_Especiales!U92)</f>
        <v/>
      </c>
      <c r="U467" s="55" t="n">
        <v>92</v>
      </c>
      <c r="V467" s="55" t="n">
        <f aca="false">IF(AND(OR(LEN(13_Buscador!$C$5)=0,ISNUMBER(SEARCH(13_Buscador!$C$5,$C467&amp;" "&amp;$D467&amp;" "&amp;$E467&amp;" "&amp;$F467&amp;" "&amp;$S467))),OR(13_Buscador!$C$6="Todas las listas",LEN(13_Buscador!$C$6)=0,13_Buscador!$C$6=$B467)),1,0)</f>
        <v>0</v>
      </c>
      <c r="W467" s="55" t="str">
        <f aca="false">IF(V467=1,SUM($V$2:V467),"")</f>
        <v/>
      </c>
    </row>
    <row r="468" customFormat="false" ht="15" hidden="false" customHeight="true" outlineLevel="0" collapsed="false">
      <c r="A468" s="55" t="n">
        <v>467</v>
      </c>
      <c r="B468" s="55" t="s">
        <v>3330</v>
      </c>
      <c r="C468" s="55" t="str">
        <f aca="false">IF(04_Especiales!B93="","",04_Especiales!B93)</f>
        <v>Especial turístico</v>
      </c>
      <c r="D468" s="56" t="str">
        <f aca="false">IF(04_Especiales!C93="","",04_Especiales!C93)</f>
        <v>Almuerzo campestre en recreo</v>
      </c>
      <c r="E468" s="56" t="str">
        <f aca="false">IF(04_Especiales!D93="","",04_Especiales!D93)</f>
        <v>Plato típico en recreo</v>
      </c>
      <c r="F468" s="56" t="str">
        <f aca="false">IF(04_Especiales!E93="","",04_Especiales!E93)</f>
        <v>preparación del día del local</v>
      </c>
      <c r="G468" s="55" t="str">
        <f aca="false">IF(04_Especiales!F93="","",04_Especiales!F93)</f>
        <v>Por persona</v>
      </c>
      <c r="H468" s="55" t="str">
        <f aca="false">IF(04_Especiales!G93="","",04_Especiales!G93)</f>
        <v>Premium</v>
      </c>
      <c r="I468" s="58" t="n">
        <f aca="false">IF(04_Especiales!H93="","",04_Especiales!H93)</f>
        <v>30</v>
      </c>
      <c r="J468" s="58" t="n">
        <f aca="false">IF(04_Especiales!I93="","",04_Especiales!I93)</f>
        <v>60</v>
      </c>
      <c r="K468" s="58" t="n">
        <f aca="false">IF(04_Especiales!J93="","",04_Especiales!J93)</f>
        <v>45</v>
      </c>
      <c r="L468" s="58" t="n">
        <f aca="false">IF(04_Especiales!L93="","",04_Especiales!L93)</f>
        <v>46.5</v>
      </c>
      <c r="M468" s="58" t="n">
        <f aca="false">IF(04_Especiales!N93="","",04_Especiales!N93)</f>
        <v>5.85</v>
      </c>
      <c r="N468" s="58" t="n">
        <f aca="false">IF(04_Especiales!O93="","",04_Especiales!O93)</f>
        <v>39.15</v>
      </c>
      <c r="O468" s="55" t="str">
        <f aca="false">IF(04_Especiales!P93="","",04_Especiales!P93)</f>
        <v>12:00-17:00</v>
      </c>
      <c r="P468" s="55" t="n">
        <f aca="false">IF(04_Especiales!Q93="","",04_Especiales!Q93)</f>
        <v>30</v>
      </c>
      <c r="Q468" s="55" t="str">
        <f aca="false">IF(04_Especiales!R93="","",04_Especiales!R93)</f>
        <v>Bajo</v>
      </c>
      <c r="R468" s="55" t="str">
        <f aca="false">IF(04_Especiales!S93="","",04_Especiales!S93)</f>
        <v>Fin de semana</v>
      </c>
      <c r="S468" s="55" t="str">
        <f aca="false">IF(04_Especiales!T93="","",04_Especiales!T93)</f>
        <v>Campestre</v>
      </c>
      <c r="T468" s="56" t="str">
        <f aca="false">IF(04_Especiales!U93="","",04_Especiales!U93)</f>
        <v>Fuera del radio urbano</v>
      </c>
      <c r="U468" s="55" t="n">
        <v>93</v>
      </c>
      <c r="V468" s="55" t="n">
        <f aca="false">IF(AND(OR(LEN(13_Buscador!$C$5)=0,ISNUMBER(SEARCH(13_Buscador!$C$5,$C468&amp;" "&amp;$D468&amp;" "&amp;$E468&amp;" "&amp;$F468&amp;" "&amp;$S468))),OR(13_Buscador!$C$6="Todas las listas",LEN(13_Buscador!$C$6)=0,13_Buscador!$C$6=$B468)),1,0)</f>
        <v>0</v>
      </c>
      <c r="W468" s="55" t="str">
        <f aca="false">IF(V468=1,SUM($V$2:V468),"")</f>
        <v/>
      </c>
    </row>
    <row r="469" customFormat="false" ht="15" hidden="false" customHeight="true" outlineLevel="0" collapsed="false">
      <c r="A469" s="55" t="n">
        <v>468</v>
      </c>
      <c r="B469" s="55" t="s">
        <v>3330</v>
      </c>
      <c r="C469" s="55" t="str">
        <f aca="false">IF(04_Especiales!B94="","",04_Especiales!B94)</f>
        <v>Especial turístico</v>
      </c>
      <c r="D469" s="56" t="str">
        <f aca="false">IF(04_Especiales!C94="","",04_Especiales!C94)</f>
        <v>Menú Candelaria</v>
      </c>
      <c r="E469" s="56" t="str">
        <f aca="false">IF(04_Especiales!D94="","",04_Especiales!D94)</f>
        <v>Plato típico de la festividad</v>
      </c>
      <c r="F469" s="56" t="str">
        <f aca="false">IF(04_Especiales!E94="","",04_Especiales!E94)</f>
        <v>preparación del día del local</v>
      </c>
      <c r="G469" s="55" t="str">
        <f aca="false">IF(04_Especiales!F94="","",04_Especiales!F94)</f>
        <v>Bandeja</v>
      </c>
      <c r="H469" s="55" t="str">
        <f aca="false">IF(04_Especiales!G94="","",04_Especiales!G94)</f>
        <v>Medio</v>
      </c>
      <c r="I469" s="58" t="n">
        <f aca="false">IF(04_Especiales!H94="","",04_Especiales!H94)</f>
        <v>18</v>
      </c>
      <c r="J469" s="58" t="n">
        <f aca="false">IF(04_Especiales!I94="","",04_Especiales!I94)</f>
        <v>35</v>
      </c>
      <c r="K469" s="58" t="n">
        <f aca="false">IF(04_Especiales!J94="","",04_Especiales!J94)</f>
        <v>26.5</v>
      </c>
      <c r="L469" s="58" t="n">
        <f aca="false">IF(04_Especiales!L94="","",04_Especiales!L94)</f>
        <v>28</v>
      </c>
      <c r="M469" s="58" t="n">
        <f aca="false">IF(04_Especiales!N94="","",04_Especiales!N94)</f>
        <v>2.92</v>
      </c>
      <c r="N469" s="58" t="n">
        <f aca="false">IF(04_Especiales!O94="","",04_Especiales!O94)</f>
        <v>23.58</v>
      </c>
      <c r="O469" s="55" t="str">
        <f aca="false">IF(04_Especiales!P94="","",04_Especiales!P94)</f>
        <v>11:00-17:00</v>
      </c>
      <c r="P469" s="55" t="n">
        <f aca="false">IF(04_Especiales!Q94="","",04_Especiales!Q94)</f>
        <v>20</v>
      </c>
      <c r="Q469" s="55" t="str">
        <f aca="false">IF(04_Especiales!R94="","",04_Especiales!R94)</f>
        <v>Medio</v>
      </c>
      <c r="R469" s="55" t="str">
        <f aca="false">IF(04_Especiales!S94="","",04_Especiales!S94)</f>
        <v>Febrero</v>
      </c>
      <c r="S469" s="55" t="str">
        <f aca="false">IF(04_Especiales!T94="","",04_Especiales!T94)</f>
        <v>Regional</v>
      </c>
      <c r="T469" s="56" t="str">
        <f aca="false">IF(04_Especiales!U94="","",04_Especiales!U94)</f>
        <v>Pico anual de demanda en la ciudad</v>
      </c>
      <c r="U469" s="55" t="n">
        <v>94</v>
      </c>
      <c r="V469" s="55" t="n">
        <f aca="false">IF(AND(OR(LEN(13_Buscador!$C$5)=0,ISNUMBER(SEARCH(13_Buscador!$C$5,$C469&amp;" "&amp;$D469&amp;" "&amp;$E469&amp;" "&amp;$F469&amp;" "&amp;$S469))),OR(13_Buscador!$C$6="Todas las listas",LEN(13_Buscador!$C$6)=0,13_Buscador!$C$6=$B469)),1,0)</f>
        <v>0</v>
      </c>
      <c r="W469" s="55" t="str">
        <f aca="false">IF(V469=1,SUM($V$2:V469),"")</f>
        <v/>
      </c>
    </row>
    <row r="470" customFormat="false" ht="15" hidden="false" customHeight="true" outlineLevel="0" collapsed="false">
      <c r="A470" s="55" t="n">
        <v>469</v>
      </c>
      <c r="B470" s="55" t="s">
        <v>3330</v>
      </c>
      <c r="C470" s="55" t="str">
        <f aca="false">IF(04_Especiales!B95="","",04_Especiales!B95)</f>
        <v>Especial turístico</v>
      </c>
      <c r="D470" s="56" t="str">
        <f aca="false">IF(04_Especiales!C95="","",04_Especiales!C95)</f>
        <v>Menú aniversario de Puno</v>
      </c>
      <c r="E470" s="56" t="str">
        <f aca="false">IF(04_Especiales!D95="","",04_Especiales!D95)</f>
        <v>Plato de la fecha</v>
      </c>
      <c r="F470" s="56" t="str">
        <f aca="false">IF(04_Especiales!E95="","",04_Especiales!E95)</f>
        <v>preparación del día del local</v>
      </c>
      <c r="G470" s="55" t="str">
        <f aca="false">IF(04_Especiales!F95="","",04_Especiales!F95)</f>
        <v>Bandeja</v>
      </c>
      <c r="H470" s="55" t="str">
        <f aca="false">IF(04_Especiales!G95="","",04_Especiales!G95)</f>
        <v>Medio</v>
      </c>
      <c r="I470" s="58" t="n">
        <f aca="false">IF(04_Especiales!H95="","",04_Especiales!H95)</f>
        <v>18</v>
      </c>
      <c r="J470" s="58" t="n">
        <f aca="false">IF(04_Especiales!I95="","",04_Especiales!I95)</f>
        <v>35</v>
      </c>
      <c r="K470" s="58" t="n">
        <f aca="false">IF(04_Especiales!J95="","",04_Especiales!J95)</f>
        <v>26.5</v>
      </c>
      <c r="L470" s="58" t="n">
        <f aca="false">IF(04_Especiales!L95="","",04_Especiales!L95)</f>
        <v>28</v>
      </c>
      <c r="M470" s="58" t="n">
        <f aca="false">IF(04_Especiales!N95="","",04_Especiales!N95)</f>
        <v>2.92</v>
      </c>
      <c r="N470" s="58" t="n">
        <f aca="false">IF(04_Especiales!O95="","",04_Especiales!O95)</f>
        <v>23.58</v>
      </c>
      <c r="O470" s="55" t="str">
        <f aca="false">IF(04_Especiales!P95="","",04_Especiales!P95)</f>
        <v>11:00-17:00</v>
      </c>
      <c r="P470" s="55" t="n">
        <f aca="false">IF(04_Especiales!Q95="","",04_Especiales!Q95)</f>
        <v>20</v>
      </c>
      <c r="Q470" s="55" t="str">
        <f aca="false">IF(04_Especiales!R95="","",04_Especiales!R95)</f>
        <v>Medio</v>
      </c>
      <c r="R470" s="55" t="str">
        <f aca="false">IF(04_Especiales!S95="","",04_Especiales!S95)</f>
        <v>Noviembre</v>
      </c>
      <c r="S470" s="55" t="str">
        <f aca="false">IF(04_Especiales!T95="","",04_Especiales!T95)</f>
        <v>Regional</v>
      </c>
      <c r="T470" s="56" t="str">
        <f aca="false">IF(04_Especiales!U95="","",04_Especiales!U95)</f>
        <v/>
      </c>
      <c r="U470" s="55" t="n">
        <v>95</v>
      </c>
      <c r="V470" s="55" t="n">
        <f aca="false">IF(AND(OR(LEN(13_Buscador!$C$5)=0,ISNUMBER(SEARCH(13_Buscador!$C$5,$C470&amp;" "&amp;$D470&amp;" "&amp;$E470&amp;" "&amp;$F470&amp;" "&amp;$S470))),OR(13_Buscador!$C$6="Todas las listas",LEN(13_Buscador!$C$6)=0,13_Buscador!$C$6=$B470)),1,0)</f>
        <v>0</v>
      </c>
      <c r="W470" s="55" t="str">
        <f aca="false">IF(V470=1,SUM($V$2:V470),"")</f>
        <v/>
      </c>
    </row>
    <row r="471" customFormat="false" ht="15" hidden="false" customHeight="true" outlineLevel="0" collapsed="false">
      <c r="A471" s="55" t="n">
        <v>470</v>
      </c>
      <c r="B471" s="55" t="s">
        <v>3330</v>
      </c>
      <c r="C471" s="55" t="str">
        <f aca="false">IF(04_Especiales!B96="","",04_Especiales!B96)</f>
        <v>Especial turístico</v>
      </c>
      <c r="D471" s="56" t="str">
        <f aca="false">IF(04_Especiales!C96="","",04_Especiales!C96)</f>
        <v>Picnic para excursión</v>
      </c>
      <c r="E471" s="56" t="str">
        <f aca="false">IF(04_Especiales!D96="","",04_Especiales!D96)</f>
        <v>Comida para llevar al lago</v>
      </c>
      <c r="F471" s="56" t="str">
        <f aca="false">IF(04_Especiales!E96="","",04_Especiales!E96)</f>
        <v>sándwich, fruta, bebida, galleta</v>
      </c>
      <c r="G471" s="55" t="str">
        <f aca="false">IF(04_Especiales!F96="","",04_Especiales!F96)</f>
        <v>Caja</v>
      </c>
      <c r="H471" s="55" t="str">
        <f aca="false">IF(04_Especiales!G96="","",04_Especiales!G96)</f>
        <v>Medio</v>
      </c>
      <c r="I471" s="58" t="n">
        <f aca="false">IF(04_Especiales!H96="","",04_Especiales!H96)</f>
        <v>18</v>
      </c>
      <c r="J471" s="58" t="n">
        <f aca="false">IF(04_Especiales!I96="","",04_Especiales!I96)</f>
        <v>35</v>
      </c>
      <c r="K471" s="58" t="n">
        <f aca="false">IF(04_Especiales!J96="","",04_Especiales!J96)</f>
        <v>26.5</v>
      </c>
      <c r="L471" s="58" t="n">
        <f aca="false">IF(04_Especiales!L96="","",04_Especiales!L96)</f>
        <v>28</v>
      </c>
      <c r="M471" s="58" t="n">
        <f aca="false">IF(04_Especiales!N96="","",04_Especiales!N96)</f>
        <v>2.92</v>
      </c>
      <c r="N471" s="58" t="n">
        <f aca="false">IF(04_Especiales!O96="","",04_Especiales!O96)</f>
        <v>23.58</v>
      </c>
      <c r="O471" s="55" t="str">
        <f aca="false">IF(04_Especiales!P96="","",04_Especiales!P96)</f>
        <v>05:00-09:00</v>
      </c>
      <c r="P471" s="55" t="n">
        <f aca="false">IF(04_Especiales!Q96="","",04_Especiales!Q96)</f>
        <v>20</v>
      </c>
      <c r="Q471" s="55" t="str">
        <f aca="false">IF(04_Especiales!R96="","",04_Especiales!R96)</f>
        <v>Alto</v>
      </c>
      <c r="R471" s="55" t="str">
        <f aca="false">IF(04_Especiales!S96="","",04_Especiales!S96)</f>
        <v>Temporada alta jun-ago</v>
      </c>
      <c r="S471" s="55" t="str">
        <f aca="false">IF(04_Especiales!T96="","",04_Especiales!T96)</f>
        <v>Catering</v>
      </c>
      <c r="T471" s="56" t="str">
        <f aca="false">IF(04_Especiales!U96="","",04_Especiales!U96)</f>
        <v/>
      </c>
      <c r="U471" s="55" t="n">
        <v>96</v>
      </c>
      <c r="V471" s="55" t="n">
        <f aca="false">IF(AND(OR(LEN(13_Buscador!$C$5)=0,ISNUMBER(SEARCH(13_Buscador!$C$5,$C471&amp;" "&amp;$D471&amp;" "&amp;$E471&amp;" "&amp;$F471&amp;" "&amp;$S471))),OR(13_Buscador!$C$6="Todas las listas",LEN(13_Buscador!$C$6)=0,13_Buscador!$C$6=$B471)),1,0)</f>
        <v>0</v>
      </c>
      <c r="W471" s="55" t="str">
        <f aca="false">IF(V471=1,SUM($V$2:V471),"")</f>
        <v/>
      </c>
    </row>
    <row r="472" customFormat="false" ht="15" hidden="false" customHeight="true" outlineLevel="0" collapsed="false">
      <c r="A472" s="55" t="n">
        <v>471</v>
      </c>
      <c r="B472" s="55" t="s">
        <v>3330</v>
      </c>
      <c r="C472" s="55" t="str">
        <f aca="false">IF(04_Especiales!B97="","",04_Especiales!B97)</f>
        <v>Especial turístico</v>
      </c>
      <c r="D472" s="56" t="str">
        <f aca="false">IF(04_Especiales!C97="","",04_Especiales!C97)</f>
        <v>Degustación de licores regionales</v>
      </c>
      <c r="E472" s="56" t="str">
        <f aca="false">IF(04_Especiales!D97="","",04_Especiales!D97)</f>
        <v>Tabla con licores locales</v>
      </c>
      <c r="F472" s="56" t="str">
        <f aca="false">IF(04_Especiales!E97="","",04_Especiales!E97)</f>
        <v>surtido de preparaciones típicas de la casa</v>
      </c>
      <c r="G472" s="55" t="str">
        <f aca="false">IF(04_Especiales!F97="","",04_Especiales!F97)</f>
        <v>Tabla</v>
      </c>
      <c r="H472" s="55" t="str">
        <f aca="false">IF(04_Especiales!G97="","",04_Especiales!G97)</f>
        <v>Premium</v>
      </c>
      <c r="I472" s="58" t="n">
        <f aca="false">IF(04_Especiales!H97="","",04_Especiales!H97)</f>
        <v>35</v>
      </c>
      <c r="J472" s="58" t="n">
        <f aca="false">IF(04_Especiales!I97="","",04_Especiales!I97)</f>
        <v>80</v>
      </c>
      <c r="K472" s="58" t="n">
        <f aca="false">IF(04_Especiales!J97="","",04_Especiales!J97)</f>
        <v>57.5</v>
      </c>
      <c r="L472" s="58" t="n">
        <f aca="false">IF(04_Especiales!L97="","",04_Especiales!L97)</f>
        <v>59</v>
      </c>
      <c r="M472" s="58" t="n">
        <f aca="false">IF(04_Especiales!N97="","",04_Especiales!N97)</f>
        <v>7.48</v>
      </c>
      <c r="N472" s="58" t="n">
        <f aca="false">IF(04_Especiales!O97="","",04_Especiales!O97)</f>
        <v>50.02</v>
      </c>
      <c r="O472" s="55" t="str">
        <f aca="false">IF(04_Especiales!P97="","",04_Especiales!P97)</f>
        <v>18:00-23:00</v>
      </c>
      <c r="P472" s="55" t="n">
        <f aca="false">IF(04_Especiales!Q97="","",04_Especiales!Q97)</f>
        <v>10</v>
      </c>
      <c r="Q472" s="55" t="str">
        <f aca="false">IF(04_Especiales!R97="","",04_Especiales!R97)</f>
        <v>Medio</v>
      </c>
      <c r="R472" s="55" t="str">
        <f aca="false">IF(04_Especiales!S97="","",04_Especiales!S97)</f>
        <v>Todo el año</v>
      </c>
      <c r="S472" s="55" t="str">
        <f aca="false">IF(04_Especiales!T97="","",04_Especiales!T97)</f>
        <v>Bar turístico</v>
      </c>
      <c r="T472" s="56" t="str">
        <f aca="false">IF(04_Especiales!U97="","",04_Especiales!U97)</f>
        <v>Cruce con la lista 07</v>
      </c>
      <c r="U472" s="55" t="n">
        <v>97</v>
      </c>
      <c r="V472" s="55" t="n">
        <f aca="false">IF(AND(OR(LEN(13_Buscador!$C$5)=0,ISNUMBER(SEARCH(13_Buscador!$C$5,$C472&amp;" "&amp;$D472&amp;" "&amp;$E472&amp;" "&amp;$F472&amp;" "&amp;$S472))),OR(13_Buscador!$C$6="Todas las listas",LEN(13_Buscador!$C$6)=0,13_Buscador!$C$6=$B472)),1,0)</f>
        <v>0</v>
      </c>
      <c r="W472" s="55" t="str">
        <f aca="false">IF(V472=1,SUM($V$2:V472),"")</f>
        <v/>
      </c>
    </row>
    <row r="473" customFormat="false" ht="15" hidden="false" customHeight="true" outlineLevel="0" collapsed="false">
      <c r="A473" s="55" t="n">
        <v>472</v>
      </c>
      <c r="B473" s="55" t="s">
        <v>3331</v>
      </c>
      <c r="C473" s="55" t="str">
        <f aca="false">IF(05_Jugos_Aperitivos!B2="","",05_Jugos_Aperitivos!B2)</f>
        <v>Jugos naturales</v>
      </c>
      <c r="D473" s="56" t="str">
        <f aca="false">IF(05_Jugos_Aperitivos!C2="","",05_Jugos_Aperitivos!C2)</f>
        <v>Jugo de papaya</v>
      </c>
      <c r="E473" s="56" t="str">
        <f aca="false">IF(05_Jugos_Aperitivos!D2="","",05_Jugos_Aperitivos!D2)</f>
        <v>Jugo natural</v>
      </c>
      <c r="F473" s="56" t="str">
        <f aca="false">IF(05_Jugos_Aperitivos!E2="","",05_Jugos_Aperitivos!E2)</f>
        <v>papaya, agua o leche, azúcar</v>
      </c>
      <c r="G473" s="55" t="str">
        <f aca="false">IF(05_Jugos_Aperitivos!F2="","",05_Jugos_Aperitivos!F2)</f>
        <v>Vaso 500 ml</v>
      </c>
      <c r="H473" s="55" t="str">
        <f aca="false">IF(05_Jugos_Aperitivos!G2="","",05_Jugos_Aperitivos!G2)</f>
        <v>Económico</v>
      </c>
      <c r="I473" s="58" t="n">
        <f aca="false">IF(05_Jugos_Aperitivos!H2="","",05_Jugos_Aperitivos!H2)</f>
        <v>4</v>
      </c>
      <c r="J473" s="58" t="n">
        <f aca="false">IF(05_Jugos_Aperitivos!I2="","",05_Jugos_Aperitivos!I2)</f>
        <v>8</v>
      </c>
      <c r="K473" s="58" t="n">
        <f aca="false">IF(05_Jugos_Aperitivos!J2="","",05_Jugos_Aperitivos!J2)</f>
        <v>6</v>
      </c>
      <c r="L473" s="58" t="n">
        <f aca="false">IF(05_Jugos_Aperitivos!L2="","",05_Jugos_Aperitivos!L2)</f>
        <v>6.5</v>
      </c>
      <c r="M473" s="58" t="n">
        <f aca="false">IF(05_Jugos_Aperitivos!N2="","",05_Jugos_Aperitivos!N2)</f>
        <v>0.42</v>
      </c>
      <c r="N473" s="58" t="n">
        <f aca="false">IF(05_Jugos_Aperitivos!O2="","",05_Jugos_Aperitivos!O2)</f>
        <v>5.58</v>
      </c>
      <c r="O473" s="55" t="str">
        <f aca="false">IF(05_Jugos_Aperitivos!P2="","",05_Jugos_Aperitivos!P2)</f>
        <v>06:00-12:00</v>
      </c>
      <c r="P473" s="55" t="n">
        <f aca="false">IF(05_Jugos_Aperitivos!Q2="","",05_Jugos_Aperitivos!Q2)</f>
        <v>5</v>
      </c>
      <c r="Q473" s="55" t="str">
        <f aca="false">IF(05_Jugos_Aperitivos!R2="","",05_Jugos_Aperitivos!R2)</f>
        <v>Alto</v>
      </c>
      <c r="R473" s="55" t="str">
        <f aca="false">IF(05_Jugos_Aperitivos!S2="","",05_Jugos_Aperitivos!S2)</f>
        <v>Todo el año</v>
      </c>
      <c r="S473" s="55" t="str">
        <f aca="false">IF(05_Jugos_Aperitivos!T2="","",05_Jugos_Aperitivos!T2)</f>
        <v>Juguería, mercado</v>
      </c>
      <c r="T473" s="56" t="str">
        <f aca="false">IF(05_Jugos_Aperitivos!U2="","",05_Jugos_Aperitivos!U2)</f>
        <v>Mercado Central concentra juguerías</v>
      </c>
      <c r="U473" s="55" t="n">
        <v>2</v>
      </c>
      <c r="V473" s="55" t="n">
        <f aca="false">IF(AND(OR(LEN(13_Buscador!$C$5)=0,ISNUMBER(SEARCH(13_Buscador!$C$5,$C473&amp;" "&amp;$D473&amp;" "&amp;$E473&amp;" "&amp;$F473&amp;" "&amp;$S473))),OR(13_Buscador!$C$6="Todas las listas",LEN(13_Buscador!$C$6)=0,13_Buscador!$C$6=$B473)),1,0)</f>
        <v>0</v>
      </c>
      <c r="W473" s="55" t="str">
        <f aca="false">IF(V473=1,SUM($V$2:V473),"")</f>
        <v/>
      </c>
    </row>
    <row r="474" customFormat="false" ht="15" hidden="false" customHeight="true" outlineLevel="0" collapsed="false">
      <c r="A474" s="55" t="n">
        <v>473</v>
      </c>
      <c r="B474" s="55" t="s">
        <v>3331</v>
      </c>
      <c r="C474" s="55" t="str">
        <f aca="false">IF(05_Jugos_Aperitivos!B3="","",05_Jugos_Aperitivos!B3)</f>
        <v>Jugos naturales</v>
      </c>
      <c r="D474" s="56" t="str">
        <f aca="false">IF(05_Jugos_Aperitivos!C3="","",05_Jugos_Aperitivos!C3)</f>
        <v>Jugo de piña</v>
      </c>
      <c r="E474" s="56" t="str">
        <f aca="false">IF(05_Jugos_Aperitivos!D3="","",05_Jugos_Aperitivos!D3)</f>
        <v>Jugo natural</v>
      </c>
      <c r="F474" s="56" t="str">
        <f aca="false">IF(05_Jugos_Aperitivos!E3="","",05_Jugos_Aperitivos!E3)</f>
        <v>piña, agua, azúcar</v>
      </c>
      <c r="G474" s="55" t="str">
        <f aca="false">IF(05_Jugos_Aperitivos!F3="","",05_Jugos_Aperitivos!F3)</f>
        <v>Vaso 500 ml</v>
      </c>
      <c r="H474" s="55" t="str">
        <f aca="false">IF(05_Jugos_Aperitivos!G3="","",05_Jugos_Aperitivos!G3)</f>
        <v>Económico</v>
      </c>
      <c r="I474" s="58" t="n">
        <f aca="false">IF(05_Jugos_Aperitivos!H3="","",05_Jugos_Aperitivos!H3)</f>
        <v>4</v>
      </c>
      <c r="J474" s="58" t="n">
        <f aca="false">IF(05_Jugos_Aperitivos!I3="","",05_Jugos_Aperitivos!I3)</f>
        <v>8</v>
      </c>
      <c r="K474" s="58" t="n">
        <f aca="false">IF(05_Jugos_Aperitivos!J3="","",05_Jugos_Aperitivos!J3)</f>
        <v>6</v>
      </c>
      <c r="L474" s="58" t="n">
        <f aca="false">IF(05_Jugos_Aperitivos!L3="","",05_Jugos_Aperitivos!L3)</f>
        <v>6.5</v>
      </c>
      <c r="M474" s="58" t="n">
        <f aca="false">IF(05_Jugos_Aperitivos!N3="","",05_Jugos_Aperitivos!N3)</f>
        <v>0.42</v>
      </c>
      <c r="N474" s="58" t="n">
        <f aca="false">IF(05_Jugos_Aperitivos!O3="","",05_Jugos_Aperitivos!O3)</f>
        <v>5.58</v>
      </c>
      <c r="O474" s="55" t="str">
        <f aca="false">IF(05_Jugos_Aperitivos!P3="","",05_Jugos_Aperitivos!P3)</f>
        <v>06:00-12:00</v>
      </c>
      <c r="P474" s="55" t="n">
        <f aca="false">IF(05_Jugos_Aperitivos!Q3="","",05_Jugos_Aperitivos!Q3)</f>
        <v>5</v>
      </c>
      <c r="Q474" s="55" t="str">
        <f aca="false">IF(05_Jugos_Aperitivos!R3="","",05_Jugos_Aperitivos!R3)</f>
        <v>Alto</v>
      </c>
      <c r="R474" s="55" t="str">
        <f aca="false">IF(05_Jugos_Aperitivos!S3="","",05_Jugos_Aperitivos!S3)</f>
        <v>Todo el año</v>
      </c>
      <c r="S474" s="55" t="str">
        <f aca="false">IF(05_Jugos_Aperitivos!T3="","",05_Jugos_Aperitivos!T3)</f>
        <v>Juguería</v>
      </c>
      <c r="T474" s="56" t="str">
        <f aca="false">IF(05_Jugos_Aperitivos!U3="","",05_Jugos_Aperitivos!U3)</f>
        <v/>
      </c>
      <c r="U474" s="55" t="n">
        <v>3</v>
      </c>
      <c r="V474" s="55" t="n">
        <f aca="false">IF(AND(OR(LEN(13_Buscador!$C$5)=0,ISNUMBER(SEARCH(13_Buscador!$C$5,$C474&amp;" "&amp;$D474&amp;" "&amp;$E474&amp;" "&amp;$F474&amp;" "&amp;$S474))),OR(13_Buscador!$C$6="Todas las listas",LEN(13_Buscador!$C$6)=0,13_Buscador!$C$6=$B474)),1,0)</f>
        <v>0</v>
      </c>
      <c r="W474" s="55" t="str">
        <f aca="false">IF(V474=1,SUM($V$2:V474),"")</f>
        <v/>
      </c>
    </row>
    <row r="475" customFormat="false" ht="15" hidden="false" customHeight="true" outlineLevel="0" collapsed="false">
      <c r="A475" s="55" t="n">
        <v>474</v>
      </c>
      <c r="B475" s="55" t="s">
        <v>3331</v>
      </c>
      <c r="C475" s="55" t="str">
        <f aca="false">IF(05_Jugos_Aperitivos!B4="","",05_Jugos_Aperitivos!B4)</f>
        <v>Jugos naturales</v>
      </c>
      <c r="D475" s="56" t="str">
        <f aca="false">IF(05_Jugos_Aperitivos!C4="","",05_Jugos_Aperitivos!C4)</f>
        <v>Jugo de naranja</v>
      </c>
      <c r="E475" s="56" t="str">
        <f aca="false">IF(05_Jugos_Aperitivos!D4="","",05_Jugos_Aperitivos!D4)</f>
        <v>Exprimido natural</v>
      </c>
      <c r="F475" s="56" t="str">
        <f aca="false">IF(05_Jugos_Aperitivos!E4="","",05_Jugos_Aperitivos!E4)</f>
        <v>naranja exprimida</v>
      </c>
      <c r="G475" s="55" t="str">
        <f aca="false">IF(05_Jugos_Aperitivos!F4="","",05_Jugos_Aperitivos!F4)</f>
        <v>Vaso 500 ml</v>
      </c>
      <c r="H475" s="55" t="str">
        <f aca="false">IF(05_Jugos_Aperitivos!G4="","",05_Jugos_Aperitivos!G4)</f>
        <v>Económico</v>
      </c>
      <c r="I475" s="58" t="n">
        <f aca="false">IF(05_Jugos_Aperitivos!H4="","",05_Jugos_Aperitivos!H4)</f>
        <v>4</v>
      </c>
      <c r="J475" s="58" t="n">
        <f aca="false">IF(05_Jugos_Aperitivos!I4="","",05_Jugos_Aperitivos!I4)</f>
        <v>9</v>
      </c>
      <c r="K475" s="58" t="n">
        <f aca="false">IF(05_Jugos_Aperitivos!J4="","",05_Jugos_Aperitivos!J4)</f>
        <v>6.5</v>
      </c>
      <c r="L475" s="58" t="n">
        <f aca="false">IF(05_Jugos_Aperitivos!L4="","",05_Jugos_Aperitivos!L4)</f>
        <v>7</v>
      </c>
      <c r="M475" s="58" t="n">
        <f aca="false">IF(05_Jugos_Aperitivos!N4="","",05_Jugos_Aperitivos!N4)</f>
        <v>0.46</v>
      </c>
      <c r="N475" s="58" t="n">
        <f aca="false">IF(05_Jugos_Aperitivos!O4="","",05_Jugos_Aperitivos!O4)</f>
        <v>6.04</v>
      </c>
      <c r="O475" s="55" t="str">
        <f aca="false">IF(05_Jugos_Aperitivos!P4="","",05_Jugos_Aperitivos!P4)</f>
        <v>06:00-12:00</v>
      </c>
      <c r="P475" s="55" t="n">
        <f aca="false">IF(05_Jugos_Aperitivos!Q4="","",05_Jugos_Aperitivos!Q4)</f>
        <v>5</v>
      </c>
      <c r="Q475" s="55" t="str">
        <f aca="false">IF(05_Jugos_Aperitivos!R4="","",05_Jugos_Aperitivos!R4)</f>
        <v>Alto</v>
      </c>
      <c r="R475" s="55" t="str">
        <f aca="false">IF(05_Jugos_Aperitivos!S4="","",05_Jugos_Aperitivos!S4)</f>
        <v>Todo el año</v>
      </c>
      <c r="S475" s="55" t="str">
        <f aca="false">IF(05_Jugos_Aperitivos!T4="","",05_Jugos_Aperitivos!T4)</f>
        <v>Juguería</v>
      </c>
      <c r="T475" s="56" t="str">
        <f aca="false">IF(05_Jugos_Aperitivos!U4="","",05_Jugos_Aperitivos!U4)</f>
        <v/>
      </c>
      <c r="U475" s="55" t="n">
        <v>4</v>
      </c>
      <c r="V475" s="55" t="n">
        <f aca="false">IF(AND(OR(LEN(13_Buscador!$C$5)=0,ISNUMBER(SEARCH(13_Buscador!$C$5,$C475&amp;" "&amp;$D475&amp;" "&amp;$E475&amp;" "&amp;$F475&amp;" "&amp;$S475))),OR(13_Buscador!$C$6="Todas las listas",LEN(13_Buscador!$C$6)=0,13_Buscador!$C$6=$B475)),1,0)</f>
        <v>0</v>
      </c>
      <c r="W475" s="55" t="str">
        <f aca="false">IF(V475=1,SUM($V$2:V475),"")</f>
        <v/>
      </c>
    </row>
    <row r="476" customFormat="false" ht="15" hidden="false" customHeight="true" outlineLevel="0" collapsed="false">
      <c r="A476" s="55" t="n">
        <v>475</v>
      </c>
      <c r="B476" s="55" t="s">
        <v>3331</v>
      </c>
      <c r="C476" s="55" t="str">
        <f aca="false">IF(05_Jugos_Aperitivos!B5="","",05_Jugos_Aperitivos!B5)</f>
        <v>Jugos naturales</v>
      </c>
      <c r="D476" s="56" t="str">
        <f aca="false">IF(05_Jugos_Aperitivos!C5="","",05_Jugos_Aperitivos!C5)</f>
        <v>Jugo de plátano con leche</v>
      </c>
      <c r="E476" s="56" t="str">
        <f aca="false">IF(05_Jugos_Aperitivos!D5="","",05_Jugos_Aperitivos!D5)</f>
        <v>Batido</v>
      </c>
      <c r="F476" s="56" t="str">
        <f aca="false">IF(05_Jugos_Aperitivos!E5="","",05_Jugos_Aperitivos!E5)</f>
        <v>plátano, leche, azúcar</v>
      </c>
      <c r="G476" s="55" t="str">
        <f aca="false">IF(05_Jugos_Aperitivos!F5="","",05_Jugos_Aperitivos!F5)</f>
        <v>Vaso 500 ml</v>
      </c>
      <c r="H476" s="55" t="str">
        <f aca="false">IF(05_Jugos_Aperitivos!G5="","",05_Jugos_Aperitivos!G5)</f>
        <v>Económico</v>
      </c>
      <c r="I476" s="58" t="n">
        <f aca="false">IF(05_Jugos_Aperitivos!H5="","",05_Jugos_Aperitivos!H5)</f>
        <v>5</v>
      </c>
      <c r="J476" s="58" t="n">
        <f aca="false">IF(05_Jugos_Aperitivos!I5="","",05_Jugos_Aperitivos!I5)</f>
        <v>9</v>
      </c>
      <c r="K476" s="58" t="n">
        <f aca="false">IF(05_Jugos_Aperitivos!J5="","",05_Jugos_Aperitivos!J5)</f>
        <v>7</v>
      </c>
      <c r="L476" s="58" t="n">
        <f aca="false">IF(05_Jugos_Aperitivos!L5="","",05_Jugos_Aperitivos!L5)</f>
        <v>7.5</v>
      </c>
      <c r="M476" s="58" t="n">
        <f aca="false">IF(05_Jugos_Aperitivos!N5="","",05_Jugos_Aperitivos!N5)</f>
        <v>0.49</v>
      </c>
      <c r="N476" s="58" t="n">
        <f aca="false">IF(05_Jugos_Aperitivos!O5="","",05_Jugos_Aperitivos!O5)</f>
        <v>6.51</v>
      </c>
      <c r="O476" s="55" t="str">
        <f aca="false">IF(05_Jugos_Aperitivos!P5="","",05_Jugos_Aperitivos!P5)</f>
        <v>06:00-12:00</v>
      </c>
      <c r="P476" s="55" t="n">
        <f aca="false">IF(05_Jugos_Aperitivos!Q5="","",05_Jugos_Aperitivos!Q5)</f>
        <v>5</v>
      </c>
      <c r="Q476" s="55" t="str">
        <f aca="false">IF(05_Jugos_Aperitivos!R5="","",05_Jugos_Aperitivos!R5)</f>
        <v>Alto</v>
      </c>
      <c r="R476" s="55" t="str">
        <f aca="false">IF(05_Jugos_Aperitivos!S5="","",05_Jugos_Aperitivos!S5)</f>
        <v>Todo el año</v>
      </c>
      <c r="S476" s="55" t="str">
        <f aca="false">IF(05_Jugos_Aperitivos!T5="","",05_Jugos_Aperitivos!T5)</f>
        <v>Juguería</v>
      </c>
      <c r="T476" s="56" t="str">
        <f aca="false">IF(05_Jugos_Aperitivos!U5="","",05_Jugos_Aperitivos!U5)</f>
        <v/>
      </c>
      <c r="U476" s="55" t="n">
        <v>5</v>
      </c>
      <c r="V476" s="55" t="n">
        <f aca="false">IF(AND(OR(LEN(13_Buscador!$C$5)=0,ISNUMBER(SEARCH(13_Buscador!$C$5,$C476&amp;" "&amp;$D476&amp;" "&amp;$E476&amp;" "&amp;$F476&amp;" "&amp;$S476))),OR(13_Buscador!$C$6="Todas las listas",LEN(13_Buscador!$C$6)=0,13_Buscador!$C$6=$B476)),1,0)</f>
        <v>0</v>
      </c>
      <c r="W476" s="55" t="str">
        <f aca="false">IF(V476=1,SUM($V$2:V476),"")</f>
        <v/>
      </c>
    </row>
    <row r="477" customFormat="false" ht="15" hidden="false" customHeight="true" outlineLevel="0" collapsed="false">
      <c r="A477" s="55" t="n">
        <v>476</v>
      </c>
      <c r="B477" s="55" t="s">
        <v>3331</v>
      </c>
      <c r="C477" s="55" t="str">
        <f aca="false">IF(05_Jugos_Aperitivos!B6="","",05_Jugos_Aperitivos!B6)</f>
        <v>Jugos naturales</v>
      </c>
      <c r="D477" s="56" t="str">
        <f aca="false">IF(05_Jugos_Aperitivos!C6="","",05_Jugos_Aperitivos!C6)</f>
        <v>Jugo surtido grande</v>
      </c>
      <c r="E477" s="56" t="str">
        <f aca="false">IF(05_Jugos_Aperitivos!D6="","",05_Jugos_Aperitivos!D6)</f>
        <v>Mezcla de frutas</v>
      </c>
      <c r="F477" s="56" t="str">
        <f aca="false">IF(05_Jugos_Aperitivos!E6="","",05_Jugos_Aperitivos!E6)</f>
        <v>frutas surtidas de estación, agua o leche, azúcar</v>
      </c>
      <c r="G477" s="55" t="str">
        <f aca="false">IF(05_Jugos_Aperitivos!F6="","",05_Jugos_Aperitivos!F6)</f>
        <v>Vaso 1 L</v>
      </c>
      <c r="H477" s="55" t="str">
        <f aca="false">IF(05_Jugos_Aperitivos!G6="","",05_Jugos_Aperitivos!G6)</f>
        <v>Económico</v>
      </c>
      <c r="I477" s="58" t="n">
        <f aca="false">IF(05_Jugos_Aperitivos!H6="","",05_Jugos_Aperitivos!H6)</f>
        <v>6</v>
      </c>
      <c r="J477" s="58" t="n">
        <f aca="false">IF(05_Jugos_Aperitivos!I6="","",05_Jugos_Aperitivos!I6)</f>
        <v>12</v>
      </c>
      <c r="K477" s="58" t="n">
        <f aca="false">IF(05_Jugos_Aperitivos!J6="","",05_Jugos_Aperitivos!J6)</f>
        <v>9</v>
      </c>
      <c r="L477" s="58" t="n">
        <f aca="false">IF(05_Jugos_Aperitivos!L6="","",05_Jugos_Aperitivos!L6)</f>
        <v>9.5</v>
      </c>
      <c r="M477" s="58" t="n">
        <f aca="false">IF(05_Jugos_Aperitivos!N6="","",05_Jugos_Aperitivos!N6)</f>
        <v>0.63</v>
      </c>
      <c r="N477" s="58" t="n">
        <f aca="false">IF(05_Jugos_Aperitivos!O6="","",05_Jugos_Aperitivos!O6)</f>
        <v>8.37</v>
      </c>
      <c r="O477" s="55" t="str">
        <f aca="false">IF(05_Jugos_Aperitivos!P6="","",05_Jugos_Aperitivos!P6)</f>
        <v>06:00-12:00</v>
      </c>
      <c r="P477" s="55" t="n">
        <f aca="false">IF(05_Jugos_Aperitivos!Q6="","",05_Jugos_Aperitivos!Q6)</f>
        <v>7</v>
      </c>
      <c r="Q477" s="55" t="str">
        <f aca="false">IF(05_Jugos_Aperitivos!R6="","",05_Jugos_Aperitivos!R6)</f>
        <v>Alto</v>
      </c>
      <c r="R477" s="55" t="str">
        <f aca="false">IF(05_Jugos_Aperitivos!S6="","",05_Jugos_Aperitivos!S6)</f>
        <v>Todo el año</v>
      </c>
      <c r="S477" s="55" t="str">
        <f aca="false">IF(05_Jugos_Aperitivos!T6="","",05_Jugos_Aperitivos!T6)</f>
        <v>Juguería</v>
      </c>
      <c r="T477" s="56" t="str">
        <f aca="false">IF(05_Jugos_Aperitivos!U6="","",05_Jugos_Aperitivos!U6)</f>
        <v>Producto emblemático del mercado</v>
      </c>
      <c r="U477" s="55" t="n">
        <v>6</v>
      </c>
      <c r="V477" s="55" t="n">
        <f aca="false">IF(AND(OR(LEN(13_Buscador!$C$5)=0,ISNUMBER(SEARCH(13_Buscador!$C$5,$C477&amp;" "&amp;$D477&amp;" "&amp;$E477&amp;" "&amp;$F477&amp;" "&amp;$S477))),OR(13_Buscador!$C$6="Todas las listas",LEN(13_Buscador!$C$6)=0,13_Buscador!$C$6=$B477)),1,0)</f>
        <v>0</v>
      </c>
      <c r="W477" s="55" t="str">
        <f aca="false">IF(V477=1,SUM($V$2:V477),"")</f>
        <v/>
      </c>
    </row>
    <row r="478" customFormat="false" ht="23.25" hidden="false" customHeight="true" outlineLevel="0" collapsed="false">
      <c r="A478" s="55" t="n">
        <v>477</v>
      </c>
      <c r="B478" s="55" t="s">
        <v>3331</v>
      </c>
      <c r="C478" s="55" t="str">
        <f aca="false">IF(05_Jugos_Aperitivos!B7="","",05_Jugos_Aperitivos!B7)</f>
        <v>Jugos naturales</v>
      </c>
      <c r="D478" s="56" t="str">
        <f aca="false">IF(05_Jugos_Aperitivos!C7="","",05_Jugos_Aperitivos!C7)</f>
        <v>Jugo especial con huevo de codorniz</v>
      </c>
      <c r="E478" s="56" t="str">
        <f aca="false">IF(05_Jugos_Aperitivos!D7="","",05_Jugos_Aperitivos!D7)</f>
        <v>Jugo reforzado</v>
      </c>
      <c r="F478" s="56" t="str">
        <f aca="false">IF(05_Jugos_Aperitivos!E7="","",05_Jugos_Aperitivos!E7)</f>
        <v>frutas surtidas de estación, agua o leche, azúcar</v>
      </c>
      <c r="G478" s="55" t="str">
        <f aca="false">IF(05_Jugos_Aperitivos!F7="","",05_Jugos_Aperitivos!F7)</f>
        <v>Vaso 1 L</v>
      </c>
      <c r="H478" s="55" t="str">
        <f aca="false">IF(05_Jugos_Aperitivos!G7="","",05_Jugos_Aperitivos!G7)</f>
        <v>Estándar</v>
      </c>
      <c r="I478" s="58" t="n">
        <f aca="false">IF(05_Jugos_Aperitivos!H7="","",05_Jugos_Aperitivos!H7)</f>
        <v>8</v>
      </c>
      <c r="J478" s="58" t="n">
        <f aca="false">IF(05_Jugos_Aperitivos!I7="","",05_Jugos_Aperitivos!I7)</f>
        <v>15</v>
      </c>
      <c r="K478" s="58" t="n">
        <f aca="false">IF(05_Jugos_Aperitivos!J7="","",05_Jugos_Aperitivos!J7)</f>
        <v>11.5</v>
      </c>
      <c r="L478" s="58" t="n">
        <f aca="false">IF(05_Jugos_Aperitivos!L7="","",05_Jugos_Aperitivos!L7)</f>
        <v>12</v>
      </c>
      <c r="M478" s="58" t="n">
        <f aca="false">IF(05_Jugos_Aperitivos!N7="","",05_Jugos_Aperitivos!N7)</f>
        <v>1.04</v>
      </c>
      <c r="N478" s="58" t="n">
        <f aca="false">IF(05_Jugos_Aperitivos!O7="","",05_Jugos_Aperitivos!O7)</f>
        <v>10.46</v>
      </c>
      <c r="O478" s="55" t="str">
        <f aca="false">IF(05_Jugos_Aperitivos!P7="","",05_Jugos_Aperitivos!P7)</f>
        <v>06:00-12:00</v>
      </c>
      <c r="P478" s="55" t="n">
        <f aca="false">IF(05_Jugos_Aperitivos!Q7="","",05_Jugos_Aperitivos!Q7)</f>
        <v>8</v>
      </c>
      <c r="Q478" s="55" t="str">
        <f aca="false">IF(05_Jugos_Aperitivos!R7="","",05_Jugos_Aperitivos!R7)</f>
        <v>Alto</v>
      </c>
      <c r="R478" s="55" t="str">
        <f aca="false">IF(05_Jugos_Aperitivos!S7="","",05_Jugos_Aperitivos!S7)</f>
        <v>Todo el año</v>
      </c>
      <c r="S478" s="55" t="str">
        <f aca="false">IF(05_Jugos_Aperitivos!T7="","",05_Jugos_Aperitivos!T7)</f>
        <v>Juguería</v>
      </c>
      <c r="T478" s="56" t="str">
        <f aca="false">IF(05_Jugos_Aperitivos!U7="","",05_Jugos_Aperitivos!U7)</f>
        <v>Percibido como energizante</v>
      </c>
      <c r="U478" s="55" t="n">
        <v>7</v>
      </c>
      <c r="V478" s="55" t="n">
        <f aca="false">IF(AND(OR(LEN(13_Buscador!$C$5)=0,ISNUMBER(SEARCH(13_Buscador!$C$5,$C478&amp;" "&amp;$D478&amp;" "&amp;$E478&amp;" "&amp;$F478&amp;" "&amp;$S478))),OR(13_Buscador!$C$6="Todas las listas",LEN(13_Buscador!$C$6)=0,13_Buscador!$C$6=$B478)),1,0)</f>
        <v>0</v>
      </c>
      <c r="W478" s="55" t="str">
        <f aca="false">IF(V478=1,SUM($V$2:V478),"")</f>
        <v/>
      </c>
    </row>
    <row r="479" customFormat="false" ht="15" hidden="false" customHeight="true" outlineLevel="0" collapsed="false">
      <c r="A479" s="55" t="n">
        <v>478</v>
      </c>
      <c r="B479" s="55" t="s">
        <v>3331</v>
      </c>
      <c r="C479" s="55" t="str">
        <f aca="false">IF(05_Jugos_Aperitivos!B8="","",05_Jugos_Aperitivos!B8)</f>
        <v>Jugos naturales</v>
      </c>
      <c r="D479" s="56" t="str">
        <f aca="false">IF(05_Jugos_Aperitivos!C8="","",05_Jugos_Aperitivos!C8)</f>
        <v>Jugo de fresa</v>
      </c>
      <c r="E479" s="56" t="str">
        <f aca="false">IF(05_Jugos_Aperitivos!D8="","",05_Jugos_Aperitivos!D8)</f>
        <v>Jugo natural</v>
      </c>
      <c r="F479" s="56" t="str">
        <f aca="false">IF(05_Jugos_Aperitivos!E8="","",05_Jugos_Aperitivos!E8)</f>
        <v>fresa, leche o agua, azúcar</v>
      </c>
      <c r="G479" s="55" t="str">
        <f aca="false">IF(05_Jugos_Aperitivos!F8="","",05_Jugos_Aperitivos!F8)</f>
        <v>Vaso 500 ml</v>
      </c>
      <c r="H479" s="55" t="str">
        <f aca="false">IF(05_Jugos_Aperitivos!G8="","",05_Jugos_Aperitivos!G8)</f>
        <v>Económico</v>
      </c>
      <c r="I479" s="58" t="n">
        <f aca="false">IF(05_Jugos_Aperitivos!H8="","",05_Jugos_Aperitivos!H8)</f>
        <v>5</v>
      </c>
      <c r="J479" s="58" t="n">
        <f aca="false">IF(05_Jugos_Aperitivos!I8="","",05_Jugos_Aperitivos!I8)</f>
        <v>10</v>
      </c>
      <c r="K479" s="58" t="n">
        <f aca="false">IF(05_Jugos_Aperitivos!J8="","",05_Jugos_Aperitivos!J8)</f>
        <v>7.5</v>
      </c>
      <c r="L479" s="58" t="n">
        <f aca="false">IF(05_Jugos_Aperitivos!L8="","",05_Jugos_Aperitivos!L8)</f>
        <v>8</v>
      </c>
      <c r="M479" s="58" t="n">
        <f aca="false">IF(05_Jugos_Aperitivos!N8="","",05_Jugos_Aperitivos!N8)</f>
        <v>0.53</v>
      </c>
      <c r="N479" s="58" t="n">
        <f aca="false">IF(05_Jugos_Aperitivos!O8="","",05_Jugos_Aperitivos!O8)</f>
        <v>6.97</v>
      </c>
      <c r="O479" s="55" t="str">
        <f aca="false">IF(05_Jugos_Aperitivos!P8="","",05_Jugos_Aperitivos!P8)</f>
        <v>06:00-12:00</v>
      </c>
      <c r="P479" s="55" t="n">
        <f aca="false">IF(05_Jugos_Aperitivos!Q8="","",05_Jugos_Aperitivos!Q8)</f>
        <v>5</v>
      </c>
      <c r="Q479" s="55" t="str">
        <f aca="false">IF(05_Jugos_Aperitivos!R8="","",05_Jugos_Aperitivos!R8)</f>
        <v>Alto</v>
      </c>
      <c r="R479" s="55" t="str">
        <f aca="false">IF(05_Jugos_Aperitivos!S8="","",05_Jugos_Aperitivos!S8)</f>
        <v>Estacional</v>
      </c>
      <c r="S479" s="55" t="str">
        <f aca="false">IF(05_Jugos_Aperitivos!T8="","",05_Jugos_Aperitivos!T8)</f>
        <v>Juguería</v>
      </c>
      <c r="T479" s="56" t="str">
        <f aca="false">IF(05_Jugos_Aperitivos!U8="","",05_Jugos_Aperitivos!U8)</f>
        <v/>
      </c>
      <c r="U479" s="55" t="n">
        <v>8</v>
      </c>
      <c r="V479" s="55" t="n">
        <f aca="false">IF(AND(OR(LEN(13_Buscador!$C$5)=0,ISNUMBER(SEARCH(13_Buscador!$C$5,$C479&amp;" "&amp;$D479&amp;" "&amp;$E479&amp;" "&amp;$F479&amp;" "&amp;$S479))),OR(13_Buscador!$C$6="Todas las listas",LEN(13_Buscador!$C$6)=0,13_Buscador!$C$6=$B479)),1,0)</f>
        <v>0</v>
      </c>
      <c r="W479" s="55" t="str">
        <f aca="false">IF(V479=1,SUM($V$2:V479),"")</f>
        <v/>
      </c>
    </row>
    <row r="480" customFormat="false" ht="15" hidden="false" customHeight="true" outlineLevel="0" collapsed="false">
      <c r="A480" s="55" t="n">
        <v>479</v>
      </c>
      <c r="B480" s="55" t="s">
        <v>3331</v>
      </c>
      <c r="C480" s="55" t="str">
        <f aca="false">IF(05_Jugos_Aperitivos!B9="","",05_Jugos_Aperitivos!B9)</f>
        <v>Jugos naturales</v>
      </c>
      <c r="D480" s="56" t="str">
        <f aca="false">IF(05_Jugos_Aperitivos!C9="","",05_Jugos_Aperitivos!C9)</f>
        <v>Jugo de maracuyá</v>
      </c>
      <c r="E480" s="56" t="str">
        <f aca="false">IF(05_Jugos_Aperitivos!D9="","",05_Jugos_Aperitivos!D9)</f>
        <v>Jugo natural</v>
      </c>
      <c r="F480" s="56" t="str">
        <f aca="false">IF(05_Jugos_Aperitivos!E9="","",05_Jugos_Aperitivos!E9)</f>
        <v>maracuyá, agua, azúcar</v>
      </c>
      <c r="G480" s="55" t="str">
        <f aca="false">IF(05_Jugos_Aperitivos!F9="","",05_Jugos_Aperitivos!F9)</f>
        <v>Vaso 500 ml</v>
      </c>
      <c r="H480" s="55" t="str">
        <f aca="false">IF(05_Jugos_Aperitivos!G9="","",05_Jugos_Aperitivos!G9)</f>
        <v>Económico</v>
      </c>
      <c r="I480" s="58" t="n">
        <f aca="false">IF(05_Jugos_Aperitivos!H9="","",05_Jugos_Aperitivos!H9)</f>
        <v>5</v>
      </c>
      <c r="J480" s="58" t="n">
        <f aca="false">IF(05_Jugos_Aperitivos!I9="","",05_Jugos_Aperitivos!I9)</f>
        <v>10</v>
      </c>
      <c r="K480" s="58" t="n">
        <f aca="false">IF(05_Jugos_Aperitivos!J9="","",05_Jugos_Aperitivos!J9)</f>
        <v>7.5</v>
      </c>
      <c r="L480" s="58" t="n">
        <f aca="false">IF(05_Jugos_Aperitivos!L9="","",05_Jugos_Aperitivos!L9)</f>
        <v>8</v>
      </c>
      <c r="M480" s="58" t="n">
        <f aca="false">IF(05_Jugos_Aperitivos!N9="","",05_Jugos_Aperitivos!N9)</f>
        <v>0.53</v>
      </c>
      <c r="N480" s="58" t="n">
        <f aca="false">IF(05_Jugos_Aperitivos!O9="","",05_Jugos_Aperitivos!O9)</f>
        <v>6.97</v>
      </c>
      <c r="O480" s="55" t="str">
        <f aca="false">IF(05_Jugos_Aperitivos!P9="","",05_Jugos_Aperitivos!P9)</f>
        <v>06:00-12:00</v>
      </c>
      <c r="P480" s="55" t="n">
        <f aca="false">IF(05_Jugos_Aperitivos!Q9="","",05_Jugos_Aperitivos!Q9)</f>
        <v>5</v>
      </c>
      <c r="Q480" s="55" t="str">
        <f aca="false">IF(05_Jugos_Aperitivos!R9="","",05_Jugos_Aperitivos!R9)</f>
        <v>Alto</v>
      </c>
      <c r="R480" s="55" t="str">
        <f aca="false">IF(05_Jugos_Aperitivos!S9="","",05_Jugos_Aperitivos!S9)</f>
        <v>Todo el año</v>
      </c>
      <c r="S480" s="55" t="str">
        <f aca="false">IF(05_Jugos_Aperitivos!T9="","",05_Jugos_Aperitivos!T9)</f>
        <v>Juguería</v>
      </c>
      <c r="T480" s="56" t="str">
        <f aca="false">IF(05_Jugos_Aperitivos!U9="","",05_Jugos_Aperitivos!U9)</f>
        <v/>
      </c>
      <c r="U480" s="55" t="n">
        <v>9</v>
      </c>
      <c r="V480" s="55" t="n">
        <f aca="false">IF(AND(OR(LEN(13_Buscador!$C$5)=0,ISNUMBER(SEARCH(13_Buscador!$C$5,$C480&amp;" "&amp;$D480&amp;" "&amp;$E480&amp;" "&amp;$F480&amp;" "&amp;$S480))),OR(13_Buscador!$C$6="Todas las listas",LEN(13_Buscador!$C$6)=0,13_Buscador!$C$6=$B480)),1,0)</f>
        <v>0</v>
      </c>
      <c r="W480" s="55" t="str">
        <f aca="false">IF(V480=1,SUM($V$2:V480),"")</f>
        <v/>
      </c>
    </row>
    <row r="481" customFormat="false" ht="15" hidden="false" customHeight="true" outlineLevel="0" collapsed="false">
      <c r="A481" s="55" t="n">
        <v>480</v>
      </c>
      <c r="B481" s="55" t="s">
        <v>3331</v>
      </c>
      <c r="C481" s="55" t="str">
        <f aca="false">IF(05_Jugos_Aperitivos!B10="","",05_Jugos_Aperitivos!B10)</f>
        <v>Jugos naturales</v>
      </c>
      <c r="D481" s="56" t="str">
        <f aca="false">IF(05_Jugos_Aperitivos!C10="","",05_Jugos_Aperitivos!C10)</f>
        <v>Jugo verde</v>
      </c>
      <c r="E481" s="56" t="str">
        <f aca="false">IF(05_Jugos_Aperitivos!D10="","",05_Jugos_Aperitivos!D10)</f>
        <v>Piña, apio, manzana</v>
      </c>
      <c r="F481" s="56" t="str">
        <f aca="false">IF(05_Jugos_Aperitivos!E10="","",05_Jugos_Aperitivos!E10)</f>
        <v>piña, apio, manzana, agua</v>
      </c>
      <c r="G481" s="55" t="str">
        <f aca="false">IF(05_Jugos_Aperitivos!F10="","",05_Jugos_Aperitivos!F10)</f>
        <v>Vaso 500 ml</v>
      </c>
      <c r="H481" s="55" t="str">
        <f aca="false">IF(05_Jugos_Aperitivos!G10="","",05_Jugos_Aperitivos!G10)</f>
        <v>Estándar</v>
      </c>
      <c r="I481" s="58" t="n">
        <f aca="false">IF(05_Jugos_Aperitivos!H10="","",05_Jugos_Aperitivos!H10)</f>
        <v>6</v>
      </c>
      <c r="J481" s="58" t="n">
        <f aca="false">IF(05_Jugos_Aperitivos!I10="","",05_Jugos_Aperitivos!I10)</f>
        <v>12</v>
      </c>
      <c r="K481" s="58" t="n">
        <f aca="false">IF(05_Jugos_Aperitivos!J10="","",05_Jugos_Aperitivos!J10)</f>
        <v>9</v>
      </c>
      <c r="L481" s="58" t="n">
        <f aca="false">IF(05_Jugos_Aperitivos!L10="","",05_Jugos_Aperitivos!L10)</f>
        <v>9.5</v>
      </c>
      <c r="M481" s="58" t="n">
        <f aca="false">IF(05_Jugos_Aperitivos!N10="","",05_Jugos_Aperitivos!N10)</f>
        <v>0.81</v>
      </c>
      <c r="N481" s="58" t="n">
        <f aca="false">IF(05_Jugos_Aperitivos!O10="","",05_Jugos_Aperitivos!O10)</f>
        <v>8.19</v>
      </c>
      <c r="O481" s="55" t="str">
        <f aca="false">IF(05_Jugos_Aperitivos!P10="","",05_Jugos_Aperitivos!P10)</f>
        <v>06:00-12:00</v>
      </c>
      <c r="P481" s="55" t="n">
        <f aca="false">IF(05_Jugos_Aperitivos!Q10="","",05_Jugos_Aperitivos!Q10)</f>
        <v>6</v>
      </c>
      <c r="Q481" s="55" t="str">
        <f aca="false">IF(05_Jugos_Aperitivos!R10="","",05_Jugos_Aperitivos!R10)</f>
        <v>Alto</v>
      </c>
      <c r="R481" s="55" t="str">
        <f aca="false">IF(05_Jugos_Aperitivos!S10="","",05_Jugos_Aperitivos!S10)</f>
        <v>Todo el año</v>
      </c>
      <c r="S481" s="55" t="str">
        <f aca="false">IF(05_Jugos_Aperitivos!T10="","",05_Jugos_Aperitivos!T10)</f>
        <v>Juguería, saludable</v>
      </c>
      <c r="T481" s="56" t="str">
        <f aca="false">IF(05_Jugos_Aperitivos!U10="","",05_Jugos_Aperitivos!U10)</f>
        <v/>
      </c>
      <c r="U481" s="55" t="n">
        <v>10</v>
      </c>
      <c r="V481" s="55" t="n">
        <f aca="false">IF(AND(OR(LEN(13_Buscador!$C$5)=0,ISNUMBER(SEARCH(13_Buscador!$C$5,$C481&amp;" "&amp;$D481&amp;" "&amp;$E481&amp;" "&amp;$F481&amp;" "&amp;$S481))),OR(13_Buscador!$C$6="Todas las listas",LEN(13_Buscador!$C$6)=0,13_Buscador!$C$6=$B481)),1,0)</f>
        <v>0</v>
      </c>
      <c r="W481" s="55" t="str">
        <f aca="false">IF(V481=1,SUM($V$2:V481),"")</f>
        <v/>
      </c>
    </row>
    <row r="482" customFormat="false" ht="15" hidden="false" customHeight="true" outlineLevel="0" collapsed="false">
      <c r="A482" s="55" t="n">
        <v>481</v>
      </c>
      <c r="B482" s="55" t="s">
        <v>3331</v>
      </c>
      <c r="C482" s="55" t="str">
        <f aca="false">IF(05_Jugos_Aperitivos!B11="","",05_Jugos_Aperitivos!B11)</f>
        <v>Jugos naturales</v>
      </c>
      <c r="D482" s="56" t="str">
        <f aca="false">IF(05_Jugos_Aperitivos!C11="","",05_Jugos_Aperitivos!C11)</f>
        <v>Jugo de zanahoria</v>
      </c>
      <c r="E482" s="56" t="str">
        <f aca="false">IF(05_Jugos_Aperitivos!D11="","",05_Jugos_Aperitivos!D11)</f>
        <v>Jugo natural</v>
      </c>
      <c r="F482" s="56" t="str">
        <f aca="false">IF(05_Jugos_Aperitivos!E11="","",05_Jugos_Aperitivos!E11)</f>
        <v>zanahoria, naranja o miel, agua</v>
      </c>
      <c r="G482" s="55" t="str">
        <f aca="false">IF(05_Jugos_Aperitivos!F11="","",05_Jugos_Aperitivos!F11)</f>
        <v>Vaso 500 ml</v>
      </c>
      <c r="H482" s="55" t="str">
        <f aca="false">IF(05_Jugos_Aperitivos!G11="","",05_Jugos_Aperitivos!G11)</f>
        <v>Económico</v>
      </c>
      <c r="I482" s="58" t="n">
        <f aca="false">IF(05_Jugos_Aperitivos!H11="","",05_Jugos_Aperitivos!H11)</f>
        <v>4</v>
      </c>
      <c r="J482" s="58" t="n">
        <f aca="false">IF(05_Jugos_Aperitivos!I11="","",05_Jugos_Aperitivos!I11)</f>
        <v>8</v>
      </c>
      <c r="K482" s="58" t="n">
        <f aca="false">IF(05_Jugos_Aperitivos!J11="","",05_Jugos_Aperitivos!J11)</f>
        <v>6</v>
      </c>
      <c r="L482" s="58" t="n">
        <f aca="false">IF(05_Jugos_Aperitivos!L11="","",05_Jugos_Aperitivos!L11)</f>
        <v>6.5</v>
      </c>
      <c r="M482" s="58" t="n">
        <f aca="false">IF(05_Jugos_Aperitivos!N11="","",05_Jugos_Aperitivos!N11)</f>
        <v>0.42</v>
      </c>
      <c r="N482" s="58" t="n">
        <f aca="false">IF(05_Jugos_Aperitivos!O11="","",05_Jugos_Aperitivos!O11)</f>
        <v>5.58</v>
      </c>
      <c r="O482" s="55" t="str">
        <f aca="false">IF(05_Jugos_Aperitivos!P11="","",05_Jugos_Aperitivos!P11)</f>
        <v>06:00-12:00</v>
      </c>
      <c r="P482" s="55" t="n">
        <f aca="false">IF(05_Jugos_Aperitivos!Q11="","",05_Jugos_Aperitivos!Q11)</f>
        <v>5</v>
      </c>
      <c r="Q482" s="55" t="str">
        <f aca="false">IF(05_Jugos_Aperitivos!R11="","",05_Jugos_Aperitivos!R11)</f>
        <v>Alto</v>
      </c>
      <c r="R482" s="55" t="str">
        <f aca="false">IF(05_Jugos_Aperitivos!S11="","",05_Jugos_Aperitivos!S11)</f>
        <v>Todo el año</v>
      </c>
      <c r="S482" s="55" t="str">
        <f aca="false">IF(05_Jugos_Aperitivos!T11="","",05_Jugos_Aperitivos!T11)</f>
        <v>Juguería</v>
      </c>
      <c r="T482" s="56" t="str">
        <f aca="false">IF(05_Jugos_Aperitivos!U11="","",05_Jugos_Aperitivos!U11)</f>
        <v/>
      </c>
      <c r="U482" s="55" t="n">
        <v>11</v>
      </c>
      <c r="V482" s="55" t="n">
        <f aca="false">IF(AND(OR(LEN(13_Buscador!$C$5)=0,ISNUMBER(SEARCH(13_Buscador!$C$5,$C482&amp;" "&amp;$D482&amp;" "&amp;$E482&amp;" "&amp;$F482&amp;" "&amp;$S482))),OR(13_Buscador!$C$6="Todas las listas",LEN(13_Buscador!$C$6)=0,13_Buscador!$C$6=$B482)),1,0)</f>
        <v>0</v>
      </c>
      <c r="W482" s="55" t="str">
        <f aca="false">IF(V482=1,SUM($V$2:V482),"")</f>
        <v/>
      </c>
    </row>
    <row r="483" customFormat="false" ht="15" hidden="false" customHeight="true" outlineLevel="0" collapsed="false">
      <c r="A483" s="55" t="n">
        <v>482</v>
      </c>
      <c r="B483" s="55" t="s">
        <v>3331</v>
      </c>
      <c r="C483" s="55" t="str">
        <f aca="false">IF(05_Jugos_Aperitivos!B12="","",05_Jugos_Aperitivos!B12)</f>
        <v>Batidos y energizantes</v>
      </c>
      <c r="D483" s="56" t="str">
        <f aca="false">IF(05_Jugos_Aperitivos!C12="","",05_Jugos_Aperitivos!C12)</f>
        <v>Batido de maca</v>
      </c>
      <c r="E483" s="56" t="str">
        <f aca="false">IF(05_Jugos_Aperitivos!D12="","",05_Jugos_Aperitivos!D12)</f>
        <v>Maca con leche y fruta</v>
      </c>
      <c r="F483" s="56" t="str">
        <f aca="false">IF(05_Jugos_Aperitivos!E12="","",05_Jugos_Aperitivos!E12)</f>
        <v>maca, leche, plátano, azúcar</v>
      </c>
      <c r="G483" s="55" t="str">
        <f aca="false">IF(05_Jugos_Aperitivos!F12="","",05_Jugos_Aperitivos!F12)</f>
        <v>Vaso 500 ml</v>
      </c>
      <c r="H483" s="55" t="str">
        <f aca="false">IF(05_Jugos_Aperitivos!G12="","",05_Jugos_Aperitivos!G12)</f>
        <v>Estándar</v>
      </c>
      <c r="I483" s="58" t="n">
        <f aca="false">IF(05_Jugos_Aperitivos!H12="","",05_Jugos_Aperitivos!H12)</f>
        <v>6</v>
      </c>
      <c r="J483" s="58" t="n">
        <f aca="false">IF(05_Jugos_Aperitivos!I12="","",05_Jugos_Aperitivos!I12)</f>
        <v>12</v>
      </c>
      <c r="K483" s="58" t="n">
        <f aca="false">IF(05_Jugos_Aperitivos!J12="","",05_Jugos_Aperitivos!J12)</f>
        <v>9</v>
      </c>
      <c r="L483" s="58" t="n">
        <f aca="false">IF(05_Jugos_Aperitivos!L12="","",05_Jugos_Aperitivos!L12)</f>
        <v>9.5</v>
      </c>
      <c r="M483" s="58" t="n">
        <f aca="false">IF(05_Jugos_Aperitivos!N12="","",05_Jugos_Aperitivos!N12)</f>
        <v>0.81</v>
      </c>
      <c r="N483" s="58" t="n">
        <f aca="false">IF(05_Jugos_Aperitivos!O12="","",05_Jugos_Aperitivos!O12)</f>
        <v>8.19</v>
      </c>
      <c r="O483" s="55" t="str">
        <f aca="false">IF(05_Jugos_Aperitivos!P12="","",05_Jugos_Aperitivos!P12)</f>
        <v>06:00-12:00</v>
      </c>
      <c r="P483" s="55" t="n">
        <f aca="false">IF(05_Jugos_Aperitivos!Q12="","",05_Jugos_Aperitivos!Q12)</f>
        <v>6</v>
      </c>
      <c r="Q483" s="55" t="str">
        <f aca="false">IF(05_Jugos_Aperitivos!R12="","",05_Jugos_Aperitivos!R12)</f>
        <v>Alto</v>
      </c>
      <c r="R483" s="55" t="str">
        <f aca="false">IF(05_Jugos_Aperitivos!S12="","",05_Jugos_Aperitivos!S12)</f>
        <v>Todo el año</v>
      </c>
      <c r="S483" s="55" t="str">
        <f aca="false">IF(05_Jugos_Aperitivos!T12="","",05_Jugos_Aperitivos!T12)</f>
        <v>Juguería</v>
      </c>
      <c r="T483" s="56" t="str">
        <f aca="false">IF(05_Jugos_Aperitivos!U12="","",05_Jugos_Aperitivos!U12)</f>
        <v>Producto identitario andino</v>
      </c>
      <c r="U483" s="55" t="n">
        <v>12</v>
      </c>
      <c r="V483" s="55" t="n">
        <f aca="false">IF(AND(OR(LEN(13_Buscador!$C$5)=0,ISNUMBER(SEARCH(13_Buscador!$C$5,$C483&amp;" "&amp;$D483&amp;" "&amp;$E483&amp;" "&amp;$F483&amp;" "&amp;$S483))),OR(13_Buscador!$C$6="Todas las listas",LEN(13_Buscador!$C$6)=0,13_Buscador!$C$6=$B483)),1,0)</f>
        <v>0</v>
      </c>
      <c r="W483" s="55" t="str">
        <f aca="false">IF(V483=1,SUM($V$2:V483),"")</f>
        <v/>
      </c>
    </row>
    <row r="484" customFormat="false" ht="15" hidden="false" customHeight="true" outlineLevel="0" collapsed="false">
      <c r="A484" s="55" t="n">
        <v>483</v>
      </c>
      <c r="B484" s="55" t="s">
        <v>3331</v>
      </c>
      <c r="C484" s="55" t="str">
        <f aca="false">IF(05_Jugos_Aperitivos!B13="","",05_Jugos_Aperitivos!B13)</f>
        <v>Batidos y energizantes</v>
      </c>
      <c r="D484" s="56" t="str">
        <f aca="false">IF(05_Jugos_Aperitivos!C13="","",05_Jugos_Aperitivos!C13)</f>
        <v>Batido de cañihua</v>
      </c>
      <c r="E484" s="56" t="str">
        <f aca="false">IF(05_Jugos_Aperitivos!D13="","",05_Jugos_Aperitivos!D13)</f>
        <v>Cañihuaco con leche</v>
      </c>
      <c r="F484" s="56" t="str">
        <f aca="false">IF(05_Jugos_Aperitivos!E13="","",05_Jugos_Aperitivos!E13)</f>
        <v>harina de cañihuaco, leche, azúcar, canela</v>
      </c>
      <c r="G484" s="55" t="str">
        <f aca="false">IF(05_Jugos_Aperitivos!F13="","",05_Jugos_Aperitivos!F13)</f>
        <v>Vaso 500 ml</v>
      </c>
      <c r="H484" s="55" t="str">
        <f aca="false">IF(05_Jugos_Aperitivos!G13="","",05_Jugos_Aperitivos!G13)</f>
        <v>Estándar</v>
      </c>
      <c r="I484" s="58" t="n">
        <f aca="false">IF(05_Jugos_Aperitivos!H13="","",05_Jugos_Aperitivos!H13)</f>
        <v>6</v>
      </c>
      <c r="J484" s="58" t="n">
        <f aca="false">IF(05_Jugos_Aperitivos!I13="","",05_Jugos_Aperitivos!I13)</f>
        <v>12</v>
      </c>
      <c r="K484" s="58" t="n">
        <f aca="false">IF(05_Jugos_Aperitivos!J13="","",05_Jugos_Aperitivos!J13)</f>
        <v>9</v>
      </c>
      <c r="L484" s="58" t="n">
        <f aca="false">IF(05_Jugos_Aperitivos!L13="","",05_Jugos_Aperitivos!L13)</f>
        <v>9.5</v>
      </c>
      <c r="M484" s="58" t="n">
        <f aca="false">IF(05_Jugos_Aperitivos!N13="","",05_Jugos_Aperitivos!N13)</f>
        <v>0.81</v>
      </c>
      <c r="N484" s="58" t="n">
        <f aca="false">IF(05_Jugos_Aperitivos!O13="","",05_Jugos_Aperitivos!O13)</f>
        <v>8.19</v>
      </c>
      <c r="O484" s="55" t="str">
        <f aca="false">IF(05_Jugos_Aperitivos!P13="","",05_Jugos_Aperitivos!P13)</f>
        <v>06:00-12:00</v>
      </c>
      <c r="P484" s="55" t="n">
        <f aca="false">IF(05_Jugos_Aperitivos!Q13="","",05_Jugos_Aperitivos!Q13)</f>
        <v>6</v>
      </c>
      <c r="Q484" s="55" t="str">
        <f aca="false">IF(05_Jugos_Aperitivos!R13="","",05_Jugos_Aperitivos!R13)</f>
        <v>Alto</v>
      </c>
      <c r="R484" s="55" t="str">
        <f aca="false">IF(05_Jugos_Aperitivos!S13="","",05_Jugos_Aperitivos!S13)</f>
        <v>Todo el año</v>
      </c>
      <c r="S484" s="55" t="str">
        <f aca="false">IF(05_Jugos_Aperitivos!T13="","",05_Jugos_Aperitivos!T13)</f>
        <v>Juguería</v>
      </c>
      <c r="T484" s="56" t="str">
        <f aca="false">IF(05_Jugos_Aperitivos!U13="","",05_Jugos_Aperitivos!U13)</f>
        <v>Insumo típico de Puno</v>
      </c>
      <c r="U484" s="55" t="n">
        <v>13</v>
      </c>
      <c r="V484" s="55" t="n">
        <f aca="false">IF(AND(OR(LEN(13_Buscador!$C$5)=0,ISNUMBER(SEARCH(13_Buscador!$C$5,$C484&amp;" "&amp;$D484&amp;" "&amp;$E484&amp;" "&amp;$F484&amp;" "&amp;$S484))),OR(13_Buscador!$C$6="Todas las listas",LEN(13_Buscador!$C$6)=0,13_Buscador!$C$6=$B484)),1,0)</f>
        <v>0</v>
      </c>
      <c r="W484" s="55" t="str">
        <f aca="false">IF(V484=1,SUM($V$2:V484),"")</f>
        <v/>
      </c>
    </row>
    <row r="485" customFormat="false" ht="15" hidden="false" customHeight="true" outlineLevel="0" collapsed="false">
      <c r="A485" s="55" t="n">
        <v>484</v>
      </c>
      <c r="B485" s="55" t="s">
        <v>3331</v>
      </c>
      <c r="C485" s="55" t="str">
        <f aca="false">IF(05_Jugos_Aperitivos!B14="","",05_Jugos_Aperitivos!B14)</f>
        <v>Batidos y energizantes</v>
      </c>
      <c r="D485" s="56" t="str">
        <f aca="false">IF(05_Jugos_Aperitivos!C14="","",05_Jugos_Aperitivos!C14)</f>
        <v>Batido de quinua</v>
      </c>
      <c r="E485" s="56" t="str">
        <f aca="false">IF(05_Jugos_Aperitivos!D14="","",05_Jugos_Aperitivos!D14)</f>
        <v>Quinua con fruta y leche</v>
      </c>
      <c r="F485" s="56" t="str">
        <f aca="false">IF(05_Jugos_Aperitivos!E14="","",05_Jugos_Aperitivos!E14)</f>
        <v>harina de cereal andino, leche, fruta, azúcar</v>
      </c>
      <c r="G485" s="55" t="str">
        <f aca="false">IF(05_Jugos_Aperitivos!F14="","",05_Jugos_Aperitivos!F14)</f>
        <v>Vaso 500 ml</v>
      </c>
      <c r="H485" s="55" t="str">
        <f aca="false">IF(05_Jugos_Aperitivos!G14="","",05_Jugos_Aperitivos!G14)</f>
        <v>Estándar</v>
      </c>
      <c r="I485" s="58" t="n">
        <f aca="false">IF(05_Jugos_Aperitivos!H14="","",05_Jugos_Aperitivos!H14)</f>
        <v>6</v>
      </c>
      <c r="J485" s="58" t="n">
        <f aca="false">IF(05_Jugos_Aperitivos!I14="","",05_Jugos_Aperitivos!I14)</f>
        <v>12</v>
      </c>
      <c r="K485" s="58" t="n">
        <f aca="false">IF(05_Jugos_Aperitivos!J14="","",05_Jugos_Aperitivos!J14)</f>
        <v>9</v>
      </c>
      <c r="L485" s="58" t="n">
        <f aca="false">IF(05_Jugos_Aperitivos!L14="","",05_Jugos_Aperitivos!L14)</f>
        <v>9.5</v>
      </c>
      <c r="M485" s="58" t="n">
        <f aca="false">IF(05_Jugos_Aperitivos!N14="","",05_Jugos_Aperitivos!N14)</f>
        <v>0.81</v>
      </c>
      <c r="N485" s="58" t="n">
        <f aca="false">IF(05_Jugos_Aperitivos!O14="","",05_Jugos_Aperitivos!O14)</f>
        <v>8.19</v>
      </c>
      <c r="O485" s="55" t="str">
        <f aca="false">IF(05_Jugos_Aperitivos!P14="","",05_Jugos_Aperitivos!P14)</f>
        <v>06:00-12:00</v>
      </c>
      <c r="P485" s="55" t="n">
        <f aca="false">IF(05_Jugos_Aperitivos!Q14="","",05_Jugos_Aperitivos!Q14)</f>
        <v>6</v>
      </c>
      <c r="Q485" s="55" t="str">
        <f aca="false">IF(05_Jugos_Aperitivos!R14="","",05_Jugos_Aperitivos!R14)</f>
        <v>Alto</v>
      </c>
      <c r="R485" s="55" t="str">
        <f aca="false">IF(05_Jugos_Aperitivos!S14="","",05_Jugos_Aperitivos!S14)</f>
        <v>Todo el año</v>
      </c>
      <c r="S485" s="55" t="str">
        <f aca="false">IF(05_Jugos_Aperitivos!T14="","",05_Jugos_Aperitivos!T14)</f>
        <v>Juguería</v>
      </c>
      <c r="T485" s="56" t="str">
        <f aca="false">IF(05_Jugos_Aperitivos!U14="","",05_Jugos_Aperitivos!U14)</f>
        <v/>
      </c>
      <c r="U485" s="55" t="n">
        <v>14</v>
      </c>
      <c r="V485" s="55" t="n">
        <f aca="false">IF(AND(OR(LEN(13_Buscador!$C$5)=0,ISNUMBER(SEARCH(13_Buscador!$C$5,$C485&amp;" "&amp;$D485&amp;" "&amp;$E485&amp;" "&amp;$F485&amp;" "&amp;$S485))),OR(13_Buscador!$C$6="Todas las listas",LEN(13_Buscador!$C$6)=0,13_Buscador!$C$6=$B485)),1,0)</f>
        <v>0</v>
      </c>
      <c r="W485" s="55" t="str">
        <f aca="false">IF(V485=1,SUM($V$2:V485),"")</f>
        <v/>
      </c>
    </row>
    <row r="486" customFormat="false" ht="15" hidden="false" customHeight="true" outlineLevel="0" collapsed="false">
      <c r="A486" s="55" t="n">
        <v>485</v>
      </c>
      <c r="B486" s="55" t="s">
        <v>3331</v>
      </c>
      <c r="C486" s="55" t="str">
        <f aca="false">IF(05_Jugos_Aperitivos!B15="","",05_Jugos_Aperitivos!B15)</f>
        <v>Batidos y energizantes</v>
      </c>
      <c r="D486" s="56" t="str">
        <f aca="false">IF(05_Jugos_Aperitivos!C15="","",05_Jugos_Aperitivos!C15)</f>
        <v>Batido de algarrobina</v>
      </c>
      <c r="E486" s="56" t="str">
        <f aca="false">IF(05_Jugos_Aperitivos!D15="","",05_Jugos_Aperitivos!D15)</f>
        <v>Algarrobina con leche</v>
      </c>
      <c r="F486" s="56" t="str">
        <f aca="false">IF(05_Jugos_Aperitivos!E15="","",05_Jugos_Aperitivos!E15)</f>
        <v>algarrobina, leche, huevo, azúcar</v>
      </c>
      <c r="G486" s="55" t="str">
        <f aca="false">IF(05_Jugos_Aperitivos!F15="","",05_Jugos_Aperitivos!F15)</f>
        <v>Vaso 500 ml</v>
      </c>
      <c r="H486" s="55" t="str">
        <f aca="false">IF(05_Jugos_Aperitivos!G15="","",05_Jugos_Aperitivos!G15)</f>
        <v>Estándar</v>
      </c>
      <c r="I486" s="58" t="n">
        <f aca="false">IF(05_Jugos_Aperitivos!H15="","",05_Jugos_Aperitivos!H15)</f>
        <v>6</v>
      </c>
      <c r="J486" s="58" t="n">
        <f aca="false">IF(05_Jugos_Aperitivos!I15="","",05_Jugos_Aperitivos!I15)</f>
        <v>12</v>
      </c>
      <c r="K486" s="58" t="n">
        <f aca="false">IF(05_Jugos_Aperitivos!J15="","",05_Jugos_Aperitivos!J15)</f>
        <v>9</v>
      </c>
      <c r="L486" s="58" t="n">
        <f aca="false">IF(05_Jugos_Aperitivos!L15="","",05_Jugos_Aperitivos!L15)</f>
        <v>9.5</v>
      </c>
      <c r="M486" s="58" t="n">
        <f aca="false">IF(05_Jugos_Aperitivos!N15="","",05_Jugos_Aperitivos!N15)</f>
        <v>0.81</v>
      </c>
      <c r="N486" s="58" t="n">
        <f aca="false">IF(05_Jugos_Aperitivos!O15="","",05_Jugos_Aperitivos!O15)</f>
        <v>8.19</v>
      </c>
      <c r="O486" s="55" t="str">
        <f aca="false">IF(05_Jugos_Aperitivos!P15="","",05_Jugos_Aperitivos!P15)</f>
        <v>06:00-12:00</v>
      </c>
      <c r="P486" s="55" t="n">
        <f aca="false">IF(05_Jugos_Aperitivos!Q15="","",05_Jugos_Aperitivos!Q15)</f>
        <v>6</v>
      </c>
      <c r="Q486" s="55" t="str">
        <f aca="false">IF(05_Jugos_Aperitivos!R15="","",05_Jugos_Aperitivos!R15)</f>
        <v>Alto</v>
      </c>
      <c r="R486" s="55" t="str">
        <f aca="false">IF(05_Jugos_Aperitivos!S15="","",05_Jugos_Aperitivos!S15)</f>
        <v>Todo el año</v>
      </c>
      <c r="S486" s="55" t="str">
        <f aca="false">IF(05_Jugos_Aperitivos!T15="","",05_Jugos_Aperitivos!T15)</f>
        <v>Juguería</v>
      </c>
      <c r="T486" s="56" t="str">
        <f aca="false">IF(05_Jugos_Aperitivos!U15="","",05_Jugos_Aperitivos!U15)</f>
        <v/>
      </c>
      <c r="U486" s="55" t="n">
        <v>15</v>
      </c>
      <c r="V486" s="55" t="n">
        <f aca="false">IF(AND(OR(LEN(13_Buscador!$C$5)=0,ISNUMBER(SEARCH(13_Buscador!$C$5,$C486&amp;" "&amp;$D486&amp;" "&amp;$E486&amp;" "&amp;$F486&amp;" "&amp;$S486))),OR(13_Buscador!$C$6="Todas las listas",LEN(13_Buscador!$C$6)=0,13_Buscador!$C$6=$B486)),1,0)</f>
        <v>0</v>
      </c>
      <c r="W486" s="55" t="str">
        <f aca="false">IF(V486=1,SUM($V$2:V486),"")</f>
        <v/>
      </c>
    </row>
    <row r="487" customFormat="false" ht="15" hidden="false" customHeight="true" outlineLevel="0" collapsed="false">
      <c r="A487" s="55" t="n">
        <v>486</v>
      </c>
      <c r="B487" s="55" t="s">
        <v>3331</v>
      </c>
      <c r="C487" s="55" t="str">
        <f aca="false">IF(05_Jugos_Aperitivos!B16="","",05_Jugos_Aperitivos!B16)</f>
        <v>Batidos y energizantes</v>
      </c>
      <c r="D487" s="56" t="str">
        <f aca="false">IF(05_Jugos_Aperitivos!C16="","",05_Jugos_Aperitivos!C16)</f>
        <v>Extracto de alfalfa</v>
      </c>
      <c r="E487" s="56" t="str">
        <f aca="false">IF(05_Jugos_Aperitivos!D16="","",05_Jugos_Aperitivos!D16)</f>
        <v>Extracto verde</v>
      </c>
      <c r="F487" s="56" t="str">
        <f aca="false">IF(05_Jugos_Aperitivos!E16="","",05_Jugos_Aperitivos!E16)</f>
        <v>verdura u hoja fresca, agua, limón</v>
      </c>
      <c r="G487" s="55" t="str">
        <f aca="false">IF(05_Jugos_Aperitivos!F16="","",05_Jugos_Aperitivos!F16)</f>
        <v>Vaso 300 ml</v>
      </c>
      <c r="H487" s="55" t="str">
        <f aca="false">IF(05_Jugos_Aperitivos!G16="","",05_Jugos_Aperitivos!G16)</f>
        <v>Económico</v>
      </c>
      <c r="I487" s="58" t="n">
        <f aca="false">IF(05_Jugos_Aperitivos!H16="","",05_Jugos_Aperitivos!H16)</f>
        <v>4</v>
      </c>
      <c r="J487" s="58" t="n">
        <f aca="false">IF(05_Jugos_Aperitivos!I16="","",05_Jugos_Aperitivos!I16)</f>
        <v>8</v>
      </c>
      <c r="K487" s="58" t="n">
        <f aca="false">IF(05_Jugos_Aperitivos!J16="","",05_Jugos_Aperitivos!J16)</f>
        <v>6</v>
      </c>
      <c r="L487" s="58" t="n">
        <f aca="false">IF(05_Jugos_Aperitivos!L16="","",05_Jugos_Aperitivos!L16)</f>
        <v>6.5</v>
      </c>
      <c r="M487" s="58" t="n">
        <f aca="false">IF(05_Jugos_Aperitivos!N16="","",05_Jugos_Aperitivos!N16)</f>
        <v>0.42</v>
      </c>
      <c r="N487" s="58" t="n">
        <f aca="false">IF(05_Jugos_Aperitivos!O16="","",05_Jugos_Aperitivos!O16)</f>
        <v>5.58</v>
      </c>
      <c r="O487" s="55" t="str">
        <f aca="false">IF(05_Jugos_Aperitivos!P16="","",05_Jugos_Aperitivos!P16)</f>
        <v>06:00-11:00</v>
      </c>
      <c r="P487" s="55" t="n">
        <f aca="false">IF(05_Jugos_Aperitivos!Q16="","",05_Jugos_Aperitivos!Q16)</f>
        <v>5</v>
      </c>
      <c r="Q487" s="55" t="str">
        <f aca="false">IF(05_Jugos_Aperitivos!R16="","",05_Jugos_Aperitivos!R16)</f>
        <v>Alto</v>
      </c>
      <c r="R487" s="55" t="str">
        <f aca="false">IF(05_Jugos_Aperitivos!S16="","",05_Jugos_Aperitivos!S16)</f>
        <v>Todo el año</v>
      </c>
      <c r="S487" s="55" t="str">
        <f aca="false">IF(05_Jugos_Aperitivos!T16="","",05_Jugos_Aperitivos!T16)</f>
        <v>Juguería</v>
      </c>
      <c r="T487" s="56" t="str">
        <f aca="false">IF(05_Jugos_Aperitivos!U16="","",05_Jugos_Aperitivos!U16)</f>
        <v/>
      </c>
      <c r="U487" s="55" t="n">
        <v>16</v>
      </c>
      <c r="V487" s="55" t="n">
        <f aca="false">IF(AND(OR(LEN(13_Buscador!$C$5)=0,ISNUMBER(SEARCH(13_Buscador!$C$5,$C487&amp;" "&amp;$D487&amp;" "&amp;$E487&amp;" "&amp;$F487&amp;" "&amp;$S487))),OR(13_Buscador!$C$6="Todas las listas",LEN(13_Buscador!$C$6)=0,13_Buscador!$C$6=$B487)),1,0)</f>
        <v>0</v>
      </c>
      <c r="W487" s="55" t="str">
        <f aca="false">IF(V487=1,SUM($V$2:V487),"")</f>
        <v/>
      </c>
    </row>
    <row r="488" customFormat="false" ht="15" hidden="false" customHeight="true" outlineLevel="0" collapsed="false">
      <c r="A488" s="55" t="n">
        <v>487</v>
      </c>
      <c r="B488" s="55" t="s">
        <v>3331</v>
      </c>
      <c r="C488" s="55" t="str">
        <f aca="false">IF(05_Jugos_Aperitivos!B17="","",05_Jugos_Aperitivos!B17)</f>
        <v>Batidos y energizantes</v>
      </c>
      <c r="D488" s="56" t="str">
        <f aca="false">IF(05_Jugos_Aperitivos!C17="","",05_Jugos_Aperitivos!C17)</f>
        <v>Extracto de betarraga</v>
      </c>
      <c r="E488" s="56" t="str">
        <f aca="false">IF(05_Jugos_Aperitivos!D17="","",05_Jugos_Aperitivos!D17)</f>
        <v>Extracto rojo</v>
      </c>
      <c r="F488" s="56" t="str">
        <f aca="false">IF(05_Jugos_Aperitivos!E17="","",05_Jugos_Aperitivos!E17)</f>
        <v>verdura u hoja fresca, agua, limón</v>
      </c>
      <c r="G488" s="55" t="str">
        <f aca="false">IF(05_Jugos_Aperitivos!F17="","",05_Jugos_Aperitivos!F17)</f>
        <v>Vaso 300 ml</v>
      </c>
      <c r="H488" s="55" t="str">
        <f aca="false">IF(05_Jugos_Aperitivos!G17="","",05_Jugos_Aperitivos!G17)</f>
        <v>Económico</v>
      </c>
      <c r="I488" s="58" t="n">
        <f aca="false">IF(05_Jugos_Aperitivos!H17="","",05_Jugos_Aperitivos!H17)</f>
        <v>4</v>
      </c>
      <c r="J488" s="58" t="n">
        <f aca="false">IF(05_Jugos_Aperitivos!I17="","",05_Jugos_Aperitivos!I17)</f>
        <v>8</v>
      </c>
      <c r="K488" s="58" t="n">
        <f aca="false">IF(05_Jugos_Aperitivos!J17="","",05_Jugos_Aperitivos!J17)</f>
        <v>6</v>
      </c>
      <c r="L488" s="58" t="n">
        <f aca="false">IF(05_Jugos_Aperitivos!L17="","",05_Jugos_Aperitivos!L17)</f>
        <v>6.5</v>
      </c>
      <c r="M488" s="58" t="n">
        <f aca="false">IF(05_Jugos_Aperitivos!N17="","",05_Jugos_Aperitivos!N17)</f>
        <v>0.42</v>
      </c>
      <c r="N488" s="58" t="n">
        <f aca="false">IF(05_Jugos_Aperitivos!O17="","",05_Jugos_Aperitivos!O17)</f>
        <v>5.58</v>
      </c>
      <c r="O488" s="55" t="str">
        <f aca="false">IF(05_Jugos_Aperitivos!P17="","",05_Jugos_Aperitivos!P17)</f>
        <v>06:00-11:00</v>
      </c>
      <c r="P488" s="55" t="n">
        <f aca="false">IF(05_Jugos_Aperitivos!Q17="","",05_Jugos_Aperitivos!Q17)</f>
        <v>5</v>
      </c>
      <c r="Q488" s="55" t="str">
        <f aca="false">IF(05_Jugos_Aperitivos!R17="","",05_Jugos_Aperitivos!R17)</f>
        <v>Alto</v>
      </c>
      <c r="R488" s="55" t="str">
        <f aca="false">IF(05_Jugos_Aperitivos!S17="","",05_Jugos_Aperitivos!S17)</f>
        <v>Todo el año</v>
      </c>
      <c r="S488" s="55" t="str">
        <f aca="false">IF(05_Jugos_Aperitivos!T17="","",05_Jugos_Aperitivos!T17)</f>
        <v>Juguería</v>
      </c>
      <c r="T488" s="56" t="str">
        <f aca="false">IF(05_Jugos_Aperitivos!U17="","",05_Jugos_Aperitivos!U17)</f>
        <v/>
      </c>
      <c r="U488" s="55" t="n">
        <v>17</v>
      </c>
      <c r="V488" s="55" t="n">
        <f aca="false">IF(AND(OR(LEN(13_Buscador!$C$5)=0,ISNUMBER(SEARCH(13_Buscador!$C$5,$C488&amp;" "&amp;$D488&amp;" "&amp;$E488&amp;" "&amp;$F488&amp;" "&amp;$S488))),OR(13_Buscador!$C$6="Todas las listas",LEN(13_Buscador!$C$6)=0,13_Buscador!$C$6=$B488)),1,0)</f>
        <v>0</v>
      </c>
      <c r="W488" s="55" t="str">
        <f aca="false">IF(V488=1,SUM($V$2:V488),"")</f>
        <v/>
      </c>
    </row>
    <row r="489" customFormat="false" ht="15" hidden="false" customHeight="true" outlineLevel="0" collapsed="false">
      <c r="A489" s="55" t="n">
        <v>488</v>
      </c>
      <c r="B489" s="55" t="s">
        <v>3331</v>
      </c>
      <c r="C489" s="55" t="str">
        <f aca="false">IF(05_Jugos_Aperitivos!B18="","",05_Jugos_Aperitivos!B18)</f>
        <v>Batidos y energizantes</v>
      </c>
      <c r="D489" s="56" t="str">
        <f aca="false">IF(05_Jugos_Aperitivos!C18="","",05_Jugos_Aperitivos!C18)</f>
        <v>Ponche de habas</v>
      </c>
      <c r="E489" s="56" t="str">
        <f aca="false">IF(05_Jugos_Aperitivos!D18="","",05_Jugos_Aperitivos!D18)</f>
        <v>Bebida caliente espesa</v>
      </c>
      <c r="F489" s="56" t="str">
        <f aca="false">IF(05_Jugos_Aperitivos!E18="","",05_Jugos_Aperitivos!E18)</f>
        <v>harina de habas tostadas, leche, azúcar, canela</v>
      </c>
      <c r="G489" s="55" t="str">
        <f aca="false">IF(05_Jugos_Aperitivos!F18="","",05_Jugos_Aperitivos!F18)</f>
        <v>Vaso 300 ml</v>
      </c>
      <c r="H489" s="55" t="str">
        <f aca="false">IF(05_Jugos_Aperitivos!G18="","",05_Jugos_Aperitivos!G18)</f>
        <v>Económico</v>
      </c>
      <c r="I489" s="58" t="n">
        <f aca="false">IF(05_Jugos_Aperitivos!H18="","",05_Jugos_Aperitivos!H18)</f>
        <v>3</v>
      </c>
      <c r="J489" s="58" t="n">
        <f aca="false">IF(05_Jugos_Aperitivos!I18="","",05_Jugos_Aperitivos!I18)</f>
        <v>7</v>
      </c>
      <c r="K489" s="58" t="n">
        <f aca="false">IF(05_Jugos_Aperitivos!J18="","",05_Jugos_Aperitivos!J18)</f>
        <v>5</v>
      </c>
      <c r="L489" s="58" t="n">
        <f aca="false">IF(05_Jugos_Aperitivos!L18="","",05_Jugos_Aperitivos!L18)</f>
        <v>5.5</v>
      </c>
      <c r="M489" s="58" t="n">
        <f aca="false">IF(05_Jugos_Aperitivos!N18="","",05_Jugos_Aperitivos!N18)</f>
        <v>0.35</v>
      </c>
      <c r="N489" s="58" t="n">
        <f aca="false">IF(05_Jugos_Aperitivos!O18="","",05_Jugos_Aperitivos!O18)</f>
        <v>4.65</v>
      </c>
      <c r="O489" s="55" t="str">
        <f aca="false">IF(05_Jugos_Aperitivos!P18="","",05_Jugos_Aperitivos!P18)</f>
        <v>05:00-09:00</v>
      </c>
      <c r="P489" s="55" t="n">
        <f aca="false">IF(05_Jugos_Aperitivos!Q18="","",05_Jugos_Aperitivos!Q18)</f>
        <v>4</v>
      </c>
      <c r="Q489" s="55" t="str">
        <f aca="false">IF(05_Jugos_Aperitivos!R18="","",05_Jugos_Aperitivos!R18)</f>
        <v>Medio</v>
      </c>
      <c r="R489" s="55" t="str">
        <f aca="false">IF(05_Jugos_Aperitivos!S18="","",05_Jugos_Aperitivos!S18)</f>
        <v>Mayor demanda en frío</v>
      </c>
      <c r="S489" s="55" t="str">
        <f aca="false">IF(05_Jugos_Aperitivos!T18="","",05_Jugos_Aperitivos!T18)</f>
        <v>Mercado, ambulante</v>
      </c>
      <c r="T489" s="56" t="str">
        <f aca="false">IF(05_Jugos_Aperitivos!U18="","",05_Jugos_Aperitivos!U18)</f>
        <v/>
      </c>
      <c r="U489" s="55" t="n">
        <v>18</v>
      </c>
      <c r="V489" s="55" t="n">
        <f aca="false">IF(AND(OR(LEN(13_Buscador!$C$5)=0,ISNUMBER(SEARCH(13_Buscador!$C$5,$C489&amp;" "&amp;$D489&amp;" "&amp;$E489&amp;" "&amp;$F489&amp;" "&amp;$S489))),OR(13_Buscador!$C$6="Todas las listas",LEN(13_Buscador!$C$6)=0,13_Buscador!$C$6=$B489)),1,0)</f>
        <v>0</v>
      </c>
      <c r="W489" s="55" t="str">
        <f aca="false">IF(V489=1,SUM($V$2:V489),"")</f>
        <v/>
      </c>
    </row>
    <row r="490" customFormat="false" ht="15" hidden="false" customHeight="true" outlineLevel="0" collapsed="false">
      <c r="A490" s="55" t="n">
        <v>489</v>
      </c>
      <c r="B490" s="55" t="s">
        <v>3331</v>
      </c>
      <c r="C490" s="55" t="str">
        <f aca="false">IF(05_Jugos_Aperitivos!B19="","",05_Jugos_Aperitivos!B19)</f>
        <v>Bebidas frías</v>
      </c>
      <c r="D490" s="56" t="str">
        <f aca="false">IF(05_Jugos_Aperitivos!C19="","",05_Jugos_Aperitivos!C19)</f>
        <v>Chicha morada vaso</v>
      </c>
      <c r="E490" s="56" t="str">
        <f aca="false">IF(05_Jugos_Aperitivos!D19="","",05_Jugos_Aperitivos!D19)</f>
        <v>Bebida de maíz morado</v>
      </c>
      <c r="F490" s="56" t="str">
        <f aca="false">IF(05_Jugos_Aperitivos!E19="","",05_Jugos_Aperitivos!E19)</f>
        <v>maíz morado, piña, canela, clavo, limón, azúcar</v>
      </c>
      <c r="G490" s="55" t="str">
        <f aca="false">IF(05_Jugos_Aperitivos!F19="","",05_Jugos_Aperitivos!F19)</f>
        <v>Vaso 500 ml</v>
      </c>
      <c r="H490" s="55" t="str">
        <f aca="false">IF(05_Jugos_Aperitivos!G19="","",05_Jugos_Aperitivos!G19)</f>
        <v>Económico</v>
      </c>
      <c r="I490" s="58" t="n">
        <f aca="false">IF(05_Jugos_Aperitivos!H19="","",05_Jugos_Aperitivos!H19)</f>
        <v>3</v>
      </c>
      <c r="J490" s="58" t="n">
        <f aca="false">IF(05_Jugos_Aperitivos!I19="","",05_Jugos_Aperitivos!I19)</f>
        <v>6</v>
      </c>
      <c r="K490" s="58" t="n">
        <f aca="false">IF(05_Jugos_Aperitivos!J19="","",05_Jugos_Aperitivos!J19)</f>
        <v>4.5</v>
      </c>
      <c r="L490" s="58" t="n">
        <f aca="false">IF(05_Jugos_Aperitivos!L19="","",05_Jugos_Aperitivos!L19)</f>
        <v>5</v>
      </c>
      <c r="M490" s="58" t="n">
        <f aca="false">IF(05_Jugos_Aperitivos!N19="","",05_Jugos_Aperitivos!N19)</f>
        <v>0.32</v>
      </c>
      <c r="N490" s="58" t="n">
        <f aca="false">IF(05_Jugos_Aperitivos!O19="","",05_Jugos_Aperitivos!O19)</f>
        <v>4.18</v>
      </c>
      <c r="O490" s="55" t="str">
        <f aca="false">IF(05_Jugos_Aperitivos!P19="","",05_Jugos_Aperitivos!P19)</f>
        <v>11:00-16:00</v>
      </c>
      <c r="P490" s="55" t="n">
        <f aca="false">IF(05_Jugos_Aperitivos!Q19="","",05_Jugos_Aperitivos!Q19)</f>
        <v>2</v>
      </c>
      <c r="Q490" s="55" t="str">
        <f aca="false">IF(05_Jugos_Aperitivos!R19="","",05_Jugos_Aperitivos!R19)</f>
        <v>Alto</v>
      </c>
      <c r="R490" s="55" t="str">
        <f aca="false">IF(05_Jugos_Aperitivos!S19="","",05_Jugos_Aperitivos!S19)</f>
        <v>Todo el año</v>
      </c>
      <c r="S490" s="55" t="str">
        <f aca="false">IF(05_Jugos_Aperitivos!T19="","",05_Jugos_Aperitivos!T19)</f>
        <v>Menú, restaurante</v>
      </c>
      <c r="T490" s="56" t="str">
        <f aca="false">IF(05_Jugos_Aperitivos!U19="","",05_Jugos_Aperitivos!U19)</f>
        <v/>
      </c>
      <c r="U490" s="55" t="n">
        <v>19</v>
      </c>
      <c r="V490" s="55" t="n">
        <f aca="false">IF(AND(OR(LEN(13_Buscador!$C$5)=0,ISNUMBER(SEARCH(13_Buscador!$C$5,$C490&amp;" "&amp;$D490&amp;" "&amp;$E490&amp;" "&amp;$F490&amp;" "&amp;$S490))),OR(13_Buscador!$C$6="Todas las listas",LEN(13_Buscador!$C$6)=0,13_Buscador!$C$6=$B490)),1,0)</f>
        <v>0</v>
      </c>
      <c r="W490" s="55" t="str">
        <f aca="false">IF(V490=1,SUM($V$2:V490),"")</f>
        <v/>
      </c>
    </row>
    <row r="491" customFormat="false" ht="15" hidden="false" customHeight="true" outlineLevel="0" collapsed="false">
      <c r="A491" s="55" t="n">
        <v>490</v>
      </c>
      <c r="B491" s="55" t="s">
        <v>3331</v>
      </c>
      <c r="C491" s="55" t="str">
        <f aca="false">IF(05_Jugos_Aperitivos!B20="","",05_Jugos_Aperitivos!B20)</f>
        <v>Bebidas frías</v>
      </c>
      <c r="D491" s="56" t="str">
        <f aca="false">IF(05_Jugos_Aperitivos!C20="","",05_Jugos_Aperitivos!C20)</f>
        <v>Chicha morada jarra</v>
      </c>
      <c r="E491" s="56" t="str">
        <f aca="false">IF(05_Jugos_Aperitivos!D20="","",05_Jugos_Aperitivos!D20)</f>
        <v>1 litro</v>
      </c>
      <c r="F491" s="56" t="str">
        <f aca="false">IF(05_Jugos_Aperitivos!E20="","",05_Jugos_Aperitivos!E20)</f>
        <v>maíz morado, piña, canela, clavo, limón, azúcar</v>
      </c>
      <c r="G491" s="55" t="str">
        <f aca="false">IF(05_Jugos_Aperitivos!F20="","",05_Jugos_Aperitivos!F20)</f>
        <v>Jarra 1 L</v>
      </c>
      <c r="H491" s="55" t="str">
        <f aca="false">IF(05_Jugos_Aperitivos!G20="","",05_Jugos_Aperitivos!G20)</f>
        <v>Económico</v>
      </c>
      <c r="I491" s="58" t="n">
        <f aca="false">IF(05_Jugos_Aperitivos!H20="","",05_Jugos_Aperitivos!H20)</f>
        <v>6</v>
      </c>
      <c r="J491" s="58" t="n">
        <f aca="false">IF(05_Jugos_Aperitivos!I20="","",05_Jugos_Aperitivos!I20)</f>
        <v>12</v>
      </c>
      <c r="K491" s="58" t="n">
        <f aca="false">IF(05_Jugos_Aperitivos!J20="","",05_Jugos_Aperitivos!J20)</f>
        <v>9</v>
      </c>
      <c r="L491" s="58" t="n">
        <f aca="false">IF(05_Jugos_Aperitivos!L20="","",05_Jugos_Aperitivos!L20)</f>
        <v>9.5</v>
      </c>
      <c r="M491" s="58" t="n">
        <f aca="false">IF(05_Jugos_Aperitivos!N20="","",05_Jugos_Aperitivos!N20)</f>
        <v>0.63</v>
      </c>
      <c r="N491" s="58" t="n">
        <f aca="false">IF(05_Jugos_Aperitivos!O20="","",05_Jugos_Aperitivos!O20)</f>
        <v>8.37</v>
      </c>
      <c r="O491" s="55" t="str">
        <f aca="false">IF(05_Jugos_Aperitivos!P20="","",05_Jugos_Aperitivos!P20)</f>
        <v>11:00-16:00</v>
      </c>
      <c r="P491" s="55" t="n">
        <f aca="false">IF(05_Jugos_Aperitivos!Q20="","",05_Jugos_Aperitivos!Q20)</f>
        <v>3</v>
      </c>
      <c r="Q491" s="55" t="str">
        <f aca="false">IF(05_Jugos_Aperitivos!R20="","",05_Jugos_Aperitivos!R20)</f>
        <v>Alto</v>
      </c>
      <c r="R491" s="55" t="str">
        <f aca="false">IF(05_Jugos_Aperitivos!S20="","",05_Jugos_Aperitivos!S20)</f>
        <v>Todo el año</v>
      </c>
      <c r="S491" s="55" t="str">
        <f aca="false">IF(05_Jugos_Aperitivos!T20="","",05_Jugos_Aperitivos!T20)</f>
        <v>Menú, restaurante</v>
      </c>
      <c r="T491" s="56" t="str">
        <f aca="false">IF(05_Jugos_Aperitivos!U20="","",05_Jugos_Aperitivos!U20)</f>
        <v>Complemento natural del menú</v>
      </c>
      <c r="U491" s="55" t="n">
        <v>20</v>
      </c>
      <c r="V491" s="55" t="n">
        <f aca="false">IF(AND(OR(LEN(13_Buscador!$C$5)=0,ISNUMBER(SEARCH(13_Buscador!$C$5,$C491&amp;" "&amp;$D491&amp;" "&amp;$E491&amp;" "&amp;$F491&amp;" "&amp;$S491))),OR(13_Buscador!$C$6="Todas las listas",LEN(13_Buscador!$C$6)=0,13_Buscador!$C$6=$B491)),1,0)</f>
        <v>0</v>
      </c>
      <c r="W491" s="55" t="str">
        <f aca="false">IF(V491=1,SUM($V$2:V491),"")</f>
        <v/>
      </c>
    </row>
    <row r="492" customFormat="false" ht="15" hidden="false" customHeight="true" outlineLevel="0" collapsed="false">
      <c r="A492" s="55" t="n">
        <v>491</v>
      </c>
      <c r="B492" s="55" t="s">
        <v>3331</v>
      </c>
      <c r="C492" s="55" t="str">
        <f aca="false">IF(05_Jugos_Aperitivos!B21="","",05_Jugos_Aperitivos!B21)</f>
        <v>Bebidas frías</v>
      </c>
      <c r="D492" s="56" t="str">
        <f aca="false">IF(05_Jugos_Aperitivos!C21="","",05_Jugos_Aperitivos!C21)</f>
        <v>Refresco de la casa</v>
      </c>
      <c r="E492" s="56" t="str">
        <f aca="false">IF(05_Jugos_Aperitivos!D21="","",05_Jugos_Aperitivos!D21)</f>
        <v>Refresco del día</v>
      </c>
      <c r="F492" s="56" t="str">
        <f aca="false">IF(05_Jugos_Aperitivos!E21="","",05_Jugos_Aperitivos!E21)</f>
        <v>fruta o cebada del día, agua, azúcar</v>
      </c>
      <c r="G492" s="55" t="str">
        <f aca="false">IF(05_Jugos_Aperitivos!F21="","",05_Jugos_Aperitivos!F21)</f>
        <v>Vaso 500 ml</v>
      </c>
      <c r="H492" s="55" t="str">
        <f aca="false">IF(05_Jugos_Aperitivos!G21="","",05_Jugos_Aperitivos!G21)</f>
        <v>Económico</v>
      </c>
      <c r="I492" s="58" t="n">
        <f aca="false">IF(05_Jugos_Aperitivos!H21="","",05_Jugos_Aperitivos!H21)</f>
        <v>2</v>
      </c>
      <c r="J492" s="58" t="n">
        <f aca="false">IF(05_Jugos_Aperitivos!I21="","",05_Jugos_Aperitivos!I21)</f>
        <v>5</v>
      </c>
      <c r="K492" s="58" t="n">
        <f aca="false">IF(05_Jugos_Aperitivos!J21="","",05_Jugos_Aperitivos!J21)</f>
        <v>3.5</v>
      </c>
      <c r="L492" s="58" t="n">
        <f aca="false">IF(05_Jugos_Aperitivos!L21="","",05_Jugos_Aperitivos!L21)</f>
        <v>4</v>
      </c>
      <c r="M492" s="58" t="n">
        <f aca="false">IF(05_Jugos_Aperitivos!N21="","",05_Jugos_Aperitivos!N21)</f>
        <v>0.25</v>
      </c>
      <c r="N492" s="58" t="n">
        <f aca="false">IF(05_Jugos_Aperitivos!O21="","",05_Jugos_Aperitivos!O21)</f>
        <v>3.25</v>
      </c>
      <c r="O492" s="55" t="str">
        <f aca="false">IF(05_Jugos_Aperitivos!P21="","",05_Jugos_Aperitivos!P21)</f>
        <v>11:00-16:00</v>
      </c>
      <c r="P492" s="55" t="n">
        <f aca="false">IF(05_Jugos_Aperitivos!Q21="","",05_Jugos_Aperitivos!Q21)</f>
        <v>2</v>
      </c>
      <c r="Q492" s="55" t="str">
        <f aca="false">IF(05_Jugos_Aperitivos!R21="","",05_Jugos_Aperitivos!R21)</f>
        <v>Alto</v>
      </c>
      <c r="R492" s="55" t="str">
        <f aca="false">IF(05_Jugos_Aperitivos!S21="","",05_Jugos_Aperitivos!S21)</f>
        <v>Todo el año</v>
      </c>
      <c r="S492" s="55" t="str">
        <f aca="false">IF(05_Jugos_Aperitivos!T21="","",05_Jugos_Aperitivos!T21)</f>
        <v>Menú popular</v>
      </c>
      <c r="T492" s="56" t="str">
        <f aca="false">IF(05_Jugos_Aperitivos!U21="","",05_Jugos_Aperitivos!U21)</f>
        <v>Incluido en el menú económico</v>
      </c>
      <c r="U492" s="55" t="n">
        <v>21</v>
      </c>
      <c r="V492" s="55" t="n">
        <f aca="false">IF(AND(OR(LEN(13_Buscador!$C$5)=0,ISNUMBER(SEARCH(13_Buscador!$C$5,$C492&amp;" "&amp;$D492&amp;" "&amp;$E492&amp;" "&amp;$F492&amp;" "&amp;$S492))),OR(13_Buscador!$C$6="Todas las listas",LEN(13_Buscador!$C$6)=0,13_Buscador!$C$6=$B492)),1,0)</f>
        <v>0</v>
      </c>
      <c r="W492" s="55" t="str">
        <f aca="false">IF(V492=1,SUM($V$2:V492),"")</f>
        <v/>
      </c>
    </row>
    <row r="493" customFormat="false" ht="15" hidden="false" customHeight="true" outlineLevel="0" collapsed="false">
      <c r="A493" s="55" t="n">
        <v>492</v>
      </c>
      <c r="B493" s="55" t="s">
        <v>3331</v>
      </c>
      <c r="C493" s="55" t="str">
        <f aca="false">IF(05_Jugos_Aperitivos!B22="","",05_Jugos_Aperitivos!B22)</f>
        <v>Bebidas frías</v>
      </c>
      <c r="D493" s="56" t="str">
        <f aca="false">IF(05_Jugos_Aperitivos!C22="","",05_Jugos_Aperitivos!C22)</f>
        <v>Limonada</v>
      </c>
      <c r="E493" s="56" t="str">
        <f aca="false">IF(05_Jugos_Aperitivos!D22="","",05_Jugos_Aperitivos!D22)</f>
        <v>Limonada natural</v>
      </c>
      <c r="F493" s="56" t="str">
        <f aca="false">IF(05_Jugos_Aperitivos!E22="","",05_Jugos_Aperitivos!E22)</f>
        <v>limón, agua, azúcar, hierbabuena</v>
      </c>
      <c r="G493" s="55" t="str">
        <f aca="false">IF(05_Jugos_Aperitivos!F22="","",05_Jugos_Aperitivos!F22)</f>
        <v>Vaso 500 ml</v>
      </c>
      <c r="H493" s="55" t="str">
        <f aca="false">IF(05_Jugos_Aperitivos!G22="","",05_Jugos_Aperitivos!G22)</f>
        <v>Económico</v>
      </c>
      <c r="I493" s="58" t="n">
        <f aca="false">IF(05_Jugos_Aperitivos!H22="","",05_Jugos_Aperitivos!H22)</f>
        <v>4</v>
      </c>
      <c r="J493" s="58" t="n">
        <f aca="false">IF(05_Jugos_Aperitivos!I22="","",05_Jugos_Aperitivos!I22)</f>
        <v>8</v>
      </c>
      <c r="K493" s="58" t="n">
        <f aca="false">IF(05_Jugos_Aperitivos!J22="","",05_Jugos_Aperitivos!J22)</f>
        <v>6</v>
      </c>
      <c r="L493" s="58" t="n">
        <f aca="false">IF(05_Jugos_Aperitivos!L22="","",05_Jugos_Aperitivos!L22)</f>
        <v>6.5</v>
      </c>
      <c r="M493" s="58" t="n">
        <f aca="false">IF(05_Jugos_Aperitivos!N22="","",05_Jugos_Aperitivos!N22)</f>
        <v>0.42</v>
      </c>
      <c r="N493" s="58" t="n">
        <f aca="false">IF(05_Jugos_Aperitivos!O22="","",05_Jugos_Aperitivos!O22)</f>
        <v>5.58</v>
      </c>
      <c r="O493" s="55" t="str">
        <f aca="false">IF(05_Jugos_Aperitivos!P22="","",05_Jugos_Aperitivos!P22)</f>
        <v>11:00-18:00</v>
      </c>
      <c r="P493" s="55" t="n">
        <f aca="false">IF(05_Jugos_Aperitivos!Q22="","",05_Jugos_Aperitivos!Q22)</f>
        <v>4</v>
      </c>
      <c r="Q493" s="55" t="str">
        <f aca="false">IF(05_Jugos_Aperitivos!R22="","",05_Jugos_Aperitivos!R22)</f>
        <v>Alto</v>
      </c>
      <c r="R493" s="55" t="str">
        <f aca="false">IF(05_Jugos_Aperitivos!S22="","",05_Jugos_Aperitivos!S22)</f>
        <v>Todo el año</v>
      </c>
      <c r="S493" s="55" t="str">
        <f aca="false">IF(05_Jugos_Aperitivos!T22="","",05_Jugos_Aperitivos!T22)</f>
        <v>Restaurante</v>
      </c>
      <c r="T493" s="56" t="str">
        <f aca="false">IF(05_Jugos_Aperitivos!U22="","",05_Jugos_Aperitivos!U22)</f>
        <v/>
      </c>
      <c r="U493" s="55" t="n">
        <v>22</v>
      </c>
      <c r="V493" s="55" t="n">
        <f aca="false">IF(AND(OR(LEN(13_Buscador!$C$5)=0,ISNUMBER(SEARCH(13_Buscador!$C$5,$C493&amp;" "&amp;$D493&amp;" "&amp;$E493&amp;" "&amp;$F493&amp;" "&amp;$S493))),OR(13_Buscador!$C$6="Todas las listas",LEN(13_Buscador!$C$6)=0,13_Buscador!$C$6=$B493)),1,0)</f>
        <v>0</v>
      </c>
      <c r="W493" s="55" t="str">
        <f aca="false">IF(V493=1,SUM($V$2:V493),"")</f>
        <v/>
      </c>
    </row>
    <row r="494" customFormat="false" ht="15" hidden="false" customHeight="true" outlineLevel="0" collapsed="false">
      <c r="A494" s="55" t="n">
        <v>493</v>
      </c>
      <c r="B494" s="55" t="s">
        <v>3331</v>
      </c>
      <c r="C494" s="55" t="str">
        <f aca="false">IF(05_Jugos_Aperitivos!B23="","",05_Jugos_Aperitivos!B23)</f>
        <v>Bebidas frías</v>
      </c>
      <c r="D494" s="56" t="str">
        <f aca="false">IF(05_Jugos_Aperitivos!C23="","",05_Jugos_Aperitivos!C23)</f>
        <v>Limonada frozen</v>
      </c>
      <c r="E494" s="56" t="str">
        <f aca="false">IF(05_Jugos_Aperitivos!D23="","",05_Jugos_Aperitivos!D23)</f>
        <v>Limonada granizada</v>
      </c>
      <c r="F494" s="56" t="str">
        <f aca="false">IF(05_Jugos_Aperitivos!E23="","",05_Jugos_Aperitivos!E23)</f>
        <v>limón, agua, azúcar, hierbabuena</v>
      </c>
      <c r="G494" s="55" t="str">
        <f aca="false">IF(05_Jugos_Aperitivos!F23="","",05_Jugos_Aperitivos!F23)</f>
        <v>Vaso 500 ml</v>
      </c>
      <c r="H494" s="55" t="str">
        <f aca="false">IF(05_Jugos_Aperitivos!G23="","",05_Jugos_Aperitivos!G23)</f>
        <v>Estándar</v>
      </c>
      <c r="I494" s="58" t="n">
        <f aca="false">IF(05_Jugos_Aperitivos!H23="","",05_Jugos_Aperitivos!H23)</f>
        <v>6</v>
      </c>
      <c r="J494" s="58" t="n">
        <f aca="false">IF(05_Jugos_Aperitivos!I23="","",05_Jugos_Aperitivos!I23)</f>
        <v>12</v>
      </c>
      <c r="K494" s="58" t="n">
        <f aca="false">IF(05_Jugos_Aperitivos!J23="","",05_Jugos_Aperitivos!J23)</f>
        <v>9</v>
      </c>
      <c r="L494" s="58" t="n">
        <f aca="false">IF(05_Jugos_Aperitivos!L23="","",05_Jugos_Aperitivos!L23)</f>
        <v>9.5</v>
      </c>
      <c r="M494" s="58" t="n">
        <f aca="false">IF(05_Jugos_Aperitivos!N23="","",05_Jugos_Aperitivos!N23)</f>
        <v>0.81</v>
      </c>
      <c r="N494" s="58" t="n">
        <f aca="false">IF(05_Jugos_Aperitivos!O23="","",05_Jugos_Aperitivos!O23)</f>
        <v>8.19</v>
      </c>
      <c r="O494" s="55" t="str">
        <f aca="false">IF(05_Jugos_Aperitivos!P23="","",05_Jugos_Aperitivos!P23)</f>
        <v>11:00-18:00</v>
      </c>
      <c r="P494" s="55" t="n">
        <f aca="false">IF(05_Jugos_Aperitivos!Q23="","",05_Jugos_Aperitivos!Q23)</f>
        <v>5</v>
      </c>
      <c r="Q494" s="55" t="str">
        <f aca="false">IF(05_Jugos_Aperitivos!R23="","",05_Jugos_Aperitivos!R23)</f>
        <v>Medio</v>
      </c>
      <c r="R494" s="55" t="str">
        <f aca="false">IF(05_Jugos_Aperitivos!S23="","",05_Jugos_Aperitivos!S23)</f>
        <v>Todo el año</v>
      </c>
      <c r="S494" s="55" t="str">
        <f aca="false">IF(05_Jugos_Aperitivos!T23="","",05_Jugos_Aperitivos!T23)</f>
        <v>Cafetería</v>
      </c>
      <c r="T494" s="56" t="str">
        <f aca="false">IF(05_Jugos_Aperitivos!U23="","",05_Jugos_Aperitivos!U23)</f>
        <v>Se derrite en traslado largo</v>
      </c>
      <c r="U494" s="55" t="n">
        <v>23</v>
      </c>
      <c r="V494" s="55" t="n">
        <f aca="false">IF(AND(OR(LEN(13_Buscador!$C$5)=0,ISNUMBER(SEARCH(13_Buscador!$C$5,$C494&amp;" "&amp;$D494&amp;" "&amp;$E494&amp;" "&amp;$F494&amp;" "&amp;$S494))),OR(13_Buscador!$C$6="Todas las listas",LEN(13_Buscador!$C$6)=0,13_Buscador!$C$6=$B494)),1,0)</f>
        <v>0</v>
      </c>
      <c r="W494" s="55" t="str">
        <f aca="false">IF(V494=1,SUM($V$2:V494),"")</f>
        <v/>
      </c>
    </row>
    <row r="495" customFormat="false" ht="15" hidden="false" customHeight="true" outlineLevel="0" collapsed="false">
      <c r="A495" s="55" t="n">
        <v>494</v>
      </c>
      <c r="B495" s="55" t="s">
        <v>3331</v>
      </c>
      <c r="C495" s="55" t="str">
        <f aca="false">IF(05_Jugos_Aperitivos!B24="","",05_Jugos_Aperitivos!B24)</f>
        <v>Bebidas frías</v>
      </c>
      <c r="D495" s="56" t="str">
        <f aca="false">IF(05_Jugos_Aperitivos!C24="","",05_Jugos_Aperitivos!C24)</f>
        <v>Gaseosa personal 500 ml</v>
      </c>
      <c r="E495" s="56" t="str">
        <f aca="false">IF(05_Jugos_Aperitivos!D24="","",05_Jugos_Aperitivos!D24)</f>
        <v>Botella</v>
      </c>
      <c r="F495" s="56" t="str">
        <f aca="false">IF(05_Jugos_Aperitivos!E24="","",05_Jugos_Aperitivos!E24)</f>
        <v>producto embotellado de marca</v>
      </c>
      <c r="G495" s="55" t="str">
        <f aca="false">IF(05_Jugos_Aperitivos!F24="","",05_Jugos_Aperitivos!F24)</f>
        <v>Botella</v>
      </c>
      <c r="H495" s="55" t="str">
        <f aca="false">IF(05_Jugos_Aperitivos!G24="","",05_Jugos_Aperitivos!G24)</f>
        <v>Económico</v>
      </c>
      <c r="I495" s="58" t="n">
        <f aca="false">IF(05_Jugos_Aperitivos!H24="","",05_Jugos_Aperitivos!H24)</f>
        <v>3</v>
      </c>
      <c r="J495" s="58" t="n">
        <f aca="false">IF(05_Jugos_Aperitivos!I24="","",05_Jugos_Aperitivos!I24)</f>
        <v>5</v>
      </c>
      <c r="K495" s="58" t="n">
        <f aca="false">IF(05_Jugos_Aperitivos!J24="","",05_Jugos_Aperitivos!J24)</f>
        <v>4</v>
      </c>
      <c r="L495" s="58" t="n">
        <f aca="false">IF(05_Jugos_Aperitivos!L24="","",05_Jugos_Aperitivos!L24)</f>
        <v>4.5</v>
      </c>
      <c r="M495" s="58" t="n">
        <f aca="false">IF(05_Jugos_Aperitivos!N24="","",05_Jugos_Aperitivos!N24)</f>
        <v>0.28</v>
      </c>
      <c r="N495" s="58" t="n">
        <f aca="false">IF(05_Jugos_Aperitivos!O24="","",05_Jugos_Aperitivos!O24)</f>
        <v>3.72</v>
      </c>
      <c r="O495" s="55" t="str">
        <f aca="false">IF(05_Jugos_Aperitivos!P24="","",05_Jugos_Aperitivos!P24)</f>
        <v>Todo el día</v>
      </c>
      <c r="P495" s="55" t="n">
        <f aca="false">IF(05_Jugos_Aperitivos!Q24="","",05_Jugos_Aperitivos!Q24)</f>
        <v>1</v>
      </c>
      <c r="Q495" s="55" t="str">
        <f aca="false">IF(05_Jugos_Aperitivos!R24="","",05_Jugos_Aperitivos!R24)</f>
        <v>Alto</v>
      </c>
      <c r="R495" s="55" t="str">
        <f aca="false">IF(05_Jugos_Aperitivos!S24="","",05_Jugos_Aperitivos!S24)</f>
        <v>Todo el año</v>
      </c>
      <c r="S495" s="55" t="str">
        <f aca="false">IF(05_Jugos_Aperitivos!T24="","",05_Jugos_Aperitivos!T24)</f>
        <v>Todos</v>
      </c>
      <c r="T495" s="56" t="str">
        <f aca="false">IF(05_Jugos_Aperitivos!U24="","",05_Jugos_Aperitivos!U24)</f>
        <v>Margen fijo, sube ticket sin trabajo</v>
      </c>
      <c r="U495" s="55" t="n">
        <v>24</v>
      </c>
      <c r="V495" s="55" t="n">
        <f aca="false">IF(AND(OR(LEN(13_Buscador!$C$5)=0,ISNUMBER(SEARCH(13_Buscador!$C$5,$C495&amp;" "&amp;$D495&amp;" "&amp;$E495&amp;" "&amp;$F495&amp;" "&amp;$S495))),OR(13_Buscador!$C$6="Todas las listas",LEN(13_Buscador!$C$6)=0,13_Buscador!$C$6=$B495)),1,0)</f>
        <v>0</v>
      </c>
      <c r="W495" s="55" t="str">
        <f aca="false">IF(V495=1,SUM($V$2:V495),"")</f>
        <v/>
      </c>
    </row>
    <row r="496" customFormat="false" ht="15" hidden="false" customHeight="true" outlineLevel="0" collapsed="false">
      <c r="A496" s="55" t="n">
        <v>495</v>
      </c>
      <c r="B496" s="55" t="s">
        <v>3331</v>
      </c>
      <c r="C496" s="55" t="str">
        <f aca="false">IF(05_Jugos_Aperitivos!B25="","",05_Jugos_Aperitivos!B25)</f>
        <v>Bebidas frías</v>
      </c>
      <c r="D496" s="56" t="str">
        <f aca="false">IF(05_Jugos_Aperitivos!C25="","",05_Jugos_Aperitivos!C25)</f>
        <v>Gaseosa 1.5 L</v>
      </c>
      <c r="E496" s="56" t="str">
        <f aca="false">IF(05_Jugos_Aperitivos!D25="","",05_Jugos_Aperitivos!D25)</f>
        <v>Botella familiar</v>
      </c>
      <c r="F496" s="56" t="str">
        <f aca="false">IF(05_Jugos_Aperitivos!E25="","",05_Jugos_Aperitivos!E25)</f>
        <v>producto embotellado de marca</v>
      </c>
      <c r="G496" s="55" t="str">
        <f aca="false">IF(05_Jugos_Aperitivos!F25="","",05_Jugos_Aperitivos!F25)</f>
        <v>Botella</v>
      </c>
      <c r="H496" s="55" t="str">
        <f aca="false">IF(05_Jugos_Aperitivos!G25="","",05_Jugos_Aperitivos!G25)</f>
        <v>Económico</v>
      </c>
      <c r="I496" s="58" t="n">
        <f aca="false">IF(05_Jugos_Aperitivos!H25="","",05_Jugos_Aperitivos!H25)</f>
        <v>7</v>
      </c>
      <c r="J496" s="58" t="n">
        <f aca="false">IF(05_Jugos_Aperitivos!I25="","",05_Jugos_Aperitivos!I25)</f>
        <v>10</v>
      </c>
      <c r="K496" s="58" t="n">
        <f aca="false">IF(05_Jugos_Aperitivos!J25="","",05_Jugos_Aperitivos!J25)</f>
        <v>8.5</v>
      </c>
      <c r="L496" s="58" t="n">
        <f aca="false">IF(05_Jugos_Aperitivos!L25="","",05_Jugos_Aperitivos!L25)</f>
        <v>9</v>
      </c>
      <c r="M496" s="58" t="n">
        <f aca="false">IF(05_Jugos_Aperitivos!N25="","",05_Jugos_Aperitivos!N25)</f>
        <v>0.6</v>
      </c>
      <c r="N496" s="58" t="n">
        <f aca="false">IF(05_Jugos_Aperitivos!O25="","",05_Jugos_Aperitivos!O25)</f>
        <v>7.9</v>
      </c>
      <c r="O496" s="55" t="str">
        <f aca="false">IF(05_Jugos_Aperitivos!P25="","",05_Jugos_Aperitivos!P25)</f>
        <v>Todo el día</v>
      </c>
      <c r="P496" s="55" t="n">
        <f aca="false">IF(05_Jugos_Aperitivos!Q25="","",05_Jugos_Aperitivos!Q25)</f>
        <v>1</v>
      </c>
      <c r="Q496" s="55" t="str">
        <f aca="false">IF(05_Jugos_Aperitivos!R25="","",05_Jugos_Aperitivos!R25)</f>
        <v>Alto</v>
      </c>
      <c r="R496" s="55" t="str">
        <f aca="false">IF(05_Jugos_Aperitivos!S25="","",05_Jugos_Aperitivos!S25)</f>
        <v>Todo el año</v>
      </c>
      <c r="S496" s="55" t="str">
        <f aca="false">IF(05_Jugos_Aperitivos!T25="","",05_Jugos_Aperitivos!T25)</f>
        <v>Todos</v>
      </c>
      <c r="T496" s="56" t="str">
        <f aca="false">IF(05_Jugos_Aperitivos!U25="","",05_Jugos_Aperitivos!U25)</f>
        <v>Complemento obligatorio en combo familiar</v>
      </c>
      <c r="U496" s="55" t="n">
        <v>25</v>
      </c>
      <c r="V496" s="55" t="n">
        <f aca="false">IF(AND(OR(LEN(13_Buscador!$C$5)=0,ISNUMBER(SEARCH(13_Buscador!$C$5,$C496&amp;" "&amp;$D496&amp;" "&amp;$E496&amp;" "&amp;$F496&amp;" "&amp;$S496))),OR(13_Buscador!$C$6="Todas las listas",LEN(13_Buscador!$C$6)=0,13_Buscador!$C$6=$B496)),1,0)</f>
        <v>0</v>
      </c>
      <c r="W496" s="55" t="str">
        <f aca="false">IF(V496=1,SUM($V$2:V496),"")</f>
        <v/>
      </c>
    </row>
    <row r="497" customFormat="false" ht="15" hidden="false" customHeight="true" outlineLevel="0" collapsed="false">
      <c r="A497" s="55" t="n">
        <v>496</v>
      </c>
      <c r="B497" s="55" t="s">
        <v>3331</v>
      </c>
      <c r="C497" s="55" t="str">
        <f aca="false">IF(05_Jugos_Aperitivos!B26="","",05_Jugos_Aperitivos!B26)</f>
        <v>Bebidas frías</v>
      </c>
      <c r="D497" s="56" t="str">
        <f aca="false">IF(05_Jugos_Aperitivos!C26="","",05_Jugos_Aperitivos!C26)</f>
        <v>Agua mineral 625 ml</v>
      </c>
      <c r="E497" s="56" t="str">
        <f aca="false">IF(05_Jugos_Aperitivos!D26="","",05_Jugos_Aperitivos!D26)</f>
        <v>Botella</v>
      </c>
      <c r="F497" s="56" t="str">
        <f aca="false">IF(05_Jugos_Aperitivos!E26="","",05_Jugos_Aperitivos!E26)</f>
        <v>producto embotellado de marca</v>
      </c>
      <c r="G497" s="55" t="str">
        <f aca="false">IF(05_Jugos_Aperitivos!F26="","",05_Jugos_Aperitivos!F26)</f>
        <v>Botella</v>
      </c>
      <c r="H497" s="55" t="str">
        <f aca="false">IF(05_Jugos_Aperitivos!G26="","",05_Jugos_Aperitivos!G26)</f>
        <v>Económico</v>
      </c>
      <c r="I497" s="58" t="n">
        <f aca="false">IF(05_Jugos_Aperitivos!H26="","",05_Jugos_Aperitivos!H26)</f>
        <v>2</v>
      </c>
      <c r="J497" s="58" t="n">
        <f aca="false">IF(05_Jugos_Aperitivos!I26="","",05_Jugos_Aperitivos!I26)</f>
        <v>4</v>
      </c>
      <c r="K497" s="58" t="n">
        <f aca="false">IF(05_Jugos_Aperitivos!J26="","",05_Jugos_Aperitivos!J26)</f>
        <v>3</v>
      </c>
      <c r="L497" s="58" t="n">
        <f aca="false">IF(05_Jugos_Aperitivos!L26="","",05_Jugos_Aperitivos!L26)</f>
        <v>3.5</v>
      </c>
      <c r="M497" s="58" t="n">
        <f aca="false">IF(05_Jugos_Aperitivos!N26="","",05_Jugos_Aperitivos!N26)</f>
        <v>0.21</v>
      </c>
      <c r="N497" s="58" t="n">
        <f aca="false">IF(05_Jugos_Aperitivos!O26="","",05_Jugos_Aperitivos!O26)</f>
        <v>2.79</v>
      </c>
      <c r="O497" s="55" t="str">
        <f aca="false">IF(05_Jugos_Aperitivos!P26="","",05_Jugos_Aperitivos!P26)</f>
        <v>Todo el día</v>
      </c>
      <c r="P497" s="55" t="n">
        <f aca="false">IF(05_Jugos_Aperitivos!Q26="","",05_Jugos_Aperitivos!Q26)</f>
        <v>1</v>
      </c>
      <c r="Q497" s="55" t="str">
        <f aca="false">IF(05_Jugos_Aperitivos!R26="","",05_Jugos_Aperitivos!R26)</f>
        <v>Alto</v>
      </c>
      <c r="R497" s="55" t="str">
        <f aca="false">IF(05_Jugos_Aperitivos!S26="","",05_Jugos_Aperitivos!S26)</f>
        <v>Todo el año</v>
      </c>
      <c r="S497" s="55" t="str">
        <f aca="false">IF(05_Jugos_Aperitivos!T26="","",05_Jugos_Aperitivos!T26)</f>
        <v>Todos</v>
      </c>
      <c r="T497" s="56" t="str">
        <f aca="false">IF(05_Jugos_Aperitivos!U26="","",05_Jugos_Aperitivos!U26)</f>
        <v/>
      </c>
      <c r="U497" s="55" t="n">
        <v>26</v>
      </c>
      <c r="V497" s="55" t="n">
        <f aca="false">IF(AND(OR(LEN(13_Buscador!$C$5)=0,ISNUMBER(SEARCH(13_Buscador!$C$5,$C497&amp;" "&amp;$D497&amp;" "&amp;$E497&amp;" "&amp;$F497&amp;" "&amp;$S497))),OR(13_Buscador!$C$6="Todas las listas",LEN(13_Buscador!$C$6)=0,13_Buscador!$C$6=$B497)),1,0)</f>
        <v>0</v>
      </c>
      <c r="W497" s="55" t="str">
        <f aca="false">IF(V497=1,SUM($V$2:V497),"")</f>
        <v/>
      </c>
    </row>
    <row r="498" customFormat="false" ht="15" hidden="false" customHeight="true" outlineLevel="0" collapsed="false">
      <c r="A498" s="55" t="n">
        <v>497</v>
      </c>
      <c r="B498" s="55" t="s">
        <v>3331</v>
      </c>
      <c r="C498" s="55" t="str">
        <f aca="false">IF(05_Jugos_Aperitivos!B27="","",05_Jugos_Aperitivos!B27)</f>
        <v>Bebidas frías</v>
      </c>
      <c r="D498" s="56" t="str">
        <f aca="false">IF(05_Jugos_Aperitivos!C27="","",05_Jugos_Aperitivos!C27)</f>
        <v>Cerveza personal</v>
      </c>
      <c r="E498" s="56" t="str">
        <f aca="false">IF(05_Jugos_Aperitivos!D27="","",05_Jugos_Aperitivos!D27)</f>
        <v>Botella o lata</v>
      </c>
      <c r="F498" s="56" t="str">
        <f aca="false">IF(05_Jugos_Aperitivos!E27="","",05_Jugos_Aperitivos!E27)</f>
        <v>cerveza embotellada o en lata</v>
      </c>
      <c r="G498" s="55" t="str">
        <f aca="false">IF(05_Jugos_Aperitivos!F27="","",05_Jugos_Aperitivos!F27)</f>
        <v>Botella</v>
      </c>
      <c r="H498" s="55" t="str">
        <f aca="false">IF(05_Jugos_Aperitivos!G27="","",05_Jugos_Aperitivos!G27)</f>
        <v>Estándar</v>
      </c>
      <c r="I498" s="58" t="n">
        <f aca="false">IF(05_Jugos_Aperitivos!H27="","",05_Jugos_Aperitivos!H27)</f>
        <v>7</v>
      </c>
      <c r="J498" s="58" t="n">
        <f aca="false">IF(05_Jugos_Aperitivos!I27="","",05_Jugos_Aperitivos!I27)</f>
        <v>15</v>
      </c>
      <c r="K498" s="58" t="n">
        <f aca="false">IF(05_Jugos_Aperitivos!J27="","",05_Jugos_Aperitivos!J27)</f>
        <v>11</v>
      </c>
      <c r="L498" s="58" t="n">
        <f aca="false">IF(05_Jugos_Aperitivos!L27="","",05_Jugos_Aperitivos!L27)</f>
        <v>11.5</v>
      </c>
      <c r="M498" s="58" t="n">
        <f aca="false">IF(05_Jugos_Aperitivos!N27="","",05_Jugos_Aperitivos!N27)</f>
        <v>0.99</v>
      </c>
      <c r="N498" s="58" t="n">
        <f aca="false">IF(05_Jugos_Aperitivos!O27="","",05_Jugos_Aperitivos!O27)</f>
        <v>10.01</v>
      </c>
      <c r="O498" s="55" t="str">
        <f aca="false">IF(05_Jugos_Aperitivos!P27="","",05_Jugos_Aperitivos!P27)</f>
        <v>18:00-23:00</v>
      </c>
      <c r="P498" s="55" t="n">
        <f aca="false">IF(05_Jugos_Aperitivos!Q27="","",05_Jugos_Aperitivos!Q27)</f>
        <v>1</v>
      </c>
      <c r="Q498" s="55" t="str">
        <f aca="false">IF(05_Jugos_Aperitivos!R27="","",05_Jugos_Aperitivos!R27)</f>
        <v>Alto</v>
      </c>
      <c r="R498" s="55" t="str">
        <f aca="false">IF(05_Jugos_Aperitivos!S27="","",05_Jugos_Aperitivos!S27)</f>
        <v>Todo el año</v>
      </c>
      <c r="S498" s="55" t="str">
        <f aca="false">IF(05_Jugos_Aperitivos!T27="","",05_Jugos_Aperitivos!T27)</f>
        <v>Bar, pollería</v>
      </c>
      <c r="T498" s="56" t="str">
        <f aca="false">IF(05_Jugos_Aperitivos!U27="","",05_Jugos_Aperitivos!U27)</f>
        <v>Requiere verificación de edad al entregar</v>
      </c>
      <c r="U498" s="55" t="n">
        <v>27</v>
      </c>
      <c r="V498" s="55" t="n">
        <f aca="false">IF(AND(OR(LEN(13_Buscador!$C$5)=0,ISNUMBER(SEARCH(13_Buscador!$C$5,$C498&amp;" "&amp;$D498&amp;" "&amp;$E498&amp;" "&amp;$F498&amp;" "&amp;$S498))),OR(13_Buscador!$C$6="Todas las listas",LEN(13_Buscador!$C$6)=0,13_Buscador!$C$6=$B498)),1,0)</f>
        <v>0</v>
      </c>
      <c r="W498" s="55" t="str">
        <f aca="false">IF(V498=1,SUM($V$2:V498),"")</f>
        <v/>
      </c>
    </row>
    <row r="499" customFormat="false" ht="23.25" hidden="false" customHeight="true" outlineLevel="0" collapsed="false">
      <c r="A499" s="55" t="n">
        <v>498</v>
      </c>
      <c r="B499" s="55" t="s">
        <v>3331</v>
      </c>
      <c r="C499" s="55" t="str">
        <f aca="false">IF(05_Jugos_Aperitivos!B28="","",05_Jugos_Aperitivos!B28)</f>
        <v>Bebidas frías</v>
      </c>
      <c r="D499" s="56" t="str">
        <f aca="false">IF(05_Jugos_Aperitivos!C28="","",05_Jugos_Aperitivos!C28)</f>
        <v>Cerveza litro</v>
      </c>
      <c r="E499" s="56" t="str">
        <f aca="false">IF(05_Jugos_Aperitivos!D28="","",05_Jugos_Aperitivos!D28)</f>
        <v>Botella grande</v>
      </c>
      <c r="F499" s="56" t="str">
        <f aca="false">IF(05_Jugos_Aperitivos!E28="","",05_Jugos_Aperitivos!E28)</f>
        <v>cerveza embotellada o en lata</v>
      </c>
      <c r="G499" s="55" t="str">
        <f aca="false">IF(05_Jugos_Aperitivos!F28="","",05_Jugos_Aperitivos!F28)</f>
        <v>Botella 1 L</v>
      </c>
      <c r="H499" s="55" t="str">
        <f aca="false">IF(05_Jugos_Aperitivos!G28="","",05_Jugos_Aperitivos!G28)</f>
        <v>Estándar</v>
      </c>
      <c r="I499" s="58" t="n">
        <f aca="false">IF(05_Jugos_Aperitivos!H28="","",05_Jugos_Aperitivos!H28)</f>
        <v>10</v>
      </c>
      <c r="J499" s="58" t="n">
        <f aca="false">IF(05_Jugos_Aperitivos!I28="","",05_Jugos_Aperitivos!I28)</f>
        <v>20</v>
      </c>
      <c r="K499" s="58" t="n">
        <f aca="false">IF(05_Jugos_Aperitivos!J28="","",05_Jugos_Aperitivos!J28)</f>
        <v>15</v>
      </c>
      <c r="L499" s="58" t="n">
        <f aca="false">IF(05_Jugos_Aperitivos!L28="","",05_Jugos_Aperitivos!L28)</f>
        <v>15.5</v>
      </c>
      <c r="M499" s="58" t="n">
        <f aca="false">IF(05_Jugos_Aperitivos!N28="","",05_Jugos_Aperitivos!N28)</f>
        <v>1.35</v>
      </c>
      <c r="N499" s="58" t="n">
        <f aca="false">IF(05_Jugos_Aperitivos!O28="","",05_Jugos_Aperitivos!O28)</f>
        <v>13.65</v>
      </c>
      <c r="O499" s="55" t="str">
        <f aca="false">IF(05_Jugos_Aperitivos!P28="","",05_Jugos_Aperitivos!P28)</f>
        <v>18:00-23:00</v>
      </c>
      <c r="P499" s="55" t="n">
        <f aca="false">IF(05_Jugos_Aperitivos!Q28="","",05_Jugos_Aperitivos!Q28)</f>
        <v>1</v>
      </c>
      <c r="Q499" s="55" t="str">
        <f aca="false">IF(05_Jugos_Aperitivos!R28="","",05_Jugos_Aperitivos!R28)</f>
        <v>Alto</v>
      </c>
      <c r="R499" s="55" t="str">
        <f aca="false">IF(05_Jugos_Aperitivos!S28="","",05_Jugos_Aperitivos!S28)</f>
        <v>Fin de semana</v>
      </c>
      <c r="S499" s="55" t="str">
        <f aca="false">IF(05_Jugos_Aperitivos!T28="","",05_Jugos_Aperitivos!T28)</f>
        <v>Bar</v>
      </c>
      <c r="T499" s="56" t="str">
        <f aca="false">IF(05_Jugos_Aperitivos!U28="","",05_Jugos_Aperitivos!U28)</f>
        <v>Verificar normativa de venta de alcohol por delivery</v>
      </c>
      <c r="U499" s="55" t="n">
        <v>28</v>
      </c>
      <c r="V499" s="55" t="n">
        <f aca="false">IF(AND(OR(LEN(13_Buscador!$C$5)=0,ISNUMBER(SEARCH(13_Buscador!$C$5,$C499&amp;" "&amp;$D499&amp;" "&amp;$E499&amp;" "&amp;$F499&amp;" "&amp;$S499))),OR(13_Buscador!$C$6="Todas las listas",LEN(13_Buscador!$C$6)=0,13_Buscador!$C$6=$B499)),1,0)</f>
        <v>0</v>
      </c>
      <c r="W499" s="55" t="str">
        <f aca="false">IF(V499=1,SUM($V$2:V499),"")</f>
        <v/>
      </c>
    </row>
    <row r="500" customFormat="false" ht="15" hidden="false" customHeight="true" outlineLevel="0" collapsed="false">
      <c r="A500" s="55" t="n">
        <v>499</v>
      </c>
      <c r="B500" s="55" t="s">
        <v>3331</v>
      </c>
      <c r="C500" s="55" t="str">
        <f aca="false">IF(05_Jugos_Aperitivos!B29="","",05_Jugos_Aperitivos!B29)</f>
        <v>Aperitivos y piqueos</v>
      </c>
      <c r="D500" s="56" t="str">
        <f aca="false">IF(05_Jugos_Aperitivos!C29="","",05_Jugos_Aperitivos!C29)</f>
        <v>Canchita</v>
      </c>
      <c r="E500" s="56" t="str">
        <f aca="false">IF(05_Jugos_Aperitivos!D29="","",05_Jugos_Aperitivos!D29)</f>
        <v>Maíz tostado</v>
      </c>
      <c r="F500" s="56" t="str">
        <f aca="false">IF(05_Jugos_Aperitivos!E29="","",05_Jugos_Aperitivos!E29)</f>
        <v>maíz cancha, aceite, sal</v>
      </c>
      <c r="G500" s="55" t="str">
        <f aca="false">IF(05_Jugos_Aperitivos!F29="","",05_Jugos_Aperitivos!F29)</f>
        <v>Porción</v>
      </c>
      <c r="H500" s="55" t="str">
        <f aca="false">IF(05_Jugos_Aperitivos!G29="","",05_Jugos_Aperitivos!G29)</f>
        <v>Económico</v>
      </c>
      <c r="I500" s="58" t="n">
        <f aca="false">IF(05_Jugos_Aperitivos!H29="","",05_Jugos_Aperitivos!H29)</f>
        <v>1</v>
      </c>
      <c r="J500" s="58" t="n">
        <f aca="false">IF(05_Jugos_Aperitivos!I29="","",05_Jugos_Aperitivos!I29)</f>
        <v>3</v>
      </c>
      <c r="K500" s="58" t="n">
        <f aca="false">IF(05_Jugos_Aperitivos!J29="","",05_Jugos_Aperitivos!J29)</f>
        <v>2</v>
      </c>
      <c r="L500" s="58" t="n">
        <f aca="false">IF(05_Jugos_Aperitivos!L29="","",05_Jugos_Aperitivos!L29)</f>
        <v>2.5</v>
      </c>
      <c r="M500" s="58" t="n">
        <f aca="false">IF(05_Jugos_Aperitivos!N29="","",05_Jugos_Aperitivos!N29)</f>
        <v>0.14</v>
      </c>
      <c r="N500" s="58" t="n">
        <f aca="false">IF(05_Jugos_Aperitivos!O29="","",05_Jugos_Aperitivos!O29)</f>
        <v>1.86</v>
      </c>
      <c r="O500" s="55" t="str">
        <f aca="false">IF(05_Jugos_Aperitivos!P29="","",05_Jugos_Aperitivos!P29)</f>
        <v>Todo el día</v>
      </c>
      <c r="P500" s="55" t="n">
        <f aca="false">IF(05_Jugos_Aperitivos!Q29="","",05_Jugos_Aperitivos!Q29)</f>
        <v>2</v>
      </c>
      <c r="Q500" s="55" t="str">
        <f aca="false">IF(05_Jugos_Aperitivos!R29="","",05_Jugos_Aperitivos!R29)</f>
        <v>Alto</v>
      </c>
      <c r="R500" s="55" t="str">
        <f aca="false">IF(05_Jugos_Aperitivos!S29="","",05_Jugos_Aperitivos!S29)</f>
        <v>Todo el año</v>
      </c>
      <c r="S500" s="55" t="str">
        <f aca="false">IF(05_Jugos_Aperitivos!T29="","",05_Jugos_Aperitivos!T29)</f>
        <v>Bar, restaurante</v>
      </c>
      <c r="T500" s="56" t="str">
        <f aca="false">IF(05_Jugos_Aperitivos!U29="","",05_Jugos_Aperitivos!U29)</f>
        <v/>
      </c>
      <c r="U500" s="55" t="n">
        <v>29</v>
      </c>
      <c r="V500" s="55" t="n">
        <f aca="false">IF(AND(OR(LEN(13_Buscador!$C$5)=0,ISNUMBER(SEARCH(13_Buscador!$C$5,$C500&amp;" "&amp;$D500&amp;" "&amp;$E500&amp;" "&amp;$F500&amp;" "&amp;$S500))),OR(13_Buscador!$C$6="Todas las listas",LEN(13_Buscador!$C$6)=0,13_Buscador!$C$6=$B500)),1,0)</f>
        <v>0</v>
      </c>
      <c r="W500" s="55" t="str">
        <f aca="false">IF(V500=1,SUM($V$2:V500),"")</f>
        <v/>
      </c>
    </row>
    <row r="501" customFormat="false" ht="15" hidden="false" customHeight="true" outlineLevel="0" collapsed="false">
      <c r="A501" s="55" t="n">
        <v>500</v>
      </c>
      <c r="B501" s="55" t="s">
        <v>3331</v>
      </c>
      <c r="C501" s="55" t="str">
        <f aca="false">IF(05_Jugos_Aperitivos!B30="","",05_Jugos_Aperitivos!B30)</f>
        <v>Aperitivos y piqueos</v>
      </c>
      <c r="D501" s="56" t="str">
        <f aca="false">IF(05_Jugos_Aperitivos!C30="","",05_Jugos_Aperitivos!C30)</f>
        <v>Habas tostadas</v>
      </c>
      <c r="E501" s="56" t="str">
        <f aca="false">IF(05_Jugos_Aperitivos!D30="","",05_Jugos_Aperitivos!D30)</f>
        <v>Habas saladas</v>
      </c>
      <c r="F501" s="56" t="str">
        <f aca="false">IF(05_Jugos_Aperitivos!E30="","",05_Jugos_Aperitivos!E30)</f>
        <v>pan tostado, mantequilla, mermelada</v>
      </c>
      <c r="G501" s="55" t="str">
        <f aca="false">IF(05_Jugos_Aperitivos!F30="","",05_Jugos_Aperitivos!F30)</f>
        <v>Porción</v>
      </c>
      <c r="H501" s="55" t="str">
        <f aca="false">IF(05_Jugos_Aperitivos!G30="","",05_Jugos_Aperitivos!G30)</f>
        <v>Económico</v>
      </c>
      <c r="I501" s="58" t="n">
        <f aca="false">IF(05_Jugos_Aperitivos!H30="","",05_Jugos_Aperitivos!H30)</f>
        <v>2</v>
      </c>
      <c r="J501" s="58" t="n">
        <f aca="false">IF(05_Jugos_Aperitivos!I30="","",05_Jugos_Aperitivos!I30)</f>
        <v>5</v>
      </c>
      <c r="K501" s="58" t="n">
        <f aca="false">IF(05_Jugos_Aperitivos!J30="","",05_Jugos_Aperitivos!J30)</f>
        <v>3.5</v>
      </c>
      <c r="L501" s="58" t="n">
        <f aca="false">IF(05_Jugos_Aperitivos!L30="","",05_Jugos_Aperitivos!L30)</f>
        <v>4</v>
      </c>
      <c r="M501" s="58" t="n">
        <f aca="false">IF(05_Jugos_Aperitivos!N30="","",05_Jugos_Aperitivos!N30)</f>
        <v>0.25</v>
      </c>
      <c r="N501" s="58" t="n">
        <f aca="false">IF(05_Jugos_Aperitivos!O30="","",05_Jugos_Aperitivos!O30)</f>
        <v>3.25</v>
      </c>
      <c r="O501" s="55" t="str">
        <f aca="false">IF(05_Jugos_Aperitivos!P30="","",05_Jugos_Aperitivos!P30)</f>
        <v>Todo el día</v>
      </c>
      <c r="P501" s="55" t="n">
        <f aca="false">IF(05_Jugos_Aperitivos!Q30="","",05_Jugos_Aperitivos!Q30)</f>
        <v>2</v>
      </c>
      <c r="Q501" s="55" t="str">
        <f aca="false">IF(05_Jugos_Aperitivos!R30="","",05_Jugos_Aperitivos!R30)</f>
        <v>Alto</v>
      </c>
      <c r="R501" s="55" t="str">
        <f aca="false">IF(05_Jugos_Aperitivos!S30="","",05_Jugos_Aperitivos!S30)</f>
        <v>Todo el año</v>
      </c>
      <c r="S501" s="55" t="str">
        <f aca="false">IF(05_Jugos_Aperitivos!T30="","",05_Jugos_Aperitivos!T30)</f>
        <v>Mercado, bar</v>
      </c>
      <c r="T501" s="56" t="str">
        <f aca="false">IF(05_Jugos_Aperitivos!U30="","",05_Jugos_Aperitivos!U30)</f>
        <v>Snack típico local</v>
      </c>
      <c r="U501" s="55" t="n">
        <v>30</v>
      </c>
      <c r="V501" s="55" t="n">
        <f aca="false">IF(AND(OR(LEN(13_Buscador!$C$5)=0,ISNUMBER(SEARCH(13_Buscador!$C$5,$C501&amp;" "&amp;$D501&amp;" "&amp;$E501&amp;" "&amp;$F501&amp;" "&amp;$S501))),OR(13_Buscador!$C$6="Todas las listas",LEN(13_Buscador!$C$6)=0,13_Buscador!$C$6=$B501)),1,0)</f>
        <v>0</v>
      </c>
      <c r="W501" s="55" t="str">
        <f aca="false">IF(V501=1,SUM($V$2:V501),"")</f>
        <v/>
      </c>
    </row>
    <row r="502" customFormat="false" ht="15" hidden="false" customHeight="true" outlineLevel="0" collapsed="false">
      <c r="A502" s="55" t="n">
        <v>501</v>
      </c>
      <c r="B502" s="55" t="s">
        <v>3331</v>
      </c>
      <c r="C502" s="55" t="str">
        <f aca="false">IF(05_Jugos_Aperitivos!B31="","",05_Jugos_Aperitivos!B31)</f>
        <v>Aperitivos y piqueos</v>
      </c>
      <c r="D502" s="56" t="str">
        <f aca="false">IF(05_Jugos_Aperitivos!C31="","",05_Jugos_Aperitivos!C31)</f>
        <v>Chifles / plátano frito</v>
      </c>
      <c r="E502" s="56" t="str">
        <f aca="false">IF(05_Jugos_Aperitivos!D31="","",05_Jugos_Aperitivos!D31)</f>
        <v>Snack salado</v>
      </c>
      <c r="F502" s="56" t="str">
        <f aca="false">IF(05_Jugos_Aperitivos!E31="","",05_Jugos_Aperitivos!E31)</f>
        <v>plátano verde, aceite, sal</v>
      </c>
      <c r="G502" s="55" t="str">
        <f aca="false">IF(05_Jugos_Aperitivos!F31="","",05_Jugos_Aperitivos!F31)</f>
        <v>Porción</v>
      </c>
      <c r="H502" s="55" t="str">
        <f aca="false">IF(05_Jugos_Aperitivos!G31="","",05_Jugos_Aperitivos!G31)</f>
        <v>Económico</v>
      </c>
      <c r="I502" s="58" t="n">
        <f aca="false">IF(05_Jugos_Aperitivos!H31="","",05_Jugos_Aperitivos!H31)</f>
        <v>2</v>
      </c>
      <c r="J502" s="58" t="n">
        <f aca="false">IF(05_Jugos_Aperitivos!I31="","",05_Jugos_Aperitivos!I31)</f>
        <v>6</v>
      </c>
      <c r="K502" s="58" t="n">
        <f aca="false">IF(05_Jugos_Aperitivos!J31="","",05_Jugos_Aperitivos!J31)</f>
        <v>4</v>
      </c>
      <c r="L502" s="58" t="n">
        <f aca="false">IF(05_Jugos_Aperitivos!L31="","",05_Jugos_Aperitivos!L31)</f>
        <v>4.5</v>
      </c>
      <c r="M502" s="58" t="n">
        <f aca="false">IF(05_Jugos_Aperitivos!N31="","",05_Jugos_Aperitivos!N31)</f>
        <v>0.28</v>
      </c>
      <c r="N502" s="58" t="n">
        <f aca="false">IF(05_Jugos_Aperitivos!O31="","",05_Jugos_Aperitivos!O31)</f>
        <v>3.72</v>
      </c>
      <c r="O502" s="55" t="str">
        <f aca="false">IF(05_Jugos_Aperitivos!P31="","",05_Jugos_Aperitivos!P31)</f>
        <v>Todo el día</v>
      </c>
      <c r="P502" s="55" t="n">
        <f aca="false">IF(05_Jugos_Aperitivos!Q31="","",05_Jugos_Aperitivos!Q31)</f>
        <v>3</v>
      </c>
      <c r="Q502" s="55" t="str">
        <f aca="false">IF(05_Jugos_Aperitivos!R31="","",05_Jugos_Aperitivos!R31)</f>
        <v>Alto</v>
      </c>
      <c r="R502" s="55" t="str">
        <f aca="false">IF(05_Jugos_Aperitivos!S31="","",05_Jugos_Aperitivos!S31)</f>
        <v>Todo el año</v>
      </c>
      <c r="S502" s="55" t="str">
        <f aca="false">IF(05_Jugos_Aperitivos!T31="","",05_Jugos_Aperitivos!T31)</f>
        <v>Bar</v>
      </c>
      <c r="T502" s="56" t="str">
        <f aca="false">IF(05_Jugos_Aperitivos!U31="","",05_Jugos_Aperitivos!U31)</f>
        <v/>
      </c>
      <c r="U502" s="55" t="n">
        <v>31</v>
      </c>
      <c r="V502" s="55" t="n">
        <f aca="false">IF(AND(OR(LEN(13_Buscador!$C$5)=0,ISNUMBER(SEARCH(13_Buscador!$C$5,$C502&amp;" "&amp;$D502&amp;" "&amp;$E502&amp;" "&amp;$F502&amp;" "&amp;$S502))),OR(13_Buscador!$C$6="Todas las listas",LEN(13_Buscador!$C$6)=0,13_Buscador!$C$6=$B502)),1,0)</f>
        <v>0</v>
      </c>
      <c r="W502" s="55" t="str">
        <f aca="false">IF(V502=1,SUM($V$2:V502),"")</f>
        <v/>
      </c>
    </row>
    <row r="503" customFormat="false" ht="15" hidden="false" customHeight="true" outlineLevel="0" collapsed="false">
      <c r="A503" s="55" t="n">
        <v>502</v>
      </c>
      <c r="B503" s="55" t="s">
        <v>3331</v>
      </c>
      <c r="C503" s="55" t="str">
        <f aca="false">IF(05_Jugos_Aperitivos!B32="","",05_Jugos_Aperitivos!B32)</f>
        <v>Aperitivos y piqueos</v>
      </c>
      <c r="D503" s="56" t="str">
        <f aca="false">IF(05_Jugos_Aperitivos!C32="","",05_Jugos_Aperitivos!C32)</f>
        <v>Tequeños (4 und)</v>
      </c>
      <c r="E503" s="56" t="str">
        <f aca="false">IF(05_Jugos_Aperitivos!D32="","",05_Jugos_Aperitivos!D32)</f>
        <v>Con salsa</v>
      </c>
      <c r="F503" s="56" t="str">
        <f aca="false">IF(05_Jugos_Aperitivos!E32="","",05_Jugos_Aperitivos!E32)</f>
        <v>masa de wantán, queso, aceite, salsa de guacamole</v>
      </c>
      <c r="G503" s="55" t="str">
        <f aca="false">IF(05_Jugos_Aperitivos!F32="","",05_Jugos_Aperitivos!F32)</f>
        <v>Porción</v>
      </c>
      <c r="H503" s="55" t="str">
        <f aca="false">IF(05_Jugos_Aperitivos!G32="","",05_Jugos_Aperitivos!G32)</f>
        <v>Económico</v>
      </c>
      <c r="I503" s="58" t="n">
        <f aca="false">IF(05_Jugos_Aperitivos!H32="","",05_Jugos_Aperitivos!H32)</f>
        <v>6</v>
      </c>
      <c r="J503" s="58" t="n">
        <f aca="false">IF(05_Jugos_Aperitivos!I32="","",05_Jugos_Aperitivos!I32)</f>
        <v>12</v>
      </c>
      <c r="K503" s="58" t="n">
        <f aca="false">IF(05_Jugos_Aperitivos!J32="","",05_Jugos_Aperitivos!J32)</f>
        <v>9</v>
      </c>
      <c r="L503" s="58" t="n">
        <f aca="false">IF(05_Jugos_Aperitivos!L32="","",05_Jugos_Aperitivos!L32)</f>
        <v>9.5</v>
      </c>
      <c r="M503" s="58" t="n">
        <f aca="false">IF(05_Jugos_Aperitivos!N32="","",05_Jugos_Aperitivos!N32)</f>
        <v>0.63</v>
      </c>
      <c r="N503" s="58" t="n">
        <f aca="false">IF(05_Jugos_Aperitivos!O32="","",05_Jugos_Aperitivos!O32)</f>
        <v>8.37</v>
      </c>
      <c r="O503" s="55" t="str">
        <f aca="false">IF(05_Jugos_Aperitivos!P32="","",05_Jugos_Aperitivos!P32)</f>
        <v>17:00-23:00</v>
      </c>
      <c r="P503" s="55" t="n">
        <f aca="false">IF(05_Jugos_Aperitivos!Q32="","",05_Jugos_Aperitivos!Q32)</f>
        <v>8</v>
      </c>
      <c r="Q503" s="55" t="str">
        <f aca="false">IF(05_Jugos_Aperitivos!R32="","",05_Jugos_Aperitivos!R32)</f>
        <v>Alto</v>
      </c>
      <c r="R503" s="55" t="str">
        <f aca="false">IF(05_Jugos_Aperitivos!S32="","",05_Jugos_Aperitivos!S32)</f>
        <v>Todo el año</v>
      </c>
      <c r="S503" s="55" t="str">
        <f aca="false">IF(05_Jugos_Aperitivos!T32="","",05_Jugos_Aperitivos!T32)</f>
        <v>Pizzería, bar</v>
      </c>
      <c r="T503" s="56" t="str">
        <f aca="false">IF(05_Jugos_Aperitivos!U32="","",05_Jugos_Aperitivos!U32)</f>
        <v/>
      </c>
      <c r="U503" s="55" t="n">
        <v>32</v>
      </c>
      <c r="V503" s="55" t="n">
        <f aca="false">IF(AND(OR(LEN(13_Buscador!$C$5)=0,ISNUMBER(SEARCH(13_Buscador!$C$5,$C503&amp;" "&amp;$D503&amp;" "&amp;$E503&amp;" "&amp;$F503&amp;" "&amp;$S503))),OR(13_Buscador!$C$6="Todas las listas",LEN(13_Buscador!$C$6)=0,13_Buscador!$C$6=$B503)),1,0)</f>
        <v>0</v>
      </c>
      <c r="W503" s="55" t="str">
        <f aca="false">IF(V503=1,SUM($V$2:V503),"")</f>
        <v/>
      </c>
    </row>
    <row r="504" customFormat="false" ht="15" hidden="false" customHeight="true" outlineLevel="0" collapsed="false">
      <c r="A504" s="55" t="n">
        <v>503</v>
      </c>
      <c r="B504" s="55" t="s">
        <v>3331</v>
      </c>
      <c r="C504" s="55" t="str">
        <f aca="false">IF(05_Jugos_Aperitivos!B33="","",05_Jugos_Aperitivos!B33)</f>
        <v>Aperitivos y piqueos</v>
      </c>
      <c r="D504" s="56" t="str">
        <f aca="false">IF(05_Jugos_Aperitivos!C33="","",05_Jugos_Aperitivos!C33)</f>
        <v>Nachos con queso</v>
      </c>
      <c r="E504" s="56" t="str">
        <f aca="false">IF(05_Jugos_Aperitivos!D33="","",05_Jugos_Aperitivos!D33)</f>
        <v>Tortillas con queso fundido</v>
      </c>
      <c r="F504" s="56" t="str">
        <f aca="false">IF(05_Jugos_Aperitivos!E33="","",05_Jugos_Aperitivos!E33)</f>
        <v>tortilla de maíz, queso fundido, jalapeño</v>
      </c>
      <c r="G504" s="55" t="str">
        <f aca="false">IF(05_Jugos_Aperitivos!F33="","",05_Jugos_Aperitivos!F33)</f>
        <v>Porción</v>
      </c>
      <c r="H504" s="55" t="str">
        <f aca="false">IF(05_Jugos_Aperitivos!G33="","",05_Jugos_Aperitivos!G33)</f>
        <v>Estándar</v>
      </c>
      <c r="I504" s="58" t="n">
        <f aca="false">IF(05_Jugos_Aperitivos!H33="","",05_Jugos_Aperitivos!H33)</f>
        <v>10</v>
      </c>
      <c r="J504" s="58" t="n">
        <f aca="false">IF(05_Jugos_Aperitivos!I33="","",05_Jugos_Aperitivos!I33)</f>
        <v>20</v>
      </c>
      <c r="K504" s="58" t="n">
        <f aca="false">IF(05_Jugos_Aperitivos!J33="","",05_Jugos_Aperitivos!J33)</f>
        <v>15</v>
      </c>
      <c r="L504" s="58" t="n">
        <f aca="false">IF(05_Jugos_Aperitivos!L33="","",05_Jugos_Aperitivos!L33)</f>
        <v>15.5</v>
      </c>
      <c r="M504" s="58" t="n">
        <f aca="false">IF(05_Jugos_Aperitivos!N33="","",05_Jugos_Aperitivos!N33)</f>
        <v>1.35</v>
      </c>
      <c r="N504" s="58" t="n">
        <f aca="false">IF(05_Jugos_Aperitivos!O33="","",05_Jugos_Aperitivos!O33)</f>
        <v>13.65</v>
      </c>
      <c r="O504" s="55" t="str">
        <f aca="false">IF(05_Jugos_Aperitivos!P33="","",05_Jugos_Aperitivos!P33)</f>
        <v>17:00-23:00</v>
      </c>
      <c r="P504" s="55" t="n">
        <f aca="false">IF(05_Jugos_Aperitivos!Q33="","",05_Jugos_Aperitivos!Q33)</f>
        <v>8</v>
      </c>
      <c r="Q504" s="55" t="str">
        <f aca="false">IF(05_Jugos_Aperitivos!R33="","",05_Jugos_Aperitivos!R33)</f>
        <v>Medio</v>
      </c>
      <c r="R504" s="55" t="str">
        <f aca="false">IF(05_Jugos_Aperitivos!S33="","",05_Jugos_Aperitivos!S33)</f>
        <v>Todo el año</v>
      </c>
      <c r="S504" s="55" t="str">
        <f aca="false">IF(05_Jugos_Aperitivos!T33="","",05_Jugos_Aperitivos!T33)</f>
        <v>Bar</v>
      </c>
      <c r="T504" s="56" t="str">
        <f aca="false">IF(05_Jugos_Aperitivos!U33="","",05_Jugos_Aperitivos!U33)</f>
        <v/>
      </c>
      <c r="U504" s="55" t="n">
        <v>33</v>
      </c>
      <c r="V504" s="55" t="n">
        <f aca="false">IF(AND(OR(LEN(13_Buscador!$C$5)=0,ISNUMBER(SEARCH(13_Buscador!$C$5,$C504&amp;" "&amp;$D504&amp;" "&amp;$E504&amp;" "&amp;$F504&amp;" "&amp;$S504))),OR(13_Buscador!$C$6="Todas las listas",LEN(13_Buscador!$C$6)=0,13_Buscador!$C$6=$B504)),1,0)</f>
        <v>0</v>
      </c>
      <c r="W504" s="55" t="str">
        <f aca="false">IF(V504=1,SUM($V$2:V504),"")</f>
        <v/>
      </c>
    </row>
    <row r="505" customFormat="false" ht="23.25" hidden="false" customHeight="true" outlineLevel="0" collapsed="false">
      <c r="A505" s="55" t="n">
        <v>504</v>
      </c>
      <c r="B505" s="55" t="s">
        <v>3331</v>
      </c>
      <c r="C505" s="55" t="str">
        <f aca="false">IF(05_Jugos_Aperitivos!B34="","",05_Jugos_Aperitivos!B34)</f>
        <v>Aperitivos y piqueos</v>
      </c>
      <c r="D505" s="56" t="str">
        <f aca="false">IF(05_Jugos_Aperitivos!C34="","",05_Jugos_Aperitivos!C34)</f>
        <v>Anticucho de entrada</v>
      </c>
      <c r="E505" s="56" t="str">
        <f aca="false">IF(05_Jugos_Aperitivos!D34="","",05_Jugos_Aperitivos!D34)</f>
        <v>1 palo</v>
      </c>
      <c r="F505" s="56" t="str">
        <f aca="false">IF(05_Jugos_Aperitivos!E34="","",05_Jugos_Aperitivos!E34)</f>
        <v>corazón de res, ají panca, vinagre, comino, ajo, papa, choclo</v>
      </c>
      <c r="G505" s="55" t="str">
        <f aca="false">IF(05_Jugos_Aperitivos!F34="","",05_Jugos_Aperitivos!F34)</f>
        <v>Unidad</v>
      </c>
      <c r="H505" s="55" t="str">
        <f aca="false">IF(05_Jugos_Aperitivos!G34="","",05_Jugos_Aperitivos!G34)</f>
        <v>Económico</v>
      </c>
      <c r="I505" s="58" t="n">
        <f aca="false">IF(05_Jugos_Aperitivos!H34="","",05_Jugos_Aperitivos!H34)</f>
        <v>5</v>
      </c>
      <c r="J505" s="58" t="n">
        <f aca="false">IF(05_Jugos_Aperitivos!I34="","",05_Jugos_Aperitivos!I34)</f>
        <v>10</v>
      </c>
      <c r="K505" s="58" t="n">
        <f aca="false">IF(05_Jugos_Aperitivos!J34="","",05_Jugos_Aperitivos!J34)</f>
        <v>7.5</v>
      </c>
      <c r="L505" s="58" t="n">
        <f aca="false">IF(05_Jugos_Aperitivos!L34="","",05_Jugos_Aperitivos!L34)</f>
        <v>8</v>
      </c>
      <c r="M505" s="58" t="n">
        <f aca="false">IF(05_Jugos_Aperitivos!N34="","",05_Jugos_Aperitivos!N34)</f>
        <v>0.53</v>
      </c>
      <c r="N505" s="58" t="n">
        <f aca="false">IF(05_Jugos_Aperitivos!O34="","",05_Jugos_Aperitivos!O34)</f>
        <v>6.97</v>
      </c>
      <c r="O505" s="55" t="str">
        <f aca="false">IF(05_Jugos_Aperitivos!P34="","",05_Jugos_Aperitivos!P34)</f>
        <v>18:00-23:00</v>
      </c>
      <c r="P505" s="55" t="n">
        <f aca="false">IF(05_Jugos_Aperitivos!Q34="","",05_Jugos_Aperitivos!Q34)</f>
        <v>8</v>
      </c>
      <c r="Q505" s="55" t="str">
        <f aca="false">IF(05_Jugos_Aperitivos!R34="","",05_Jugos_Aperitivos!R34)</f>
        <v>Medio</v>
      </c>
      <c r="R505" s="55" t="str">
        <f aca="false">IF(05_Jugos_Aperitivos!S34="","",05_Jugos_Aperitivos!S34)</f>
        <v>Todo el año</v>
      </c>
      <c r="S505" s="55" t="str">
        <f aca="false">IF(05_Jugos_Aperitivos!T34="","",05_Jugos_Aperitivos!T34)</f>
        <v>Parrilla</v>
      </c>
      <c r="T505" s="56" t="str">
        <f aca="false">IF(05_Jugos_Aperitivos!U34="","",05_Jugos_Aperitivos!U34)</f>
        <v/>
      </c>
      <c r="U505" s="55" t="n">
        <v>34</v>
      </c>
      <c r="V505" s="55" t="n">
        <f aca="false">IF(AND(OR(LEN(13_Buscador!$C$5)=0,ISNUMBER(SEARCH(13_Buscador!$C$5,$C505&amp;" "&amp;$D505&amp;" "&amp;$E505&amp;" "&amp;$F505&amp;" "&amp;$S505))),OR(13_Buscador!$C$6="Todas las listas",LEN(13_Buscador!$C$6)=0,13_Buscador!$C$6=$B505)),1,0)</f>
        <v>0</v>
      </c>
      <c r="W505" s="55" t="str">
        <f aca="false">IF(V505=1,SUM($V$2:V505),"")</f>
        <v/>
      </c>
    </row>
    <row r="506" customFormat="false" ht="23.25" hidden="false" customHeight="true" outlineLevel="0" collapsed="false">
      <c r="A506" s="55" t="n">
        <v>505</v>
      </c>
      <c r="B506" s="55" t="s">
        <v>3331</v>
      </c>
      <c r="C506" s="55" t="str">
        <f aca="false">IF(05_Jugos_Aperitivos!B35="","",05_Jugos_Aperitivos!B35)</f>
        <v>Aperitivos y piqueos</v>
      </c>
      <c r="D506" s="56" t="str">
        <f aca="false">IF(05_Jugos_Aperitivos!C35="","",05_Jugos_Aperitivos!C35)</f>
        <v>Papas a la huancaína</v>
      </c>
      <c r="E506" s="56" t="str">
        <f aca="false">IF(05_Jugos_Aperitivos!D35="","",05_Jugos_Aperitivos!D35)</f>
        <v>Papa con crema de ají</v>
      </c>
      <c r="F506" s="56" t="str">
        <f aca="false">IF(05_Jugos_Aperitivos!E35="","",05_Jugos_Aperitivos!E35)</f>
        <v>papa, ají amarillo, queso fresco, leche, galleta, huevo, aceituna</v>
      </c>
      <c r="G506" s="55" t="str">
        <f aca="false">IF(05_Jugos_Aperitivos!F35="","",05_Jugos_Aperitivos!F35)</f>
        <v>Porción</v>
      </c>
      <c r="H506" s="55" t="str">
        <f aca="false">IF(05_Jugos_Aperitivos!G35="","",05_Jugos_Aperitivos!G35)</f>
        <v>Económico</v>
      </c>
      <c r="I506" s="58" t="n">
        <f aca="false">IF(05_Jugos_Aperitivos!H35="","",05_Jugos_Aperitivos!H35)</f>
        <v>6</v>
      </c>
      <c r="J506" s="58" t="n">
        <f aca="false">IF(05_Jugos_Aperitivos!I35="","",05_Jugos_Aperitivos!I35)</f>
        <v>12</v>
      </c>
      <c r="K506" s="58" t="n">
        <f aca="false">IF(05_Jugos_Aperitivos!J35="","",05_Jugos_Aperitivos!J35)</f>
        <v>9</v>
      </c>
      <c r="L506" s="58" t="n">
        <f aca="false">IF(05_Jugos_Aperitivos!L35="","",05_Jugos_Aperitivos!L35)</f>
        <v>9.5</v>
      </c>
      <c r="M506" s="58" t="n">
        <f aca="false">IF(05_Jugos_Aperitivos!N35="","",05_Jugos_Aperitivos!N35)</f>
        <v>0.63</v>
      </c>
      <c r="N506" s="58" t="n">
        <f aca="false">IF(05_Jugos_Aperitivos!O35="","",05_Jugos_Aperitivos!O35)</f>
        <v>8.37</v>
      </c>
      <c r="O506" s="55" t="str">
        <f aca="false">IF(05_Jugos_Aperitivos!P35="","",05_Jugos_Aperitivos!P35)</f>
        <v>11:00-20:00</v>
      </c>
      <c r="P506" s="55" t="n">
        <f aca="false">IF(05_Jugos_Aperitivos!Q35="","",05_Jugos_Aperitivos!Q35)</f>
        <v>6</v>
      </c>
      <c r="Q506" s="55" t="str">
        <f aca="false">IF(05_Jugos_Aperitivos!R35="","",05_Jugos_Aperitivos!R35)</f>
        <v>Alto</v>
      </c>
      <c r="R506" s="55" t="str">
        <f aca="false">IF(05_Jugos_Aperitivos!S35="","",05_Jugos_Aperitivos!S35)</f>
        <v>Todo el año</v>
      </c>
      <c r="S506" s="55" t="str">
        <f aca="false">IF(05_Jugos_Aperitivos!T35="","",05_Jugos_Aperitivos!T35)</f>
        <v>Restaurante</v>
      </c>
      <c r="T506" s="56" t="str">
        <f aca="false">IF(05_Jugos_Aperitivos!U35="","",05_Jugos_Aperitivos!U35)</f>
        <v/>
      </c>
      <c r="U506" s="55" t="n">
        <v>35</v>
      </c>
      <c r="V506" s="55" t="n">
        <f aca="false">IF(AND(OR(LEN(13_Buscador!$C$5)=0,ISNUMBER(SEARCH(13_Buscador!$C$5,$C506&amp;" "&amp;$D506&amp;" "&amp;$E506&amp;" "&amp;$F506&amp;" "&amp;$S506))),OR(13_Buscador!$C$6="Todas las listas",LEN(13_Buscador!$C$6)=0,13_Buscador!$C$6=$B506)),1,0)</f>
        <v>0</v>
      </c>
      <c r="W506" s="55" t="str">
        <f aca="false">IF(V506=1,SUM($V$2:V506),"")</f>
        <v/>
      </c>
    </row>
    <row r="507" customFormat="false" ht="23.25" hidden="false" customHeight="true" outlineLevel="0" collapsed="false">
      <c r="A507" s="55" t="n">
        <v>506</v>
      </c>
      <c r="B507" s="55" t="s">
        <v>3331</v>
      </c>
      <c r="C507" s="55" t="str">
        <f aca="false">IF(05_Jugos_Aperitivos!B36="","",05_Jugos_Aperitivos!B36)</f>
        <v>Aperitivos y piqueos</v>
      </c>
      <c r="D507" s="56" t="str">
        <f aca="false">IF(05_Jugos_Aperitivos!C36="","",05_Jugos_Aperitivos!C36)</f>
        <v>Causa limeña</v>
      </c>
      <c r="E507" s="56" t="str">
        <f aca="false">IF(05_Jugos_Aperitivos!D36="","",05_Jugos_Aperitivos!D36)</f>
        <v>Papa amarilla rellena</v>
      </c>
      <c r="F507" s="56" t="str">
        <f aca="false">IF(05_Jugos_Aperitivos!E36="","",05_Jugos_Aperitivos!E36)</f>
        <v>papa amarilla, ají amarillo, limón, relleno de pollo o atún, palta</v>
      </c>
      <c r="G507" s="55" t="str">
        <f aca="false">IF(05_Jugos_Aperitivos!F36="","",05_Jugos_Aperitivos!F36)</f>
        <v>Porción</v>
      </c>
      <c r="H507" s="55" t="str">
        <f aca="false">IF(05_Jugos_Aperitivos!G36="","",05_Jugos_Aperitivos!G36)</f>
        <v>Estándar</v>
      </c>
      <c r="I507" s="58" t="n">
        <f aca="false">IF(05_Jugos_Aperitivos!H36="","",05_Jugos_Aperitivos!H36)</f>
        <v>8</v>
      </c>
      <c r="J507" s="58" t="n">
        <f aca="false">IF(05_Jugos_Aperitivos!I36="","",05_Jugos_Aperitivos!I36)</f>
        <v>16</v>
      </c>
      <c r="K507" s="58" t="n">
        <f aca="false">IF(05_Jugos_Aperitivos!J36="","",05_Jugos_Aperitivos!J36)</f>
        <v>12</v>
      </c>
      <c r="L507" s="58" t="n">
        <f aca="false">IF(05_Jugos_Aperitivos!L36="","",05_Jugos_Aperitivos!L36)</f>
        <v>12.5</v>
      </c>
      <c r="M507" s="58" t="n">
        <f aca="false">IF(05_Jugos_Aperitivos!N36="","",05_Jugos_Aperitivos!N36)</f>
        <v>1.08</v>
      </c>
      <c r="N507" s="58" t="n">
        <f aca="false">IF(05_Jugos_Aperitivos!O36="","",05_Jugos_Aperitivos!O36)</f>
        <v>10.92</v>
      </c>
      <c r="O507" s="55" t="str">
        <f aca="false">IF(05_Jugos_Aperitivos!P36="","",05_Jugos_Aperitivos!P36)</f>
        <v>11:00-20:00</v>
      </c>
      <c r="P507" s="55" t="n">
        <f aca="false">IF(05_Jugos_Aperitivos!Q36="","",05_Jugos_Aperitivos!Q36)</f>
        <v>8</v>
      </c>
      <c r="Q507" s="55" t="str">
        <f aca="false">IF(05_Jugos_Aperitivos!R36="","",05_Jugos_Aperitivos!R36)</f>
        <v>Alto</v>
      </c>
      <c r="R507" s="55" t="str">
        <f aca="false">IF(05_Jugos_Aperitivos!S36="","",05_Jugos_Aperitivos!S36)</f>
        <v>Todo el año</v>
      </c>
      <c r="S507" s="55" t="str">
        <f aca="false">IF(05_Jugos_Aperitivos!T36="","",05_Jugos_Aperitivos!T36)</f>
        <v>Restaurante</v>
      </c>
      <c r="T507" s="56" t="str">
        <f aca="false">IF(05_Jugos_Aperitivos!U36="","",05_Jugos_Aperitivos!U36)</f>
        <v/>
      </c>
      <c r="U507" s="55" t="n">
        <v>36</v>
      </c>
      <c r="V507" s="55" t="n">
        <f aca="false">IF(AND(OR(LEN(13_Buscador!$C$5)=0,ISNUMBER(SEARCH(13_Buscador!$C$5,$C507&amp;" "&amp;$D507&amp;" "&amp;$E507&amp;" "&amp;$F507&amp;" "&amp;$S507))),OR(13_Buscador!$C$6="Todas las listas",LEN(13_Buscador!$C$6)=0,13_Buscador!$C$6=$B507)),1,0)</f>
        <v>1</v>
      </c>
      <c r="W507" s="55" t="n">
        <f aca="false">IF(V507=1,SUM($V$2:V507),"")</f>
        <v>103</v>
      </c>
    </row>
    <row r="508" customFormat="false" ht="23.25" hidden="false" customHeight="true" outlineLevel="0" collapsed="false">
      <c r="A508" s="55" t="n">
        <v>507</v>
      </c>
      <c r="B508" s="55" t="s">
        <v>3331</v>
      </c>
      <c r="C508" s="55" t="str">
        <f aca="false">IF(05_Jugos_Aperitivos!B37="","",05_Jugos_Aperitivos!B37)</f>
        <v>Aperitivos y piqueos</v>
      </c>
      <c r="D508" s="56" t="str">
        <f aca="false">IF(05_Jugos_Aperitivos!C37="","",05_Jugos_Aperitivos!C37)</f>
        <v>Ceviche de entrada</v>
      </c>
      <c r="E508" s="56" t="str">
        <f aca="false">IF(05_Jugos_Aperitivos!D37="","",05_Jugos_Aperitivos!D37)</f>
        <v>Porción pequeña</v>
      </c>
      <c r="F508" s="56" t="str">
        <f aca="false">IF(05_Jugos_Aperitivos!E37="","",05_Jugos_Aperitivos!E37)</f>
        <v>pescado o trucha fresca, limón, cebolla, ají limo, culantro, camote, choclo</v>
      </c>
      <c r="G508" s="55" t="str">
        <f aca="false">IF(05_Jugos_Aperitivos!F37="","",05_Jugos_Aperitivos!F37)</f>
        <v>Porción</v>
      </c>
      <c r="H508" s="55" t="str">
        <f aca="false">IF(05_Jugos_Aperitivos!G37="","",05_Jugos_Aperitivos!G37)</f>
        <v>Estándar</v>
      </c>
      <c r="I508" s="58" t="n">
        <f aca="false">IF(05_Jugos_Aperitivos!H37="","",05_Jugos_Aperitivos!H37)</f>
        <v>10</v>
      </c>
      <c r="J508" s="58" t="n">
        <f aca="false">IF(05_Jugos_Aperitivos!I37="","",05_Jugos_Aperitivos!I37)</f>
        <v>18</v>
      </c>
      <c r="K508" s="58" t="n">
        <f aca="false">IF(05_Jugos_Aperitivos!J37="","",05_Jugos_Aperitivos!J37)</f>
        <v>14</v>
      </c>
      <c r="L508" s="58" t="n">
        <f aca="false">IF(05_Jugos_Aperitivos!L37="","",05_Jugos_Aperitivos!L37)</f>
        <v>14.5</v>
      </c>
      <c r="M508" s="58" t="n">
        <f aca="false">IF(05_Jugos_Aperitivos!N37="","",05_Jugos_Aperitivos!N37)</f>
        <v>1.26</v>
      </c>
      <c r="N508" s="58" t="n">
        <f aca="false">IF(05_Jugos_Aperitivos!O37="","",05_Jugos_Aperitivos!O37)</f>
        <v>12.74</v>
      </c>
      <c r="O508" s="55" t="str">
        <f aca="false">IF(05_Jugos_Aperitivos!P37="","",05_Jugos_Aperitivos!P37)</f>
        <v>11:00-16:00</v>
      </c>
      <c r="P508" s="55" t="n">
        <f aca="false">IF(05_Jugos_Aperitivos!Q37="","",05_Jugos_Aperitivos!Q37)</f>
        <v>10</v>
      </c>
      <c r="Q508" s="55" t="str">
        <f aca="false">IF(05_Jugos_Aperitivos!R37="","",05_Jugos_Aperitivos!R37)</f>
        <v>Bajo</v>
      </c>
      <c r="R508" s="55" t="str">
        <f aca="false">IF(05_Jugos_Aperitivos!S37="","",05_Jugos_Aperitivos!S37)</f>
        <v>Todo el año</v>
      </c>
      <c r="S508" s="55" t="str">
        <f aca="false">IF(05_Jugos_Aperitivos!T37="","",05_Jugos_Aperitivos!T37)</f>
        <v>Cevichería</v>
      </c>
      <c r="T508" s="56" t="str">
        <f aca="false">IF(05_Jugos_Aperitivos!U37="","",05_Jugos_Aperitivos!U37)</f>
        <v>Límite de 20 minutos de traslado</v>
      </c>
      <c r="U508" s="55" t="n">
        <v>37</v>
      </c>
      <c r="V508" s="55" t="n">
        <f aca="false">IF(AND(OR(LEN(13_Buscador!$C$5)=0,ISNUMBER(SEARCH(13_Buscador!$C$5,$C508&amp;" "&amp;$D508&amp;" "&amp;$E508&amp;" "&amp;$F508&amp;" "&amp;$S508))),OR(13_Buscador!$C$6="Todas las listas",LEN(13_Buscador!$C$6)=0,13_Buscador!$C$6=$B508)),1,0)</f>
        <v>0</v>
      </c>
      <c r="W508" s="55" t="str">
        <f aca="false">IF(V508=1,SUM($V$2:V508),"")</f>
        <v/>
      </c>
    </row>
    <row r="509" customFormat="false" ht="15" hidden="false" customHeight="true" outlineLevel="0" collapsed="false">
      <c r="A509" s="55" t="n">
        <v>508</v>
      </c>
      <c r="B509" s="55" t="s">
        <v>3331</v>
      </c>
      <c r="C509" s="55" t="str">
        <f aca="false">IF(05_Jugos_Aperitivos!B38="","",05_Jugos_Aperitivos!B38)</f>
        <v>Aperitivos y piqueos</v>
      </c>
      <c r="D509" s="56" t="str">
        <f aca="false">IF(05_Jugos_Aperitivos!C38="","",05_Jugos_Aperitivos!C38)</f>
        <v>Choclo con queso</v>
      </c>
      <c r="E509" s="56" t="str">
        <f aca="false">IF(05_Jugos_Aperitivos!D38="","",05_Jugos_Aperitivos!D38)</f>
        <v>Maíz cocido con queso</v>
      </c>
      <c r="F509" s="56" t="str">
        <f aca="false">IF(05_Jugos_Aperitivos!E38="","",05_Jugos_Aperitivos!E38)</f>
        <v>maíz cocido, queso fresco, sal</v>
      </c>
      <c r="G509" s="55" t="str">
        <f aca="false">IF(05_Jugos_Aperitivos!F38="","",05_Jugos_Aperitivos!F38)</f>
        <v>Porción</v>
      </c>
      <c r="H509" s="55" t="str">
        <f aca="false">IF(05_Jugos_Aperitivos!G38="","",05_Jugos_Aperitivos!G38)</f>
        <v>Económico</v>
      </c>
      <c r="I509" s="58" t="n">
        <f aca="false">IF(05_Jugos_Aperitivos!H38="","",05_Jugos_Aperitivos!H38)</f>
        <v>4</v>
      </c>
      <c r="J509" s="58" t="n">
        <f aca="false">IF(05_Jugos_Aperitivos!I38="","",05_Jugos_Aperitivos!I38)</f>
        <v>9</v>
      </c>
      <c r="K509" s="58" t="n">
        <f aca="false">IF(05_Jugos_Aperitivos!J38="","",05_Jugos_Aperitivos!J38)</f>
        <v>6.5</v>
      </c>
      <c r="L509" s="58" t="n">
        <f aca="false">IF(05_Jugos_Aperitivos!L38="","",05_Jugos_Aperitivos!L38)</f>
        <v>7</v>
      </c>
      <c r="M509" s="58" t="n">
        <f aca="false">IF(05_Jugos_Aperitivos!N38="","",05_Jugos_Aperitivos!N38)</f>
        <v>0.46</v>
      </c>
      <c r="N509" s="58" t="n">
        <f aca="false">IF(05_Jugos_Aperitivos!O38="","",05_Jugos_Aperitivos!O38)</f>
        <v>6.04</v>
      </c>
      <c r="O509" s="55" t="str">
        <f aca="false">IF(05_Jugos_Aperitivos!P38="","",05_Jugos_Aperitivos!P38)</f>
        <v>Todo el día</v>
      </c>
      <c r="P509" s="55" t="n">
        <f aca="false">IF(05_Jugos_Aperitivos!Q38="","",05_Jugos_Aperitivos!Q38)</f>
        <v>5</v>
      </c>
      <c r="Q509" s="55" t="str">
        <f aca="false">IF(05_Jugos_Aperitivos!R38="","",05_Jugos_Aperitivos!R38)</f>
        <v>Alto</v>
      </c>
      <c r="R509" s="55" t="str">
        <f aca="false">IF(05_Jugos_Aperitivos!S38="","",05_Jugos_Aperitivos!S38)</f>
        <v>Todo el año</v>
      </c>
      <c r="S509" s="55" t="str">
        <f aca="false">IF(05_Jugos_Aperitivos!T38="","",05_Jugos_Aperitivos!T38)</f>
        <v>Mercado, ambulante</v>
      </c>
      <c r="T509" s="56" t="str">
        <f aca="false">IF(05_Jugos_Aperitivos!U38="","",05_Jugos_Aperitivos!U38)</f>
        <v>Muy típico del altiplano</v>
      </c>
      <c r="U509" s="55" t="n">
        <v>38</v>
      </c>
      <c r="V509" s="55" t="n">
        <f aca="false">IF(AND(OR(LEN(13_Buscador!$C$5)=0,ISNUMBER(SEARCH(13_Buscador!$C$5,$C509&amp;" "&amp;$D509&amp;" "&amp;$E509&amp;" "&amp;$F509&amp;" "&amp;$S509))),OR(13_Buscador!$C$6="Todas las listas",LEN(13_Buscador!$C$6)=0,13_Buscador!$C$6=$B509)),1,0)</f>
        <v>0</v>
      </c>
      <c r="W509" s="55" t="str">
        <f aca="false">IF(V509=1,SUM($V$2:V509),"")</f>
        <v/>
      </c>
    </row>
    <row r="510" customFormat="false" ht="15" hidden="false" customHeight="true" outlineLevel="0" collapsed="false">
      <c r="A510" s="55" t="n">
        <v>509</v>
      </c>
      <c r="B510" s="55" t="s">
        <v>3331</v>
      </c>
      <c r="C510" s="55" t="str">
        <f aca="false">IF(05_Jugos_Aperitivos!B39="","",05_Jugos_Aperitivos!B39)</f>
        <v>Postres</v>
      </c>
      <c r="D510" s="56" t="str">
        <f aca="false">IF(05_Jugos_Aperitivos!C39="","",05_Jugos_Aperitivos!C39)</f>
        <v>Arroz con leche</v>
      </c>
      <c r="E510" s="56" t="str">
        <f aca="false">IF(05_Jugos_Aperitivos!D39="","",05_Jugos_Aperitivos!D39)</f>
        <v>Porción</v>
      </c>
      <c r="F510" s="56" t="str">
        <f aca="false">IF(05_Jugos_Aperitivos!E39="","",05_Jugos_Aperitivos!E39)</f>
        <v>arroz, leche, canela, clavo, azúcar, pasas</v>
      </c>
      <c r="G510" s="55" t="str">
        <f aca="false">IF(05_Jugos_Aperitivos!F39="","",05_Jugos_Aperitivos!F39)</f>
        <v>Vaso</v>
      </c>
      <c r="H510" s="55" t="str">
        <f aca="false">IF(05_Jugos_Aperitivos!G39="","",05_Jugos_Aperitivos!G39)</f>
        <v>Económico</v>
      </c>
      <c r="I510" s="58" t="n">
        <f aca="false">IF(05_Jugos_Aperitivos!H39="","",05_Jugos_Aperitivos!H39)</f>
        <v>3</v>
      </c>
      <c r="J510" s="58" t="n">
        <f aca="false">IF(05_Jugos_Aperitivos!I39="","",05_Jugos_Aperitivos!I39)</f>
        <v>7</v>
      </c>
      <c r="K510" s="58" t="n">
        <f aca="false">IF(05_Jugos_Aperitivos!J39="","",05_Jugos_Aperitivos!J39)</f>
        <v>5</v>
      </c>
      <c r="L510" s="58" t="n">
        <f aca="false">IF(05_Jugos_Aperitivos!L39="","",05_Jugos_Aperitivos!L39)</f>
        <v>5.5</v>
      </c>
      <c r="M510" s="58" t="n">
        <f aca="false">IF(05_Jugos_Aperitivos!N39="","",05_Jugos_Aperitivos!N39)</f>
        <v>0.35</v>
      </c>
      <c r="N510" s="58" t="n">
        <f aca="false">IF(05_Jugos_Aperitivos!O39="","",05_Jugos_Aperitivos!O39)</f>
        <v>4.65</v>
      </c>
      <c r="O510" s="55" t="str">
        <f aca="false">IF(05_Jugos_Aperitivos!P39="","",05_Jugos_Aperitivos!P39)</f>
        <v>Todo el día</v>
      </c>
      <c r="P510" s="55" t="n">
        <f aca="false">IF(05_Jugos_Aperitivos!Q39="","",05_Jugos_Aperitivos!Q39)</f>
        <v>3</v>
      </c>
      <c r="Q510" s="55" t="str">
        <f aca="false">IF(05_Jugos_Aperitivos!R39="","",05_Jugos_Aperitivos!R39)</f>
        <v>Alto</v>
      </c>
      <c r="R510" s="55" t="str">
        <f aca="false">IF(05_Jugos_Aperitivos!S39="","",05_Jugos_Aperitivos!S39)</f>
        <v>Todo el año</v>
      </c>
      <c r="S510" s="55" t="str">
        <f aca="false">IF(05_Jugos_Aperitivos!T39="","",05_Jugos_Aperitivos!T39)</f>
        <v>Menú, mercado</v>
      </c>
      <c r="T510" s="56" t="str">
        <f aca="false">IF(05_Jugos_Aperitivos!U39="","",05_Jugos_Aperitivos!U39)</f>
        <v/>
      </c>
      <c r="U510" s="55" t="n">
        <v>39</v>
      </c>
      <c r="V510" s="55" t="n">
        <f aca="false">IF(AND(OR(LEN(13_Buscador!$C$5)=0,ISNUMBER(SEARCH(13_Buscador!$C$5,$C510&amp;" "&amp;$D510&amp;" "&amp;$E510&amp;" "&amp;$F510&amp;" "&amp;$S510))),OR(13_Buscador!$C$6="Todas las listas",LEN(13_Buscador!$C$6)=0,13_Buscador!$C$6=$B510)),1,0)</f>
        <v>0</v>
      </c>
      <c r="W510" s="55" t="str">
        <f aca="false">IF(V510=1,SUM($V$2:V510),"")</f>
        <v/>
      </c>
    </row>
    <row r="511" customFormat="false" ht="23.25" hidden="false" customHeight="true" outlineLevel="0" collapsed="false">
      <c r="A511" s="55" t="n">
        <v>510</v>
      </c>
      <c r="B511" s="55" t="s">
        <v>3331</v>
      </c>
      <c r="C511" s="55" t="str">
        <f aca="false">IF(05_Jugos_Aperitivos!B40="","",05_Jugos_Aperitivos!B40)</f>
        <v>Postres</v>
      </c>
      <c r="D511" s="56" t="str">
        <f aca="false">IF(05_Jugos_Aperitivos!C40="","",05_Jugos_Aperitivos!C40)</f>
        <v>Mazamorra morada</v>
      </c>
      <c r="E511" s="56" t="str">
        <f aca="false">IF(05_Jugos_Aperitivos!D40="","",05_Jugos_Aperitivos!D40)</f>
        <v>Porción</v>
      </c>
      <c r="F511" s="56" t="str">
        <f aca="false">IF(05_Jugos_Aperitivos!E40="","",05_Jugos_Aperitivos!E40)</f>
        <v>maíz morado, harina de camote, fruta picada, azúcar, canela</v>
      </c>
      <c r="G511" s="55" t="str">
        <f aca="false">IF(05_Jugos_Aperitivos!F40="","",05_Jugos_Aperitivos!F40)</f>
        <v>Vaso</v>
      </c>
      <c r="H511" s="55" t="str">
        <f aca="false">IF(05_Jugos_Aperitivos!G40="","",05_Jugos_Aperitivos!G40)</f>
        <v>Económico</v>
      </c>
      <c r="I511" s="58" t="n">
        <f aca="false">IF(05_Jugos_Aperitivos!H40="","",05_Jugos_Aperitivos!H40)</f>
        <v>3</v>
      </c>
      <c r="J511" s="58" t="n">
        <f aca="false">IF(05_Jugos_Aperitivos!I40="","",05_Jugos_Aperitivos!I40)</f>
        <v>7</v>
      </c>
      <c r="K511" s="58" t="n">
        <f aca="false">IF(05_Jugos_Aperitivos!J40="","",05_Jugos_Aperitivos!J40)</f>
        <v>5</v>
      </c>
      <c r="L511" s="58" t="n">
        <f aca="false">IF(05_Jugos_Aperitivos!L40="","",05_Jugos_Aperitivos!L40)</f>
        <v>5.5</v>
      </c>
      <c r="M511" s="58" t="n">
        <f aca="false">IF(05_Jugos_Aperitivos!N40="","",05_Jugos_Aperitivos!N40)</f>
        <v>0.35</v>
      </c>
      <c r="N511" s="58" t="n">
        <f aca="false">IF(05_Jugos_Aperitivos!O40="","",05_Jugos_Aperitivos!O40)</f>
        <v>4.65</v>
      </c>
      <c r="O511" s="55" t="str">
        <f aca="false">IF(05_Jugos_Aperitivos!P40="","",05_Jugos_Aperitivos!P40)</f>
        <v>Todo el día</v>
      </c>
      <c r="P511" s="55" t="n">
        <f aca="false">IF(05_Jugos_Aperitivos!Q40="","",05_Jugos_Aperitivos!Q40)</f>
        <v>3</v>
      </c>
      <c r="Q511" s="55" t="str">
        <f aca="false">IF(05_Jugos_Aperitivos!R40="","",05_Jugos_Aperitivos!R40)</f>
        <v>Alto</v>
      </c>
      <c r="R511" s="55" t="str">
        <f aca="false">IF(05_Jugos_Aperitivos!S40="","",05_Jugos_Aperitivos!S40)</f>
        <v>Todo el año</v>
      </c>
      <c r="S511" s="55" t="str">
        <f aca="false">IF(05_Jugos_Aperitivos!T40="","",05_Jugos_Aperitivos!T40)</f>
        <v>Menú, mercado</v>
      </c>
      <c r="T511" s="56" t="str">
        <f aca="false">IF(05_Jugos_Aperitivos!U40="","",05_Jugos_Aperitivos!U40)</f>
        <v/>
      </c>
      <c r="U511" s="55" t="n">
        <v>40</v>
      </c>
      <c r="V511" s="55" t="n">
        <f aca="false">IF(AND(OR(LEN(13_Buscador!$C$5)=0,ISNUMBER(SEARCH(13_Buscador!$C$5,$C511&amp;" "&amp;$D511&amp;" "&amp;$E511&amp;" "&amp;$F511&amp;" "&amp;$S511))),OR(13_Buscador!$C$6="Todas las listas",LEN(13_Buscador!$C$6)=0,13_Buscador!$C$6=$B511)),1,0)</f>
        <v>0</v>
      </c>
      <c r="W511" s="55" t="str">
        <f aca="false">IF(V511=1,SUM($V$2:V511),"")</f>
        <v/>
      </c>
    </row>
    <row r="512" customFormat="false" ht="15" hidden="false" customHeight="true" outlineLevel="0" collapsed="false">
      <c r="A512" s="55" t="n">
        <v>511</v>
      </c>
      <c r="B512" s="55" t="s">
        <v>3331</v>
      </c>
      <c r="C512" s="55" t="str">
        <f aca="false">IF(05_Jugos_Aperitivos!B41="","",05_Jugos_Aperitivos!B41)</f>
        <v>Postres</v>
      </c>
      <c r="D512" s="56" t="str">
        <f aca="false">IF(05_Jugos_Aperitivos!C41="","",05_Jugos_Aperitivos!C41)</f>
        <v>Combinado (arroz + mazamorra)</v>
      </c>
      <c r="E512" s="56" t="str">
        <f aca="false">IF(05_Jugos_Aperitivos!D41="","",05_Jugos_Aperitivos!D41)</f>
        <v>Dos postres en un vaso</v>
      </c>
      <c r="F512" s="56" t="str">
        <f aca="false">IF(05_Jugos_Aperitivos!E41="","",05_Jugos_Aperitivos!E41)</f>
        <v>arroz con leche y mazamorra morada</v>
      </c>
      <c r="G512" s="55" t="str">
        <f aca="false">IF(05_Jugos_Aperitivos!F41="","",05_Jugos_Aperitivos!F41)</f>
        <v>Vaso</v>
      </c>
      <c r="H512" s="55" t="str">
        <f aca="false">IF(05_Jugos_Aperitivos!G41="","",05_Jugos_Aperitivos!G41)</f>
        <v>Económico</v>
      </c>
      <c r="I512" s="58" t="n">
        <f aca="false">IF(05_Jugos_Aperitivos!H41="","",05_Jugos_Aperitivos!H41)</f>
        <v>4</v>
      </c>
      <c r="J512" s="58" t="n">
        <f aca="false">IF(05_Jugos_Aperitivos!I41="","",05_Jugos_Aperitivos!I41)</f>
        <v>8</v>
      </c>
      <c r="K512" s="58" t="n">
        <f aca="false">IF(05_Jugos_Aperitivos!J41="","",05_Jugos_Aperitivos!J41)</f>
        <v>6</v>
      </c>
      <c r="L512" s="58" t="n">
        <f aca="false">IF(05_Jugos_Aperitivos!L41="","",05_Jugos_Aperitivos!L41)</f>
        <v>6.5</v>
      </c>
      <c r="M512" s="58" t="n">
        <f aca="false">IF(05_Jugos_Aperitivos!N41="","",05_Jugos_Aperitivos!N41)</f>
        <v>0.42</v>
      </c>
      <c r="N512" s="58" t="n">
        <f aca="false">IF(05_Jugos_Aperitivos!O41="","",05_Jugos_Aperitivos!O41)</f>
        <v>5.58</v>
      </c>
      <c r="O512" s="55" t="str">
        <f aca="false">IF(05_Jugos_Aperitivos!P41="","",05_Jugos_Aperitivos!P41)</f>
        <v>Todo el día</v>
      </c>
      <c r="P512" s="55" t="n">
        <f aca="false">IF(05_Jugos_Aperitivos!Q41="","",05_Jugos_Aperitivos!Q41)</f>
        <v>3</v>
      </c>
      <c r="Q512" s="55" t="str">
        <f aca="false">IF(05_Jugos_Aperitivos!R41="","",05_Jugos_Aperitivos!R41)</f>
        <v>Alto</v>
      </c>
      <c r="R512" s="55" t="str">
        <f aca="false">IF(05_Jugos_Aperitivos!S41="","",05_Jugos_Aperitivos!S41)</f>
        <v>Todo el año</v>
      </c>
      <c r="S512" s="55" t="str">
        <f aca="false">IF(05_Jugos_Aperitivos!T41="","",05_Jugos_Aperitivos!T41)</f>
        <v>Mercado</v>
      </c>
      <c r="T512" s="56" t="str">
        <f aca="false">IF(05_Jugos_Aperitivos!U41="","",05_Jugos_Aperitivos!U41)</f>
        <v/>
      </c>
      <c r="U512" s="55" t="n">
        <v>41</v>
      </c>
      <c r="V512" s="55" t="n">
        <f aca="false">IF(AND(OR(LEN(13_Buscador!$C$5)=0,ISNUMBER(SEARCH(13_Buscador!$C$5,$C512&amp;" "&amp;$D512&amp;" "&amp;$E512&amp;" "&amp;$F512&amp;" "&amp;$S512))),OR(13_Buscador!$C$6="Todas las listas",LEN(13_Buscador!$C$6)=0,13_Buscador!$C$6=$B512)),1,0)</f>
        <v>0</v>
      </c>
      <c r="W512" s="55" t="str">
        <f aca="false">IF(V512=1,SUM($V$2:V512),"")</f>
        <v/>
      </c>
    </row>
    <row r="513" customFormat="false" ht="15" hidden="false" customHeight="true" outlineLevel="0" collapsed="false">
      <c r="A513" s="55" t="n">
        <v>512</v>
      </c>
      <c r="B513" s="55" t="s">
        <v>3331</v>
      </c>
      <c r="C513" s="55" t="str">
        <f aca="false">IF(05_Jugos_Aperitivos!B42="","",05_Jugos_Aperitivos!B42)</f>
        <v>Postres</v>
      </c>
      <c r="D513" s="56" t="str">
        <f aca="false">IF(05_Jugos_Aperitivos!C42="","",05_Jugos_Aperitivos!C42)</f>
        <v>Gelatina con crema</v>
      </c>
      <c r="E513" s="56" t="str">
        <f aca="false">IF(05_Jugos_Aperitivos!D42="","",05_Jugos_Aperitivos!D42)</f>
        <v>Porción</v>
      </c>
      <c r="F513" s="56" t="str">
        <f aca="false">IF(05_Jugos_Aperitivos!E42="","",05_Jugos_Aperitivos!E42)</f>
        <v>gelatina, agua, azúcar, leche</v>
      </c>
      <c r="G513" s="55" t="str">
        <f aca="false">IF(05_Jugos_Aperitivos!F42="","",05_Jugos_Aperitivos!F42)</f>
        <v>Vaso</v>
      </c>
      <c r="H513" s="55" t="str">
        <f aca="false">IF(05_Jugos_Aperitivos!G42="","",05_Jugos_Aperitivos!G42)</f>
        <v>Económico</v>
      </c>
      <c r="I513" s="58" t="n">
        <f aca="false">IF(05_Jugos_Aperitivos!H42="","",05_Jugos_Aperitivos!H42)</f>
        <v>2</v>
      </c>
      <c r="J513" s="58" t="n">
        <f aca="false">IF(05_Jugos_Aperitivos!I42="","",05_Jugos_Aperitivos!I42)</f>
        <v>5</v>
      </c>
      <c r="K513" s="58" t="n">
        <f aca="false">IF(05_Jugos_Aperitivos!J42="","",05_Jugos_Aperitivos!J42)</f>
        <v>3.5</v>
      </c>
      <c r="L513" s="58" t="n">
        <f aca="false">IF(05_Jugos_Aperitivos!L42="","",05_Jugos_Aperitivos!L42)</f>
        <v>4</v>
      </c>
      <c r="M513" s="58" t="n">
        <f aca="false">IF(05_Jugos_Aperitivos!N42="","",05_Jugos_Aperitivos!N42)</f>
        <v>0.25</v>
      </c>
      <c r="N513" s="58" t="n">
        <f aca="false">IF(05_Jugos_Aperitivos!O42="","",05_Jugos_Aperitivos!O42)</f>
        <v>3.25</v>
      </c>
      <c r="O513" s="55" t="str">
        <f aca="false">IF(05_Jugos_Aperitivos!P42="","",05_Jugos_Aperitivos!P42)</f>
        <v>Todo el día</v>
      </c>
      <c r="P513" s="55" t="n">
        <f aca="false">IF(05_Jugos_Aperitivos!Q42="","",05_Jugos_Aperitivos!Q42)</f>
        <v>2</v>
      </c>
      <c r="Q513" s="55" t="str">
        <f aca="false">IF(05_Jugos_Aperitivos!R42="","",05_Jugos_Aperitivos!R42)</f>
        <v>Alto</v>
      </c>
      <c r="R513" s="55" t="str">
        <f aca="false">IF(05_Jugos_Aperitivos!S42="","",05_Jugos_Aperitivos!S42)</f>
        <v>Todo el año</v>
      </c>
      <c r="S513" s="55" t="str">
        <f aca="false">IF(05_Jugos_Aperitivos!T42="","",05_Jugos_Aperitivos!T42)</f>
        <v>Menú</v>
      </c>
      <c r="T513" s="56" t="str">
        <f aca="false">IF(05_Jugos_Aperitivos!U42="","",05_Jugos_Aperitivos!U42)</f>
        <v/>
      </c>
      <c r="U513" s="55" t="n">
        <v>42</v>
      </c>
      <c r="V513" s="55" t="n">
        <f aca="false">IF(AND(OR(LEN(13_Buscador!$C$5)=0,ISNUMBER(SEARCH(13_Buscador!$C$5,$C513&amp;" "&amp;$D513&amp;" "&amp;$E513&amp;" "&amp;$F513&amp;" "&amp;$S513))),OR(13_Buscador!$C$6="Todas las listas",LEN(13_Buscador!$C$6)=0,13_Buscador!$C$6=$B513)),1,0)</f>
        <v>0</v>
      </c>
      <c r="W513" s="55" t="str">
        <f aca="false">IF(V513=1,SUM($V$2:V513),"")</f>
        <v/>
      </c>
    </row>
    <row r="514" customFormat="false" ht="15" hidden="false" customHeight="true" outlineLevel="0" collapsed="false">
      <c r="A514" s="55" t="n">
        <v>513</v>
      </c>
      <c r="B514" s="55" t="s">
        <v>3331</v>
      </c>
      <c r="C514" s="55" t="str">
        <f aca="false">IF(05_Jugos_Aperitivos!B43="","",05_Jugos_Aperitivos!B43)</f>
        <v>Postres</v>
      </c>
      <c r="D514" s="56" t="str">
        <f aca="false">IF(05_Jugos_Aperitivos!C43="","",05_Jugos_Aperitivos!C43)</f>
        <v>Flan / crema volteada</v>
      </c>
      <c r="E514" s="56" t="str">
        <f aca="false">IF(05_Jugos_Aperitivos!D43="","",05_Jugos_Aperitivos!D43)</f>
        <v>Porción</v>
      </c>
      <c r="F514" s="56" t="str">
        <f aca="false">IF(05_Jugos_Aperitivos!E43="","",05_Jugos_Aperitivos!E43)</f>
        <v>huevo, leche, azúcar, vainilla, caramelo</v>
      </c>
      <c r="G514" s="55" t="str">
        <f aca="false">IF(05_Jugos_Aperitivos!F43="","",05_Jugos_Aperitivos!F43)</f>
        <v>Porción</v>
      </c>
      <c r="H514" s="55" t="str">
        <f aca="false">IF(05_Jugos_Aperitivos!G43="","",05_Jugos_Aperitivos!G43)</f>
        <v>Económico</v>
      </c>
      <c r="I514" s="58" t="n">
        <f aca="false">IF(05_Jugos_Aperitivos!H43="","",05_Jugos_Aperitivos!H43)</f>
        <v>3</v>
      </c>
      <c r="J514" s="58" t="n">
        <f aca="false">IF(05_Jugos_Aperitivos!I43="","",05_Jugos_Aperitivos!I43)</f>
        <v>8</v>
      </c>
      <c r="K514" s="58" t="n">
        <f aca="false">IF(05_Jugos_Aperitivos!J43="","",05_Jugos_Aperitivos!J43)</f>
        <v>5.5</v>
      </c>
      <c r="L514" s="58" t="n">
        <f aca="false">IF(05_Jugos_Aperitivos!L43="","",05_Jugos_Aperitivos!L43)</f>
        <v>6</v>
      </c>
      <c r="M514" s="58" t="n">
        <f aca="false">IF(05_Jugos_Aperitivos!N43="","",05_Jugos_Aperitivos!N43)</f>
        <v>0.39</v>
      </c>
      <c r="N514" s="58" t="n">
        <f aca="false">IF(05_Jugos_Aperitivos!O43="","",05_Jugos_Aperitivos!O43)</f>
        <v>5.11</v>
      </c>
      <c r="O514" s="55" t="str">
        <f aca="false">IF(05_Jugos_Aperitivos!P43="","",05_Jugos_Aperitivos!P43)</f>
        <v>Todo el día</v>
      </c>
      <c r="P514" s="55" t="n">
        <f aca="false">IF(05_Jugos_Aperitivos!Q43="","",05_Jugos_Aperitivos!Q43)</f>
        <v>3</v>
      </c>
      <c r="Q514" s="55" t="str">
        <f aca="false">IF(05_Jugos_Aperitivos!R43="","",05_Jugos_Aperitivos!R43)</f>
        <v>Alto</v>
      </c>
      <c r="R514" s="55" t="str">
        <f aca="false">IF(05_Jugos_Aperitivos!S43="","",05_Jugos_Aperitivos!S43)</f>
        <v>Todo el año</v>
      </c>
      <c r="S514" s="55" t="str">
        <f aca="false">IF(05_Jugos_Aperitivos!T43="","",05_Jugos_Aperitivos!T43)</f>
        <v>Menú, pastelería</v>
      </c>
      <c r="T514" s="56" t="str">
        <f aca="false">IF(05_Jugos_Aperitivos!U43="","",05_Jugos_Aperitivos!U43)</f>
        <v/>
      </c>
      <c r="U514" s="55" t="n">
        <v>43</v>
      </c>
      <c r="V514" s="55" t="n">
        <f aca="false">IF(AND(OR(LEN(13_Buscador!$C$5)=0,ISNUMBER(SEARCH(13_Buscador!$C$5,$C514&amp;" "&amp;$D514&amp;" "&amp;$E514&amp;" "&amp;$F514&amp;" "&amp;$S514))),OR(13_Buscador!$C$6="Todas las listas",LEN(13_Buscador!$C$6)=0,13_Buscador!$C$6=$B514)),1,0)</f>
        <v>0</v>
      </c>
      <c r="W514" s="55" t="str">
        <f aca="false">IF(V514=1,SUM($V$2:V514),"")</f>
        <v/>
      </c>
    </row>
    <row r="515" customFormat="false" ht="23.25" hidden="false" customHeight="true" outlineLevel="0" collapsed="false">
      <c r="A515" s="55" t="n">
        <v>514</v>
      </c>
      <c r="B515" s="55" t="s">
        <v>3331</v>
      </c>
      <c r="C515" s="55" t="str">
        <f aca="false">IF(05_Jugos_Aperitivos!B44="","",05_Jugos_Aperitivos!B44)</f>
        <v>Postres</v>
      </c>
      <c r="D515" s="56" t="str">
        <f aca="false">IF(05_Jugos_Aperitivos!C44="","",05_Jugos_Aperitivos!C44)</f>
        <v>Torta porción</v>
      </c>
      <c r="E515" s="56" t="str">
        <f aca="false">IF(05_Jugos_Aperitivos!D44="","",05_Jugos_Aperitivos!D44)</f>
        <v>Porción de torta</v>
      </c>
      <c r="F515" s="56" t="str">
        <f aca="false">IF(05_Jugos_Aperitivos!E44="","",05_Jugos_Aperitivos!E44)</f>
        <v>harina, huevo, azúcar, mantequilla, crema o fruta según el sabor</v>
      </c>
      <c r="G515" s="55" t="str">
        <f aca="false">IF(05_Jugos_Aperitivos!F44="","",05_Jugos_Aperitivos!F44)</f>
        <v>Porción</v>
      </c>
      <c r="H515" s="55" t="str">
        <f aca="false">IF(05_Jugos_Aperitivos!G44="","",05_Jugos_Aperitivos!G44)</f>
        <v>Económico</v>
      </c>
      <c r="I515" s="58" t="n">
        <f aca="false">IF(05_Jugos_Aperitivos!H44="","",05_Jugos_Aperitivos!H44)</f>
        <v>5</v>
      </c>
      <c r="J515" s="58" t="n">
        <f aca="false">IF(05_Jugos_Aperitivos!I44="","",05_Jugos_Aperitivos!I44)</f>
        <v>12</v>
      </c>
      <c r="K515" s="58" t="n">
        <f aca="false">IF(05_Jugos_Aperitivos!J44="","",05_Jugos_Aperitivos!J44)</f>
        <v>8.5</v>
      </c>
      <c r="L515" s="58" t="n">
        <f aca="false">IF(05_Jugos_Aperitivos!L44="","",05_Jugos_Aperitivos!L44)</f>
        <v>9</v>
      </c>
      <c r="M515" s="58" t="n">
        <f aca="false">IF(05_Jugos_Aperitivos!N44="","",05_Jugos_Aperitivos!N44)</f>
        <v>0.6</v>
      </c>
      <c r="N515" s="58" t="n">
        <f aca="false">IF(05_Jugos_Aperitivos!O44="","",05_Jugos_Aperitivos!O44)</f>
        <v>7.9</v>
      </c>
      <c r="O515" s="55" t="str">
        <f aca="false">IF(05_Jugos_Aperitivos!P44="","",05_Jugos_Aperitivos!P44)</f>
        <v>Todo el día</v>
      </c>
      <c r="P515" s="55" t="n">
        <f aca="false">IF(05_Jugos_Aperitivos!Q44="","",05_Jugos_Aperitivos!Q44)</f>
        <v>2</v>
      </c>
      <c r="Q515" s="55" t="str">
        <f aca="false">IF(05_Jugos_Aperitivos!R44="","",05_Jugos_Aperitivos!R44)</f>
        <v>Alto</v>
      </c>
      <c r="R515" s="55" t="str">
        <f aca="false">IF(05_Jugos_Aperitivos!S44="","",05_Jugos_Aperitivos!S44)</f>
        <v>Todo el año</v>
      </c>
      <c r="S515" s="55" t="str">
        <f aca="false">IF(05_Jugos_Aperitivos!T44="","",05_Jugos_Aperitivos!T44)</f>
        <v>Pastelería</v>
      </c>
      <c r="T515" s="56" t="str">
        <f aca="false">IF(05_Jugos_Aperitivos!U44="","",05_Jugos_Aperitivos!U44)</f>
        <v/>
      </c>
      <c r="U515" s="55" t="n">
        <v>44</v>
      </c>
      <c r="V515" s="55" t="n">
        <f aca="false">IF(AND(OR(LEN(13_Buscador!$C$5)=0,ISNUMBER(SEARCH(13_Buscador!$C$5,$C515&amp;" "&amp;$D515&amp;" "&amp;$E515&amp;" "&amp;$F515&amp;" "&amp;$S515))),OR(13_Buscador!$C$6="Todas las listas",LEN(13_Buscador!$C$6)=0,13_Buscador!$C$6=$B515)),1,0)</f>
        <v>0</v>
      </c>
      <c r="W515" s="55" t="str">
        <f aca="false">IF(V515=1,SUM($V$2:V515),"")</f>
        <v/>
      </c>
    </row>
    <row r="516" customFormat="false" ht="15" hidden="false" customHeight="true" outlineLevel="0" collapsed="false">
      <c r="A516" s="55" t="n">
        <v>515</v>
      </c>
      <c r="B516" s="55" t="s">
        <v>3331</v>
      </c>
      <c r="C516" s="55" t="str">
        <f aca="false">IF(05_Jugos_Aperitivos!B45="","",05_Jugos_Aperitivos!B45)</f>
        <v>Postres</v>
      </c>
      <c r="D516" s="56" t="str">
        <f aca="false">IF(05_Jugos_Aperitivos!C45="","",05_Jugos_Aperitivos!C45)</f>
        <v>Helado de vaso</v>
      </c>
      <c r="E516" s="56" t="str">
        <f aca="false">IF(05_Jugos_Aperitivos!D45="","",05_Jugos_Aperitivos!D45)</f>
        <v>Helado artesanal</v>
      </c>
      <c r="F516" s="56" t="str">
        <f aca="false">IF(05_Jugos_Aperitivos!E45="","",05_Jugos_Aperitivos!E45)</f>
        <v>leche o fruta, azúcar, hielo</v>
      </c>
      <c r="G516" s="55" t="str">
        <f aca="false">IF(05_Jugos_Aperitivos!F45="","",05_Jugos_Aperitivos!F45)</f>
        <v>Vaso</v>
      </c>
      <c r="H516" s="55" t="str">
        <f aca="false">IF(05_Jugos_Aperitivos!G45="","",05_Jugos_Aperitivos!G45)</f>
        <v>Económico</v>
      </c>
      <c r="I516" s="58" t="n">
        <f aca="false">IF(05_Jugos_Aperitivos!H45="","",05_Jugos_Aperitivos!H45)</f>
        <v>3</v>
      </c>
      <c r="J516" s="58" t="n">
        <f aca="false">IF(05_Jugos_Aperitivos!I45="","",05_Jugos_Aperitivos!I45)</f>
        <v>8</v>
      </c>
      <c r="K516" s="58" t="n">
        <f aca="false">IF(05_Jugos_Aperitivos!J45="","",05_Jugos_Aperitivos!J45)</f>
        <v>5.5</v>
      </c>
      <c r="L516" s="58" t="n">
        <f aca="false">IF(05_Jugos_Aperitivos!L45="","",05_Jugos_Aperitivos!L45)</f>
        <v>6</v>
      </c>
      <c r="M516" s="58" t="n">
        <f aca="false">IF(05_Jugos_Aperitivos!N45="","",05_Jugos_Aperitivos!N45)</f>
        <v>0.39</v>
      </c>
      <c r="N516" s="58" t="n">
        <f aca="false">IF(05_Jugos_Aperitivos!O45="","",05_Jugos_Aperitivos!O45)</f>
        <v>5.11</v>
      </c>
      <c r="O516" s="55" t="str">
        <f aca="false">IF(05_Jugos_Aperitivos!P45="","",05_Jugos_Aperitivos!P45)</f>
        <v>11:00-20:00</v>
      </c>
      <c r="P516" s="55" t="n">
        <f aca="false">IF(05_Jugos_Aperitivos!Q45="","",05_Jugos_Aperitivos!Q45)</f>
        <v>2</v>
      </c>
      <c r="Q516" s="55" t="str">
        <f aca="false">IF(05_Jugos_Aperitivos!R45="","",05_Jugos_Aperitivos!R45)</f>
        <v>Bajo</v>
      </c>
      <c r="R516" s="55" t="str">
        <f aca="false">IF(05_Jugos_Aperitivos!S45="","",05_Jugos_Aperitivos!S45)</f>
        <v>Mayor demanda en calor</v>
      </c>
      <c r="S516" s="55" t="str">
        <f aca="false">IF(05_Jugos_Aperitivos!T45="","",05_Jugos_Aperitivos!T45)</f>
        <v>Heladería</v>
      </c>
      <c r="T516" s="56" t="str">
        <f aca="false">IF(05_Jugos_Aperitivos!U45="","",05_Jugos_Aperitivos!U45)</f>
        <v>Requiere empaque térmico</v>
      </c>
      <c r="U516" s="55" t="n">
        <v>45</v>
      </c>
      <c r="V516" s="55" t="n">
        <f aca="false">IF(AND(OR(LEN(13_Buscador!$C$5)=0,ISNUMBER(SEARCH(13_Buscador!$C$5,$C516&amp;" "&amp;$D516&amp;" "&amp;$E516&amp;" "&amp;$F516&amp;" "&amp;$S516))),OR(13_Buscador!$C$6="Todas las listas",LEN(13_Buscador!$C$6)=0,13_Buscador!$C$6=$B516)),1,0)</f>
        <v>0</v>
      </c>
      <c r="W516" s="55" t="str">
        <f aca="false">IF(V516=1,SUM($V$2:V516),"")</f>
        <v/>
      </c>
    </row>
    <row r="517" customFormat="false" ht="23.25" hidden="false" customHeight="true" outlineLevel="0" collapsed="false">
      <c r="A517" s="55" t="n">
        <v>516</v>
      </c>
      <c r="B517" s="55" t="s">
        <v>3331</v>
      </c>
      <c r="C517" s="55" t="str">
        <f aca="false">IF(05_Jugos_Aperitivos!B46="","",05_Jugos_Aperitivos!B46)</f>
        <v>Postres</v>
      </c>
      <c r="D517" s="56" t="str">
        <f aca="false">IF(05_Jugos_Aperitivos!C46="","",05_Jugos_Aperitivos!C46)</f>
        <v>Buñuelos</v>
      </c>
      <c r="E517" s="56" t="str">
        <f aca="false">IF(05_Jugos_Aperitivos!D46="","",05_Jugos_Aperitivos!D46)</f>
        <v>Masa frita con miel</v>
      </c>
      <c r="F517" s="56" t="str">
        <f aca="false">IF(05_Jugos_Aperitivos!E46="","",05_Jugos_Aperitivos!E46)</f>
        <v>harina, huevo, levadura, azúcar, miel de chancaca, aceite</v>
      </c>
      <c r="G517" s="55" t="str">
        <f aca="false">IF(05_Jugos_Aperitivos!F46="","",05_Jugos_Aperitivos!F46)</f>
        <v>Porción</v>
      </c>
      <c r="H517" s="55" t="str">
        <f aca="false">IF(05_Jugos_Aperitivos!G46="","",05_Jugos_Aperitivos!G46)</f>
        <v>Económico</v>
      </c>
      <c r="I517" s="58" t="n">
        <f aca="false">IF(05_Jugos_Aperitivos!H46="","",05_Jugos_Aperitivos!H46)</f>
        <v>3</v>
      </c>
      <c r="J517" s="58" t="n">
        <f aca="false">IF(05_Jugos_Aperitivos!I46="","",05_Jugos_Aperitivos!I46)</f>
        <v>7</v>
      </c>
      <c r="K517" s="58" t="n">
        <f aca="false">IF(05_Jugos_Aperitivos!J46="","",05_Jugos_Aperitivos!J46)</f>
        <v>5</v>
      </c>
      <c r="L517" s="58" t="n">
        <f aca="false">IF(05_Jugos_Aperitivos!L46="","",05_Jugos_Aperitivos!L46)</f>
        <v>5.5</v>
      </c>
      <c r="M517" s="58" t="n">
        <f aca="false">IF(05_Jugos_Aperitivos!N46="","",05_Jugos_Aperitivos!N46)</f>
        <v>0.35</v>
      </c>
      <c r="N517" s="58" t="n">
        <f aca="false">IF(05_Jugos_Aperitivos!O46="","",05_Jugos_Aperitivos!O46)</f>
        <v>4.65</v>
      </c>
      <c r="O517" s="55" t="str">
        <f aca="false">IF(05_Jugos_Aperitivos!P46="","",05_Jugos_Aperitivos!P46)</f>
        <v>05:00-10:00</v>
      </c>
      <c r="P517" s="55" t="n">
        <f aca="false">IF(05_Jugos_Aperitivos!Q46="","",05_Jugos_Aperitivos!Q46)</f>
        <v>5</v>
      </c>
      <c r="Q517" s="55" t="str">
        <f aca="false">IF(05_Jugos_Aperitivos!R46="","",05_Jugos_Aperitivos!R46)</f>
        <v>Medio</v>
      </c>
      <c r="R517" s="55" t="str">
        <f aca="false">IF(05_Jugos_Aperitivos!S46="","",05_Jugos_Aperitivos!S46)</f>
        <v>Todo el año</v>
      </c>
      <c r="S517" s="55" t="str">
        <f aca="false">IF(05_Jugos_Aperitivos!T46="","",05_Jugos_Aperitivos!T46)</f>
        <v>Mercado</v>
      </c>
      <c r="T517" s="56" t="str">
        <f aca="false">IF(05_Jugos_Aperitivos!U46="","",05_Jugos_Aperitivos!U46)</f>
        <v/>
      </c>
      <c r="U517" s="55" t="n">
        <v>46</v>
      </c>
      <c r="V517" s="55" t="n">
        <f aca="false">IF(AND(OR(LEN(13_Buscador!$C$5)=0,ISNUMBER(SEARCH(13_Buscador!$C$5,$C517&amp;" "&amp;$D517&amp;" "&amp;$E517&amp;" "&amp;$F517&amp;" "&amp;$S517))),OR(13_Buscador!$C$6="Todas las listas",LEN(13_Buscador!$C$6)=0,13_Buscador!$C$6=$B517)),1,0)</f>
        <v>0</v>
      </c>
      <c r="W517" s="55" t="str">
        <f aca="false">IF(V517=1,SUM($V$2:V517),"")</f>
        <v/>
      </c>
    </row>
    <row r="518" customFormat="false" ht="15" hidden="false" customHeight="true" outlineLevel="0" collapsed="false">
      <c r="A518" s="55" t="n">
        <v>517</v>
      </c>
      <c r="B518" s="55" t="s">
        <v>3331</v>
      </c>
      <c r="C518" s="55" t="str">
        <f aca="false">IF(05_Jugos_Aperitivos!B47="","",05_Jugos_Aperitivos!B47)</f>
        <v>Postres</v>
      </c>
      <c r="D518" s="56" t="str">
        <f aca="false">IF(05_Jugos_Aperitivos!C47="","",05_Jugos_Aperitivos!C47)</f>
        <v>Alfajores (3 und)</v>
      </c>
      <c r="E518" s="56" t="str">
        <f aca="false">IF(05_Jugos_Aperitivos!D47="","",05_Jugos_Aperitivos!D47)</f>
        <v>Galletas con manjar</v>
      </c>
      <c r="F518" s="56" t="str">
        <f aca="false">IF(05_Jugos_Aperitivos!E47="","",05_Jugos_Aperitivos!E47)</f>
        <v>harina, manteca, manjar blanco, azúcar en polvo</v>
      </c>
      <c r="G518" s="55" t="str">
        <f aca="false">IF(05_Jugos_Aperitivos!F47="","",05_Jugos_Aperitivos!F47)</f>
        <v>Porción</v>
      </c>
      <c r="H518" s="55" t="str">
        <f aca="false">IF(05_Jugos_Aperitivos!G47="","",05_Jugos_Aperitivos!G47)</f>
        <v>Económico</v>
      </c>
      <c r="I518" s="58" t="n">
        <f aca="false">IF(05_Jugos_Aperitivos!H47="","",05_Jugos_Aperitivos!H47)</f>
        <v>3</v>
      </c>
      <c r="J518" s="58" t="n">
        <f aca="false">IF(05_Jugos_Aperitivos!I47="","",05_Jugos_Aperitivos!I47)</f>
        <v>8</v>
      </c>
      <c r="K518" s="58" t="n">
        <f aca="false">IF(05_Jugos_Aperitivos!J47="","",05_Jugos_Aperitivos!J47)</f>
        <v>5.5</v>
      </c>
      <c r="L518" s="58" t="n">
        <f aca="false">IF(05_Jugos_Aperitivos!L47="","",05_Jugos_Aperitivos!L47)</f>
        <v>6</v>
      </c>
      <c r="M518" s="58" t="n">
        <f aca="false">IF(05_Jugos_Aperitivos!N47="","",05_Jugos_Aperitivos!N47)</f>
        <v>0.39</v>
      </c>
      <c r="N518" s="58" t="n">
        <f aca="false">IF(05_Jugos_Aperitivos!O47="","",05_Jugos_Aperitivos!O47)</f>
        <v>5.11</v>
      </c>
      <c r="O518" s="55" t="str">
        <f aca="false">IF(05_Jugos_Aperitivos!P47="","",05_Jugos_Aperitivos!P47)</f>
        <v>Todo el día</v>
      </c>
      <c r="P518" s="55" t="n">
        <f aca="false">IF(05_Jugos_Aperitivos!Q47="","",05_Jugos_Aperitivos!Q47)</f>
        <v>2</v>
      </c>
      <c r="Q518" s="55" t="str">
        <f aca="false">IF(05_Jugos_Aperitivos!R47="","",05_Jugos_Aperitivos!R47)</f>
        <v>Alto</v>
      </c>
      <c r="R518" s="55" t="str">
        <f aca="false">IF(05_Jugos_Aperitivos!S47="","",05_Jugos_Aperitivos!S47)</f>
        <v>Todo el año</v>
      </c>
      <c r="S518" s="55" t="str">
        <f aca="false">IF(05_Jugos_Aperitivos!T47="","",05_Jugos_Aperitivos!T47)</f>
        <v>Pastelería</v>
      </c>
      <c r="T518" s="56" t="str">
        <f aca="false">IF(05_Jugos_Aperitivos!U47="","",05_Jugos_Aperitivos!U47)</f>
        <v/>
      </c>
      <c r="U518" s="55" t="n">
        <v>47</v>
      </c>
      <c r="V518" s="55" t="n">
        <f aca="false">IF(AND(OR(LEN(13_Buscador!$C$5)=0,ISNUMBER(SEARCH(13_Buscador!$C$5,$C518&amp;" "&amp;$D518&amp;" "&amp;$E518&amp;" "&amp;$F518&amp;" "&amp;$S518))),OR(13_Buscador!$C$6="Todas las listas",LEN(13_Buscador!$C$6)=0,13_Buscador!$C$6=$B518)),1,0)</f>
        <v>0</v>
      </c>
      <c r="W518" s="55" t="str">
        <f aca="false">IF(V518=1,SUM($V$2:V518),"")</f>
        <v/>
      </c>
    </row>
    <row r="519" customFormat="false" ht="15" hidden="false" customHeight="true" outlineLevel="0" collapsed="false">
      <c r="A519" s="55" t="n">
        <v>518</v>
      </c>
      <c r="B519" s="55" t="s">
        <v>3331</v>
      </c>
      <c r="C519" s="55" t="str">
        <f aca="false">IF(05_Jugos_Aperitivos!B48="","",05_Jugos_Aperitivos!B48)</f>
        <v>Jugos naturales</v>
      </c>
      <c r="D519" s="56" t="str">
        <f aca="false">IF(05_Jugos_Aperitivos!C48="","",05_Jugos_Aperitivos!C48)</f>
        <v>Jugo de mango</v>
      </c>
      <c r="E519" s="56" t="str">
        <f aca="false">IF(05_Jugos_Aperitivos!D48="","",05_Jugos_Aperitivos!D48)</f>
        <v>Jugo natural</v>
      </c>
      <c r="F519" s="56" t="str">
        <f aca="false">IF(05_Jugos_Aperitivos!E48="","",05_Jugos_Aperitivos!E48)</f>
        <v>fruta de estación, agua o leche, azúcar</v>
      </c>
      <c r="G519" s="55" t="str">
        <f aca="false">IF(05_Jugos_Aperitivos!F48="","",05_Jugos_Aperitivos!F48)</f>
        <v>Vaso 500 ml</v>
      </c>
      <c r="H519" s="55" t="str">
        <f aca="false">IF(05_Jugos_Aperitivos!G48="","",05_Jugos_Aperitivos!G48)</f>
        <v>Económico</v>
      </c>
      <c r="I519" s="58" t="n">
        <f aca="false">IF(05_Jugos_Aperitivos!H48="","",05_Jugos_Aperitivos!H48)</f>
        <v>5</v>
      </c>
      <c r="J519" s="58" t="n">
        <f aca="false">IF(05_Jugos_Aperitivos!I48="","",05_Jugos_Aperitivos!I48)</f>
        <v>10</v>
      </c>
      <c r="K519" s="58" t="n">
        <f aca="false">IF(05_Jugos_Aperitivos!J48="","",05_Jugos_Aperitivos!J48)</f>
        <v>7.5</v>
      </c>
      <c r="L519" s="58" t="n">
        <f aca="false">IF(05_Jugos_Aperitivos!L48="","",05_Jugos_Aperitivos!L48)</f>
        <v>8</v>
      </c>
      <c r="M519" s="58" t="n">
        <f aca="false">IF(05_Jugos_Aperitivos!N48="","",05_Jugos_Aperitivos!N48)</f>
        <v>0.53</v>
      </c>
      <c r="N519" s="58" t="n">
        <f aca="false">IF(05_Jugos_Aperitivos!O48="","",05_Jugos_Aperitivos!O48)</f>
        <v>6.97</v>
      </c>
      <c r="O519" s="55" t="str">
        <f aca="false">IF(05_Jugos_Aperitivos!P48="","",05_Jugos_Aperitivos!P48)</f>
        <v>06:00-12:00</v>
      </c>
      <c r="P519" s="55" t="n">
        <f aca="false">IF(05_Jugos_Aperitivos!Q48="","",05_Jugos_Aperitivos!Q48)</f>
        <v>5</v>
      </c>
      <c r="Q519" s="55" t="str">
        <f aca="false">IF(05_Jugos_Aperitivos!R48="","",05_Jugos_Aperitivos!R48)</f>
        <v>Alto</v>
      </c>
      <c r="R519" s="55" t="str">
        <f aca="false">IF(05_Jugos_Aperitivos!S48="","",05_Jugos_Aperitivos!S48)</f>
        <v>Estacional</v>
      </c>
      <c r="S519" s="55" t="str">
        <f aca="false">IF(05_Jugos_Aperitivos!T48="","",05_Jugos_Aperitivos!T48)</f>
        <v>Juguería</v>
      </c>
      <c r="T519" s="56" t="str">
        <f aca="false">IF(05_Jugos_Aperitivos!U48="","",05_Jugos_Aperitivos!U48)</f>
        <v/>
      </c>
      <c r="U519" s="55" t="n">
        <v>48</v>
      </c>
      <c r="V519" s="55" t="n">
        <f aca="false">IF(AND(OR(LEN(13_Buscador!$C$5)=0,ISNUMBER(SEARCH(13_Buscador!$C$5,$C519&amp;" "&amp;$D519&amp;" "&amp;$E519&amp;" "&amp;$F519&amp;" "&amp;$S519))),OR(13_Buscador!$C$6="Todas las listas",LEN(13_Buscador!$C$6)=0,13_Buscador!$C$6=$B519)),1,0)</f>
        <v>0</v>
      </c>
      <c r="W519" s="55" t="str">
        <f aca="false">IF(V519=1,SUM($V$2:V519),"")</f>
        <v/>
      </c>
    </row>
    <row r="520" customFormat="false" ht="15" hidden="false" customHeight="true" outlineLevel="0" collapsed="false">
      <c r="A520" s="55" t="n">
        <v>519</v>
      </c>
      <c r="B520" s="55" t="s">
        <v>3331</v>
      </c>
      <c r="C520" s="55" t="str">
        <f aca="false">IF(05_Jugos_Aperitivos!B49="","",05_Jugos_Aperitivos!B49)</f>
        <v>Jugos naturales</v>
      </c>
      <c r="D520" s="56" t="str">
        <f aca="false">IF(05_Jugos_Aperitivos!C49="","",05_Jugos_Aperitivos!C49)</f>
        <v>Jugo de sandía</v>
      </c>
      <c r="E520" s="56" t="str">
        <f aca="false">IF(05_Jugos_Aperitivos!D49="","",05_Jugos_Aperitivos!D49)</f>
        <v>Jugo natural</v>
      </c>
      <c r="F520" s="56" t="str">
        <f aca="false">IF(05_Jugos_Aperitivos!E49="","",05_Jugos_Aperitivos!E49)</f>
        <v>fruta de estación, agua o leche, azúcar</v>
      </c>
      <c r="G520" s="55" t="str">
        <f aca="false">IF(05_Jugos_Aperitivos!F49="","",05_Jugos_Aperitivos!F49)</f>
        <v>Vaso 500 ml</v>
      </c>
      <c r="H520" s="55" t="str">
        <f aca="false">IF(05_Jugos_Aperitivos!G49="","",05_Jugos_Aperitivos!G49)</f>
        <v>Económico</v>
      </c>
      <c r="I520" s="58" t="n">
        <f aca="false">IF(05_Jugos_Aperitivos!H49="","",05_Jugos_Aperitivos!H49)</f>
        <v>4</v>
      </c>
      <c r="J520" s="58" t="n">
        <f aca="false">IF(05_Jugos_Aperitivos!I49="","",05_Jugos_Aperitivos!I49)</f>
        <v>9</v>
      </c>
      <c r="K520" s="58" t="n">
        <f aca="false">IF(05_Jugos_Aperitivos!J49="","",05_Jugos_Aperitivos!J49)</f>
        <v>6.5</v>
      </c>
      <c r="L520" s="58" t="n">
        <f aca="false">IF(05_Jugos_Aperitivos!L49="","",05_Jugos_Aperitivos!L49)</f>
        <v>7</v>
      </c>
      <c r="M520" s="58" t="n">
        <f aca="false">IF(05_Jugos_Aperitivos!N49="","",05_Jugos_Aperitivos!N49)</f>
        <v>0.46</v>
      </c>
      <c r="N520" s="58" t="n">
        <f aca="false">IF(05_Jugos_Aperitivos!O49="","",05_Jugos_Aperitivos!O49)</f>
        <v>6.04</v>
      </c>
      <c r="O520" s="55" t="str">
        <f aca="false">IF(05_Jugos_Aperitivos!P49="","",05_Jugos_Aperitivos!P49)</f>
        <v>06:00-12:00</v>
      </c>
      <c r="P520" s="55" t="n">
        <f aca="false">IF(05_Jugos_Aperitivos!Q49="","",05_Jugos_Aperitivos!Q49)</f>
        <v>5</v>
      </c>
      <c r="Q520" s="55" t="str">
        <f aca="false">IF(05_Jugos_Aperitivos!R49="","",05_Jugos_Aperitivos!R49)</f>
        <v>Alto</v>
      </c>
      <c r="R520" s="55" t="str">
        <f aca="false">IF(05_Jugos_Aperitivos!S49="","",05_Jugos_Aperitivos!S49)</f>
        <v>Mayor demanda en calor</v>
      </c>
      <c r="S520" s="55" t="str">
        <f aca="false">IF(05_Jugos_Aperitivos!T49="","",05_Jugos_Aperitivos!T49)</f>
        <v>Juguería</v>
      </c>
      <c r="T520" s="56" t="str">
        <f aca="false">IF(05_Jugos_Aperitivos!U49="","",05_Jugos_Aperitivos!U49)</f>
        <v/>
      </c>
      <c r="U520" s="55" t="n">
        <v>49</v>
      </c>
      <c r="V520" s="55" t="n">
        <f aca="false">IF(AND(OR(LEN(13_Buscador!$C$5)=0,ISNUMBER(SEARCH(13_Buscador!$C$5,$C520&amp;" "&amp;$D520&amp;" "&amp;$E520&amp;" "&amp;$F520&amp;" "&amp;$S520))),OR(13_Buscador!$C$6="Todas las listas",LEN(13_Buscador!$C$6)=0,13_Buscador!$C$6=$B520)),1,0)</f>
        <v>0</v>
      </c>
      <c r="W520" s="55" t="str">
        <f aca="false">IF(V520=1,SUM($V$2:V520),"")</f>
        <v/>
      </c>
    </row>
    <row r="521" customFormat="false" ht="15" hidden="false" customHeight="true" outlineLevel="0" collapsed="false">
      <c r="A521" s="55" t="n">
        <v>520</v>
      </c>
      <c r="B521" s="55" t="s">
        <v>3331</v>
      </c>
      <c r="C521" s="55" t="str">
        <f aca="false">IF(05_Jugos_Aperitivos!B50="","",05_Jugos_Aperitivos!B50)</f>
        <v>Jugos naturales</v>
      </c>
      <c r="D521" s="56" t="str">
        <f aca="false">IF(05_Jugos_Aperitivos!C50="","",05_Jugos_Aperitivos!C50)</f>
        <v>Jugo de melón</v>
      </c>
      <c r="E521" s="56" t="str">
        <f aca="false">IF(05_Jugos_Aperitivos!D50="","",05_Jugos_Aperitivos!D50)</f>
        <v>Jugo natural</v>
      </c>
      <c r="F521" s="56" t="str">
        <f aca="false">IF(05_Jugos_Aperitivos!E50="","",05_Jugos_Aperitivos!E50)</f>
        <v>fruta de estación, agua o leche, azúcar</v>
      </c>
      <c r="G521" s="55" t="str">
        <f aca="false">IF(05_Jugos_Aperitivos!F50="","",05_Jugos_Aperitivos!F50)</f>
        <v>Vaso 500 ml</v>
      </c>
      <c r="H521" s="55" t="str">
        <f aca="false">IF(05_Jugos_Aperitivos!G50="","",05_Jugos_Aperitivos!G50)</f>
        <v>Económico</v>
      </c>
      <c r="I521" s="58" t="n">
        <f aca="false">IF(05_Jugos_Aperitivos!H50="","",05_Jugos_Aperitivos!H50)</f>
        <v>4</v>
      </c>
      <c r="J521" s="58" t="n">
        <f aca="false">IF(05_Jugos_Aperitivos!I50="","",05_Jugos_Aperitivos!I50)</f>
        <v>9</v>
      </c>
      <c r="K521" s="58" t="n">
        <f aca="false">IF(05_Jugos_Aperitivos!J50="","",05_Jugos_Aperitivos!J50)</f>
        <v>6.5</v>
      </c>
      <c r="L521" s="58" t="n">
        <f aca="false">IF(05_Jugos_Aperitivos!L50="","",05_Jugos_Aperitivos!L50)</f>
        <v>7</v>
      </c>
      <c r="M521" s="58" t="n">
        <f aca="false">IF(05_Jugos_Aperitivos!N50="","",05_Jugos_Aperitivos!N50)</f>
        <v>0.46</v>
      </c>
      <c r="N521" s="58" t="n">
        <f aca="false">IF(05_Jugos_Aperitivos!O50="","",05_Jugos_Aperitivos!O50)</f>
        <v>6.04</v>
      </c>
      <c r="O521" s="55" t="str">
        <f aca="false">IF(05_Jugos_Aperitivos!P50="","",05_Jugos_Aperitivos!P50)</f>
        <v>06:00-12:00</v>
      </c>
      <c r="P521" s="55" t="n">
        <f aca="false">IF(05_Jugos_Aperitivos!Q50="","",05_Jugos_Aperitivos!Q50)</f>
        <v>5</v>
      </c>
      <c r="Q521" s="55" t="str">
        <f aca="false">IF(05_Jugos_Aperitivos!R50="","",05_Jugos_Aperitivos!R50)</f>
        <v>Alto</v>
      </c>
      <c r="R521" s="55" t="str">
        <f aca="false">IF(05_Jugos_Aperitivos!S50="","",05_Jugos_Aperitivos!S50)</f>
        <v>Estacional</v>
      </c>
      <c r="S521" s="55" t="str">
        <f aca="false">IF(05_Jugos_Aperitivos!T50="","",05_Jugos_Aperitivos!T50)</f>
        <v>Juguería</v>
      </c>
      <c r="T521" s="56" t="str">
        <f aca="false">IF(05_Jugos_Aperitivos!U50="","",05_Jugos_Aperitivos!U50)</f>
        <v/>
      </c>
      <c r="U521" s="55" t="n">
        <v>50</v>
      </c>
      <c r="V521" s="55" t="n">
        <f aca="false">IF(AND(OR(LEN(13_Buscador!$C$5)=0,ISNUMBER(SEARCH(13_Buscador!$C$5,$C521&amp;" "&amp;$D521&amp;" "&amp;$E521&amp;" "&amp;$F521&amp;" "&amp;$S521))),OR(13_Buscador!$C$6="Todas las listas",LEN(13_Buscador!$C$6)=0,13_Buscador!$C$6=$B521)),1,0)</f>
        <v>0</v>
      </c>
      <c r="W521" s="55" t="str">
        <f aca="false">IF(V521=1,SUM($V$2:V521),"")</f>
        <v/>
      </c>
    </row>
    <row r="522" customFormat="false" ht="15" hidden="false" customHeight="true" outlineLevel="0" collapsed="false">
      <c r="A522" s="55" t="n">
        <v>521</v>
      </c>
      <c r="B522" s="55" t="s">
        <v>3331</v>
      </c>
      <c r="C522" s="55" t="str">
        <f aca="false">IF(05_Jugos_Aperitivos!B51="","",05_Jugos_Aperitivos!B51)</f>
        <v>Jugos naturales</v>
      </c>
      <c r="D522" s="56" t="str">
        <f aca="false">IF(05_Jugos_Aperitivos!C51="","",05_Jugos_Aperitivos!C51)</f>
        <v>Jugo de tumbo</v>
      </c>
      <c r="E522" s="56" t="str">
        <f aca="false">IF(05_Jugos_Aperitivos!D51="","",05_Jugos_Aperitivos!D51)</f>
        <v>Fruta andina</v>
      </c>
      <c r="F522" s="56" t="str">
        <f aca="false">IF(05_Jugos_Aperitivos!E51="","",05_Jugos_Aperitivos!E51)</f>
        <v>fruta de estación, agua o leche, azúcar</v>
      </c>
      <c r="G522" s="55" t="str">
        <f aca="false">IF(05_Jugos_Aperitivos!F51="","",05_Jugos_Aperitivos!F51)</f>
        <v>Vaso 500 ml</v>
      </c>
      <c r="H522" s="55" t="str">
        <f aca="false">IF(05_Jugos_Aperitivos!G51="","",05_Jugos_Aperitivos!G51)</f>
        <v>Económico</v>
      </c>
      <c r="I522" s="58" t="n">
        <f aca="false">IF(05_Jugos_Aperitivos!H51="","",05_Jugos_Aperitivos!H51)</f>
        <v>5</v>
      </c>
      <c r="J522" s="58" t="n">
        <f aca="false">IF(05_Jugos_Aperitivos!I51="","",05_Jugos_Aperitivos!I51)</f>
        <v>10</v>
      </c>
      <c r="K522" s="58" t="n">
        <f aca="false">IF(05_Jugos_Aperitivos!J51="","",05_Jugos_Aperitivos!J51)</f>
        <v>7.5</v>
      </c>
      <c r="L522" s="58" t="n">
        <f aca="false">IF(05_Jugos_Aperitivos!L51="","",05_Jugos_Aperitivos!L51)</f>
        <v>8</v>
      </c>
      <c r="M522" s="58" t="n">
        <f aca="false">IF(05_Jugos_Aperitivos!N51="","",05_Jugos_Aperitivos!N51)</f>
        <v>0.53</v>
      </c>
      <c r="N522" s="58" t="n">
        <f aca="false">IF(05_Jugos_Aperitivos!O51="","",05_Jugos_Aperitivos!O51)</f>
        <v>6.97</v>
      </c>
      <c r="O522" s="55" t="str">
        <f aca="false">IF(05_Jugos_Aperitivos!P51="","",05_Jugos_Aperitivos!P51)</f>
        <v>06:00-12:00</v>
      </c>
      <c r="P522" s="55" t="n">
        <f aca="false">IF(05_Jugos_Aperitivos!Q51="","",05_Jugos_Aperitivos!Q51)</f>
        <v>5</v>
      </c>
      <c r="Q522" s="55" t="str">
        <f aca="false">IF(05_Jugos_Aperitivos!R51="","",05_Jugos_Aperitivos!R51)</f>
        <v>Alto</v>
      </c>
      <c r="R522" s="55" t="str">
        <f aca="false">IF(05_Jugos_Aperitivos!S51="","",05_Jugos_Aperitivos!S51)</f>
        <v>Estacional</v>
      </c>
      <c r="S522" s="55" t="str">
        <f aca="false">IF(05_Jugos_Aperitivos!T51="","",05_Jugos_Aperitivos!T51)</f>
        <v>Juguería</v>
      </c>
      <c r="T522" s="56" t="str">
        <f aca="false">IF(05_Jugos_Aperitivos!U51="","",05_Jugos_Aperitivos!U51)</f>
        <v>Fruta regional, diferenciador</v>
      </c>
      <c r="U522" s="55" t="n">
        <v>51</v>
      </c>
      <c r="V522" s="55" t="n">
        <f aca="false">IF(AND(OR(LEN(13_Buscador!$C$5)=0,ISNUMBER(SEARCH(13_Buscador!$C$5,$C522&amp;" "&amp;$D522&amp;" "&amp;$E522&amp;" "&amp;$F522&amp;" "&amp;$S522))),OR(13_Buscador!$C$6="Todas las listas",LEN(13_Buscador!$C$6)=0,13_Buscador!$C$6=$B522)),1,0)</f>
        <v>0</v>
      </c>
      <c r="W522" s="55" t="str">
        <f aca="false">IF(V522=1,SUM($V$2:V522),"")</f>
        <v/>
      </c>
    </row>
    <row r="523" customFormat="false" ht="15" hidden="false" customHeight="true" outlineLevel="0" collapsed="false">
      <c r="A523" s="55" t="n">
        <v>522</v>
      </c>
      <c r="B523" s="55" t="s">
        <v>3331</v>
      </c>
      <c r="C523" s="55" t="str">
        <f aca="false">IF(05_Jugos_Aperitivos!B52="","",05_Jugos_Aperitivos!B52)</f>
        <v>Jugos naturales</v>
      </c>
      <c r="D523" s="56" t="str">
        <f aca="false">IF(05_Jugos_Aperitivos!C52="","",05_Jugos_Aperitivos!C52)</f>
        <v>Jugo de aguaymanto</v>
      </c>
      <c r="E523" s="56" t="str">
        <f aca="false">IF(05_Jugos_Aperitivos!D52="","",05_Jugos_Aperitivos!D52)</f>
        <v>Fruta andina</v>
      </c>
      <c r="F523" s="56" t="str">
        <f aca="false">IF(05_Jugos_Aperitivos!E52="","",05_Jugos_Aperitivos!E52)</f>
        <v>fruta de estación, agua o leche, azúcar</v>
      </c>
      <c r="G523" s="55" t="str">
        <f aca="false">IF(05_Jugos_Aperitivos!F52="","",05_Jugos_Aperitivos!F52)</f>
        <v>Vaso 500 ml</v>
      </c>
      <c r="H523" s="55" t="str">
        <f aca="false">IF(05_Jugos_Aperitivos!G52="","",05_Jugos_Aperitivos!G52)</f>
        <v>Estándar</v>
      </c>
      <c r="I523" s="58" t="n">
        <f aca="false">IF(05_Jugos_Aperitivos!H52="","",05_Jugos_Aperitivos!H52)</f>
        <v>6</v>
      </c>
      <c r="J523" s="58" t="n">
        <f aca="false">IF(05_Jugos_Aperitivos!I52="","",05_Jugos_Aperitivos!I52)</f>
        <v>12</v>
      </c>
      <c r="K523" s="58" t="n">
        <f aca="false">IF(05_Jugos_Aperitivos!J52="","",05_Jugos_Aperitivos!J52)</f>
        <v>9</v>
      </c>
      <c r="L523" s="58" t="n">
        <f aca="false">IF(05_Jugos_Aperitivos!L52="","",05_Jugos_Aperitivos!L52)</f>
        <v>9.5</v>
      </c>
      <c r="M523" s="58" t="n">
        <f aca="false">IF(05_Jugos_Aperitivos!N52="","",05_Jugos_Aperitivos!N52)</f>
        <v>0.81</v>
      </c>
      <c r="N523" s="58" t="n">
        <f aca="false">IF(05_Jugos_Aperitivos!O52="","",05_Jugos_Aperitivos!O52)</f>
        <v>8.19</v>
      </c>
      <c r="O523" s="55" t="str">
        <f aca="false">IF(05_Jugos_Aperitivos!P52="","",05_Jugos_Aperitivos!P52)</f>
        <v>06:00-12:00</v>
      </c>
      <c r="P523" s="55" t="n">
        <f aca="false">IF(05_Jugos_Aperitivos!Q52="","",05_Jugos_Aperitivos!Q52)</f>
        <v>5</v>
      </c>
      <c r="Q523" s="55" t="str">
        <f aca="false">IF(05_Jugos_Aperitivos!R52="","",05_Jugos_Aperitivos!R52)</f>
        <v>Alto</v>
      </c>
      <c r="R523" s="55" t="str">
        <f aca="false">IF(05_Jugos_Aperitivos!S52="","",05_Jugos_Aperitivos!S52)</f>
        <v>Estacional</v>
      </c>
      <c r="S523" s="55" t="str">
        <f aca="false">IF(05_Jugos_Aperitivos!T52="","",05_Jugos_Aperitivos!T52)</f>
        <v>Juguería</v>
      </c>
      <c r="T523" s="56" t="str">
        <f aca="false">IF(05_Jugos_Aperitivos!U52="","",05_Jugos_Aperitivos!U52)</f>
        <v/>
      </c>
      <c r="U523" s="55" t="n">
        <v>52</v>
      </c>
      <c r="V523" s="55" t="n">
        <f aca="false">IF(AND(OR(LEN(13_Buscador!$C$5)=0,ISNUMBER(SEARCH(13_Buscador!$C$5,$C523&amp;" "&amp;$D523&amp;" "&amp;$E523&amp;" "&amp;$F523&amp;" "&amp;$S523))),OR(13_Buscador!$C$6="Todas las listas",LEN(13_Buscador!$C$6)=0,13_Buscador!$C$6=$B523)),1,0)</f>
        <v>0</v>
      </c>
      <c r="W523" s="55" t="str">
        <f aca="false">IF(V523=1,SUM($V$2:V523),"")</f>
        <v/>
      </c>
    </row>
    <row r="524" customFormat="false" ht="15" hidden="false" customHeight="true" outlineLevel="0" collapsed="false">
      <c r="A524" s="55" t="n">
        <v>523</v>
      </c>
      <c r="B524" s="55" t="s">
        <v>3331</v>
      </c>
      <c r="C524" s="55" t="str">
        <f aca="false">IF(05_Jugos_Aperitivos!B53="","",05_Jugos_Aperitivos!B53)</f>
        <v>Batidos y energizantes</v>
      </c>
      <c r="D524" s="56" t="str">
        <f aca="false">IF(05_Jugos_Aperitivos!C53="","",05_Jugos_Aperitivos!C53)</f>
        <v>Batido de chocolate</v>
      </c>
      <c r="E524" s="56" t="str">
        <f aca="false">IF(05_Jugos_Aperitivos!D53="","",05_Jugos_Aperitivos!D53)</f>
        <v>Leche, cacao, plátano</v>
      </c>
      <c r="F524" s="56" t="str">
        <f aca="false">IF(05_Jugos_Aperitivos!E53="","",05_Jugos_Aperitivos!E53)</f>
        <v>cacao, leche, plátano, azúcar</v>
      </c>
      <c r="G524" s="55" t="str">
        <f aca="false">IF(05_Jugos_Aperitivos!F53="","",05_Jugos_Aperitivos!F53)</f>
        <v>Vaso 500 ml</v>
      </c>
      <c r="H524" s="55" t="str">
        <f aca="false">IF(05_Jugos_Aperitivos!G53="","",05_Jugos_Aperitivos!G53)</f>
        <v>Económico</v>
      </c>
      <c r="I524" s="58" t="n">
        <f aca="false">IF(05_Jugos_Aperitivos!H53="","",05_Jugos_Aperitivos!H53)</f>
        <v>5</v>
      </c>
      <c r="J524" s="58" t="n">
        <f aca="false">IF(05_Jugos_Aperitivos!I53="","",05_Jugos_Aperitivos!I53)</f>
        <v>11</v>
      </c>
      <c r="K524" s="58" t="n">
        <f aca="false">IF(05_Jugos_Aperitivos!J53="","",05_Jugos_Aperitivos!J53)</f>
        <v>8</v>
      </c>
      <c r="L524" s="58" t="n">
        <f aca="false">IF(05_Jugos_Aperitivos!L53="","",05_Jugos_Aperitivos!L53)</f>
        <v>8.5</v>
      </c>
      <c r="M524" s="58" t="n">
        <f aca="false">IF(05_Jugos_Aperitivos!N53="","",05_Jugos_Aperitivos!N53)</f>
        <v>0.56</v>
      </c>
      <c r="N524" s="58" t="n">
        <f aca="false">IF(05_Jugos_Aperitivos!O53="","",05_Jugos_Aperitivos!O53)</f>
        <v>7.44</v>
      </c>
      <c r="O524" s="55" t="str">
        <f aca="false">IF(05_Jugos_Aperitivos!P53="","",05_Jugos_Aperitivos!P53)</f>
        <v>06:00-12:00</v>
      </c>
      <c r="P524" s="55" t="n">
        <f aca="false">IF(05_Jugos_Aperitivos!Q53="","",05_Jugos_Aperitivos!Q53)</f>
        <v>5</v>
      </c>
      <c r="Q524" s="55" t="str">
        <f aca="false">IF(05_Jugos_Aperitivos!R53="","",05_Jugos_Aperitivos!R53)</f>
        <v>Alto</v>
      </c>
      <c r="R524" s="55" t="str">
        <f aca="false">IF(05_Jugos_Aperitivos!S53="","",05_Jugos_Aperitivos!S53)</f>
        <v>Todo el año</v>
      </c>
      <c r="S524" s="55" t="str">
        <f aca="false">IF(05_Jugos_Aperitivos!T53="","",05_Jugos_Aperitivos!T53)</f>
        <v>Juguería</v>
      </c>
      <c r="T524" s="56" t="str">
        <f aca="false">IF(05_Jugos_Aperitivos!U53="","",05_Jugos_Aperitivos!U53)</f>
        <v/>
      </c>
      <c r="U524" s="55" t="n">
        <v>53</v>
      </c>
      <c r="V524" s="55" t="n">
        <f aca="false">IF(AND(OR(LEN(13_Buscador!$C$5)=0,ISNUMBER(SEARCH(13_Buscador!$C$5,$C524&amp;" "&amp;$D524&amp;" "&amp;$E524&amp;" "&amp;$F524&amp;" "&amp;$S524))),OR(13_Buscador!$C$6="Todas las listas",LEN(13_Buscador!$C$6)=0,13_Buscador!$C$6=$B524)),1,0)</f>
        <v>0</v>
      </c>
      <c r="W524" s="55" t="str">
        <f aca="false">IF(V524=1,SUM($V$2:V524),"")</f>
        <v/>
      </c>
    </row>
    <row r="525" customFormat="false" ht="15" hidden="false" customHeight="true" outlineLevel="0" collapsed="false">
      <c r="A525" s="55" t="n">
        <v>524</v>
      </c>
      <c r="B525" s="55" t="s">
        <v>3331</v>
      </c>
      <c r="C525" s="55" t="str">
        <f aca="false">IF(05_Jugos_Aperitivos!B54="","",05_Jugos_Aperitivos!B54)</f>
        <v>Batidos y energizantes</v>
      </c>
      <c r="D525" s="56" t="str">
        <f aca="false">IF(05_Jugos_Aperitivos!C54="","",05_Jugos_Aperitivos!C54)</f>
        <v>Batido proteico</v>
      </c>
      <c r="E525" s="56" t="str">
        <f aca="false">IF(05_Jugos_Aperitivos!D54="","",05_Jugos_Aperitivos!D54)</f>
        <v>Con proteína en polvo</v>
      </c>
      <c r="F525" s="56" t="str">
        <f aca="false">IF(05_Jugos_Aperitivos!E54="","",05_Jugos_Aperitivos!E54)</f>
        <v>proteína en polvo, leche, plátano</v>
      </c>
      <c r="G525" s="55" t="str">
        <f aca="false">IF(05_Jugos_Aperitivos!F54="","",05_Jugos_Aperitivos!F54)</f>
        <v>Vaso 500 ml</v>
      </c>
      <c r="H525" s="55" t="str">
        <f aca="false">IF(05_Jugos_Aperitivos!G54="","",05_Jugos_Aperitivos!G54)</f>
        <v>Medio</v>
      </c>
      <c r="I525" s="58" t="n">
        <f aca="false">IF(05_Jugos_Aperitivos!H54="","",05_Jugos_Aperitivos!H54)</f>
        <v>10</v>
      </c>
      <c r="J525" s="58" t="n">
        <f aca="false">IF(05_Jugos_Aperitivos!I54="","",05_Jugos_Aperitivos!I54)</f>
        <v>22</v>
      </c>
      <c r="K525" s="58" t="n">
        <f aca="false">IF(05_Jugos_Aperitivos!J54="","",05_Jugos_Aperitivos!J54)</f>
        <v>16</v>
      </c>
      <c r="L525" s="58" t="n">
        <f aca="false">IF(05_Jugos_Aperitivos!L54="","",05_Jugos_Aperitivos!L54)</f>
        <v>16.5</v>
      </c>
      <c r="M525" s="58" t="n">
        <f aca="false">IF(05_Jugos_Aperitivos!N54="","",05_Jugos_Aperitivos!N54)</f>
        <v>1.76</v>
      </c>
      <c r="N525" s="58" t="n">
        <f aca="false">IF(05_Jugos_Aperitivos!O54="","",05_Jugos_Aperitivos!O54)</f>
        <v>14.24</v>
      </c>
      <c r="O525" s="55" t="str">
        <f aca="false">IF(05_Jugos_Aperitivos!P54="","",05_Jugos_Aperitivos!P54)</f>
        <v>06:00-20:00</v>
      </c>
      <c r="P525" s="55" t="n">
        <f aca="false">IF(05_Jugos_Aperitivos!Q54="","",05_Jugos_Aperitivos!Q54)</f>
        <v>6</v>
      </c>
      <c r="Q525" s="55" t="str">
        <f aca="false">IF(05_Jugos_Aperitivos!R54="","",05_Jugos_Aperitivos!R54)</f>
        <v>Alto</v>
      </c>
      <c r="R525" s="55" t="str">
        <f aca="false">IF(05_Jugos_Aperitivos!S54="","",05_Jugos_Aperitivos!S54)</f>
        <v>Todo el año</v>
      </c>
      <c r="S525" s="55" t="str">
        <f aca="false">IF(05_Jugos_Aperitivos!T54="","",05_Jugos_Aperitivos!T54)</f>
        <v>Juguería, gimnasio</v>
      </c>
      <c r="T525" s="56" t="str">
        <f aca="false">IF(05_Jugos_Aperitivos!U54="","",05_Jugos_Aperitivos!U54)</f>
        <v>Nicho de gimnasios</v>
      </c>
      <c r="U525" s="55" t="n">
        <v>54</v>
      </c>
      <c r="V525" s="55" t="n">
        <f aca="false">IF(AND(OR(LEN(13_Buscador!$C$5)=0,ISNUMBER(SEARCH(13_Buscador!$C$5,$C525&amp;" "&amp;$D525&amp;" "&amp;$E525&amp;" "&amp;$F525&amp;" "&amp;$S525))),OR(13_Buscador!$C$6="Todas las listas",LEN(13_Buscador!$C$6)=0,13_Buscador!$C$6=$B525)),1,0)</f>
        <v>0</v>
      </c>
      <c r="W525" s="55" t="str">
        <f aca="false">IF(V525=1,SUM($V$2:V525),"")</f>
        <v/>
      </c>
    </row>
    <row r="526" customFormat="false" ht="15" hidden="false" customHeight="true" outlineLevel="0" collapsed="false">
      <c r="A526" s="55" t="n">
        <v>525</v>
      </c>
      <c r="B526" s="55" t="s">
        <v>3331</v>
      </c>
      <c r="C526" s="55" t="str">
        <f aca="false">IF(05_Jugos_Aperitivos!B55="","",05_Jugos_Aperitivos!B55)</f>
        <v>Batidos y energizantes</v>
      </c>
      <c r="D526" s="56" t="str">
        <f aca="false">IF(05_Jugos_Aperitivos!C55="","",05_Jugos_Aperitivos!C55)</f>
        <v>Extracto de noni</v>
      </c>
      <c r="E526" s="56" t="str">
        <f aca="false">IF(05_Jugos_Aperitivos!D55="","",05_Jugos_Aperitivos!D55)</f>
        <v>Extracto natural</v>
      </c>
      <c r="F526" s="56" t="str">
        <f aca="false">IF(05_Jugos_Aperitivos!E55="","",05_Jugos_Aperitivos!E55)</f>
        <v>verdura u hoja fresca, agua, limón</v>
      </c>
      <c r="G526" s="55" t="str">
        <f aca="false">IF(05_Jugos_Aperitivos!F55="","",05_Jugos_Aperitivos!F55)</f>
        <v>Vaso 300 ml</v>
      </c>
      <c r="H526" s="55" t="str">
        <f aca="false">IF(05_Jugos_Aperitivos!G55="","",05_Jugos_Aperitivos!G55)</f>
        <v>Estándar</v>
      </c>
      <c r="I526" s="58" t="n">
        <f aca="false">IF(05_Jugos_Aperitivos!H55="","",05_Jugos_Aperitivos!H55)</f>
        <v>5</v>
      </c>
      <c r="J526" s="58" t="n">
        <f aca="false">IF(05_Jugos_Aperitivos!I55="","",05_Jugos_Aperitivos!I55)</f>
        <v>12</v>
      </c>
      <c r="K526" s="58" t="n">
        <f aca="false">IF(05_Jugos_Aperitivos!J55="","",05_Jugos_Aperitivos!J55)</f>
        <v>8.5</v>
      </c>
      <c r="L526" s="58" t="n">
        <f aca="false">IF(05_Jugos_Aperitivos!L55="","",05_Jugos_Aperitivos!L55)</f>
        <v>9</v>
      </c>
      <c r="M526" s="58" t="n">
        <f aca="false">IF(05_Jugos_Aperitivos!N55="","",05_Jugos_Aperitivos!N55)</f>
        <v>0.77</v>
      </c>
      <c r="N526" s="58" t="n">
        <f aca="false">IF(05_Jugos_Aperitivos!O55="","",05_Jugos_Aperitivos!O55)</f>
        <v>7.73</v>
      </c>
      <c r="O526" s="55" t="str">
        <f aca="false">IF(05_Jugos_Aperitivos!P55="","",05_Jugos_Aperitivos!P55)</f>
        <v>06:00-11:00</v>
      </c>
      <c r="P526" s="55" t="n">
        <f aca="false">IF(05_Jugos_Aperitivos!Q55="","",05_Jugos_Aperitivos!Q55)</f>
        <v>5</v>
      </c>
      <c r="Q526" s="55" t="str">
        <f aca="false">IF(05_Jugos_Aperitivos!R55="","",05_Jugos_Aperitivos!R55)</f>
        <v>Alto</v>
      </c>
      <c r="R526" s="55" t="str">
        <f aca="false">IF(05_Jugos_Aperitivos!S55="","",05_Jugos_Aperitivos!S55)</f>
        <v>Todo el año</v>
      </c>
      <c r="S526" s="55" t="str">
        <f aca="false">IF(05_Jugos_Aperitivos!T55="","",05_Jugos_Aperitivos!T55)</f>
        <v>Juguería</v>
      </c>
      <c r="T526" s="56" t="str">
        <f aca="false">IF(05_Jugos_Aperitivos!U55="","",05_Jugos_Aperitivos!U55)</f>
        <v/>
      </c>
      <c r="U526" s="55" t="n">
        <v>55</v>
      </c>
      <c r="V526" s="55" t="n">
        <f aca="false">IF(AND(OR(LEN(13_Buscador!$C$5)=0,ISNUMBER(SEARCH(13_Buscador!$C$5,$C526&amp;" "&amp;$D526&amp;" "&amp;$E526&amp;" "&amp;$F526&amp;" "&amp;$S526))),OR(13_Buscador!$C$6="Todas las listas",LEN(13_Buscador!$C$6)=0,13_Buscador!$C$6=$B526)),1,0)</f>
        <v>0</v>
      </c>
      <c r="W526" s="55" t="str">
        <f aca="false">IF(V526=1,SUM($V$2:V526),"")</f>
        <v/>
      </c>
    </row>
    <row r="527" customFormat="false" ht="15" hidden="false" customHeight="true" outlineLevel="0" collapsed="false">
      <c r="A527" s="55" t="n">
        <v>526</v>
      </c>
      <c r="B527" s="55" t="s">
        <v>3331</v>
      </c>
      <c r="C527" s="55" t="str">
        <f aca="false">IF(05_Jugos_Aperitivos!B56="","",05_Jugos_Aperitivos!B56)</f>
        <v>Bebidas frías</v>
      </c>
      <c r="D527" s="56" t="str">
        <f aca="false">IF(05_Jugos_Aperitivos!C56="","",05_Jugos_Aperitivos!C56)</f>
        <v>Chicha de jora</v>
      </c>
      <c r="E527" s="56" t="str">
        <f aca="false">IF(05_Jugos_Aperitivos!D56="","",05_Jugos_Aperitivos!D56)</f>
        <v>Bebida fermentada tradicional</v>
      </c>
      <c r="F527" s="56" t="str">
        <f aca="false">IF(05_Jugos_Aperitivos!E56="","",05_Jugos_Aperitivos!E56)</f>
        <v>maíz de jora fermentado, agua, azúcar</v>
      </c>
      <c r="G527" s="55" t="str">
        <f aca="false">IF(05_Jugos_Aperitivos!F56="","",05_Jugos_Aperitivos!F56)</f>
        <v>Vaso 500 ml</v>
      </c>
      <c r="H527" s="55" t="str">
        <f aca="false">IF(05_Jugos_Aperitivos!G56="","",05_Jugos_Aperitivos!G56)</f>
        <v>Económico</v>
      </c>
      <c r="I527" s="58" t="n">
        <f aca="false">IF(05_Jugos_Aperitivos!H56="","",05_Jugos_Aperitivos!H56)</f>
        <v>3</v>
      </c>
      <c r="J527" s="58" t="n">
        <f aca="false">IF(05_Jugos_Aperitivos!I56="","",05_Jugos_Aperitivos!I56)</f>
        <v>8</v>
      </c>
      <c r="K527" s="58" t="n">
        <f aca="false">IF(05_Jugos_Aperitivos!J56="","",05_Jugos_Aperitivos!J56)</f>
        <v>5.5</v>
      </c>
      <c r="L527" s="58" t="n">
        <f aca="false">IF(05_Jugos_Aperitivos!L56="","",05_Jugos_Aperitivos!L56)</f>
        <v>6</v>
      </c>
      <c r="M527" s="58" t="n">
        <f aca="false">IF(05_Jugos_Aperitivos!N56="","",05_Jugos_Aperitivos!N56)</f>
        <v>0.39</v>
      </c>
      <c r="N527" s="58" t="n">
        <f aca="false">IF(05_Jugos_Aperitivos!O56="","",05_Jugos_Aperitivos!O56)</f>
        <v>5.11</v>
      </c>
      <c r="O527" s="55" t="str">
        <f aca="false">IF(05_Jugos_Aperitivos!P56="","",05_Jugos_Aperitivos!P56)</f>
        <v>11:00-18:00</v>
      </c>
      <c r="P527" s="55" t="n">
        <f aca="false">IF(05_Jugos_Aperitivos!Q56="","",05_Jugos_Aperitivos!Q56)</f>
        <v>2</v>
      </c>
      <c r="Q527" s="55" t="str">
        <f aca="false">IF(05_Jugos_Aperitivos!R56="","",05_Jugos_Aperitivos!R56)</f>
        <v>Alto</v>
      </c>
      <c r="R527" s="55" t="str">
        <f aca="false">IF(05_Jugos_Aperitivos!S56="","",05_Jugos_Aperitivos!S56)</f>
        <v>Todo el año</v>
      </c>
      <c r="S527" s="55" t="str">
        <f aca="false">IF(05_Jugos_Aperitivos!T56="","",05_Jugos_Aperitivos!T56)</f>
        <v>Picantería, mercado</v>
      </c>
      <c r="T527" s="56" t="str">
        <f aca="false">IF(05_Jugos_Aperitivos!U56="","",05_Jugos_Aperitivos!U56)</f>
        <v>Contiene alcohol leve: revisar reglas de la app</v>
      </c>
      <c r="U527" s="55" t="n">
        <v>56</v>
      </c>
      <c r="V527" s="55" t="n">
        <f aca="false">IF(AND(OR(LEN(13_Buscador!$C$5)=0,ISNUMBER(SEARCH(13_Buscador!$C$5,$C527&amp;" "&amp;$D527&amp;" "&amp;$E527&amp;" "&amp;$F527&amp;" "&amp;$S527))),OR(13_Buscador!$C$6="Todas las listas",LEN(13_Buscador!$C$6)=0,13_Buscador!$C$6=$B527)),1,0)</f>
        <v>0</v>
      </c>
      <c r="W527" s="55" t="str">
        <f aca="false">IF(V527=1,SUM($V$2:V527),"")</f>
        <v/>
      </c>
    </row>
    <row r="528" customFormat="false" ht="15" hidden="false" customHeight="true" outlineLevel="0" collapsed="false">
      <c r="A528" s="55" t="n">
        <v>527</v>
      </c>
      <c r="B528" s="55" t="s">
        <v>3331</v>
      </c>
      <c r="C528" s="55" t="str">
        <f aca="false">IF(05_Jugos_Aperitivos!B57="","",05_Jugos_Aperitivos!B57)</f>
        <v>Bebidas frías</v>
      </c>
      <c r="D528" s="56" t="str">
        <f aca="false">IF(05_Jugos_Aperitivos!C57="","",05_Jugos_Aperitivos!C57)</f>
        <v>Refresco de cebada</v>
      </c>
      <c r="E528" s="56" t="str">
        <f aca="false">IF(05_Jugos_Aperitivos!D57="","",05_Jugos_Aperitivos!D57)</f>
        <v>Refresco frío</v>
      </c>
      <c r="F528" s="56" t="str">
        <f aca="false">IF(05_Jugos_Aperitivos!E57="","",05_Jugos_Aperitivos!E57)</f>
        <v>fruta o cebada del día, agua, azúcar</v>
      </c>
      <c r="G528" s="55" t="str">
        <f aca="false">IF(05_Jugos_Aperitivos!F57="","",05_Jugos_Aperitivos!F57)</f>
        <v>Vaso 500 ml</v>
      </c>
      <c r="H528" s="55" t="str">
        <f aca="false">IF(05_Jugos_Aperitivos!G57="","",05_Jugos_Aperitivos!G57)</f>
        <v>Económico</v>
      </c>
      <c r="I528" s="58" t="n">
        <f aca="false">IF(05_Jugos_Aperitivos!H57="","",05_Jugos_Aperitivos!H57)</f>
        <v>2</v>
      </c>
      <c r="J528" s="58" t="n">
        <f aca="false">IF(05_Jugos_Aperitivos!I57="","",05_Jugos_Aperitivos!I57)</f>
        <v>5</v>
      </c>
      <c r="K528" s="58" t="n">
        <f aca="false">IF(05_Jugos_Aperitivos!J57="","",05_Jugos_Aperitivos!J57)</f>
        <v>3.5</v>
      </c>
      <c r="L528" s="58" t="n">
        <f aca="false">IF(05_Jugos_Aperitivos!L57="","",05_Jugos_Aperitivos!L57)</f>
        <v>4</v>
      </c>
      <c r="M528" s="58" t="n">
        <f aca="false">IF(05_Jugos_Aperitivos!N57="","",05_Jugos_Aperitivos!N57)</f>
        <v>0.25</v>
      </c>
      <c r="N528" s="58" t="n">
        <f aca="false">IF(05_Jugos_Aperitivos!O57="","",05_Jugos_Aperitivos!O57)</f>
        <v>3.25</v>
      </c>
      <c r="O528" s="55" t="str">
        <f aca="false">IF(05_Jugos_Aperitivos!P57="","",05_Jugos_Aperitivos!P57)</f>
        <v>11:00-16:00</v>
      </c>
      <c r="P528" s="55" t="n">
        <f aca="false">IF(05_Jugos_Aperitivos!Q57="","",05_Jugos_Aperitivos!Q57)</f>
        <v>2</v>
      </c>
      <c r="Q528" s="55" t="str">
        <f aca="false">IF(05_Jugos_Aperitivos!R57="","",05_Jugos_Aperitivos!R57)</f>
        <v>Alto</v>
      </c>
      <c r="R528" s="55" t="str">
        <f aca="false">IF(05_Jugos_Aperitivos!S57="","",05_Jugos_Aperitivos!S57)</f>
        <v>Todo el año</v>
      </c>
      <c r="S528" s="55" t="str">
        <f aca="false">IF(05_Jugos_Aperitivos!T57="","",05_Jugos_Aperitivos!T57)</f>
        <v>Menú</v>
      </c>
      <c r="T528" s="56" t="str">
        <f aca="false">IF(05_Jugos_Aperitivos!U57="","",05_Jugos_Aperitivos!U57)</f>
        <v/>
      </c>
      <c r="U528" s="55" t="n">
        <v>57</v>
      </c>
      <c r="V528" s="55" t="n">
        <f aca="false">IF(AND(OR(LEN(13_Buscador!$C$5)=0,ISNUMBER(SEARCH(13_Buscador!$C$5,$C528&amp;" "&amp;$D528&amp;" "&amp;$E528&amp;" "&amp;$F528&amp;" "&amp;$S528))),OR(13_Buscador!$C$6="Todas las listas",LEN(13_Buscador!$C$6)=0,13_Buscador!$C$6=$B528)),1,0)</f>
        <v>0</v>
      </c>
      <c r="W528" s="55" t="str">
        <f aca="false">IF(V528=1,SUM($V$2:V528),"")</f>
        <v/>
      </c>
    </row>
    <row r="529" customFormat="false" ht="15" hidden="false" customHeight="true" outlineLevel="0" collapsed="false">
      <c r="A529" s="55" t="n">
        <v>528</v>
      </c>
      <c r="B529" s="55" t="s">
        <v>3331</v>
      </c>
      <c r="C529" s="55" t="str">
        <f aca="false">IF(05_Jugos_Aperitivos!B58="","",05_Jugos_Aperitivos!B58)</f>
        <v>Bebidas frías</v>
      </c>
      <c r="D529" s="56" t="str">
        <f aca="false">IF(05_Jugos_Aperitivos!C58="","",05_Jugos_Aperitivos!C58)</f>
        <v>Frozen de fruta</v>
      </c>
      <c r="E529" s="56" t="str">
        <f aca="false">IF(05_Jugos_Aperitivos!D58="","",05_Jugos_Aperitivos!D58)</f>
        <v>Bebida granizada</v>
      </c>
      <c r="F529" s="56" t="str">
        <f aca="false">IF(05_Jugos_Aperitivos!E58="","",05_Jugos_Aperitivos!E58)</f>
        <v>fruta, hielo, azúcar</v>
      </c>
      <c r="G529" s="55" t="str">
        <f aca="false">IF(05_Jugos_Aperitivos!F58="","",05_Jugos_Aperitivos!F58)</f>
        <v>Vaso 500 ml</v>
      </c>
      <c r="H529" s="55" t="str">
        <f aca="false">IF(05_Jugos_Aperitivos!G58="","",05_Jugos_Aperitivos!G58)</f>
        <v>Estándar</v>
      </c>
      <c r="I529" s="58" t="n">
        <f aca="false">IF(05_Jugos_Aperitivos!H58="","",05_Jugos_Aperitivos!H58)</f>
        <v>7</v>
      </c>
      <c r="J529" s="58" t="n">
        <f aca="false">IF(05_Jugos_Aperitivos!I58="","",05_Jugos_Aperitivos!I58)</f>
        <v>14</v>
      </c>
      <c r="K529" s="58" t="n">
        <f aca="false">IF(05_Jugos_Aperitivos!J58="","",05_Jugos_Aperitivos!J58)</f>
        <v>10.5</v>
      </c>
      <c r="L529" s="58" t="n">
        <f aca="false">IF(05_Jugos_Aperitivos!L58="","",05_Jugos_Aperitivos!L58)</f>
        <v>11</v>
      </c>
      <c r="M529" s="58" t="n">
        <f aca="false">IF(05_Jugos_Aperitivos!N58="","",05_Jugos_Aperitivos!N58)</f>
        <v>0.95</v>
      </c>
      <c r="N529" s="58" t="n">
        <f aca="false">IF(05_Jugos_Aperitivos!O58="","",05_Jugos_Aperitivos!O58)</f>
        <v>9.55</v>
      </c>
      <c r="O529" s="55" t="str">
        <f aca="false">IF(05_Jugos_Aperitivos!P58="","",05_Jugos_Aperitivos!P58)</f>
        <v>11:00-18:00</v>
      </c>
      <c r="P529" s="55" t="n">
        <f aca="false">IF(05_Jugos_Aperitivos!Q58="","",05_Jugos_Aperitivos!Q58)</f>
        <v>5</v>
      </c>
      <c r="Q529" s="55" t="str">
        <f aca="false">IF(05_Jugos_Aperitivos!R58="","",05_Jugos_Aperitivos!R58)</f>
        <v>Bajo</v>
      </c>
      <c r="R529" s="55" t="str">
        <f aca="false">IF(05_Jugos_Aperitivos!S58="","",05_Jugos_Aperitivos!S58)</f>
        <v>Mayor demanda en calor</v>
      </c>
      <c r="S529" s="55" t="str">
        <f aca="false">IF(05_Jugos_Aperitivos!T58="","",05_Jugos_Aperitivos!T58)</f>
        <v>Cafetería</v>
      </c>
      <c r="T529" s="56" t="str">
        <f aca="false">IF(05_Jugos_Aperitivos!U58="","",05_Jugos_Aperitivos!U58)</f>
        <v>Se derrite: máximo 20 minutos de entrega</v>
      </c>
      <c r="U529" s="55" t="n">
        <v>58</v>
      </c>
      <c r="V529" s="55" t="n">
        <f aca="false">IF(AND(OR(LEN(13_Buscador!$C$5)=0,ISNUMBER(SEARCH(13_Buscador!$C$5,$C529&amp;" "&amp;$D529&amp;" "&amp;$E529&amp;" "&amp;$F529&amp;" "&amp;$S529))),OR(13_Buscador!$C$6="Todas las listas",LEN(13_Buscador!$C$6)=0,13_Buscador!$C$6=$B529)),1,0)</f>
        <v>0</v>
      </c>
      <c r="W529" s="55" t="str">
        <f aca="false">IF(V529=1,SUM($V$2:V529),"")</f>
        <v/>
      </c>
    </row>
    <row r="530" customFormat="false" ht="15" hidden="false" customHeight="true" outlineLevel="0" collapsed="false">
      <c r="A530" s="55" t="n">
        <v>529</v>
      </c>
      <c r="B530" s="55" t="s">
        <v>3331</v>
      </c>
      <c r="C530" s="55" t="str">
        <f aca="false">IF(05_Jugos_Aperitivos!B59="","",05_Jugos_Aperitivos!B59)</f>
        <v>Aperitivos y piqueos</v>
      </c>
      <c r="D530" s="56" t="str">
        <f aca="false">IF(05_Jugos_Aperitivos!C59="","",05_Jugos_Aperitivos!C59)</f>
        <v>Chicharrón de queso</v>
      </c>
      <c r="E530" s="56" t="str">
        <f aca="false">IF(05_Jugos_Aperitivos!D59="","",05_Jugos_Aperitivos!D59)</f>
        <v>Queso frito crocante</v>
      </c>
      <c r="F530" s="56" t="str">
        <f aca="false">IF(05_Jugos_Aperitivos!E59="","",05_Jugos_Aperitivos!E59)</f>
        <v>queso fresco, aceite</v>
      </c>
      <c r="G530" s="55" t="str">
        <f aca="false">IF(05_Jugos_Aperitivos!F59="","",05_Jugos_Aperitivos!F59)</f>
        <v>Porción</v>
      </c>
      <c r="H530" s="55" t="str">
        <f aca="false">IF(05_Jugos_Aperitivos!G59="","",05_Jugos_Aperitivos!G59)</f>
        <v>Económico</v>
      </c>
      <c r="I530" s="58" t="n">
        <f aca="false">IF(05_Jugos_Aperitivos!H59="","",05_Jugos_Aperitivos!H59)</f>
        <v>5</v>
      </c>
      <c r="J530" s="58" t="n">
        <f aca="false">IF(05_Jugos_Aperitivos!I59="","",05_Jugos_Aperitivos!I59)</f>
        <v>12</v>
      </c>
      <c r="K530" s="58" t="n">
        <f aca="false">IF(05_Jugos_Aperitivos!J59="","",05_Jugos_Aperitivos!J59)</f>
        <v>8.5</v>
      </c>
      <c r="L530" s="58" t="n">
        <f aca="false">IF(05_Jugos_Aperitivos!L59="","",05_Jugos_Aperitivos!L59)</f>
        <v>9</v>
      </c>
      <c r="M530" s="58" t="n">
        <f aca="false">IF(05_Jugos_Aperitivos!N59="","",05_Jugos_Aperitivos!N59)</f>
        <v>0.6</v>
      </c>
      <c r="N530" s="58" t="n">
        <f aca="false">IF(05_Jugos_Aperitivos!O59="","",05_Jugos_Aperitivos!O59)</f>
        <v>7.9</v>
      </c>
      <c r="O530" s="55" t="str">
        <f aca="false">IF(05_Jugos_Aperitivos!P59="","",05_Jugos_Aperitivos!P59)</f>
        <v>17:00-23:00</v>
      </c>
      <c r="P530" s="55" t="n">
        <f aca="false">IF(05_Jugos_Aperitivos!Q59="","",05_Jugos_Aperitivos!Q59)</f>
        <v>8</v>
      </c>
      <c r="Q530" s="55" t="str">
        <f aca="false">IF(05_Jugos_Aperitivos!R59="","",05_Jugos_Aperitivos!R59)</f>
        <v>Medio</v>
      </c>
      <c r="R530" s="55" t="str">
        <f aca="false">IF(05_Jugos_Aperitivos!S59="","",05_Jugos_Aperitivos!S59)</f>
        <v>Todo el año</v>
      </c>
      <c r="S530" s="55" t="str">
        <f aca="false">IF(05_Jugos_Aperitivos!T59="","",05_Jugos_Aperitivos!T59)</f>
        <v>Bar, ambulante</v>
      </c>
      <c r="T530" s="56" t="str">
        <f aca="false">IF(05_Jugos_Aperitivos!U59="","",05_Jugos_Aperitivos!U59)</f>
        <v/>
      </c>
      <c r="U530" s="55" t="n">
        <v>59</v>
      </c>
      <c r="V530" s="55" t="n">
        <f aca="false">IF(AND(OR(LEN(13_Buscador!$C$5)=0,ISNUMBER(SEARCH(13_Buscador!$C$5,$C530&amp;" "&amp;$D530&amp;" "&amp;$E530&amp;" "&amp;$F530&amp;" "&amp;$S530))),OR(13_Buscador!$C$6="Todas las listas",LEN(13_Buscador!$C$6)=0,13_Buscador!$C$6=$B530)),1,0)</f>
        <v>0</v>
      </c>
      <c r="W530" s="55" t="str">
        <f aca="false">IF(V530=1,SUM($V$2:V530),"")</f>
        <v/>
      </c>
    </row>
    <row r="531" customFormat="false" ht="15" hidden="false" customHeight="true" outlineLevel="0" collapsed="false">
      <c r="A531" s="55" t="n">
        <v>530</v>
      </c>
      <c r="B531" s="55" t="s">
        <v>3331</v>
      </c>
      <c r="C531" s="55" t="str">
        <f aca="false">IF(05_Jugos_Aperitivos!B60="","",05_Jugos_Aperitivos!B60)</f>
        <v>Aperitivos y piqueos</v>
      </c>
      <c r="D531" s="56" t="str">
        <f aca="false">IF(05_Jugos_Aperitivos!C60="","",05_Jugos_Aperitivos!C60)</f>
        <v>Yuquitas rellenas</v>
      </c>
      <c r="E531" s="56" t="str">
        <f aca="false">IF(05_Jugos_Aperitivos!D60="","",05_Jugos_Aperitivos!D60)</f>
        <v>Yuca frita con queso</v>
      </c>
      <c r="F531" s="56" t="str">
        <f aca="false">IF(05_Jugos_Aperitivos!E60="","",05_Jugos_Aperitivos!E60)</f>
        <v>yuca, aceite, sal, queso</v>
      </c>
      <c r="G531" s="55" t="str">
        <f aca="false">IF(05_Jugos_Aperitivos!F60="","",05_Jugos_Aperitivos!F60)</f>
        <v>Porción</v>
      </c>
      <c r="H531" s="55" t="str">
        <f aca="false">IF(05_Jugos_Aperitivos!G60="","",05_Jugos_Aperitivos!G60)</f>
        <v>Económico</v>
      </c>
      <c r="I531" s="58" t="n">
        <f aca="false">IF(05_Jugos_Aperitivos!H60="","",05_Jugos_Aperitivos!H60)</f>
        <v>6</v>
      </c>
      <c r="J531" s="58" t="n">
        <f aca="false">IF(05_Jugos_Aperitivos!I60="","",05_Jugos_Aperitivos!I60)</f>
        <v>14</v>
      </c>
      <c r="K531" s="58" t="n">
        <f aca="false">IF(05_Jugos_Aperitivos!J60="","",05_Jugos_Aperitivos!J60)</f>
        <v>10</v>
      </c>
      <c r="L531" s="58" t="n">
        <f aca="false">IF(05_Jugos_Aperitivos!L60="","",05_Jugos_Aperitivos!L60)</f>
        <v>10.5</v>
      </c>
      <c r="M531" s="58" t="n">
        <f aca="false">IF(05_Jugos_Aperitivos!N60="","",05_Jugos_Aperitivos!N60)</f>
        <v>0.7</v>
      </c>
      <c r="N531" s="58" t="n">
        <f aca="false">IF(05_Jugos_Aperitivos!O60="","",05_Jugos_Aperitivos!O60)</f>
        <v>9.3</v>
      </c>
      <c r="O531" s="55" t="str">
        <f aca="false">IF(05_Jugos_Aperitivos!P60="","",05_Jugos_Aperitivos!P60)</f>
        <v>17:00-23:00</v>
      </c>
      <c r="P531" s="55" t="n">
        <f aca="false">IF(05_Jugos_Aperitivos!Q60="","",05_Jugos_Aperitivos!Q60)</f>
        <v>10</v>
      </c>
      <c r="Q531" s="55" t="str">
        <f aca="false">IF(05_Jugos_Aperitivos!R60="","",05_Jugos_Aperitivos!R60)</f>
        <v>Medio</v>
      </c>
      <c r="R531" s="55" t="str">
        <f aca="false">IF(05_Jugos_Aperitivos!S60="","",05_Jugos_Aperitivos!S60)</f>
        <v>Todo el año</v>
      </c>
      <c r="S531" s="55" t="str">
        <f aca="false">IF(05_Jugos_Aperitivos!T60="","",05_Jugos_Aperitivos!T60)</f>
        <v>Bar</v>
      </c>
      <c r="T531" s="56" t="str">
        <f aca="false">IF(05_Jugos_Aperitivos!U60="","",05_Jugos_Aperitivos!U60)</f>
        <v/>
      </c>
      <c r="U531" s="55" t="n">
        <v>60</v>
      </c>
      <c r="V531" s="55" t="n">
        <f aca="false">IF(AND(OR(LEN(13_Buscador!$C$5)=0,ISNUMBER(SEARCH(13_Buscador!$C$5,$C531&amp;" "&amp;$D531&amp;" "&amp;$E531&amp;" "&amp;$F531&amp;" "&amp;$S531))),OR(13_Buscador!$C$6="Todas las listas",LEN(13_Buscador!$C$6)=0,13_Buscador!$C$6=$B531)),1,0)</f>
        <v>0</v>
      </c>
      <c r="W531" s="55" t="str">
        <f aca="false">IF(V531=1,SUM($V$2:V531),"")</f>
        <v/>
      </c>
    </row>
    <row r="532" customFormat="false" ht="15" hidden="false" customHeight="true" outlineLevel="0" collapsed="false">
      <c r="A532" s="55" t="n">
        <v>531</v>
      </c>
      <c r="B532" s="55" t="s">
        <v>3331</v>
      </c>
      <c r="C532" s="55" t="str">
        <f aca="false">IF(05_Jugos_Aperitivos!B61="","",05_Jugos_Aperitivos!B61)</f>
        <v>Aperitivos y piqueos</v>
      </c>
      <c r="D532" s="56" t="str">
        <f aca="false">IF(05_Jugos_Aperitivos!C61="","",05_Jugos_Aperitivos!C61)</f>
        <v>Empanada frita de queso</v>
      </c>
      <c r="E532" s="56" t="str">
        <f aca="false">IF(05_Jugos_Aperitivos!D61="","",05_Jugos_Aperitivos!D61)</f>
        <v>Empanada crocante</v>
      </c>
      <c r="F532" s="56" t="str">
        <f aca="false">IF(05_Jugos_Aperitivos!E61="","",05_Jugos_Aperitivos!E61)</f>
        <v>masa de trigo, relleno del sabor, aceite</v>
      </c>
      <c r="G532" s="55" t="str">
        <f aca="false">IF(05_Jugos_Aperitivos!F61="","",05_Jugos_Aperitivos!F61)</f>
        <v>Unidad</v>
      </c>
      <c r="H532" s="55" t="str">
        <f aca="false">IF(05_Jugos_Aperitivos!G61="","",05_Jugos_Aperitivos!G61)</f>
        <v>Económico</v>
      </c>
      <c r="I532" s="58" t="n">
        <f aca="false">IF(05_Jugos_Aperitivos!H61="","",05_Jugos_Aperitivos!H61)</f>
        <v>3</v>
      </c>
      <c r="J532" s="58" t="n">
        <f aca="false">IF(05_Jugos_Aperitivos!I61="","",05_Jugos_Aperitivos!I61)</f>
        <v>7</v>
      </c>
      <c r="K532" s="58" t="n">
        <f aca="false">IF(05_Jugos_Aperitivos!J61="","",05_Jugos_Aperitivos!J61)</f>
        <v>5</v>
      </c>
      <c r="L532" s="58" t="n">
        <f aca="false">IF(05_Jugos_Aperitivos!L61="","",05_Jugos_Aperitivos!L61)</f>
        <v>5.5</v>
      </c>
      <c r="M532" s="58" t="n">
        <f aca="false">IF(05_Jugos_Aperitivos!N61="","",05_Jugos_Aperitivos!N61)</f>
        <v>0.35</v>
      </c>
      <c r="N532" s="58" t="n">
        <f aca="false">IF(05_Jugos_Aperitivos!O61="","",05_Jugos_Aperitivos!O61)</f>
        <v>4.65</v>
      </c>
      <c r="O532" s="55" t="str">
        <f aca="false">IF(05_Jugos_Aperitivos!P61="","",05_Jugos_Aperitivos!P61)</f>
        <v>Todo el día</v>
      </c>
      <c r="P532" s="55" t="n">
        <f aca="false">IF(05_Jugos_Aperitivos!Q61="","",05_Jugos_Aperitivos!Q61)</f>
        <v>5</v>
      </c>
      <c r="Q532" s="55" t="str">
        <f aca="false">IF(05_Jugos_Aperitivos!R61="","",05_Jugos_Aperitivos!R61)</f>
        <v>Alto</v>
      </c>
      <c r="R532" s="55" t="str">
        <f aca="false">IF(05_Jugos_Aperitivos!S61="","",05_Jugos_Aperitivos!S61)</f>
        <v>Todo el año</v>
      </c>
      <c r="S532" s="55" t="str">
        <f aca="false">IF(05_Jugos_Aperitivos!T61="","",05_Jugos_Aperitivos!T61)</f>
        <v>Ambulante</v>
      </c>
      <c r="T532" s="56" t="str">
        <f aca="false">IF(05_Jugos_Aperitivos!U61="","",05_Jugos_Aperitivos!U61)</f>
        <v/>
      </c>
      <c r="U532" s="55" t="n">
        <v>61</v>
      </c>
      <c r="V532" s="55" t="n">
        <f aca="false">IF(AND(OR(LEN(13_Buscador!$C$5)=0,ISNUMBER(SEARCH(13_Buscador!$C$5,$C532&amp;" "&amp;$D532&amp;" "&amp;$E532&amp;" "&amp;$F532&amp;" "&amp;$S532))),OR(13_Buscador!$C$6="Todas las listas",LEN(13_Buscador!$C$6)=0,13_Buscador!$C$6=$B532)),1,0)</f>
        <v>0</v>
      </c>
      <c r="W532" s="55" t="str">
        <f aca="false">IF(V532=1,SUM($V$2:V532),"")</f>
        <v/>
      </c>
    </row>
    <row r="533" customFormat="false" ht="15" hidden="false" customHeight="true" outlineLevel="0" collapsed="false">
      <c r="A533" s="55" t="n">
        <v>532</v>
      </c>
      <c r="B533" s="55" t="s">
        <v>3331</v>
      </c>
      <c r="C533" s="55" t="str">
        <f aca="false">IF(05_Jugos_Aperitivos!B62="","",05_Jugos_Aperitivos!B62)</f>
        <v>Aperitivos y piqueos</v>
      </c>
      <c r="D533" s="56" t="str">
        <f aca="false">IF(05_Jugos_Aperitivos!C62="","",05_Jugos_Aperitivos!C62)</f>
        <v>Mote con queso</v>
      </c>
      <c r="E533" s="56" t="str">
        <f aca="false">IF(05_Jugos_Aperitivos!D62="","",05_Jugos_Aperitivos!D62)</f>
        <v>Maíz y queso</v>
      </c>
      <c r="F533" s="56" t="str">
        <f aca="false">IF(05_Jugos_Aperitivos!E62="","",05_Jugos_Aperitivos!E62)</f>
        <v>maíz cocido, queso fresco, sal</v>
      </c>
      <c r="G533" s="55" t="str">
        <f aca="false">IF(05_Jugos_Aperitivos!F62="","",05_Jugos_Aperitivos!F62)</f>
        <v>Porción</v>
      </c>
      <c r="H533" s="55" t="str">
        <f aca="false">IF(05_Jugos_Aperitivos!G62="","",05_Jugos_Aperitivos!G62)</f>
        <v>Económico</v>
      </c>
      <c r="I533" s="58" t="n">
        <f aca="false">IF(05_Jugos_Aperitivos!H62="","",05_Jugos_Aperitivos!H62)</f>
        <v>3</v>
      </c>
      <c r="J533" s="58" t="n">
        <f aca="false">IF(05_Jugos_Aperitivos!I62="","",05_Jugos_Aperitivos!I62)</f>
        <v>8</v>
      </c>
      <c r="K533" s="58" t="n">
        <f aca="false">IF(05_Jugos_Aperitivos!J62="","",05_Jugos_Aperitivos!J62)</f>
        <v>5.5</v>
      </c>
      <c r="L533" s="58" t="n">
        <f aca="false">IF(05_Jugos_Aperitivos!L62="","",05_Jugos_Aperitivos!L62)</f>
        <v>6</v>
      </c>
      <c r="M533" s="58" t="n">
        <f aca="false">IF(05_Jugos_Aperitivos!N62="","",05_Jugos_Aperitivos!N62)</f>
        <v>0.39</v>
      </c>
      <c r="N533" s="58" t="n">
        <f aca="false">IF(05_Jugos_Aperitivos!O62="","",05_Jugos_Aperitivos!O62)</f>
        <v>5.11</v>
      </c>
      <c r="O533" s="55" t="str">
        <f aca="false">IF(05_Jugos_Aperitivos!P62="","",05_Jugos_Aperitivos!P62)</f>
        <v>Todo el día</v>
      </c>
      <c r="P533" s="55" t="n">
        <f aca="false">IF(05_Jugos_Aperitivos!Q62="","",05_Jugos_Aperitivos!Q62)</f>
        <v>3</v>
      </c>
      <c r="Q533" s="55" t="str">
        <f aca="false">IF(05_Jugos_Aperitivos!R62="","",05_Jugos_Aperitivos!R62)</f>
        <v>Alto</v>
      </c>
      <c r="R533" s="55" t="str">
        <f aca="false">IF(05_Jugos_Aperitivos!S62="","",05_Jugos_Aperitivos!S62)</f>
        <v>Todo el año</v>
      </c>
      <c r="S533" s="55" t="str">
        <f aca="false">IF(05_Jugos_Aperitivos!T62="","",05_Jugos_Aperitivos!T62)</f>
        <v>Mercado</v>
      </c>
      <c r="T533" s="56" t="str">
        <f aca="false">IF(05_Jugos_Aperitivos!U62="","",05_Jugos_Aperitivos!U62)</f>
        <v>Snack tradicional puneño</v>
      </c>
      <c r="U533" s="55" t="n">
        <v>62</v>
      </c>
      <c r="V533" s="55" t="n">
        <f aca="false">IF(AND(OR(LEN(13_Buscador!$C$5)=0,ISNUMBER(SEARCH(13_Buscador!$C$5,$C533&amp;" "&amp;$D533&amp;" "&amp;$E533&amp;" "&amp;$F533&amp;" "&amp;$S533))),OR(13_Buscador!$C$6="Todas las listas",LEN(13_Buscador!$C$6)=0,13_Buscador!$C$6=$B533)),1,0)</f>
        <v>0</v>
      </c>
      <c r="W533" s="55" t="str">
        <f aca="false">IF(V533=1,SUM($V$2:V533),"")</f>
        <v/>
      </c>
    </row>
    <row r="534" customFormat="false" ht="23.25" hidden="false" customHeight="true" outlineLevel="0" collapsed="false">
      <c r="A534" s="55" t="n">
        <v>533</v>
      </c>
      <c r="B534" s="55" t="s">
        <v>3331</v>
      </c>
      <c r="C534" s="55" t="str">
        <f aca="false">IF(05_Jugos_Aperitivos!B63="","",05_Jugos_Aperitivos!B63)</f>
        <v>Postres</v>
      </c>
      <c r="D534" s="56" t="str">
        <f aca="false">IF(05_Jugos_Aperitivos!C63="","",05_Jugos_Aperitivos!C63)</f>
        <v>Torta de chocolate porción</v>
      </c>
      <c r="E534" s="56" t="str">
        <f aca="false">IF(05_Jugos_Aperitivos!D63="","",05_Jugos_Aperitivos!D63)</f>
        <v>Porción</v>
      </c>
      <c r="F534" s="56" t="str">
        <f aca="false">IF(05_Jugos_Aperitivos!E63="","",05_Jugos_Aperitivos!E63)</f>
        <v>harina, huevo, azúcar, mantequilla, crema o fruta según el sabor</v>
      </c>
      <c r="G534" s="55" t="str">
        <f aca="false">IF(05_Jugos_Aperitivos!F63="","",05_Jugos_Aperitivos!F63)</f>
        <v>Porción</v>
      </c>
      <c r="H534" s="55" t="str">
        <f aca="false">IF(05_Jugos_Aperitivos!G63="","",05_Jugos_Aperitivos!G63)</f>
        <v>Económico</v>
      </c>
      <c r="I534" s="58" t="n">
        <f aca="false">IF(05_Jugos_Aperitivos!H63="","",05_Jugos_Aperitivos!H63)</f>
        <v>6</v>
      </c>
      <c r="J534" s="58" t="n">
        <f aca="false">IF(05_Jugos_Aperitivos!I63="","",05_Jugos_Aperitivos!I63)</f>
        <v>14</v>
      </c>
      <c r="K534" s="58" t="n">
        <f aca="false">IF(05_Jugos_Aperitivos!J63="","",05_Jugos_Aperitivos!J63)</f>
        <v>10</v>
      </c>
      <c r="L534" s="58" t="n">
        <f aca="false">IF(05_Jugos_Aperitivos!L63="","",05_Jugos_Aperitivos!L63)</f>
        <v>10.5</v>
      </c>
      <c r="M534" s="58" t="n">
        <f aca="false">IF(05_Jugos_Aperitivos!N63="","",05_Jugos_Aperitivos!N63)</f>
        <v>0.7</v>
      </c>
      <c r="N534" s="58" t="n">
        <f aca="false">IF(05_Jugos_Aperitivos!O63="","",05_Jugos_Aperitivos!O63)</f>
        <v>9.3</v>
      </c>
      <c r="O534" s="55" t="str">
        <f aca="false">IF(05_Jugos_Aperitivos!P63="","",05_Jugos_Aperitivos!P63)</f>
        <v>Todo el día</v>
      </c>
      <c r="P534" s="55" t="n">
        <f aca="false">IF(05_Jugos_Aperitivos!Q63="","",05_Jugos_Aperitivos!Q63)</f>
        <v>2</v>
      </c>
      <c r="Q534" s="55" t="str">
        <f aca="false">IF(05_Jugos_Aperitivos!R63="","",05_Jugos_Aperitivos!R63)</f>
        <v>Alto</v>
      </c>
      <c r="R534" s="55" t="str">
        <f aca="false">IF(05_Jugos_Aperitivos!S63="","",05_Jugos_Aperitivos!S63)</f>
        <v>Todo el año</v>
      </c>
      <c r="S534" s="55" t="str">
        <f aca="false">IF(05_Jugos_Aperitivos!T63="","",05_Jugos_Aperitivos!T63)</f>
        <v>Pastelería</v>
      </c>
      <c r="T534" s="56" t="str">
        <f aca="false">IF(05_Jugos_Aperitivos!U63="","",05_Jugos_Aperitivos!U63)</f>
        <v/>
      </c>
      <c r="U534" s="55" t="n">
        <v>63</v>
      </c>
      <c r="V534" s="55" t="n">
        <f aca="false">IF(AND(OR(LEN(13_Buscador!$C$5)=0,ISNUMBER(SEARCH(13_Buscador!$C$5,$C534&amp;" "&amp;$D534&amp;" "&amp;$E534&amp;" "&amp;$F534&amp;" "&amp;$S534))),OR(13_Buscador!$C$6="Todas las listas",LEN(13_Buscador!$C$6)=0,13_Buscador!$C$6=$B534)),1,0)</f>
        <v>0</v>
      </c>
      <c r="W534" s="55" t="str">
        <f aca="false">IF(V534=1,SUM($V$2:V534),"")</f>
        <v/>
      </c>
    </row>
    <row r="535" customFormat="false" ht="23.25" hidden="false" customHeight="true" outlineLevel="0" collapsed="false">
      <c r="A535" s="55" t="n">
        <v>534</v>
      </c>
      <c r="B535" s="55" t="s">
        <v>3331</v>
      </c>
      <c r="C535" s="55" t="str">
        <f aca="false">IF(05_Jugos_Aperitivos!B64="","",05_Jugos_Aperitivos!B64)</f>
        <v>Postres</v>
      </c>
      <c r="D535" s="56" t="str">
        <f aca="false">IF(05_Jugos_Aperitivos!C64="","",05_Jugos_Aperitivos!C64)</f>
        <v>Tres leches</v>
      </c>
      <c r="E535" s="56" t="str">
        <f aca="false">IF(05_Jugos_Aperitivos!D64="","",05_Jugos_Aperitivos!D64)</f>
        <v>Porción</v>
      </c>
      <c r="F535" s="56" t="str">
        <f aca="false">IF(05_Jugos_Aperitivos!E64="","",05_Jugos_Aperitivos!E64)</f>
        <v>harina, huevo, azúcar, mantequilla, crema o fruta según el sabor</v>
      </c>
      <c r="G535" s="55" t="str">
        <f aca="false">IF(05_Jugos_Aperitivos!F64="","",05_Jugos_Aperitivos!F64)</f>
        <v>Porción</v>
      </c>
      <c r="H535" s="55" t="str">
        <f aca="false">IF(05_Jugos_Aperitivos!G64="","",05_Jugos_Aperitivos!G64)</f>
        <v>Estándar</v>
      </c>
      <c r="I535" s="58" t="n">
        <f aca="false">IF(05_Jugos_Aperitivos!H64="","",05_Jugos_Aperitivos!H64)</f>
        <v>7</v>
      </c>
      <c r="J535" s="58" t="n">
        <f aca="false">IF(05_Jugos_Aperitivos!I64="","",05_Jugos_Aperitivos!I64)</f>
        <v>15</v>
      </c>
      <c r="K535" s="58" t="n">
        <f aca="false">IF(05_Jugos_Aperitivos!J64="","",05_Jugos_Aperitivos!J64)</f>
        <v>11</v>
      </c>
      <c r="L535" s="58" t="n">
        <f aca="false">IF(05_Jugos_Aperitivos!L64="","",05_Jugos_Aperitivos!L64)</f>
        <v>11.5</v>
      </c>
      <c r="M535" s="58" t="n">
        <f aca="false">IF(05_Jugos_Aperitivos!N64="","",05_Jugos_Aperitivos!N64)</f>
        <v>0.99</v>
      </c>
      <c r="N535" s="58" t="n">
        <f aca="false">IF(05_Jugos_Aperitivos!O64="","",05_Jugos_Aperitivos!O64)</f>
        <v>10.01</v>
      </c>
      <c r="O535" s="55" t="str">
        <f aca="false">IF(05_Jugos_Aperitivos!P64="","",05_Jugos_Aperitivos!P64)</f>
        <v>Todo el día</v>
      </c>
      <c r="P535" s="55" t="n">
        <f aca="false">IF(05_Jugos_Aperitivos!Q64="","",05_Jugos_Aperitivos!Q64)</f>
        <v>2</v>
      </c>
      <c r="Q535" s="55" t="str">
        <f aca="false">IF(05_Jugos_Aperitivos!R64="","",05_Jugos_Aperitivos!R64)</f>
        <v>Alto</v>
      </c>
      <c r="R535" s="55" t="str">
        <f aca="false">IF(05_Jugos_Aperitivos!S64="","",05_Jugos_Aperitivos!S64)</f>
        <v>Todo el año</v>
      </c>
      <c r="S535" s="55" t="str">
        <f aca="false">IF(05_Jugos_Aperitivos!T64="","",05_Jugos_Aperitivos!T64)</f>
        <v>Pastelería</v>
      </c>
      <c r="T535" s="56" t="str">
        <f aca="false">IF(05_Jugos_Aperitivos!U64="","",05_Jugos_Aperitivos!U64)</f>
        <v/>
      </c>
      <c r="U535" s="55" t="n">
        <v>64</v>
      </c>
      <c r="V535" s="55" t="n">
        <f aca="false">IF(AND(OR(LEN(13_Buscador!$C$5)=0,ISNUMBER(SEARCH(13_Buscador!$C$5,$C535&amp;" "&amp;$D535&amp;" "&amp;$E535&amp;" "&amp;$F535&amp;" "&amp;$S535))),OR(13_Buscador!$C$6="Todas las listas",LEN(13_Buscador!$C$6)=0,13_Buscador!$C$6=$B535)),1,0)</f>
        <v>0</v>
      </c>
      <c r="W535" s="55" t="str">
        <f aca="false">IF(V535=1,SUM($V$2:V535),"")</f>
        <v/>
      </c>
    </row>
    <row r="536" customFormat="false" ht="23.25" hidden="false" customHeight="true" outlineLevel="0" collapsed="false">
      <c r="A536" s="55" t="n">
        <v>535</v>
      </c>
      <c r="B536" s="55" t="s">
        <v>3331</v>
      </c>
      <c r="C536" s="55" t="str">
        <f aca="false">IF(05_Jugos_Aperitivos!B65="","",05_Jugos_Aperitivos!B65)</f>
        <v>Postres</v>
      </c>
      <c r="D536" s="56" t="str">
        <f aca="false">IF(05_Jugos_Aperitivos!C65="","",05_Jugos_Aperitivos!C65)</f>
        <v>Suspiro a la limeña</v>
      </c>
      <c r="E536" s="56" t="str">
        <f aca="false">IF(05_Jugos_Aperitivos!D65="","",05_Jugos_Aperitivos!D65)</f>
        <v>Postre en copa</v>
      </c>
      <c r="F536" s="56" t="str">
        <f aca="false">IF(05_Jugos_Aperitivos!E65="","",05_Jugos_Aperitivos!E65)</f>
        <v>harina, huevo, azúcar, mantequilla, crema o fruta según el sabor</v>
      </c>
      <c r="G536" s="55" t="str">
        <f aca="false">IF(05_Jugos_Aperitivos!F65="","",05_Jugos_Aperitivos!F65)</f>
        <v>Copa</v>
      </c>
      <c r="H536" s="55" t="str">
        <f aca="false">IF(05_Jugos_Aperitivos!G65="","",05_Jugos_Aperitivos!G65)</f>
        <v>Estándar</v>
      </c>
      <c r="I536" s="58" t="n">
        <f aca="false">IF(05_Jugos_Aperitivos!H65="","",05_Jugos_Aperitivos!H65)</f>
        <v>7</v>
      </c>
      <c r="J536" s="58" t="n">
        <f aca="false">IF(05_Jugos_Aperitivos!I65="","",05_Jugos_Aperitivos!I65)</f>
        <v>15</v>
      </c>
      <c r="K536" s="58" t="n">
        <f aca="false">IF(05_Jugos_Aperitivos!J65="","",05_Jugos_Aperitivos!J65)</f>
        <v>11</v>
      </c>
      <c r="L536" s="58" t="n">
        <f aca="false">IF(05_Jugos_Aperitivos!L65="","",05_Jugos_Aperitivos!L65)</f>
        <v>11.5</v>
      </c>
      <c r="M536" s="58" t="n">
        <f aca="false">IF(05_Jugos_Aperitivos!N65="","",05_Jugos_Aperitivos!N65)</f>
        <v>0.99</v>
      </c>
      <c r="N536" s="58" t="n">
        <f aca="false">IF(05_Jugos_Aperitivos!O65="","",05_Jugos_Aperitivos!O65)</f>
        <v>10.01</v>
      </c>
      <c r="O536" s="55" t="str">
        <f aca="false">IF(05_Jugos_Aperitivos!P65="","",05_Jugos_Aperitivos!P65)</f>
        <v>Todo el día</v>
      </c>
      <c r="P536" s="55" t="n">
        <f aca="false">IF(05_Jugos_Aperitivos!Q65="","",05_Jugos_Aperitivos!Q65)</f>
        <v>3</v>
      </c>
      <c r="Q536" s="55" t="str">
        <f aca="false">IF(05_Jugos_Aperitivos!R65="","",05_Jugos_Aperitivos!R65)</f>
        <v>Alto</v>
      </c>
      <c r="R536" s="55" t="str">
        <f aca="false">IF(05_Jugos_Aperitivos!S65="","",05_Jugos_Aperitivos!S65)</f>
        <v>Todo el año</v>
      </c>
      <c r="S536" s="55" t="str">
        <f aca="false">IF(05_Jugos_Aperitivos!T65="","",05_Jugos_Aperitivos!T65)</f>
        <v>Pastelería</v>
      </c>
      <c r="T536" s="56" t="str">
        <f aca="false">IF(05_Jugos_Aperitivos!U65="","",05_Jugos_Aperitivos!U65)</f>
        <v/>
      </c>
      <c r="U536" s="55" t="n">
        <v>65</v>
      </c>
      <c r="V536" s="55" t="n">
        <f aca="false">IF(AND(OR(LEN(13_Buscador!$C$5)=0,ISNUMBER(SEARCH(13_Buscador!$C$5,$C536&amp;" "&amp;$D536&amp;" "&amp;$E536&amp;" "&amp;$F536&amp;" "&amp;$S536))),OR(13_Buscador!$C$6="Todas las listas",LEN(13_Buscador!$C$6)=0,13_Buscador!$C$6=$B536)),1,0)</f>
        <v>0</v>
      </c>
      <c r="W536" s="55" t="str">
        <f aca="false">IF(V536=1,SUM($V$2:V536),"")</f>
        <v/>
      </c>
    </row>
    <row r="537" customFormat="false" ht="23.25" hidden="false" customHeight="true" outlineLevel="0" collapsed="false">
      <c r="A537" s="55" t="n">
        <v>536</v>
      </c>
      <c r="B537" s="55" t="s">
        <v>3331</v>
      </c>
      <c r="C537" s="55" t="str">
        <f aca="false">IF(05_Jugos_Aperitivos!B66="","",05_Jugos_Aperitivos!B66)</f>
        <v>Postres</v>
      </c>
      <c r="D537" s="56" t="str">
        <f aca="false">IF(05_Jugos_Aperitivos!C66="","",05_Jugos_Aperitivos!C66)</f>
        <v>Pie de limón</v>
      </c>
      <c r="E537" s="56" t="str">
        <f aca="false">IF(05_Jugos_Aperitivos!D66="","",05_Jugos_Aperitivos!D66)</f>
        <v>Porción</v>
      </c>
      <c r="F537" s="56" t="str">
        <f aca="false">IF(05_Jugos_Aperitivos!E66="","",05_Jugos_Aperitivos!E66)</f>
        <v>harina, huevo, azúcar, mantequilla, crema o fruta según el sabor</v>
      </c>
      <c r="G537" s="55" t="str">
        <f aca="false">IF(05_Jugos_Aperitivos!F66="","",05_Jugos_Aperitivos!F66)</f>
        <v>Porción</v>
      </c>
      <c r="H537" s="55" t="str">
        <f aca="false">IF(05_Jugos_Aperitivos!G66="","",05_Jugos_Aperitivos!G66)</f>
        <v>Estándar</v>
      </c>
      <c r="I537" s="58" t="n">
        <f aca="false">IF(05_Jugos_Aperitivos!H66="","",05_Jugos_Aperitivos!H66)</f>
        <v>7</v>
      </c>
      <c r="J537" s="58" t="n">
        <f aca="false">IF(05_Jugos_Aperitivos!I66="","",05_Jugos_Aperitivos!I66)</f>
        <v>15</v>
      </c>
      <c r="K537" s="58" t="n">
        <f aca="false">IF(05_Jugos_Aperitivos!J66="","",05_Jugos_Aperitivos!J66)</f>
        <v>11</v>
      </c>
      <c r="L537" s="58" t="n">
        <f aca="false">IF(05_Jugos_Aperitivos!L66="","",05_Jugos_Aperitivos!L66)</f>
        <v>11.5</v>
      </c>
      <c r="M537" s="58" t="n">
        <f aca="false">IF(05_Jugos_Aperitivos!N66="","",05_Jugos_Aperitivos!N66)</f>
        <v>0.99</v>
      </c>
      <c r="N537" s="58" t="n">
        <f aca="false">IF(05_Jugos_Aperitivos!O66="","",05_Jugos_Aperitivos!O66)</f>
        <v>10.01</v>
      </c>
      <c r="O537" s="55" t="str">
        <f aca="false">IF(05_Jugos_Aperitivos!P66="","",05_Jugos_Aperitivos!P66)</f>
        <v>Todo el día</v>
      </c>
      <c r="P537" s="55" t="n">
        <f aca="false">IF(05_Jugos_Aperitivos!Q66="","",05_Jugos_Aperitivos!Q66)</f>
        <v>2</v>
      </c>
      <c r="Q537" s="55" t="str">
        <f aca="false">IF(05_Jugos_Aperitivos!R66="","",05_Jugos_Aperitivos!R66)</f>
        <v>Alto</v>
      </c>
      <c r="R537" s="55" t="str">
        <f aca="false">IF(05_Jugos_Aperitivos!S66="","",05_Jugos_Aperitivos!S66)</f>
        <v>Todo el año</v>
      </c>
      <c r="S537" s="55" t="str">
        <f aca="false">IF(05_Jugos_Aperitivos!T66="","",05_Jugos_Aperitivos!T66)</f>
        <v>Pastelería</v>
      </c>
      <c r="T537" s="56" t="str">
        <f aca="false">IF(05_Jugos_Aperitivos!U66="","",05_Jugos_Aperitivos!U66)</f>
        <v/>
      </c>
      <c r="U537" s="55" t="n">
        <v>66</v>
      </c>
      <c r="V537" s="55" t="n">
        <f aca="false">IF(AND(OR(LEN(13_Buscador!$C$5)=0,ISNUMBER(SEARCH(13_Buscador!$C$5,$C537&amp;" "&amp;$D537&amp;" "&amp;$E537&amp;" "&amp;$F537&amp;" "&amp;$S537))),OR(13_Buscador!$C$6="Todas las listas",LEN(13_Buscador!$C$6)=0,13_Buscador!$C$6=$B537)),1,0)</f>
        <v>0</v>
      </c>
      <c r="W537" s="55" t="str">
        <f aca="false">IF(V537=1,SUM($V$2:V537),"")</f>
        <v/>
      </c>
    </row>
    <row r="538" customFormat="false" ht="15" hidden="false" customHeight="true" outlineLevel="0" collapsed="false">
      <c r="A538" s="55" t="n">
        <v>537</v>
      </c>
      <c r="B538" s="55" t="s">
        <v>3331</v>
      </c>
      <c r="C538" s="55" t="str">
        <f aca="false">IF(05_Jugos_Aperitivos!B67="","",05_Jugos_Aperitivos!B67)</f>
        <v>Postres</v>
      </c>
      <c r="D538" s="56" t="str">
        <f aca="false">IF(05_Jugos_Aperitivos!C67="","",05_Jugos_Aperitivos!C67)</f>
        <v>Helado de queso puneño</v>
      </c>
      <c r="E538" s="56" t="str">
        <f aca="false">IF(05_Jugos_Aperitivos!D67="","",05_Jugos_Aperitivos!D67)</f>
        <v>Postre helado local</v>
      </c>
      <c r="F538" s="56" t="str">
        <f aca="false">IF(05_Jugos_Aperitivos!E67="","",05_Jugos_Aperitivos!E67)</f>
        <v>leche o fruta, azúcar, hielo</v>
      </c>
      <c r="G538" s="55" t="str">
        <f aca="false">IF(05_Jugos_Aperitivos!F67="","",05_Jugos_Aperitivos!F67)</f>
        <v>Porción</v>
      </c>
      <c r="H538" s="55" t="str">
        <f aca="false">IF(05_Jugos_Aperitivos!G67="","",05_Jugos_Aperitivos!G67)</f>
        <v>Económico</v>
      </c>
      <c r="I538" s="58" t="n">
        <f aca="false">IF(05_Jugos_Aperitivos!H67="","",05_Jugos_Aperitivos!H67)</f>
        <v>4</v>
      </c>
      <c r="J538" s="58" t="n">
        <f aca="false">IF(05_Jugos_Aperitivos!I67="","",05_Jugos_Aperitivos!I67)</f>
        <v>10</v>
      </c>
      <c r="K538" s="58" t="n">
        <f aca="false">IF(05_Jugos_Aperitivos!J67="","",05_Jugos_Aperitivos!J67)</f>
        <v>7</v>
      </c>
      <c r="L538" s="58" t="n">
        <f aca="false">IF(05_Jugos_Aperitivos!L67="","",05_Jugos_Aperitivos!L67)</f>
        <v>7.5</v>
      </c>
      <c r="M538" s="58" t="n">
        <f aca="false">IF(05_Jugos_Aperitivos!N67="","",05_Jugos_Aperitivos!N67)</f>
        <v>0.49</v>
      </c>
      <c r="N538" s="58" t="n">
        <f aca="false">IF(05_Jugos_Aperitivos!O67="","",05_Jugos_Aperitivos!O67)</f>
        <v>6.51</v>
      </c>
      <c r="O538" s="55" t="str">
        <f aca="false">IF(05_Jugos_Aperitivos!P67="","",05_Jugos_Aperitivos!P67)</f>
        <v>11:00-19:00</v>
      </c>
      <c r="P538" s="55" t="n">
        <f aca="false">IF(05_Jugos_Aperitivos!Q67="","",05_Jugos_Aperitivos!Q67)</f>
        <v>3</v>
      </c>
      <c r="Q538" s="55" t="str">
        <f aca="false">IF(05_Jugos_Aperitivos!R67="","",05_Jugos_Aperitivos!R67)</f>
        <v>Bajo</v>
      </c>
      <c r="R538" s="55" t="str">
        <f aca="false">IF(05_Jugos_Aperitivos!S67="","",05_Jugos_Aperitivos!S67)</f>
        <v>Mayor demanda en calor</v>
      </c>
      <c r="S538" s="55" t="str">
        <f aca="false">IF(05_Jugos_Aperitivos!T67="","",05_Jugos_Aperitivos!T67)</f>
        <v>Heladería</v>
      </c>
      <c r="T538" s="56" t="str">
        <f aca="false">IF(05_Jugos_Aperitivos!U67="","",05_Jugos_Aperitivos!U67)</f>
        <v>Requiere empaque térmico</v>
      </c>
      <c r="U538" s="55" t="n">
        <v>67</v>
      </c>
      <c r="V538" s="55" t="n">
        <f aca="false">IF(AND(OR(LEN(13_Buscador!$C$5)=0,ISNUMBER(SEARCH(13_Buscador!$C$5,$C538&amp;" "&amp;$D538&amp;" "&amp;$E538&amp;" "&amp;$F538&amp;" "&amp;$S538))),OR(13_Buscador!$C$6="Todas las listas",LEN(13_Buscador!$C$6)=0,13_Buscador!$C$6=$B538)),1,0)</f>
        <v>0</v>
      </c>
      <c r="W538" s="55" t="str">
        <f aca="false">IF(V538=1,SUM($V$2:V538),"")</f>
        <v/>
      </c>
    </row>
    <row r="539" customFormat="false" ht="15" hidden="false" customHeight="true" outlineLevel="0" collapsed="false">
      <c r="A539" s="55" t="n">
        <v>538</v>
      </c>
      <c r="B539" s="55" t="s">
        <v>3331</v>
      </c>
      <c r="C539" s="55" t="str">
        <f aca="false">IF(05_Jugos_Aperitivos!B68="","",05_Jugos_Aperitivos!B68)</f>
        <v>Jugos naturales</v>
      </c>
      <c r="D539" s="56" t="str">
        <f aca="false">IF(05_Jugos_Aperitivos!C68="","",05_Jugos_Aperitivos!C68)</f>
        <v>Jugo de piña con apio</v>
      </c>
      <c r="E539" s="56" t="str">
        <f aca="false">IF(05_Jugos_Aperitivos!D68="","",05_Jugos_Aperitivos!D68)</f>
        <v>Mezcla depurativa</v>
      </c>
      <c r="F539" s="56" t="str">
        <f aca="false">IF(05_Jugos_Aperitivos!E68="","",05_Jugos_Aperitivos!E68)</f>
        <v>piña, agua, azúcar</v>
      </c>
      <c r="G539" s="55" t="str">
        <f aca="false">IF(05_Jugos_Aperitivos!F68="","",05_Jugos_Aperitivos!F68)</f>
        <v>Vaso 500 ml</v>
      </c>
      <c r="H539" s="55" t="str">
        <f aca="false">IF(05_Jugos_Aperitivos!G68="","",05_Jugos_Aperitivos!G68)</f>
        <v>Económico</v>
      </c>
      <c r="I539" s="58" t="n">
        <f aca="false">IF(05_Jugos_Aperitivos!H68="","",05_Jugos_Aperitivos!H68)</f>
        <v>5</v>
      </c>
      <c r="J539" s="58" t="n">
        <f aca="false">IF(05_Jugos_Aperitivos!I68="","",05_Jugos_Aperitivos!I68)</f>
        <v>10</v>
      </c>
      <c r="K539" s="58" t="n">
        <f aca="false">IF(05_Jugos_Aperitivos!J68="","",05_Jugos_Aperitivos!J68)</f>
        <v>7.5</v>
      </c>
      <c r="L539" s="58" t="n">
        <f aca="false">IF(05_Jugos_Aperitivos!L68="","",05_Jugos_Aperitivos!L68)</f>
        <v>8</v>
      </c>
      <c r="M539" s="58" t="n">
        <f aca="false">IF(05_Jugos_Aperitivos!N68="","",05_Jugos_Aperitivos!N68)</f>
        <v>0.53</v>
      </c>
      <c r="N539" s="58" t="n">
        <f aca="false">IF(05_Jugos_Aperitivos!O68="","",05_Jugos_Aperitivos!O68)</f>
        <v>6.97</v>
      </c>
      <c r="O539" s="55" t="str">
        <f aca="false">IF(05_Jugos_Aperitivos!P68="","",05_Jugos_Aperitivos!P68)</f>
        <v>06:00-12:00</v>
      </c>
      <c r="P539" s="55" t="n">
        <f aca="false">IF(05_Jugos_Aperitivos!Q68="","",05_Jugos_Aperitivos!Q68)</f>
        <v>5</v>
      </c>
      <c r="Q539" s="55" t="str">
        <f aca="false">IF(05_Jugos_Aperitivos!R68="","",05_Jugos_Aperitivos!R68)</f>
        <v>Alto</v>
      </c>
      <c r="R539" s="55" t="str">
        <f aca="false">IF(05_Jugos_Aperitivos!S68="","",05_Jugos_Aperitivos!S68)</f>
        <v>Todo el año</v>
      </c>
      <c r="S539" s="55" t="str">
        <f aca="false">IF(05_Jugos_Aperitivos!T68="","",05_Jugos_Aperitivos!T68)</f>
        <v>Juguería</v>
      </c>
      <c r="T539" s="56" t="str">
        <f aca="false">IF(05_Jugos_Aperitivos!U68="","",05_Jugos_Aperitivos!U68)</f>
        <v/>
      </c>
      <c r="U539" s="55" t="n">
        <v>68</v>
      </c>
      <c r="V539" s="55" t="n">
        <f aca="false">IF(AND(OR(LEN(13_Buscador!$C$5)=0,ISNUMBER(SEARCH(13_Buscador!$C$5,$C539&amp;" "&amp;$D539&amp;" "&amp;$E539&amp;" "&amp;$F539&amp;" "&amp;$S539))),OR(13_Buscador!$C$6="Todas las listas",LEN(13_Buscador!$C$6)=0,13_Buscador!$C$6=$B539)),1,0)</f>
        <v>0</v>
      </c>
      <c r="W539" s="55" t="str">
        <f aca="false">IF(V539=1,SUM($V$2:V539),"")</f>
        <v/>
      </c>
    </row>
    <row r="540" customFormat="false" ht="15" hidden="false" customHeight="true" outlineLevel="0" collapsed="false">
      <c r="A540" s="55" t="n">
        <v>539</v>
      </c>
      <c r="B540" s="55" t="s">
        <v>3331</v>
      </c>
      <c r="C540" s="55" t="str">
        <f aca="false">IF(05_Jugos_Aperitivos!B69="","",05_Jugos_Aperitivos!B69)</f>
        <v>Jugos naturales</v>
      </c>
      <c r="D540" s="56" t="str">
        <f aca="false">IF(05_Jugos_Aperitivos!C69="","",05_Jugos_Aperitivos!C69)</f>
        <v>Jugo de manzana</v>
      </c>
      <c r="E540" s="56" t="str">
        <f aca="false">IF(05_Jugos_Aperitivos!D69="","",05_Jugos_Aperitivos!D69)</f>
        <v>Jugo natural</v>
      </c>
      <c r="F540" s="56" t="str">
        <f aca="false">IF(05_Jugos_Aperitivos!E69="","",05_Jugos_Aperitivos!E69)</f>
        <v>fruta de estación, agua o leche, azúcar</v>
      </c>
      <c r="G540" s="55" t="str">
        <f aca="false">IF(05_Jugos_Aperitivos!F69="","",05_Jugos_Aperitivos!F69)</f>
        <v>Vaso 500 ml</v>
      </c>
      <c r="H540" s="55" t="str">
        <f aca="false">IF(05_Jugos_Aperitivos!G69="","",05_Jugos_Aperitivos!G69)</f>
        <v>Económico</v>
      </c>
      <c r="I540" s="58" t="n">
        <f aca="false">IF(05_Jugos_Aperitivos!H69="","",05_Jugos_Aperitivos!H69)</f>
        <v>4</v>
      </c>
      <c r="J540" s="58" t="n">
        <f aca="false">IF(05_Jugos_Aperitivos!I69="","",05_Jugos_Aperitivos!I69)</f>
        <v>9</v>
      </c>
      <c r="K540" s="58" t="n">
        <f aca="false">IF(05_Jugos_Aperitivos!J69="","",05_Jugos_Aperitivos!J69)</f>
        <v>6.5</v>
      </c>
      <c r="L540" s="58" t="n">
        <f aca="false">IF(05_Jugos_Aperitivos!L69="","",05_Jugos_Aperitivos!L69)</f>
        <v>7</v>
      </c>
      <c r="M540" s="58" t="n">
        <f aca="false">IF(05_Jugos_Aperitivos!N69="","",05_Jugos_Aperitivos!N69)</f>
        <v>0.46</v>
      </c>
      <c r="N540" s="58" t="n">
        <f aca="false">IF(05_Jugos_Aperitivos!O69="","",05_Jugos_Aperitivos!O69)</f>
        <v>6.04</v>
      </c>
      <c r="O540" s="55" t="str">
        <f aca="false">IF(05_Jugos_Aperitivos!P69="","",05_Jugos_Aperitivos!P69)</f>
        <v>06:00-12:00</v>
      </c>
      <c r="P540" s="55" t="n">
        <f aca="false">IF(05_Jugos_Aperitivos!Q69="","",05_Jugos_Aperitivos!Q69)</f>
        <v>5</v>
      </c>
      <c r="Q540" s="55" t="str">
        <f aca="false">IF(05_Jugos_Aperitivos!R69="","",05_Jugos_Aperitivos!R69)</f>
        <v>Alto</v>
      </c>
      <c r="R540" s="55" t="str">
        <f aca="false">IF(05_Jugos_Aperitivos!S69="","",05_Jugos_Aperitivos!S69)</f>
        <v>Todo el año</v>
      </c>
      <c r="S540" s="55" t="str">
        <f aca="false">IF(05_Jugos_Aperitivos!T69="","",05_Jugos_Aperitivos!T69)</f>
        <v>Juguería</v>
      </c>
      <c r="T540" s="56" t="str">
        <f aca="false">IF(05_Jugos_Aperitivos!U69="","",05_Jugos_Aperitivos!U69)</f>
        <v/>
      </c>
      <c r="U540" s="55" t="n">
        <v>69</v>
      </c>
      <c r="V540" s="55" t="n">
        <f aca="false">IF(AND(OR(LEN(13_Buscador!$C$5)=0,ISNUMBER(SEARCH(13_Buscador!$C$5,$C540&amp;" "&amp;$D540&amp;" "&amp;$E540&amp;" "&amp;$F540&amp;" "&amp;$S540))),OR(13_Buscador!$C$6="Todas las listas",LEN(13_Buscador!$C$6)=0,13_Buscador!$C$6=$B540)),1,0)</f>
        <v>0</v>
      </c>
      <c r="W540" s="55" t="str">
        <f aca="false">IF(V540=1,SUM($V$2:V540),"")</f>
        <v/>
      </c>
    </row>
    <row r="541" customFormat="false" ht="15" hidden="false" customHeight="true" outlineLevel="0" collapsed="false">
      <c r="A541" s="55" t="n">
        <v>540</v>
      </c>
      <c r="B541" s="55" t="s">
        <v>3331</v>
      </c>
      <c r="C541" s="55" t="str">
        <f aca="false">IF(05_Jugos_Aperitivos!B70="","",05_Jugos_Aperitivos!B70)</f>
        <v>Jugos naturales</v>
      </c>
      <c r="D541" s="56" t="str">
        <f aca="false">IF(05_Jugos_Aperitivos!C70="","",05_Jugos_Aperitivos!C70)</f>
        <v>Jugo de durazno</v>
      </c>
      <c r="E541" s="56" t="str">
        <f aca="false">IF(05_Jugos_Aperitivos!D70="","",05_Jugos_Aperitivos!D70)</f>
        <v>Jugo natural</v>
      </c>
      <c r="F541" s="56" t="str">
        <f aca="false">IF(05_Jugos_Aperitivos!E70="","",05_Jugos_Aperitivos!E70)</f>
        <v>fruta de estación, agua o leche, azúcar</v>
      </c>
      <c r="G541" s="55" t="str">
        <f aca="false">IF(05_Jugos_Aperitivos!F70="","",05_Jugos_Aperitivos!F70)</f>
        <v>Vaso 500 ml</v>
      </c>
      <c r="H541" s="55" t="str">
        <f aca="false">IF(05_Jugos_Aperitivos!G70="","",05_Jugos_Aperitivos!G70)</f>
        <v>Económico</v>
      </c>
      <c r="I541" s="58" t="n">
        <f aca="false">IF(05_Jugos_Aperitivos!H70="","",05_Jugos_Aperitivos!H70)</f>
        <v>5</v>
      </c>
      <c r="J541" s="58" t="n">
        <f aca="false">IF(05_Jugos_Aperitivos!I70="","",05_Jugos_Aperitivos!I70)</f>
        <v>10</v>
      </c>
      <c r="K541" s="58" t="n">
        <f aca="false">IF(05_Jugos_Aperitivos!J70="","",05_Jugos_Aperitivos!J70)</f>
        <v>7.5</v>
      </c>
      <c r="L541" s="58" t="n">
        <f aca="false">IF(05_Jugos_Aperitivos!L70="","",05_Jugos_Aperitivos!L70)</f>
        <v>8</v>
      </c>
      <c r="M541" s="58" t="n">
        <f aca="false">IF(05_Jugos_Aperitivos!N70="","",05_Jugos_Aperitivos!N70)</f>
        <v>0.53</v>
      </c>
      <c r="N541" s="58" t="n">
        <f aca="false">IF(05_Jugos_Aperitivos!O70="","",05_Jugos_Aperitivos!O70)</f>
        <v>6.97</v>
      </c>
      <c r="O541" s="55" t="str">
        <f aca="false">IF(05_Jugos_Aperitivos!P70="","",05_Jugos_Aperitivos!P70)</f>
        <v>06:00-12:00</v>
      </c>
      <c r="P541" s="55" t="n">
        <f aca="false">IF(05_Jugos_Aperitivos!Q70="","",05_Jugos_Aperitivos!Q70)</f>
        <v>5</v>
      </c>
      <c r="Q541" s="55" t="str">
        <f aca="false">IF(05_Jugos_Aperitivos!R70="","",05_Jugos_Aperitivos!R70)</f>
        <v>Alto</v>
      </c>
      <c r="R541" s="55" t="str">
        <f aca="false">IF(05_Jugos_Aperitivos!S70="","",05_Jugos_Aperitivos!S70)</f>
        <v>Estacional</v>
      </c>
      <c r="S541" s="55" t="str">
        <f aca="false">IF(05_Jugos_Aperitivos!T70="","",05_Jugos_Aperitivos!T70)</f>
        <v>Juguería</v>
      </c>
      <c r="T541" s="56" t="str">
        <f aca="false">IF(05_Jugos_Aperitivos!U70="","",05_Jugos_Aperitivos!U70)</f>
        <v/>
      </c>
      <c r="U541" s="55" t="n">
        <v>70</v>
      </c>
      <c r="V541" s="55" t="n">
        <f aca="false">IF(AND(OR(LEN(13_Buscador!$C$5)=0,ISNUMBER(SEARCH(13_Buscador!$C$5,$C541&amp;" "&amp;$D541&amp;" "&amp;$E541&amp;" "&amp;$F541&amp;" "&amp;$S541))),OR(13_Buscador!$C$6="Todas las listas",LEN(13_Buscador!$C$6)=0,13_Buscador!$C$6=$B541)),1,0)</f>
        <v>0</v>
      </c>
      <c r="W541" s="55" t="str">
        <f aca="false">IF(V541=1,SUM($V$2:V541),"")</f>
        <v/>
      </c>
    </row>
    <row r="542" customFormat="false" ht="15" hidden="false" customHeight="true" outlineLevel="0" collapsed="false">
      <c r="A542" s="55" t="n">
        <v>541</v>
      </c>
      <c r="B542" s="55" t="s">
        <v>3331</v>
      </c>
      <c r="C542" s="55" t="str">
        <f aca="false">IF(05_Jugos_Aperitivos!B71="","",05_Jugos_Aperitivos!B71)</f>
        <v>Jugos naturales</v>
      </c>
      <c r="D542" s="56" t="str">
        <f aca="false">IF(05_Jugos_Aperitivos!C71="","",05_Jugos_Aperitivos!C71)</f>
        <v>Jugo de granadilla</v>
      </c>
      <c r="E542" s="56" t="str">
        <f aca="false">IF(05_Jugos_Aperitivos!D71="","",05_Jugos_Aperitivos!D71)</f>
        <v>Fruta de la zona</v>
      </c>
      <c r="F542" s="56" t="str">
        <f aca="false">IF(05_Jugos_Aperitivos!E71="","",05_Jugos_Aperitivos!E71)</f>
        <v>fruta de estación, agua o leche, azúcar</v>
      </c>
      <c r="G542" s="55" t="str">
        <f aca="false">IF(05_Jugos_Aperitivos!F71="","",05_Jugos_Aperitivos!F71)</f>
        <v>Vaso 500 ml</v>
      </c>
      <c r="H542" s="55" t="str">
        <f aca="false">IF(05_Jugos_Aperitivos!G71="","",05_Jugos_Aperitivos!G71)</f>
        <v>Económico</v>
      </c>
      <c r="I542" s="58" t="n">
        <f aca="false">IF(05_Jugos_Aperitivos!H71="","",05_Jugos_Aperitivos!H71)</f>
        <v>5</v>
      </c>
      <c r="J542" s="58" t="n">
        <f aca="false">IF(05_Jugos_Aperitivos!I71="","",05_Jugos_Aperitivos!I71)</f>
        <v>11</v>
      </c>
      <c r="K542" s="58" t="n">
        <f aca="false">IF(05_Jugos_Aperitivos!J71="","",05_Jugos_Aperitivos!J71)</f>
        <v>8</v>
      </c>
      <c r="L542" s="58" t="n">
        <f aca="false">IF(05_Jugos_Aperitivos!L71="","",05_Jugos_Aperitivos!L71)</f>
        <v>8.5</v>
      </c>
      <c r="M542" s="58" t="n">
        <f aca="false">IF(05_Jugos_Aperitivos!N71="","",05_Jugos_Aperitivos!N71)</f>
        <v>0.56</v>
      </c>
      <c r="N542" s="58" t="n">
        <f aca="false">IF(05_Jugos_Aperitivos!O71="","",05_Jugos_Aperitivos!O71)</f>
        <v>7.44</v>
      </c>
      <c r="O542" s="55" t="str">
        <f aca="false">IF(05_Jugos_Aperitivos!P71="","",05_Jugos_Aperitivos!P71)</f>
        <v>06:00-12:00</v>
      </c>
      <c r="P542" s="55" t="n">
        <f aca="false">IF(05_Jugos_Aperitivos!Q71="","",05_Jugos_Aperitivos!Q71)</f>
        <v>5</v>
      </c>
      <c r="Q542" s="55" t="str">
        <f aca="false">IF(05_Jugos_Aperitivos!R71="","",05_Jugos_Aperitivos!R71)</f>
        <v>Alto</v>
      </c>
      <c r="R542" s="55" t="str">
        <f aca="false">IF(05_Jugos_Aperitivos!S71="","",05_Jugos_Aperitivos!S71)</f>
        <v>Estacional</v>
      </c>
      <c r="S542" s="55" t="str">
        <f aca="false">IF(05_Jugos_Aperitivos!T71="","",05_Jugos_Aperitivos!T71)</f>
        <v>Juguería</v>
      </c>
      <c r="T542" s="56" t="str">
        <f aca="false">IF(05_Jugos_Aperitivos!U71="","",05_Jugos_Aperitivos!U71)</f>
        <v/>
      </c>
      <c r="U542" s="55" t="n">
        <v>71</v>
      </c>
      <c r="V542" s="55" t="n">
        <f aca="false">IF(AND(OR(LEN(13_Buscador!$C$5)=0,ISNUMBER(SEARCH(13_Buscador!$C$5,$C542&amp;" "&amp;$D542&amp;" "&amp;$E542&amp;" "&amp;$F542&amp;" "&amp;$S542))),OR(13_Buscador!$C$6="Todas las listas",LEN(13_Buscador!$C$6)=0,13_Buscador!$C$6=$B542)),1,0)</f>
        <v>0</v>
      </c>
      <c r="W542" s="55" t="str">
        <f aca="false">IF(V542=1,SUM($V$2:V542),"")</f>
        <v/>
      </c>
    </row>
    <row r="543" customFormat="false" ht="15" hidden="false" customHeight="true" outlineLevel="0" collapsed="false">
      <c r="A543" s="55" t="n">
        <v>542</v>
      </c>
      <c r="B543" s="55" t="s">
        <v>3331</v>
      </c>
      <c r="C543" s="55" t="str">
        <f aca="false">IF(05_Jugos_Aperitivos!B72="","",05_Jugos_Aperitivos!B72)</f>
        <v>Jugos naturales</v>
      </c>
      <c r="D543" s="56" t="str">
        <f aca="false">IF(05_Jugos_Aperitivos!C72="","",05_Jugos_Aperitivos!C72)</f>
        <v>Jugo de lúcuma con leche</v>
      </c>
      <c r="E543" s="56" t="str">
        <f aca="false">IF(05_Jugos_Aperitivos!D72="","",05_Jugos_Aperitivos!D72)</f>
        <v>Batido de lúcuma</v>
      </c>
      <c r="F543" s="56" t="str">
        <f aca="false">IF(05_Jugos_Aperitivos!E72="","",05_Jugos_Aperitivos!E72)</f>
        <v>fruta de estación, agua o leche, azúcar</v>
      </c>
      <c r="G543" s="55" t="str">
        <f aca="false">IF(05_Jugos_Aperitivos!F72="","",05_Jugos_Aperitivos!F72)</f>
        <v>Vaso 500 ml</v>
      </c>
      <c r="H543" s="55" t="str">
        <f aca="false">IF(05_Jugos_Aperitivos!G72="","",05_Jugos_Aperitivos!G72)</f>
        <v>Estándar</v>
      </c>
      <c r="I543" s="58" t="n">
        <f aca="false">IF(05_Jugos_Aperitivos!H72="","",05_Jugos_Aperitivos!H72)</f>
        <v>6</v>
      </c>
      <c r="J543" s="58" t="n">
        <f aca="false">IF(05_Jugos_Aperitivos!I72="","",05_Jugos_Aperitivos!I72)</f>
        <v>13</v>
      </c>
      <c r="K543" s="58" t="n">
        <f aca="false">IF(05_Jugos_Aperitivos!J72="","",05_Jugos_Aperitivos!J72)</f>
        <v>9.5</v>
      </c>
      <c r="L543" s="58" t="n">
        <f aca="false">IF(05_Jugos_Aperitivos!L72="","",05_Jugos_Aperitivos!L72)</f>
        <v>10</v>
      </c>
      <c r="M543" s="58" t="n">
        <f aca="false">IF(05_Jugos_Aperitivos!N72="","",05_Jugos_Aperitivos!N72)</f>
        <v>0.86</v>
      </c>
      <c r="N543" s="58" t="n">
        <f aca="false">IF(05_Jugos_Aperitivos!O72="","",05_Jugos_Aperitivos!O72)</f>
        <v>8.64</v>
      </c>
      <c r="O543" s="55" t="str">
        <f aca="false">IF(05_Jugos_Aperitivos!P72="","",05_Jugos_Aperitivos!P72)</f>
        <v>06:00-12:00</v>
      </c>
      <c r="P543" s="55" t="n">
        <f aca="false">IF(05_Jugos_Aperitivos!Q72="","",05_Jugos_Aperitivos!Q72)</f>
        <v>5</v>
      </c>
      <c r="Q543" s="55" t="str">
        <f aca="false">IF(05_Jugos_Aperitivos!R72="","",05_Jugos_Aperitivos!R72)</f>
        <v>Alto</v>
      </c>
      <c r="R543" s="55" t="str">
        <f aca="false">IF(05_Jugos_Aperitivos!S72="","",05_Jugos_Aperitivos!S72)</f>
        <v>Estacional</v>
      </c>
      <c r="S543" s="55" t="str">
        <f aca="false">IF(05_Jugos_Aperitivos!T72="","",05_Jugos_Aperitivos!T72)</f>
        <v>Juguería</v>
      </c>
      <c r="T543" s="56" t="str">
        <f aca="false">IF(05_Jugos_Aperitivos!U72="","",05_Jugos_Aperitivos!U72)</f>
        <v/>
      </c>
      <c r="U543" s="55" t="n">
        <v>72</v>
      </c>
      <c r="V543" s="55" t="n">
        <f aca="false">IF(AND(OR(LEN(13_Buscador!$C$5)=0,ISNUMBER(SEARCH(13_Buscador!$C$5,$C543&amp;" "&amp;$D543&amp;" "&amp;$E543&amp;" "&amp;$F543&amp;" "&amp;$S543))),OR(13_Buscador!$C$6="Todas las listas",LEN(13_Buscador!$C$6)=0,13_Buscador!$C$6=$B543)),1,0)</f>
        <v>0</v>
      </c>
      <c r="W543" s="55" t="str">
        <f aca="false">IF(V543=1,SUM($V$2:V543),"")</f>
        <v/>
      </c>
    </row>
    <row r="544" customFormat="false" ht="15" hidden="false" customHeight="true" outlineLevel="0" collapsed="false">
      <c r="A544" s="55" t="n">
        <v>543</v>
      </c>
      <c r="B544" s="55" t="s">
        <v>3331</v>
      </c>
      <c r="C544" s="55" t="str">
        <f aca="false">IF(05_Jugos_Aperitivos!B73="","",05_Jugos_Aperitivos!B73)</f>
        <v>Jugos naturales</v>
      </c>
      <c r="D544" s="56" t="str">
        <f aca="false">IF(05_Jugos_Aperitivos!C73="","",05_Jugos_Aperitivos!C73)</f>
        <v>Jugo de chirimoya</v>
      </c>
      <c r="E544" s="56" t="str">
        <f aca="false">IF(05_Jugos_Aperitivos!D73="","",05_Jugos_Aperitivos!D73)</f>
        <v>Fruta dulce</v>
      </c>
      <c r="F544" s="56" t="str">
        <f aca="false">IF(05_Jugos_Aperitivos!E73="","",05_Jugos_Aperitivos!E73)</f>
        <v>fruta de estación, agua o leche, azúcar</v>
      </c>
      <c r="G544" s="55" t="str">
        <f aca="false">IF(05_Jugos_Aperitivos!F73="","",05_Jugos_Aperitivos!F73)</f>
        <v>Vaso 500 ml</v>
      </c>
      <c r="H544" s="55" t="str">
        <f aca="false">IF(05_Jugos_Aperitivos!G73="","",05_Jugos_Aperitivos!G73)</f>
        <v>Estándar</v>
      </c>
      <c r="I544" s="58" t="n">
        <f aca="false">IF(05_Jugos_Aperitivos!H73="","",05_Jugos_Aperitivos!H73)</f>
        <v>6</v>
      </c>
      <c r="J544" s="58" t="n">
        <f aca="false">IF(05_Jugos_Aperitivos!I73="","",05_Jugos_Aperitivos!I73)</f>
        <v>13</v>
      </c>
      <c r="K544" s="58" t="n">
        <f aca="false">IF(05_Jugos_Aperitivos!J73="","",05_Jugos_Aperitivos!J73)</f>
        <v>9.5</v>
      </c>
      <c r="L544" s="58" t="n">
        <f aca="false">IF(05_Jugos_Aperitivos!L73="","",05_Jugos_Aperitivos!L73)</f>
        <v>10</v>
      </c>
      <c r="M544" s="58" t="n">
        <f aca="false">IF(05_Jugos_Aperitivos!N73="","",05_Jugos_Aperitivos!N73)</f>
        <v>0.86</v>
      </c>
      <c r="N544" s="58" t="n">
        <f aca="false">IF(05_Jugos_Aperitivos!O73="","",05_Jugos_Aperitivos!O73)</f>
        <v>8.64</v>
      </c>
      <c r="O544" s="55" t="str">
        <f aca="false">IF(05_Jugos_Aperitivos!P73="","",05_Jugos_Aperitivos!P73)</f>
        <v>06:00-12:00</v>
      </c>
      <c r="P544" s="55" t="n">
        <f aca="false">IF(05_Jugos_Aperitivos!Q73="","",05_Jugos_Aperitivos!Q73)</f>
        <v>5</v>
      </c>
      <c r="Q544" s="55" t="str">
        <f aca="false">IF(05_Jugos_Aperitivos!R73="","",05_Jugos_Aperitivos!R73)</f>
        <v>Alto</v>
      </c>
      <c r="R544" s="55" t="str">
        <f aca="false">IF(05_Jugos_Aperitivos!S73="","",05_Jugos_Aperitivos!S73)</f>
        <v>Estacional</v>
      </c>
      <c r="S544" s="55" t="str">
        <f aca="false">IF(05_Jugos_Aperitivos!T73="","",05_Jugos_Aperitivos!T73)</f>
        <v>Juguería</v>
      </c>
      <c r="T544" s="56" t="str">
        <f aca="false">IF(05_Jugos_Aperitivos!U73="","",05_Jugos_Aperitivos!U73)</f>
        <v/>
      </c>
      <c r="U544" s="55" t="n">
        <v>73</v>
      </c>
      <c r="V544" s="55" t="n">
        <f aca="false">IF(AND(OR(LEN(13_Buscador!$C$5)=0,ISNUMBER(SEARCH(13_Buscador!$C$5,$C544&amp;" "&amp;$D544&amp;" "&amp;$E544&amp;" "&amp;$F544&amp;" "&amp;$S544))),OR(13_Buscador!$C$6="Todas las listas",LEN(13_Buscador!$C$6)=0,13_Buscador!$C$6=$B544)),1,0)</f>
        <v>0</v>
      </c>
      <c r="W544" s="55" t="str">
        <f aca="false">IF(V544=1,SUM($V$2:V544),"")</f>
        <v/>
      </c>
    </row>
    <row r="545" customFormat="false" ht="15" hidden="false" customHeight="true" outlineLevel="0" collapsed="false">
      <c r="A545" s="55" t="n">
        <v>544</v>
      </c>
      <c r="B545" s="55" t="s">
        <v>3331</v>
      </c>
      <c r="C545" s="55" t="str">
        <f aca="false">IF(05_Jugos_Aperitivos!B74="","",05_Jugos_Aperitivos!B74)</f>
        <v>Jugos naturales</v>
      </c>
      <c r="D545" s="56" t="str">
        <f aca="false">IF(05_Jugos_Aperitivos!C74="","",05_Jugos_Aperitivos!C74)</f>
        <v>Jugo de camu camu</v>
      </c>
      <c r="E545" s="56" t="str">
        <f aca="false">IF(05_Jugos_Aperitivos!D74="","",05_Jugos_Aperitivos!D74)</f>
        <v>Alto en vitamina C</v>
      </c>
      <c r="F545" s="56" t="str">
        <f aca="false">IF(05_Jugos_Aperitivos!E74="","",05_Jugos_Aperitivos!E74)</f>
        <v>fruta de estación, agua o leche, azúcar</v>
      </c>
      <c r="G545" s="55" t="str">
        <f aca="false">IF(05_Jugos_Aperitivos!F74="","",05_Jugos_Aperitivos!F74)</f>
        <v>Vaso 500 ml</v>
      </c>
      <c r="H545" s="55" t="str">
        <f aca="false">IF(05_Jugos_Aperitivos!G74="","",05_Jugos_Aperitivos!G74)</f>
        <v>Estándar</v>
      </c>
      <c r="I545" s="58" t="n">
        <f aca="false">IF(05_Jugos_Aperitivos!H74="","",05_Jugos_Aperitivos!H74)</f>
        <v>6</v>
      </c>
      <c r="J545" s="58" t="n">
        <f aca="false">IF(05_Jugos_Aperitivos!I74="","",05_Jugos_Aperitivos!I74)</f>
        <v>13</v>
      </c>
      <c r="K545" s="58" t="n">
        <f aca="false">IF(05_Jugos_Aperitivos!J74="","",05_Jugos_Aperitivos!J74)</f>
        <v>9.5</v>
      </c>
      <c r="L545" s="58" t="n">
        <f aca="false">IF(05_Jugos_Aperitivos!L74="","",05_Jugos_Aperitivos!L74)</f>
        <v>10</v>
      </c>
      <c r="M545" s="58" t="n">
        <f aca="false">IF(05_Jugos_Aperitivos!N74="","",05_Jugos_Aperitivos!N74)</f>
        <v>0.86</v>
      </c>
      <c r="N545" s="58" t="n">
        <f aca="false">IF(05_Jugos_Aperitivos!O74="","",05_Jugos_Aperitivos!O74)</f>
        <v>8.64</v>
      </c>
      <c r="O545" s="55" t="str">
        <f aca="false">IF(05_Jugos_Aperitivos!P74="","",05_Jugos_Aperitivos!P74)</f>
        <v>06:00-12:00</v>
      </c>
      <c r="P545" s="55" t="n">
        <f aca="false">IF(05_Jugos_Aperitivos!Q74="","",05_Jugos_Aperitivos!Q74)</f>
        <v>5</v>
      </c>
      <c r="Q545" s="55" t="str">
        <f aca="false">IF(05_Jugos_Aperitivos!R74="","",05_Jugos_Aperitivos!R74)</f>
        <v>Alto</v>
      </c>
      <c r="R545" s="55" t="str">
        <f aca="false">IF(05_Jugos_Aperitivos!S74="","",05_Jugos_Aperitivos!S74)</f>
        <v>Todo el año</v>
      </c>
      <c r="S545" s="55" t="str">
        <f aca="false">IF(05_Jugos_Aperitivos!T74="","",05_Jugos_Aperitivos!T74)</f>
        <v>Juguería</v>
      </c>
      <c r="T545" s="56" t="str">
        <f aca="false">IF(05_Jugos_Aperitivos!U74="","",05_Jugos_Aperitivos!U74)</f>
        <v/>
      </c>
      <c r="U545" s="55" t="n">
        <v>74</v>
      </c>
      <c r="V545" s="55" t="n">
        <f aca="false">IF(AND(OR(LEN(13_Buscador!$C$5)=0,ISNUMBER(SEARCH(13_Buscador!$C$5,$C545&amp;" "&amp;$D545&amp;" "&amp;$E545&amp;" "&amp;$F545&amp;" "&amp;$S545))),OR(13_Buscador!$C$6="Todas las listas",LEN(13_Buscador!$C$6)=0,13_Buscador!$C$6=$B545)),1,0)</f>
        <v>0</v>
      </c>
      <c r="W545" s="55" t="str">
        <f aca="false">IF(V545=1,SUM($V$2:V545),"")</f>
        <v/>
      </c>
    </row>
    <row r="546" customFormat="false" ht="15" hidden="false" customHeight="true" outlineLevel="0" collapsed="false">
      <c r="A546" s="55" t="n">
        <v>545</v>
      </c>
      <c r="B546" s="55" t="s">
        <v>3331</v>
      </c>
      <c r="C546" s="55" t="str">
        <f aca="false">IF(05_Jugos_Aperitivos!B75="","",05_Jugos_Aperitivos!B75)</f>
        <v>Jugos naturales</v>
      </c>
      <c r="D546" s="56" t="str">
        <f aca="false">IF(05_Jugos_Aperitivos!C75="","",05_Jugos_Aperitivos!C75)</f>
        <v>Jugo de guanábana</v>
      </c>
      <c r="E546" s="56" t="str">
        <f aca="false">IF(05_Jugos_Aperitivos!D75="","",05_Jugos_Aperitivos!D75)</f>
        <v>Jugo natural</v>
      </c>
      <c r="F546" s="56" t="str">
        <f aca="false">IF(05_Jugos_Aperitivos!E75="","",05_Jugos_Aperitivos!E75)</f>
        <v>fruta de estación, agua o leche, azúcar</v>
      </c>
      <c r="G546" s="55" t="str">
        <f aca="false">IF(05_Jugos_Aperitivos!F75="","",05_Jugos_Aperitivos!F75)</f>
        <v>Vaso 500 ml</v>
      </c>
      <c r="H546" s="55" t="str">
        <f aca="false">IF(05_Jugos_Aperitivos!G75="","",05_Jugos_Aperitivos!G75)</f>
        <v>Estándar</v>
      </c>
      <c r="I546" s="58" t="n">
        <f aca="false">IF(05_Jugos_Aperitivos!H75="","",05_Jugos_Aperitivos!H75)</f>
        <v>6</v>
      </c>
      <c r="J546" s="58" t="n">
        <f aca="false">IF(05_Jugos_Aperitivos!I75="","",05_Jugos_Aperitivos!I75)</f>
        <v>13</v>
      </c>
      <c r="K546" s="58" t="n">
        <f aca="false">IF(05_Jugos_Aperitivos!J75="","",05_Jugos_Aperitivos!J75)</f>
        <v>9.5</v>
      </c>
      <c r="L546" s="58" t="n">
        <f aca="false">IF(05_Jugos_Aperitivos!L75="","",05_Jugos_Aperitivos!L75)</f>
        <v>10</v>
      </c>
      <c r="M546" s="58" t="n">
        <f aca="false">IF(05_Jugos_Aperitivos!N75="","",05_Jugos_Aperitivos!N75)</f>
        <v>0.86</v>
      </c>
      <c r="N546" s="58" t="n">
        <f aca="false">IF(05_Jugos_Aperitivos!O75="","",05_Jugos_Aperitivos!O75)</f>
        <v>8.64</v>
      </c>
      <c r="O546" s="55" t="str">
        <f aca="false">IF(05_Jugos_Aperitivos!P75="","",05_Jugos_Aperitivos!P75)</f>
        <v>06:00-12:00</v>
      </c>
      <c r="P546" s="55" t="n">
        <f aca="false">IF(05_Jugos_Aperitivos!Q75="","",05_Jugos_Aperitivos!Q75)</f>
        <v>5</v>
      </c>
      <c r="Q546" s="55" t="str">
        <f aca="false">IF(05_Jugos_Aperitivos!R75="","",05_Jugos_Aperitivos!R75)</f>
        <v>Alto</v>
      </c>
      <c r="R546" s="55" t="str">
        <f aca="false">IF(05_Jugos_Aperitivos!S75="","",05_Jugos_Aperitivos!S75)</f>
        <v>Estacional</v>
      </c>
      <c r="S546" s="55" t="str">
        <f aca="false">IF(05_Jugos_Aperitivos!T75="","",05_Jugos_Aperitivos!T75)</f>
        <v>Juguería</v>
      </c>
      <c r="T546" s="56" t="str">
        <f aca="false">IF(05_Jugos_Aperitivos!U75="","",05_Jugos_Aperitivos!U75)</f>
        <v/>
      </c>
      <c r="U546" s="55" t="n">
        <v>75</v>
      </c>
      <c r="V546" s="55" t="n">
        <f aca="false">IF(AND(OR(LEN(13_Buscador!$C$5)=0,ISNUMBER(SEARCH(13_Buscador!$C$5,$C546&amp;" "&amp;$D546&amp;" "&amp;$E546&amp;" "&amp;$F546&amp;" "&amp;$S546))),OR(13_Buscador!$C$6="Todas las listas",LEN(13_Buscador!$C$6)=0,13_Buscador!$C$6=$B546)),1,0)</f>
        <v>0</v>
      </c>
      <c r="W546" s="55" t="str">
        <f aca="false">IF(V546=1,SUM($V$2:V546),"")</f>
        <v/>
      </c>
    </row>
    <row r="547" customFormat="false" ht="15" hidden="false" customHeight="true" outlineLevel="0" collapsed="false">
      <c r="A547" s="55" t="n">
        <v>546</v>
      </c>
      <c r="B547" s="55" t="s">
        <v>3331</v>
      </c>
      <c r="C547" s="55" t="str">
        <f aca="false">IF(05_Jugos_Aperitivos!B76="","",05_Jugos_Aperitivos!B76)</f>
        <v>Jugos naturales</v>
      </c>
      <c r="D547" s="56" t="str">
        <f aca="false">IF(05_Jugos_Aperitivos!C76="","",05_Jugos_Aperitivos!C76)</f>
        <v>Jarra de jugo 1 L para compartir</v>
      </c>
      <c r="E547" s="56" t="str">
        <f aca="false">IF(05_Jugos_Aperitivos!D76="","",05_Jugos_Aperitivos!D76)</f>
        <v>Jugo familiar</v>
      </c>
      <c r="F547" s="56" t="str">
        <f aca="false">IF(05_Jugos_Aperitivos!E76="","",05_Jugos_Aperitivos!E76)</f>
        <v>fruta de estación, agua o leche, azúcar</v>
      </c>
      <c r="G547" s="55" t="str">
        <f aca="false">IF(05_Jugos_Aperitivos!F76="","",05_Jugos_Aperitivos!F76)</f>
        <v>Jarra 1 L</v>
      </c>
      <c r="H547" s="55" t="str">
        <f aca="false">IF(05_Jugos_Aperitivos!G76="","",05_Jugos_Aperitivos!G76)</f>
        <v>Económico</v>
      </c>
      <c r="I547" s="58" t="n">
        <f aca="false">IF(05_Jugos_Aperitivos!H76="","",05_Jugos_Aperitivos!H76)</f>
        <v>8</v>
      </c>
      <c r="J547" s="58" t="n">
        <f aca="false">IF(05_Jugos_Aperitivos!I76="","",05_Jugos_Aperitivos!I76)</f>
        <v>16</v>
      </c>
      <c r="K547" s="58" t="n">
        <f aca="false">IF(05_Jugos_Aperitivos!J76="","",05_Jugos_Aperitivos!J76)</f>
        <v>12</v>
      </c>
      <c r="L547" s="58" t="n">
        <f aca="false">IF(05_Jugos_Aperitivos!L76="","",05_Jugos_Aperitivos!L76)</f>
        <v>12.5</v>
      </c>
      <c r="M547" s="58" t="n">
        <f aca="false">IF(05_Jugos_Aperitivos!N76="","",05_Jugos_Aperitivos!N76)</f>
        <v>0.84</v>
      </c>
      <c r="N547" s="58" t="n">
        <f aca="false">IF(05_Jugos_Aperitivos!O76="","",05_Jugos_Aperitivos!O76)</f>
        <v>11.16</v>
      </c>
      <c r="O547" s="55" t="str">
        <f aca="false">IF(05_Jugos_Aperitivos!P76="","",05_Jugos_Aperitivos!P76)</f>
        <v>06:00-14:00</v>
      </c>
      <c r="P547" s="55" t="n">
        <f aca="false">IF(05_Jugos_Aperitivos!Q76="","",05_Jugos_Aperitivos!Q76)</f>
        <v>7</v>
      </c>
      <c r="Q547" s="55" t="str">
        <f aca="false">IF(05_Jugos_Aperitivos!R76="","",05_Jugos_Aperitivos!R76)</f>
        <v>Alto</v>
      </c>
      <c r="R547" s="55" t="str">
        <f aca="false">IF(05_Jugos_Aperitivos!S76="","",05_Jugos_Aperitivos!S76)</f>
        <v>Todo el año</v>
      </c>
      <c r="S547" s="55" t="str">
        <f aca="false">IF(05_Jugos_Aperitivos!T76="","",05_Jugos_Aperitivos!T76)</f>
        <v>Juguería</v>
      </c>
      <c r="T547" s="56" t="str">
        <f aca="false">IF(05_Jugos_Aperitivos!U76="","",05_Jugos_Aperitivos!U76)</f>
        <v>Sube el ticket sin más trabajo</v>
      </c>
      <c r="U547" s="55" t="n">
        <v>76</v>
      </c>
      <c r="V547" s="55" t="n">
        <f aca="false">IF(AND(OR(LEN(13_Buscador!$C$5)=0,ISNUMBER(SEARCH(13_Buscador!$C$5,$C547&amp;" "&amp;$D547&amp;" "&amp;$E547&amp;" "&amp;$F547&amp;" "&amp;$S547))),OR(13_Buscador!$C$6="Todas las listas",LEN(13_Buscador!$C$6)=0,13_Buscador!$C$6=$B547)),1,0)</f>
        <v>0</v>
      </c>
      <c r="W547" s="55" t="str">
        <f aca="false">IF(V547=1,SUM($V$2:V547),"")</f>
        <v/>
      </c>
    </row>
    <row r="548" customFormat="false" ht="23.25" hidden="false" customHeight="true" outlineLevel="0" collapsed="false">
      <c r="A548" s="55" t="n">
        <v>547</v>
      </c>
      <c r="B548" s="55" t="s">
        <v>3331</v>
      </c>
      <c r="C548" s="55" t="str">
        <f aca="false">IF(05_Jugos_Aperitivos!B77="","",05_Jugos_Aperitivos!B77)</f>
        <v>Batidos y energizantes</v>
      </c>
      <c r="D548" s="56" t="str">
        <f aca="false">IF(05_Jugos_Aperitivos!C77="","",05_Jugos_Aperitivos!C77)</f>
        <v>Extracto de rana</v>
      </c>
      <c r="E548" s="56" t="str">
        <f aca="false">IF(05_Jugos_Aperitivos!D77="","",05_Jugos_Aperitivos!D77)</f>
        <v>Bebida tradicional del lago</v>
      </c>
      <c r="F548" s="56" t="str">
        <f aca="false">IF(05_Jugos_Aperitivos!E77="","",05_Jugos_Aperitivos!E77)</f>
        <v>rana del lago, maca, miel, algarrobina, leche</v>
      </c>
      <c r="G548" s="55" t="str">
        <f aca="false">IF(05_Jugos_Aperitivos!F77="","",05_Jugos_Aperitivos!F77)</f>
        <v>Vaso 300 ml</v>
      </c>
      <c r="H548" s="55" t="str">
        <f aca="false">IF(05_Jugos_Aperitivos!G77="","",05_Jugos_Aperitivos!G77)</f>
        <v>Estándar</v>
      </c>
      <c r="I548" s="58" t="n">
        <f aca="false">IF(05_Jugos_Aperitivos!H77="","",05_Jugos_Aperitivos!H77)</f>
        <v>8</v>
      </c>
      <c r="J548" s="58" t="n">
        <f aca="false">IF(05_Jugos_Aperitivos!I77="","",05_Jugos_Aperitivos!I77)</f>
        <v>18</v>
      </c>
      <c r="K548" s="58" t="n">
        <f aca="false">IF(05_Jugos_Aperitivos!J77="","",05_Jugos_Aperitivos!J77)</f>
        <v>13</v>
      </c>
      <c r="L548" s="58" t="n">
        <f aca="false">IF(05_Jugos_Aperitivos!L77="","",05_Jugos_Aperitivos!L77)</f>
        <v>13.5</v>
      </c>
      <c r="M548" s="58" t="n">
        <f aca="false">IF(05_Jugos_Aperitivos!N77="","",05_Jugos_Aperitivos!N77)</f>
        <v>1.17</v>
      </c>
      <c r="N548" s="58" t="n">
        <f aca="false">IF(05_Jugos_Aperitivos!O77="","",05_Jugos_Aperitivos!O77)</f>
        <v>11.83</v>
      </c>
      <c r="O548" s="55" t="str">
        <f aca="false">IF(05_Jugos_Aperitivos!P77="","",05_Jugos_Aperitivos!P77)</f>
        <v>06:00-11:00</v>
      </c>
      <c r="P548" s="55" t="n">
        <f aca="false">IF(05_Jugos_Aperitivos!Q77="","",05_Jugos_Aperitivos!Q77)</f>
        <v>8</v>
      </c>
      <c r="Q548" s="55" t="str">
        <f aca="false">IF(05_Jugos_Aperitivos!R77="","",05_Jugos_Aperitivos!R77)</f>
        <v>Medio</v>
      </c>
      <c r="R548" s="55" t="str">
        <f aca="false">IF(05_Jugos_Aperitivos!S77="","",05_Jugos_Aperitivos!S77)</f>
        <v>Todo el año</v>
      </c>
      <c r="S548" s="55" t="str">
        <f aca="false">IF(05_Jugos_Aperitivos!T77="","",05_Jugos_Aperitivos!T77)</f>
        <v>Juguería, mercado</v>
      </c>
      <c r="T548" s="56" t="str">
        <f aca="false">IF(05_Jugos_Aperitivos!U77="","",05_Jugos_Aperitivos!U77)</f>
        <v>Producto tradicional del Titicaca; percibido como reconstituyente</v>
      </c>
      <c r="U548" s="55" t="n">
        <v>77</v>
      </c>
      <c r="V548" s="55" t="n">
        <f aca="false">IF(AND(OR(LEN(13_Buscador!$C$5)=0,ISNUMBER(SEARCH(13_Buscador!$C$5,$C548&amp;" "&amp;$D548&amp;" "&amp;$E548&amp;" "&amp;$F548&amp;" "&amp;$S548))),OR(13_Buscador!$C$6="Todas las listas",LEN(13_Buscador!$C$6)=0,13_Buscador!$C$6=$B548)),1,0)</f>
        <v>0</v>
      </c>
      <c r="W548" s="55" t="str">
        <f aca="false">IF(V548=1,SUM($V$2:V548),"")</f>
        <v/>
      </c>
    </row>
    <row r="549" customFormat="false" ht="15" hidden="false" customHeight="true" outlineLevel="0" collapsed="false">
      <c r="A549" s="55" t="n">
        <v>548</v>
      </c>
      <c r="B549" s="55" t="s">
        <v>3331</v>
      </c>
      <c r="C549" s="55" t="str">
        <f aca="false">IF(05_Jugos_Aperitivos!B78="","",05_Jugos_Aperitivos!B78)</f>
        <v>Batidos y energizantes</v>
      </c>
      <c r="D549" s="56" t="str">
        <f aca="false">IF(05_Jugos_Aperitivos!C78="","",05_Jugos_Aperitivos!C78)</f>
        <v>Batido de kiwicha</v>
      </c>
      <c r="E549" s="56" t="str">
        <f aca="false">IF(05_Jugos_Aperitivos!D78="","",05_Jugos_Aperitivos!D78)</f>
        <v>Cereal andino con leche</v>
      </c>
      <c r="F549" s="56" t="str">
        <f aca="false">IF(05_Jugos_Aperitivos!E78="","",05_Jugos_Aperitivos!E78)</f>
        <v>harina de cereal andino, leche, fruta, azúcar</v>
      </c>
      <c r="G549" s="55" t="str">
        <f aca="false">IF(05_Jugos_Aperitivos!F78="","",05_Jugos_Aperitivos!F78)</f>
        <v>Vaso 500 ml</v>
      </c>
      <c r="H549" s="55" t="str">
        <f aca="false">IF(05_Jugos_Aperitivos!G78="","",05_Jugos_Aperitivos!G78)</f>
        <v>Estándar</v>
      </c>
      <c r="I549" s="58" t="n">
        <f aca="false">IF(05_Jugos_Aperitivos!H78="","",05_Jugos_Aperitivos!H78)</f>
        <v>5</v>
      </c>
      <c r="J549" s="58" t="n">
        <f aca="false">IF(05_Jugos_Aperitivos!I78="","",05_Jugos_Aperitivos!I78)</f>
        <v>12</v>
      </c>
      <c r="K549" s="58" t="n">
        <f aca="false">IF(05_Jugos_Aperitivos!J78="","",05_Jugos_Aperitivos!J78)</f>
        <v>8.5</v>
      </c>
      <c r="L549" s="58" t="n">
        <f aca="false">IF(05_Jugos_Aperitivos!L78="","",05_Jugos_Aperitivos!L78)</f>
        <v>9</v>
      </c>
      <c r="M549" s="58" t="n">
        <f aca="false">IF(05_Jugos_Aperitivos!N78="","",05_Jugos_Aperitivos!N78)</f>
        <v>0.77</v>
      </c>
      <c r="N549" s="58" t="n">
        <f aca="false">IF(05_Jugos_Aperitivos!O78="","",05_Jugos_Aperitivos!O78)</f>
        <v>7.73</v>
      </c>
      <c r="O549" s="55" t="str">
        <f aca="false">IF(05_Jugos_Aperitivos!P78="","",05_Jugos_Aperitivos!P78)</f>
        <v>06:00-12:00</v>
      </c>
      <c r="P549" s="55" t="n">
        <f aca="false">IF(05_Jugos_Aperitivos!Q78="","",05_Jugos_Aperitivos!Q78)</f>
        <v>5</v>
      </c>
      <c r="Q549" s="55" t="str">
        <f aca="false">IF(05_Jugos_Aperitivos!R78="","",05_Jugos_Aperitivos!R78)</f>
        <v>Alto</v>
      </c>
      <c r="R549" s="55" t="str">
        <f aca="false">IF(05_Jugos_Aperitivos!S78="","",05_Jugos_Aperitivos!S78)</f>
        <v>Todo el año</v>
      </c>
      <c r="S549" s="55" t="str">
        <f aca="false">IF(05_Jugos_Aperitivos!T78="","",05_Jugos_Aperitivos!T78)</f>
        <v>Juguería</v>
      </c>
      <c r="T549" s="56" t="str">
        <f aca="false">IF(05_Jugos_Aperitivos!U78="","",05_Jugos_Aperitivos!U78)</f>
        <v/>
      </c>
      <c r="U549" s="55" t="n">
        <v>78</v>
      </c>
      <c r="V549" s="55" t="n">
        <f aca="false">IF(AND(OR(LEN(13_Buscador!$C$5)=0,ISNUMBER(SEARCH(13_Buscador!$C$5,$C549&amp;" "&amp;$D549&amp;" "&amp;$E549&amp;" "&amp;$F549&amp;" "&amp;$S549))),OR(13_Buscador!$C$6="Todas las listas",LEN(13_Buscador!$C$6)=0,13_Buscador!$C$6=$B549)),1,0)</f>
        <v>0</v>
      </c>
      <c r="W549" s="55" t="str">
        <f aca="false">IF(V549=1,SUM($V$2:V549),"")</f>
        <v/>
      </c>
    </row>
    <row r="550" customFormat="false" ht="15" hidden="false" customHeight="true" outlineLevel="0" collapsed="false">
      <c r="A550" s="55" t="n">
        <v>549</v>
      </c>
      <c r="B550" s="55" t="s">
        <v>3331</v>
      </c>
      <c r="C550" s="55" t="str">
        <f aca="false">IF(05_Jugos_Aperitivos!B79="","",05_Jugos_Aperitivos!B79)</f>
        <v>Batidos y energizantes</v>
      </c>
      <c r="D550" s="56" t="str">
        <f aca="false">IF(05_Jugos_Aperitivos!C79="","",05_Jugos_Aperitivos!C79)</f>
        <v>Batido de avena con plátano</v>
      </c>
      <c r="E550" s="56" t="str">
        <f aca="false">IF(05_Jugos_Aperitivos!D79="","",05_Jugos_Aperitivos!D79)</f>
        <v>Batido saciante</v>
      </c>
      <c r="F550" s="56" t="str">
        <f aca="false">IF(05_Jugos_Aperitivos!E79="","",05_Jugos_Aperitivos!E79)</f>
        <v>avena, leche, manzana, canela, azúcar</v>
      </c>
      <c r="G550" s="55" t="str">
        <f aca="false">IF(05_Jugos_Aperitivos!F79="","",05_Jugos_Aperitivos!F79)</f>
        <v>Vaso 500 ml</v>
      </c>
      <c r="H550" s="55" t="str">
        <f aca="false">IF(05_Jugos_Aperitivos!G79="","",05_Jugos_Aperitivos!G79)</f>
        <v>Económico</v>
      </c>
      <c r="I550" s="58" t="n">
        <f aca="false">IF(05_Jugos_Aperitivos!H79="","",05_Jugos_Aperitivos!H79)</f>
        <v>4</v>
      </c>
      <c r="J550" s="58" t="n">
        <f aca="false">IF(05_Jugos_Aperitivos!I79="","",05_Jugos_Aperitivos!I79)</f>
        <v>10</v>
      </c>
      <c r="K550" s="58" t="n">
        <f aca="false">IF(05_Jugos_Aperitivos!J79="","",05_Jugos_Aperitivos!J79)</f>
        <v>7</v>
      </c>
      <c r="L550" s="58" t="n">
        <f aca="false">IF(05_Jugos_Aperitivos!L79="","",05_Jugos_Aperitivos!L79)</f>
        <v>7.5</v>
      </c>
      <c r="M550" s="58" t="n">
        <f aca="false">IF(05_Jugos_Aperitivos!N79="","",05_Jugos_Aperitivos!N79)</f>
        <v>0.49</v>
      </c>
      <c r="N550" s="58" t="n">
        <f aca="false">IF(05_Jugos_Aperitivos!O79="","",05_Jugos_Aperitivos!O79)</f>
        <v>6.51</v>
      </c>
      <c r="O550" s="55" t="str">
        <f aca="false">IF(05_Jugos_Aperitivos!P79="","",05_Jugos_Aperitivos!P79)</f>
        <v>06:00-12:00</v>
      </c>
      <c r="P550" s="55" t="n">
        <f aca="false">IF(05_Jugos_Aperitivos!Q79="","",05_Jugos_Aperitivos!Q79)</f>
        <v>5</v>
      </c>
      <c r="Q550" s="55" t="str">
        <f aca="false">IF(05_Jugos_Aperitivos!R79="","",05_Jugos_Aperitivos!R79)</f>
        <v>Alto</v>
      </c>
      <c r="R550" s="55" t="str">
        <f aca="false">IF(05_Jugos_Aperitivos!S79="","",05_Jugos_Aperitivos!S79)</f>
        <v>Todo el año</v>
      </c>
      <c r="S550" s="55" t="str">
        <f aca="false">IF(05_Jugos_Aperitivos!T79="","",05_Jugos_Aperitivos!T79)</f>
        <v>Juguería</v>
      </c>
      <c r="T550" s="56" t="str">
        <f aca="false">IF(05_Jugos_Aperitivos!U79="","",05_Jugos_Aperitivos!U79)</f>
        <v/>
      </c>
      <c r="U550" s="55" t="n">
        <v>79</v>
      </c>
      <c r="V550" s="55" t="n">
        <f aca="false">IF(AND(OR(LEN(13_Buscador!$C$5)=0,ISNUMBER(SEARCH(13_Buscador!$C$5,$C550&amp;" "&amp;$D550&amp;" "&amp;$E550&amp;" "&amp;$F550&amp;" "&amp;$S550))),OR(13_Buscador!$C$6="Todas las listas",LEN(13_Buscador!$C$6)=0,13_Buscador!$C$6=$B550)),1,0)</f>
        <v>0</v>
      </c>
      <c r="W550" s="55" t="str">
        <f aca="false">IF(V550=1,SUM($V$2:V550),"")</f>
        <v/>
      </c>
    </row>
    <row r="551" customFormat="false" ht="15" hidden="false" customHeight="true" outlineLevel="0" collapsed="false">
      <c r="A551" s="55" t="n">
        <v>550</v>
      </c>
      <c r="B551" s="55" t="s">
        <v>3331</v>
      </c>
      <c r="C551" s="55" t="str">
        <f aca="false">IF(05_Jugos_Aperitivos!B80="","",05_Jugos_Aperitivos!B80)</f>
        <v>Batidos y energizantes</v>
      </c>
      <c r="D551" s="56" t="str">
        <f aca="false">IF(05_Jugos_Aperitivos!C80="","",05_Jugos_Aperitivos!C80)</f>
        <v>Batido de polen y miel</v>
      </c>
      <c r="E551" s="56" t="str">
        <f aca="false">IF(05_Jugos_Aperitivos!D80="","",05_Jugos_Aperitivos!D80)</f>
        <v>Batido energético</v>
      </c>
      <c r="F551" s="56" t="str">
        <f aca="false">IF(05_Jugos_Aperitivos!E80="","",05_Jugos_Aperitivos!E80)</f>
        <v>polen, miel, leche, fruta</v>
      </c>
      <c r="G551" s="55" t="str">
        <f aca="false">IF(05_Jugos_Aperitivos!F80="","",05_Jugos_Aperitivos!F80)</f>
        <v>Vaso 500 ml</v>
      </c>
      <c r="H551" s="55" t="str">
        <f aca="false">IF(05_Jugos_Aperitivos!G80="","",05_Jugos_Aperitivos!G80)</f>
        <v>Estándar</v>
      </c>
      <c r="I551" s="58" t="n">
        <f aca="false">IF(05_Jugos_Aperitivos!H80="","",05_Jugos_Aperitivos!H80)</f>
        <v>7</v>
      </c>
      <c r="J551" s="58" t="n">
        <f aca="false">IF(05_Jugos_Aperitivos!I80="","",05_Jugos_Aperitivos!I80)</f>
        <v>15</v>
      </c>
      <c r="K551" s="58" t="n">
        <f aca="false">IF(05_Jugos_Aperitivos!J80="","",05_Jugos_Aperitivos!J80)</f>
        <v>11</v>
      </c>
      <c r="L551" s="58" t="n">
        <f aca="false">IF(05_Jugos_Aperitivos!L80="","",05_Jugos_Aperitivos!L80)</f>
        <v>11.5</v>
      </c>
      <c r="M551" s="58" t="n">
        <f aca="false">IF(05_Jugos_Aperitivos!N80="","",05_Jugos_Aperitivos!N80)</f>
        <v>0.99</v>
      </c>
      <c r="N551" s="58" t="n">
        <f aca="false">IF(05_Jugos_Aperitivos!O80="","",05_Jugos_Aperitivos!O80)</f>
        <v>10.01</v>
      </c>
      <c r="O551" s="55" t="str">
        <f aca="false">IF(05_Jugos_Aperitivos!P80="","",05_Jugos_Aperitivos!P80)</f>
        <v>06:00-12:00</v>
      </c>
      <c r="P551" s="55" t="n">
        <f aca="false">IF(05_Jugos_Aperitivos!Q80="","",05_Jugos_Aperitivos!Q80)</f>
        <v>5</v>
      </c>
      <c r="Q551" s="55" t="str">
        <f aca="false">IF(05_Jugos_Aperitivos!R80="","",05_Jugos_Aperitivos!R80)</f>
        <v>Alto</v>
      </c>
      <c r="R551" s="55" t="str">
        <f aca="false">IF(05_Jugos_Aperitivos!S80="","",05_Jugos_Aperitivos!S80)</f>
        <v>Todo el año</v>
      </c>
      <c r="S551" s="55" t="str">
        <f aca="false">IF(05_Jugos_Aperitivos!T80="","",05_Jugos_Aperitivos!T80)</f>
        <v>Juguería</v>
      </c>
      <c r="T551" s="56" t="str">
        <f aca="false">IF(05_Jugos_Aperitivos!U80="","",05_Jugos_Aperitivos!U80)</f>
        <v/>
      </c>
      <c r="U551" s="55" t="n">
        <v>80</v>
      </c>
      <c r="V551" s="55" t="n">
        <f aca="false">IF(AND(OR(LEN(13_Buscador!$C$5)=0,ISNUMBER(SEARCH(13_Buscador!$C$5,$C551&amp;" "&amp;$D551&amp;" "&amp;$E551&amp;" "&amp;$F551&amp;" "&amp;$S551))),OR(13_Buscador!$C$6="Todas las listas",LEN(13_Buscador!$C$6)=0,13_Buscador!$C$6=$B551)),1,0)</f>
        <v>0</v>
      </c>
      <c r="W551" s="55" t="str">
        <f aca="false">IF(V551=1,SUM($V$2:V551),"")</f>
        <v/>
      </c>
    </row>
    <row r="552" customFormat="false" ht="15" hidden="false" customHeight="true" outlineLevel="0" collapsed="false">
      <c r="A552" s="55" t="n">
        <v>551</v>
      </c>
      <c r="B552" s="55" t="s">
        <v>3331</v>
      </c>
      <c r="C552" s="55" t="str">
        <f aca="false">IF(05_Jugos_Aperitivos!B81="","",05_Jugos_Aperitivos!B81)</f>
        <v>Batidos y energizantes</v>
      </c>
      <c r="D552" s="56" t="str">
        <f aca="false">IF(05_Jugos_Aperitivos!C81="","",05_Jugos_Aperitivos!C81)</f>
        <v>Extracto de apio con piña</v>
      </c>
      <c r="E552" s="56" t="str">
        <f aca="false">IF(05_Jugos_Aperitivos!D81="","",05_Jugos_Aperitivos!D81)</f>
        <v>Extracto verde</v>
      </c>
      <c r="F552" s="56" t="str">
        <f aca="false">IF(05_Jugos_Aperitivos!E81="","",05_Jugos_Aperitivos!E81)</f>
        <v>verdura u hoja fresca, agua, limón</v>
      </c>
      <c r="G552" s="55" t="str">
        <f aca="false">IF(05_Jugos_Aperitivos!F81="","",05_Jugos_Aperitivos!F81)</f>
        <v>Vaso 300 ml</v>
      </c>
      <c r="H552" s="55" t="str">
        <f aca="false">IF(05_Jugos_Aperitivos!G81="","",05_Jugos_Aperitivos!G81)</f>
        <v>Económico</v>
      </c>
      <c r="I552" s="58" t="n">
        <f aca="false">IF(05_Jugos_Aperitivos!H81="","",05_Jugos_Aperitivos!H81)</f>
        <v>4</v>
      </c>
      <c r="J552" s="58" t="n">
        <f aca="false">IF(05_Jugos_Aperitivos!I81="","",05_Jugos_Aperitivos!I81)</f>
        <v>9</v>
      </c>
      <c r="K552" s="58" t="n">
        <f aca="false">IF(05_Jugos_Aperitivos!J81="","",05_Jugos_Aperitivos!J81)</f>
        <v>6.5</v>
      </c>
      <c r="L552" s="58" t="n">
        <f aca="false">IF(05_Jugos_Aperitivos!L81="","",05_Jugos_Aperitivos!L81)</f>
        <v>7</v>
      </c>
      <c r="M552" s="58" t="n">
        <f aca="false">IF(05_Jugos_Aperitivos!N81="","",05_Jugos_Aperitivos!N81)</f>
        <v>0.46</v>
      </c>
      <c r="N552" s="58" t="n">
        <f aca="false">IF(05_Jugos_Aperitivos!O81="","",05_Jugos_Aperitivos!O81)</f>
        <v>6.04</v>
      </c>
      <c r="O552" s="55" t="str">
        <f aca="false">IF(05_Jugos_Aperitivos!P81="","",05_Jugos_Aperitivos!P81)</f>
        <v>06:00-11:00</v>
      </c>
      <c r="P552" s="55" t="n">
        <f aca="false">IF(05_Jugos_Aperitivos!Q81="","",05_Jugos_Aperitivos!Q81)</f>
        <v>4</v>
      </c>
      <c r="Q552" s="55" t="str">
        <f aca="false">IF(05_Jugos_Aperitivos!R81="","",05_Jugos_Aperitivos!R81)</f>
        <v>Alto</v>
      </c>
      <c r="R552" s="55" t="str">
        <f aca="false">IF(05_Jugos_Aperitivos!S81="","",05_Jugos_Aperitivos!S81)</f>
        <v>Todo el año</v>
      </c>
      <c r="S552" s="55" t="str">
        <f aca="false">IF(05_Jugos_Aperitivos!T81="","",05_Jugos_Aperitivos!T81)</f>
        <v>Juguería</v>
      </c>
      <c r="T552" s="56" t="str">
        <f aca="false">IF(05_Jugos_Aperitivos!U81="","",05_Jugos_Aperitivos!U81)</f>
        <v/>
      </c>
      <c r="U552" s="55" t="n">
        <v>81</v>
      </c>
      <c r="V552" s="55" t="n">
        <f aca="false">IF(AND(OR(LEN(13_Buscador!$C$5)=0,ISNUMBER(SEARCH(13_Buscador!$C$5,$C552&amp;" "&amp;$D552&amp;" "&amp;$E552&amp;" "&amp;$F552&amp;" "&amp;$S552))),OR(13_Buscador!$C$6="Todas las listas",LEN(13_Buscador!$C$6)=0,13_Buscador!$C$6=$B552)),1,0)</f>
        <v>0</v>
      </c>
      <c r="W552" s="55" t="str">
        <f aca="false">IF(V552=1,SUM($V$2:V552),"")</f>
        <v/>
      </c>
    </row>
    <row r="553" customFormat="false" ht="15" hidden="false" customHeight="true" outlineLevel="0" collapsed="false">
      <c r="A553" s="55" t="n">
        <v>552</v>
      </c>
      <c r="B553" s="55" t="s">
        <v>3331</v>
      </c>
      <c r="C553" s="55" t="str">
        <f aca="false">IF(05_Jugos_Aperitivos!B82="","",05_Jugos_Aperitivos!B82)</f>
        <v>Batidos y energizantes</v>
      </c>
      <c r="D553" s="56" t="str">
        <f aca="false">IF(05_Jugos_Aperitivos!C82="","",05_Jugos_Aperitivos!C82)</f>
        <v>Batido detox</v>
      </c>
      <c r="E553" s="56" t="str">
        <f aca="false">IF(05_Jugos_Aperitivos!D82="","",05_Jugos_Aperitivos!D82)</f>
        <v>Verduras y frutas verdes</v>
      </c>
      <c r="F553" s="56" t="str">
        <f aca="false">IF(05_Jugos_Aperitivos!E82="","",05_Jugos_Aperitivos!E82)</f>
        <v>verdura u hoja fresca, agua, limón</v>
      </c>
      <c r="G553" s="55" t="str">
        <f aca="false">IF(05_Jugos_Aperitivos!F82="","",05_Jugos_Aperitivos!F82)</f>
        <v>Vaso 500 ml</v>
      </c>
      <c r="H553" s="55" t="str">
        <f aca="false">IF(05_Jugos_Aperitivos!G82="","",05_Jugos_Aperitivos!G82)</f>
        <v>Estándar</v>
      </c>
      <c r="I553" s="58" t="n">
        <f aca="false">IF(05_Jugos_Aperitivos!H82="","",05_Jugos_Aperitivos!H82)</f>
        <v>7</v>
      </c>
      <c r="J553" s="58" t="n">
        <f aca="false">IF(05_Jugos_Aperitivos!I82="","",05_Jugos_Aperitivos!I82)</f>
        <v>15</v>
      </c>
      <c r="K553" s="58" t="n">
        <f aca="false">IF(05_Jugos_Aperitivos!J82="","",05_Jugos_Aperitivos!J82)</f>
        <v>11</v>
      </c>
      <c r="L553" s="58" t="n">
        <f aca="false">IF(05_Jugos_Aperitivos!L82="","",05_Jugos_Aperitivos!L82)</f>
        <v>11.5</v>
      </c>
      <c r="M553" s="58" t="n">
        <f aca="false">IF(05_Jugos_Aperitivos!N82="","",05_Jugos_Aperitivos!N82)</f>
        <v>0.99</v>
      </c>
      <c r="N553" s="58" t="n">
        <f aca="false">IF(05_Jugos_Aperitivos!O82="","",05_Jugos_Aperitivos!O82)</f>
        <v>10.01</v>
      </c>
      <c r="O553" s="55" t="str">
        <f aca="false">IF(05_Jugos_Aperitivos!P82="","",05_Jugos_Aperitivos!P82)</f>
        <v>06:00-12:00</v>
      </c>
      <c r="P553" s="55" t="n">
        <f aca="false">IF(05_Jugos_Aperitivos!Q82="","",05_Jugos_Aperitivos!Q82)</f>
        <v>6</v>
      </c>
      <c r="Q553" s="55" t="str">
        <f aca="false">IF(05_Jugos_Aperitivos!R82="","",05_Jugos_Aperitivos!R82)</f>
        <v>Alto</v>
      </c>
      <c r="R553" s="55" t="str">
        <f aca="false">IF(05_Jugos_Aperitivos!S82="","",05_Jugos_Aperitivos!S82)</f>
        <v>Todo el año</v>
      </c>
      <c r="S553" s="55" t="str">
        <f aca="false">IF(05_Jugos_Aperitivos!T82="","",05_Jugos_Aperitivos!T82)</f>
        <v>Juguería, saludable</v>
      </c>
      <c r="T553" s="56" t="str">
        <f aca="false">IF(05_Jugos_Aperitivos!U82="","",05_Jugos_Aperitivos!U82)</f>
        <v/>
      </c>
      <c r="U553" s="55" t="n">
        <v>82</v>
      </c>
      <c r="V553" s="55" t="n">
        <f aca="false">IF(AND(OR(LEN(13_Buscador!$C$5)=0,ISNUMBER(SEARCH(13_Buscador!$C$5,$C553&amp;" "&amp;$D553&amp;" "&amp;$E553&amp;" "&amp;$F553&amp;" "&amp;$S553))),OR(13_Buscador!$C$6="Todas las listas",LEN(13_Buscador!$C$6)=0,13_Buscador!$C$6=$B553)),1,0)</f>
        <v>0</v>
      </c>
      <c r="W553" s="55" t="str">
        <f aca="false">IF(V553=1,SUM($V$2:V553),"")</f>
        <v/>
      </c>
    </row>
    <row r="554" customFormat="false" ht="15" hidden="false" customHeight="true" outlineLevel="0" collapsed="false">
      <c r="A554" s="55" t="n">
        <v>553</v>
      </c>
      <c r="B554" s="55" t="s">
        <v>3331</v>
      </c>
      <c r="C554" s="55" t="str">
        <f aca="false">IF(05_Jugos_Aperitivos!B83="","",05_Jugos_Aperitivos!B83)</f>
        <v>Bebidas frías</v>
      </c>
      <c r="D554" s="56" t="str">
        <f aca="false">IF(05_Jugos_Aperitivos!C83="","",05_Jugos_Aperitivos!C83)</f>
        <v>Chicha morada litro</v>
      </c>
      <c r="E554" s="56" t="str">
        <f aca="false">IF(05_Jugos_Aperitivos!D83="","",05_Jugos_Aperitivos!D83)</f>
        <v>Jarra de chicha</v>
      </c>
      <c r="F554" s="56" t="str">
        <f aca="false">IF(05_Jugos_Aperitivos!E83="","",05_Jugos_Aperitivos!E83)</f>
        <v>maíz morado, piña, canela, clavo, limón, azúcar</v>
      </c>
      <c r="G554" s="55" t="str">
        <f aca="false">IF(05_Jugos_Aperitivos!F83="","",05_Jugos_Aperitivos!F83)</f>
        <v>Jarra 1 L</v>
      </c>
      <c r="H554" s="55" t="str">
        <f aca="false">IF(05_Jugos_Aperitivos!G83="","",05_Jugos_Aperitivos!G83)</f>
        <v>Económico</v>
      </c>
      <c r="I554" s="58" t="n">
        <f aca="false">IF(05_Jugos_Aperitivos!H83="","",05_Jugos_Aperitivos!H83)</f>
        <v>6</v>
      </c>
      <c r="J554" s="58" t="n">
        <f aca="false">IF(05_Jugos_Aperitivos!I83="","",05_Jugos_Aperitivos!I83)</f>
        <v>12</v>
      </c>
      <c r="K554" s="58" t="n">
        <f aca="false">IF(05_Jugos_Aperitivos!J83="","",05_Jugos_Aperitivos!J83)</f>
        <v>9</v>
      </c>
      <c r="L554" s="58" t="n">
        <f aca="false">IF(05_Jugos_Aperitivos!L83="","",05_Jugos_Aperitivos!L83)</f>
        <v>9.5</v>
      </c>
      <c r="M554" s="58" t="n">
        <f aca="false">IF(05_Jugos_Aperitivos!N83="","",05_Jugos_Aperitivos!N83)</f>
        <v>0.63</v>
      </c>
      <c r="N554" s="58" t="n">
        <f aca="false">IF(05_Jugos_Aperitivos!O83="","",05_Jugos_Aperitivos!O83)</f>
        <v>8.37</v>
      </c>
      <c r="O554" s="55" t="str">
        <f aca="false">IF(05_Jugos_Aperitivos!P83="","",05_Jugos_Aperitivos!P83)</f>
        <v>11:00-18:00</v>
      </c>
      <c r="P554" s="55" t="n">
        <f aca="false">IF(05_Jugos_Aperitivos!Q83="","",05_Jugos_Aperitivos!Q83)</f>
        <v>3</v>
      </c>
      <c r="Q554" s="55" t="str">
        <f aca="false">IF(05_Jugos_Aperitivos!R83="","",05_Jugos_Aperitivos!R83)</f>
        <v>Alto</v>
      </c>
      <c r="R554" s="55" t="str">
        <f aca="false">IF(05_Jugos_Aperitivos!S83="","",05_Jugos_Aperitivos!S83)</f>
        <v>Todo el año</v>
      </c>
      <c r="S554" s="55" t="str">
        <f aca="false">IF(05_Jugos_Aperitivos!T83="","",05_Jugos_Aperitivos!T83)</f>
        <v>Menú, restaurante</v>
      </c>
      <c r="T554" s="56" t="str">
        <f aca="false">IF(05_Jugos_Aperitivos!U83="","",05_Jugos_Aperitivos!U83)</f>
        <v/>
      </c>
      <c r="U554" s="55" t="n">
        <v>83</v>
      </c>
      <c r="V554" s="55" t="n">
        <f aca="false">IF(AND(OR(LEN(13_Buscador!$C$5)=0,ISNUMBER(SEARCH(13_Buscador!$C$5,$C554&amp;" "&amp;$D554&amp;" "&amp;$E554&amp;" "&amp;$F554&amp;" "&amp;$S554))),OR(13_Buscador!$C$6="Todas las listas",LEN(13_Buscador!$C$6)=0,13_Buscador!$C$6=$B554)),1,0)</f>
        <v>0</v>
      </c>
      <c r="W554" s="55" t="str">
        <f aca="false">IF(V554=1,SUM($V$2:V554),"")</f>
        <v/>
      </c>
    </row>
    <row r="555" customFormat="false" ht="15" hidden="false" customHeight="true" outlineLevel="0" collapsed="false">
      <c r="A555" s="55" t="n">
        <v>554</v>
      </c>
      <c r="B555" s="55" t="s">
        <v>3331</v>
      </c>
      <c r="C555" s="55" t="str">
        <f aca="false">IF(05_Jugos_Aperitivos!B84="","",05_Jugos_Aperitivos!B84)</f>
        <v>Bebidas frías</v>
      </c>
      <c r="D555" s="56" t="str">
        <f aca="false">IF(05_Jugos_Aperitivos!C84="","",05_Jugos_Aperitivos!C84)</f>
        <v>Limonada de hierbabuena</v>
      </c>
      <c r="E555" s="56" t="str">
        <f aca="false">IF(05_Jugos_Aperitivos!D84="","",05_Jugos_Aperitivos!D84)</f>
        <v>Limonada aromatizada</v>
      </c>
      <c r="F555" s="56" t="str">
        <f aca="false">IF(05_Jugos_Aperitivos!E84="","",05_Jugos_Aperitivos!E84)</f>
        <v>limón, agua, azúcar, hierbabuena</v>
      </c>
      <c r="G555" s="55" t="str">
        <f aca="false">IF(05_Jugos_Aperitivos!F84="","",05_Jugos_Aperitivos!F84)</f>
        <v>Vaso 500 ml</v>
      </c>
      <c r="H555" s="55" t="str">
        <f aca="false">IF(05_Jugos_Aperitivos!G84="","",05_Jugos_Aperitivos!G84)</f>
        <v>Económico</v>
      </c>
      <c r="I555" s="58" t="n">
        <f aca="false">IF(05_Jugos_Aperitivos!H84="","",05_Jugos_Aperitivos!H84)</f>
        <v>5</v>
      </c>
      <c r="J555" s="58" t="n">
        <f aca="false">IF(05_Jugos_Aperitivos!I84="","",05_Jugos_Aperitivos!I84)</f>
        <v>11</v>
      </c>
      <c r="K555" s="58" t="n">
        <f aca="false">IF(05_Jugos_Aperitivos!J84="","",05_Jugos_Aperitivos!J84)</f>
        <v>8</v>
      </c>
      <c r="L555" s="58" t="n">
        <f aca="false">IF(05_Jugos_Aperitivos!L84="","",05_Jugos_Aperitivos!L84)</f>
        <v>8.5</v>
      </c>
      <c r="M555" s="58" t="n">
        <f aca="false">IF(05_Jugos_Aperitivos!N84="","",05_Jugos_Aperitivos!N84)</f>
        <v>0.56</v>
      </c>
      <c r="N555" s="58" t="n">
        <f aca="false">IF(05_Jugos_Aperitivos!O84="","",05_Jugos_Aperitivos!O84)</f>
        <v>7.44</v>
      </c>
      <c r="O555" s="55" t="str">
        <f aca="false">IF(05_Jugos_Aperitivos!P84="","",05_Jugos_Aperitivos!P84)</f>
        <v>11:00-18:00</v>
      </c>
      <c r="P555" s="55" t="n">
        <f aca="false">IF(05_Jugos_Aperitivos!Q84="","",05_Jugos_Aperitivos!Q84)</f>
        <v>5</v>
      </c>
      <c r="Q555" s="55" t="str">
        <f aca="false">IF(05_Jugos_Aperitivos!R84="","",05_Jugos_Aperitivos!R84)</f>
        <v>Alto</v>
      </c>
      <c r="R555" s="55" t="str">
        <f aca="false">IF(05_Jugos_Aperitivos!S84="","",05_Jugos_Aperitivos!S84)</f>
        <v>Todo el año</v>
      </c>
      <c r="S555" s="55" t="str">
        <f aca="false">IF(05_Jugos_Aperitivos!T84="","",05_Jugos_Aperitivos!T84)</f>
        <v>Restaurante</v>
      </c>
      <c r="T555" s="56" t="str">
        <f aca="false">IF(05_Jugos_Aperitivos!U84="","",05_Jugos_Aperitivos!U84)</f>
        <v/>
      </c>
      <c r="U555" s="55" t="n">
        <v>84</v>
      </c>
      <c r="V555" s="55" t="n">
        <f aca="false">IF(AND(OR(LEN(13_Buscador!$C$5)=0,ISNUMBER(SEARCH(13_Buscador!$C$5,$C555&amp;" "&amp;$D555&amp;" "&amp;$E555&amp;" "&amp;$F555&amp;" "&amp;$S555))),OR(13_Buscador!$C$6="Todas las listas",LEN(13_Buscador!$C$6)=0,13_Buscador!$C$6=$B555)),1,0)</f>
        <v>0</v>
      </c>
      <c r="W555" s="55" t="str">
        <f aca="false">IF(V555=1,SUM($V$2:V555),"")</f>
        <v/>
      </c>
    </row>
    <row r="556" customFormat="false" ht="15" hidden="false" customHeight="true" outlineLevel="0" collapsed="false">
      <c r="A556" s="55" t="n">
        <v>555</v>
      </c>
      <c r="B556" s="55" t="s">
        <v>3331</v>
      </c>
      <c r="C556" s="55" t="str">
        <f aca="false">IF(05_Jugos_Aperitivos!B85="","",05_Jugos_Aperitivos!B85)</f>
        <v>Bebidas frías</v>
      </c>
      <c r="D556" s="56" t="str">
        <f aca="false">IF(05_Jugos_Aperitivos!C85="","",05_Jugos_Aperitivos!C85)</f>
        <v>Té helado</v>
      </c>
      <c r="E556" s="56" t="str">
        <f aca="false">IF(05_Jugos_Aperitivos!D85="","",05_Jugos_Aperitivos!D85)</f>
        <v>Infusión fría</v>
      </c>
      <c r="F556" s="56" t="str">
        <f aca="false">IF(05_Jugos_Aperitivos!E85="","",05_Jugos_Aperitivos!E85)</f>
        <v>té, agua, limón, azúcar</v>
      </c>
      <c r="G556" s="55" t="str">
        <f aca="false">IF(05_Jugos_Aperitivos!F85="","",05_Jugos_Aperitivos!F85)</f>
        <v>Vaso 500 ml</v>
      </c>
      <c r="H556" s="55" t="str">
        <f aca="false">IF(05_Jugos_Aperitivos!G85="","",05_Jugos_Aperitivos!G85)</f>
        <v>Económico</v>
      </c>
      <c r="I556" s="58" t="n">
        <f aca="false">IF(05_Jugos_Aperitivos!H85="","",05_Jugos_Aperitivos!H85)</f>
        <v>4</v>
      </c>
      <c r="J556" s="58" t="n">
        <f aca="false">IF(05_Jugos_Aperitivos!I85="","",05_Jugos_Aperitivos!I85)</f>
        <v>10</v>
      </c>
      <c r="K556" s="58" t="n">
        <f aca="false">IF(05_Jugos_Aperitivos!J85="","",05_Jugos_Aperitivos!J85)</f>
        <v>7</v>
      </c>
      <c r="L556" s="58" t="n">
        <f aca="false">IF(05_Jugos_Aperitivos!L85="","",05_Jugos_Aperitivos!L85)</f>
        <v>7.5</v>
      </c>
      <c r="M556" s="58" t="n">
        <f aca="false">IF(05_Jugos_Aperitivos!N85="","",05_Jugos_Aperitivos!N85)</f>
        <v>0.49</v>
      </c>
      <c r="N556" s="58" t="n">
        <f aca="false">IF(05_Jugos_Aperitivos!O85="","",05_Jugos_Aperitivos!O85)</f>
        <v>6.51</v>
      </c>
      <c r="O556" s="55" t="str">
        <f aca="false">IF(05_Jugos_Aperitivos!P85="","",05_Jugos_Aperitivos!P85)</f>
        <v>11:00-18:00</v>
      </c>
      <c r="P556" s="55" t="n">
        <f aca="false">IF(05_Jugos_Aperitivos!Q85="","",05_Jugos_Aperitivos!Q85)</f>
        <v>3</v>
      </c>
      <c r="Q556" s="55" t="str">
        <f aca="false">IF(05_Jugos_Aperitivos!R85="","",05_Jugos_Aperitivos!R85)</f>
        <v>Alto</v>
      </c>
      <c r="R556" s="55" t="str">
        <f aca="false">IF(05_Jugos_Aperitivos!S85="","",05_Jugos_Aperitivos!S85)</f>
        <v>Todo el año</v>
      </c>
      <c r="S556" s="55" t="str">
        <f aca="false">IF(05_Jugos_Aperitivos!T85="","",05_Jugos_Aperitivos!T85)</f>
        <v>Cafetería</v>
      </c>
      <c r="T556" s="56" t="str">
        <f aca="false">IF(05_Jugos_Aperitivos!U85="","",05_Jugos_Aperitivos!U85)</f>
        <v/>
      </c>
      <c r="U556" s="55" t="n">
        <v>85</v>
      </c>
      <c r="V556" s="55" t="n">
        <f aca="false">IF(AND(OR(LEN(13_Buscador!$C$5)=0,ISNUMBER(SEARCH(13_Buscador!$C$5,$C556&amp;" "&amp;$D556&amp;" "&amp;$E556&amp;" "&amp;$F556&amp;" "&amp;$S556))),OR(13_Buscador!$C$6="Todas las listas",LEN(13_Buscador!$C$6)=0,13_Buscador!$C$6=$B556)),1,0)</f>
        <v>0</v>
      </c>
      <c r="W556" s="55" t="str">
        <f aca="false">IF(V556=1,SUM($V$2:V556),"")</f>
        <v/>
      </c>
    </row>
    <row r="557" customFormat="false" ht="15" hidden="false" customHeight="true" outlineLevel="0" collapsed="false">
      <c r="A557" s="55" t="n">
        <v>556</v>
      </c>
      <c r="B557" s="55" t="s">
        <v>3331</v>
      </c>
      <c r="C557" s="55" t="str">
        <f aca="false">IF(05_Jugos_Aperitivos!B86="","",05_Jugos_Aperitivos!B86)</f>
        <v>Bebidas frías</v>
      </c>
      <c r="D557" s="56" t="str">
        <f aca="false">IF(05_Jugos_Aperitivos!C86="","",05_Jugos_Aperitivos!C86)</f>
        <v>Agua de coca fría</v>
      </c>
      <c r="E557" s="56" t="str">
        <f aca="false">IF(05_Jugos_Aperitivos!D86="","",05_Jugos_Aperitivos!D86)</f>
        <v>Bebida de hoja de coca</v>
      </c>
      <c r="F557" s="56" t="str">
        <f aca="false">IF(05_Jugos_Aperitivos!E86="","",05_Jugos_Aperitivos!E86)</f>
        <v>hoja de coca, agua caliente</v>
      </c>
      <c r="G557" s="55" t="str">
        <f aca="false">IF(05_Jugos_Aperitivos!F86="","",05_Jugos_Aperitivos!F86)</f>
        <v>Vaso 500 ml</v>
      </c>
      <c r="H557" s="55" t="str">
        <f aca="false">IF(05_Jugos_Aperitivos!G86="","",05_Jugos_Aperitivos!G86)</f>
        <v>Económico</v>
      </c>
      <c r="I557" s="58" t="n">
        <f aca="false">IF(05_Jugos_Aperitivos!H86="","",05_Jugos_Aperitivos!H86)</f>
        <v>3</v>
      </c>
      <c r="J557" s="58" t="n">
        <f aca="false">IF(05_Jugos_Aperitivos!I86="","",05_Jugos_Aperitivos!I86)</f>
        <v>8</v>
      </c>
      <c r="K557" s="58" t="n">
        <f aca="false">IF(05_Jugos_Aperitivos!J86="","",05_Jugos_Aperitivos!J86)</f>
        <v>5.5</v>
      </c>
      <c r="L557" s="58" t="n">
        <f aca="false">IF(05_Jugos_Aperitivos!L86="","",05_Jugos_Aperitivos!L86)</f>
        <v>6</v>
      </c>
      <c r="M557" s="58" t="n">
        <f aca="false">IF(05_Jugos_Aperitivos!N86="","",05_Jugos_Aperitivos!N86)</f>
        <v>0.39</v>
      </c>
      <c r="N557" s="58" t="n">
        <f aca="false">IF(05_Jugos_Aperitivos!O86="","",05_Jugos_Aperitivos!O86)</f>
        <v>5.11</v>
      </c>
      <c r="O557" s="55" t="str">
        <f aca="false">IF(05_Jugos_Aperitivos!P86="","",05_Jugos_Aperitivos!P86)</f>
        <v>11:00-18:00</v>
      </c>
      <c r="P557" s="55" t="n">
        <f aca="false">IF(05_Jugos_Aperitivos!Q86="","",05_Jugos_Aperitivos!Q86)</f>
        <v>3</v>
      </c>
      <c r="Q557" s="55" t="str">
        <f aca="false">IF(05_Jugos_Aperitivos!R86="","",05_Jugos_Aperitivos!R86)</f>
        <v>Alto</v>
      </c>
      <c r="R557" s="55" t="str">
        <f aca="false">IF(05_Jugos_Aperitivos!S86="","",05_Jugos_Aperitivos!S86)</f>
        <v>Todo el año</v>
      </c>
      <c r="S557" s="55" t="str">
        <f aca="false">IF(05_Jugos_Aperitivos!T86="","",05_Jugos_Aperitivos!T86)</f>
        <v>Restaurante, regional</v>
      </c>
      <c r="T557" s="56" t="str">
        <f aca="false">IF(05_Jugos_Aperitivos!U86="","",05_Jugos_Aperitivos!U86)</f>
        <v/>
      </c>
      <c r="U557" s="55" t="n">
        <v>86</v>
      </c>
      <c r="V557" s="55" t="n">
        <f aca="false">IF(AND(OR(LEN(13_Buscador!$C$5)=0,ISNUMBER(SEARCH(13_Buscador!$C$5,$C557&amp;" "&amp;$D557&amp;" "&amp;$E557&amp;" "&amp;$F557&amp;" "&amp;$S557))),OR(13_Buscador!$C$6="Todas las listas",LEN(13_Buscador!$C$6)=0,13_Buscador!$C$6=$B557)),1,0)</f>
        <v>0</v>
      </c>
      <c r="W557" s="55" t="str">
        <f aca="false">IF(V557=1,SUM($V$2:V557),"")</f>
        <v/>
      </c>
    </row>
    <row r="558" customFormat="false" ht="15" hidden="false" customHeight="true" outlineLevel="0" collapsed="false">
      <c r="A558" s="55" t="n">
        <v>557</v>
      </c>
      <c r="B558" s="55" t="s">
        <v>3331</v>
      </c>
      <c r="C558" s="55" t="str">
        <f aca="false">IF(05_Jugos_Aperitivos!B87="","",05_Jugos_Aperitivos!B87)</f>
        <v>Bebidas frías</v>
      </c>
      <c r="D558" s="56" t="str">
        <f aca="false">IF(05_Jugos_Aperitivos!C87="","",05_Jugos_Aperitivos!C87)</f>
        <v>Gaseosa 500 ml de vidrio</v>
      </c>
      <c r="E558" s="56" t="str">
        <f aca="false">IF(05_Jugos_Aperitivos!D87="","",05_Jugos_Aperitivos!D87)</f>
        <v>Botella retornable</v>
      </c>
      <c r="F558" s="56" t="str">
        <f aca="false">IF(05_Jugos_Aperitivos!E87="","",05_Jugos_Aperitivos!E87)</f>
        <v>producto embotellado de marca</v>
      </c>
      <c r="G558" s="55" t="str">
        <f aca="false">IF(05_Jugos_Aperitivos!F87="","",05_Jugos_Aperitivos!F87)</f>
        <v>Botella</v>
      </c>
      <c r="H558" s="55" t="str">
        <f aca="false">IF(05_Jugos_Aperitivos!G87="","",05_Jugos_Aperitivos!G87)</f>
        <v>Económico</v>
      </c>
      <c r="I558" s="58" t="n">
        <f aca="false">IF(05_Jugos_Aperitivos!H87="","",05_Jugos_Aperitivos!H87)</f>
        <v>2.5</v>
      </c>
      <c r="J558" s="58" t="n">
        <f aca="false">IF(05_Jugos_Aperitivos!I87="","",05_Jugos_Aperitivos!I87)</f>
        <v>5</v>
      </c>
      <c r="K558" s="58" t="n">
        <f aca="false">IF(05_Jugos_Aperitivos!J87="","",05_Jugos_Aperitivos!J87)</f>
        <v>3.8</v>
      </c>
      <c r="L558" s="58" t="n">
        <f aca="false">IF(05_Jugos_Aperitivos!L87="","",05_Jugos_Aperitivos!L87)</f>
        <v>4.3</v>
      </c>
      <c r="M558" s="58" t="n">
        <f aca="false">IF(05_Jugos_Aperitivos!N87="","",05_Jugos_Aperitivos!N87)</f>
        <v>0.27</v>
      </c>
      <c r="N558" s="58" t="n">
        <f aca="false">IF(05_Jugos_Aperitivos!O87="","",05_Jugos_Aperitivos!O87)</f>
        <v>3.53</v>
      </c>
      <c r="O558" s="55" t="str">
        <f aca="false">IF(05_Jugos_Aperitivos!P87="","",05_Jugos_Aperitivos!P87)</f>
        <v>Todo el día</v>
      </c>
      <c r="P558" s="55" t="n">
        <f aca="false">IF(05_Jugos_Aperitivos!Q87="","",05_Jugos_Aperitivos!Q87)</f>
        <v>1</v>
      </c>
      <c r="Q558" s="55" t="str">
        <f aca="false">IF(05_Jugos_Aperitivos!R87="","",05_Jugos_Aperitivos!R87)</f>
        <v>Alto</v>
      </c>
      <c r="R558" s="55" t="str">
        <f aca="false">IF(05_Jugos_Aperitivos!S87="","",05_Jugos_Aperitivos!S87)</f>
        <v>Todo el año</v>
      </c>
      <c r="S558" s="55" t="str">
        <f aca="false">IF(05_Jugos_Aperitivos!T87="","",05_Jugos_Aperitivos!T87)</f>
        <v>Menú, bodega</v>
      </c>
      <c r="T558" s="56" t="str">
        <f aca="false">IF(05_Jugos_Aperitivos!U87="","",05_Jugos_Aperitivos!U87)</f>
        <v/>
      </c>
      <c r="U558" s="55" t="n">
        <v>87</v>
      </c>
      <c r="V558" s="55" t="n">
        <f aca="false">IF(AND(OR(LEN(13_Buscador!$C$5)=0,ISNUMBER(SEARCH(13_Buscador!$C$5,$C558&amp;" "&amp;$D558&amp;" "&amp;$E558&amp;" "&amp;$F558&amp;" "&amp;$S558))),OR(13_Buscador!$C$6="Todas las listas",LEN(13_Buscador!$C$6)=0,13_Buscador!$C$6=$B558)),1,0)</f>
        <v>0</v>
      </c>
      <c r="W558" s="55" t="str">
        <f aca="false">IF(V558=1,SUM($V$2:V558),"")</f>
        <v/>
      </c>
    </row>
    <row r="559" customFormat="false" ht="15" hidden="false" customHeight="true" outlineLevel="0" collapsed="false">
      <c r="A559" s="55" t="n">
        <v>558</v>
      </c>
      <c r="B559" s="55" t="s">
        <v>3331</v>
      </c>
      <c r="C559" s="55" t="str">
        <f aca="false">IF(05_Jugos_Aperitivos!B88="","",05_Jugos_Aperitivos!B88)</f>
        <v>Aperitivos y piqueos</v>
      </c>
      <c r="D559" s="56" t="str">
        <f aca="false">IF(05_Jugos_Aperitivos!C88="","",05_Jugos_Aperitivos!C88)</f>
        <v>Salchipapa de entrada</v>
      </c>
      <c r="E559" s="56" t="str">
        <f aca="false">IF(05_Jugos_Aperitivos!D88="","",05_Jugos_Aperitivos!D88)</f>
        <v>Porción pequeña</v>
      </c>
      <c r="F559" s="56" t="str">
        <f aca="false">IF(05_Jugos_Aperitivos!E88="","",05_Jugos_Aperitivos!E88)</f>
        <v>papa frita, salchicha, mayonesa, ketchup, mostaza</v>
      </c>
      <c r="G559" s="55" t="str">
        <f aca="false">IF(05_Jugos_Aperitivos!F88="","",05_Jugos_Aperitivos!F88)</f>
        <v>Porción</v>
      </c>
      <c r="H559" s="55" t="str">
        <f aca="false">IF(05_Jugos_Aperitivos!G88="","",05_Jugos_Aperitivos!G88)</f>
        <v>Económico</v>
      </c>
      <c r="I559" s="58" t="n">
        <f aca="false">IF(05_Jugos_Aperitivos!H88="","",05_Jugos_Aperitivos!H88)</f>
        <v>5</v>
      </c>
      <c r="J559" s="58" t="n">
        <f aca="false">IF(05_Jugos_Aperitivos!I88="","",05_Jugos_Aperitivos!I88)</f>
        <v>10</v>
      </c>
      <c r="K559" s="58" t="n">
        <f aca="false">IF(05_Jugos_Aperitivos!J88="","",05_Jugos_Aperitivos!J88)</f>
        <v>7.5</v>
      </c>
      <c r="L559" s="58" t="n">
        <f aca="false">IF(05_Jugos_Aperitivos!L88="","",05_Jugos_Aperitivos!L88)</f>
        <v>8</v>
      </c>
      <c r="M559" s="58" t="n">
        <f aca="false">IF(05_Jugos_Aperitivos!N88="","",05_Jugos_Aperitivos!N88)</f>
        <v>0.53</v>
      </c>
      <c r="N559" s="58" t="n">
        <f aca="false">IF(05_Jugos_Aperitivos!O88="","",05_Jugos_Aperitivos!O88)</f>
        <v>6.97</v>
      </c>
      <c r="O559" s="55" t="str">
        <f aca="false">IF(05_Jugos_Aperitivos!P88="","",05_Jugos_Aperitivos!P88)</f>
        <v>17:00-23:00</v>
      </c>
      <c r="P559" s="55" t="n">
        <f aca="false">IF(05_Jugos_Aperitivos!Q88="","",05_Jugos_Aperitivos!Q88)</f>
        <v>7</v>
      </c>
      <c r="Q559" s="55" t="str">
        <f aca="false">IF(05_Jugos_Aperitivos!R88="","",05_Jugos_Aperitivos!R88)</f>
        <v>Medio</v>
      </c>
      <c r="R559" s="55" t="str">
        <f aca="false">IF(05_Jugos_Aperitivos!S88="","",05_Jugos_Aperitivos!S88)</f>
        <v>Todo el año</v>
      </c>
      <c r="S559" s="55" t="str">
        <f aca="false">IF(05_Jugos_Aperitivos!T88="","",05_Jugos_Aperitivos!T88)</f>
        <v>Bar</v>
      </c>
      <c r="T559" s="56" t="str">
        <f aca="false">IF(05_Jugos_Aperitivos!U88="","",05_Jugos_Aperitivos!U88)</f>
        <v/>
      </c>
      <c r="U559" s="55" t="n">
        <v>88</v>
      </c>
      <c r="V559" s="55" t="n">
        <f aca="false">IF(AND(OR(LEN(13_Buscador!$C$5)=0,ISNUMBER(SEARCH(13_Buscador!$C$5,$C559&amp;" "&amp;$D559&amp;" "&amp;$E559&amp;" "&amp;$F559&amp;" "&amp;$S559))),OR(13_Buscador!$C$6="Todas las listas",LEN(13_Buscador!$C$6)=0,13_Buscador!$C$6=$B559)),1,0)</f>
        <v>0</v>
      </c>
      <c r="W559" s="55" t="str">
        <f aca="false">IF(V559=1,SUM($V$2:V559),"")</f>
        <v/>
      </c>
    </row>
    <row r="560" customFormat="false" ht="15" hidden="false" customHeight="true" outlineLevel="0" collapsed="false">
      <c r="A560" s="55" t="n">
        <v>559</v>
      </c>
      <c r="B560" s="55" t="s">
        <v>3331</v>
      </c>
      <c r="C560" s="55" t="str">
        <f aca="false">IF(05_Jugos_Aperitivos!B89="","",05_Jugos_Aperitivos!B89)</f>
        <v>Aperitivos y piqueos</v>
      </c>
      <c r="D560" s="56" t="str">
        <f aca="false">IF(05_Jugos_Aperitivos!C89="","",05_Jugos_Aperitivos!C89)</f>
        <v>Chicharrón de pollo de entrada</v>
      </c>
      <c r="E560" s="56" t="str">
        <f aca="false">IF(05_Jugos_Aperitivos!D89="","",05_Jugos_Aperitivos!D89)</f>
        <v>Porción para picar</v>
      </c>
      <c r="F560" s="56" t="str">
        <f aca="false">IF(05_Jugos_Aperitivos!E89="","",05_Jugos_Aperitivos!E89)</f>
        <v>pollo, harina, huevo, especias, aceite, limón</v>
      </c>
      <c r="G560" s="55" t="str">
        <f aca="false">IF(05_Jugos_Aperitivos!F89="","",05_Jugos_Aperitivos!F89)</f>
        <v>Porción</v>
      </c>
      <c r="H560" s="55" t="str">
        <f aca="false">IF(05_Jugos_Aperitivos!G89="","",05_Jugos_Aperitivos!G89)</f>
        <v>Estándar</v>
      </c>
      <c r="I560" s="58" t="n">
        <f aca="false">IF(05_Jugos_Aperitivos!H89="","",05_Jugos_Aperitivos!H89)</f>
        <v>9</v>
      </c>
      <c r="J560" s="58" t="n">
        <f aca="false">IF(05_Jugos_Aperitivos!I89="","",05_Jugos_Aperitivos!I89)</f>
        <v>18</v>
      </c>
      <c r="K560" s="58" t="n">
        <f aca="false">IF(05_Jugos_Aperitivos!J89="","",05_Jugos_Aperitivos!J89)</f>
        <v>13.5</v>
      </c>
      <c r="L560" s="58" t="n">
        <f aca="false">IF(05_Jugos_Aperitivos!L89="","",05_Jugos_Aperitivos!L89)</f>
        <v>14</v>
      </c>
      <c r="M560" s="58" t="n">
        <f aca="false">IF(05_Jugos_Aperitivos!N89="","",05_Jugos_Aperitivos!N89)</f>
        <v>1.22</v>
      </c>
      <c r="N560" s="58" t="n">
        <f aca="false">IF(05_Jugos_Aperitivos!O89="","",05_Jugos_Aperitivos!O89)</f>
        <v>12.28</v>
      </c>
      <c r="O560" s="55" t="str">
        <f aca="false">IF(05_Jugos_Aperitivos!P89="","",05_Jugos_Aperitivos!P89)</f>
        <v>17:00-23:00</v>
      </c>
      <c r="P560" s="55" t="n">
        <f aca="false">IF(05_Jugos_Aperitivos!Q89="","",05_Jugos_Aperitivos!Q89)</f>
        <v>12</v>
      </c>
      <c r="Q560" s="55" t="str">
        <f aca="false">IF(05_Jugos_Aperitivos!R89="","",05_Jugos_Aperitivos!R89)</f>
        <v>Medio</v>
      </c>
      <c r="R560" s="55" t="str">
        <f aca="false">IF(05_Jugos_Aperitivos!S89="","",05_Jugos_Aperitivos!S89)</f>
        <v>Todo el año</v>
      </c>
      <c r="S560" s="55" t="str">
        <f aca="false">IF(05_Jugos_Aperitivos!T89="","",05_Jugos_Aperitivos!T89)</f>
        <v>Bar</v>
      </c>
      <c r="T560" s="56" t="str">
        <f aca="false">IF(05_Jugos_Aperitivos!U89="","",05_Jugos_Aperitivos!U89)</f>
        <v/>
      </c>
      <c r="U560" s="55" t="n">
        <v>89</v>
      </c>
      <c r="V560" s="55" t="n">
        <f aca="false">IF(AND(OR(LEN(13_Buscador!$C$5)=0,ISNUMBER(SEARCH(13_Buscador!$C$5,$C560&amp;" "&amp;$D560&amp;" "&amp;$E560&amp;" "&amp;$F560&amp;" "&amp;$S560))),OR(13_Buscador!$C$6="Todas las listas",LEN(13_Buscador!$C$6)=0,13_Buscador!$C$6=$B560)),1,0)</f>
        <v>1</v>
      </c>
      <c r="W560" s="55" t="n">
        <f aca="false">IF(V560=1,SUM($V$2:V560),"")</f>
        <v>104</v>
      </c>
    </row>
    <row r="561" customFormat="false" ht="15" hidden="false" customHeight="true" outlineLevel="0" collapsed="false">
      <c r="A561" s="55" t="n">
        <v>560</v>
      </c>
      <c r="B561" s="55" t="s">
        <v>3331</v>
      </c>
      <c r="C561" s="55" t="str">
        <f aca="false">IF(05_Jugos_Aperitivos!B90="","",05_Jugos_Aperitivos!B90)</f>
        <v>Aperitivos y piqueos</v>
      </c>
      <c r="D561" s="56" t="str">
        <f aca="false">IF(05_Jugos_Aperitivos!C90="","",05_Jugos_Aperitivos!C90)</f>
        <v>Tabla de frituras</v>
      </c>
      <c r="E561" s="56" t="str">
        <f aca="false">IF(05_Jugos_Aperitivos!D90="","",05_Jugos_Aperitivos!D90)</f>
        <v>Yuca, papa, queso, chicharrón</v>
      </c>
      <c r="F561" s="56" t="str">
        <f aca="false">IF(05_Jugos_Aperitivos!E90="","",05_Jugos_Aperitivos!E90)</f>
        <v>surtido de preparaciones de la casa</v>
      </c>
      <c r="G561" s="55" t="str">
        <f aca="false">IF(05_Jugos_Aperitivos!F90="","",05_Jugos_Aperitivos!F90)</f>
        <v>Fuente</v>
      </c>
      <c r="H561" s="55" t="str">
        <f aca="false">IF(05_Jugos_Aperitivos!G90="","",05_Jugos_Aperitivos!G90)</f>
        <v>Medio</v>
      </c>
      <c r="I561" s="58" t="n">
        <f aca="false">IF(05_Jugos_Aperitivos!H90="","",05_Jugos_Aperitivos!H90)</f>
        <v>18</v>
      </c>
      <c r="J561" s="58" t="n">
        <f aca="false">IF(05_Jugos_Aperitivos!I90="","",05_Jugos_Aperitivos!I90)</f>
        <v>35</v>
      </c>
      <c r="K561" s="58" t="n">
        <f aca="false">IF(05_Jugos_Aperitivos!J90="","",05_Jugos_Aperitivos!J90)</f>
        <v>26.5</v>
      </c>
      <c r="L561" s="58" t="n">
        <f aca="false">IF(05_Jugos_Aperitivos!L90="","",05_Jugos_Aperitivos!L90)</f>
        <v>27</v>
      </c>
      <c r="M561" s="58" t="n">
        <f aca="false">IF(05_Jugos_Aperitivos!N90="","",05_Jugos_Aperitivos!N90)</f>
        <v>2.92</v>
      </c>
      <c r="N561" s="58" t="n">
        <f aca="false">IF(05_Jugos_Aperitivos!O90="","",05_Jugos_Aperitivos!O90)</f>
        <v>23.58</v>
      </c>
      <c r="O561" s="55" t="str">
        <f aca="false">IF(05_Jugos_Aperitivos!P90="","",05_Jugos_Aperitivos!P90)</f>
        <v>17:00-23:00</v>
      </c>
      <c r="P561" s="55" t="n">
        <f aca="false">IF(05_Jugos_Aperitivos!Q90="","",05_Jugos_Aperitivos!Q90)</f>
        <v>18</v>
      </c>
      <c r="Q561" s="55" t="str">
        <f aca="false">IF(05_Jugos_Aperitivos!R90="","",05_Jugos_Aperitivos!R90)</f>
        <v>Medio</v>
      </c>
      <c r="R561" s="55" t="str">
        <f aca="false">IF(05_Jugos_Aperitivos!S90="","",05_Jugos_Aperitivos!S90)</f>
        <v>Fin de semana</v>
      </c>
      <c r="S561" s="55" t="str">
        <f aca="false">IF(05_Jugos_Aperitivos!T90="","",05_Jugos_Aperitivos!T90)</f>
        <v>Bar</v>
      </c>
      <c r="T561" s="56" t="str">
        <f aca="false">IF(05_Jugos_Aperitivos!U90="","",05_Jugos_Aperitivos!U90)</f>
        <v/>
      </c>
      <c r="U561" s="55" t="n">
        <v>90</v>
      </c>
      <c r="V561" s="55" t="n">
        <f aca="false">IF(AND(OR(LEN(13_Buscador!$C$5)=0,ISNUMBER(SEARCH(13_Buscador!$C$5,$C561&amp;" "&amp;$D561&amp;" "&amp;$E561&amp;" "&amp;$F561&amp;" "&amp;$S561))),OR(13_Buscador!$C$6="Todas las listas",LEN(13_Buscador!$C$6)=0,13_Buscador!$C$6=$B561)),1,0)</f>
        <v>0</v>
      </c>
      <c r="W561" s="55" t="str">
        <f aca="false">IF(V561=1,SUM($V$2:V561),"")</f>
        <v/>
      </c>
    </row>
    <row r="562" customFormat="false" ht="15" hidden="false" customHeight="true" outlineLevel="0" collapsed="false">
      <c r="A562" s="55" t="n">
        <v>561</v>
      </c>
      <c r="B562" s="55" t="s">
        <v>3331</v>
      </c>
      <c r="C562" s="55" t="str">
        <f aca="false">IF(05_Jugos_Aperitivos!B91="","",05_Jugos_Aperitivos!B91)</f>
        <v>Aperitivos y piqueos</v>
      </c>
      <c r="D562" s="56" t="str">
        <f aca="false">IF(05_Jugos_Aperitivos!C91="","",05_Jugos_Aperitivos!C91)</f>
        <v>Choclo con queso grande</v>
      </c>
      <c r="E562" s="56" t="str">
        <f aca="false">IF(05_Jugos_Aperitivos!D91="","",05_Jugos_Aperitivos!D91)</f>
        <v>Porción doble</v>
      </c>
      <c r="F562" s="56" t="str">
        <f aca="false">IF(05_Jugos_Aperitivos!E91="","",05_Jugos_Aperitivos!E91)</f>
        <v>maíz cocido, queso fresco, sal</v>
      </c>
      <c r="G562" s="55" t="str">
        <f aca="false">IF(05_Jugos_Aperitivos!F91="","",05_Jugos_Aperitivos!F91)</f>
        <v>Porción</v>
      </c>
      <c r="H562" s="55" t="str">
        <f aca="false">IF(05_Jugos_Aperitivos!G91="","",05_Jugos_Aperitivos!G91)</f>
        <v>Económico</v>
      </c>
      <c r="I562" s="58" t="n">
        <f aca="false">IF(05_Jugos_Aperitivos!H91="","",05_Jugos_Aperitivos!H91)</f>
        <v>5</v>
      </c>
      <c r="J562" s="58" t="n">
        <f aca="false">IF(05_Jugos_Aperitivos!I91="","",05_Jugos_Aperitivos!I91)</f>
        <v>12</v>
      </c>
      <c r="K562" s="58" t="n">
        <f aca="false">IF(05_Jugos_Aperitivos!J91="","",05_Jugos_Aperitivos!J91)</f>
        <v>8.5</v>
      </c>
      <c r="L562" s="58" t="n">
        <f aca="false">IF(05_Jugos_Aperitivos!L91="","",05_Jugos_Aperitivos!L91)</f>
        <v>9</v>
      </c>
      <c r="M562" s="58" t="n">
        <f aca="false">IF(05_Jugos_Aperitivos!N91="","",05_Jugos_Aperitivos!N91)</f>
        <v>0.6</v>
      </c>
      <c r="N562" s="58" t="n">
        <f aca="false">IF(05_Jugos_Aperitivos!O91="","",05_Jugos_Aperitivos!O91)</f>
        <v>7.9</v>
      </c>
      <c r="O562" s="55" t="str">
        <f aca="false">IF(05_Jugos_Aperitivos!P91="","",05_Jugos_Aperitivos!P91)</f>
        <v>Todo el día</v>
      </c>
      <c r="P562" s="55" t="n">
        <f aca="false">IF(05_Jugos_Aperitivos!Q91="","",05_Jugos_Aperitivos!Q91)</f>
        <v>5</v>
      </c>
      <c r="Q562" s="55" t="str">
        <f aca="false">IF(05_Jugos_Aperitivos!R91="","",05_Jugos_Aperitivos!R91)</f>
        <v>Alto</v>
      </c>
      <c r="R562" s="55" t="str">
        <f aca="false">IF(05_Jugos_Aperitivos!S91="","",05_Jugos_Aperitivos!S91)</f>
        <v>Todo el año</v>
      </c>
      <c r="S562" s="55" t="str">
        <f aca="false">IF(05_Jugos_Aperitivos!T91="","",05_Jugos_Aperitivos!T91)</f>
        <v>Mercado, ambulante</v>
      </c>
      <c r="T562" s="56" t="str">
        <f aca="false">IF(05_Jugos_Aperitivos!U91="","",05_Jugos_Aperitivos!U91)</f>
        <v/>
      </c>
      <c r="U562" s="55" t="n">
        <v>91</v>
      </c>
      <c r="V562" s="55" t="n">
        <f aca="false">IF(AND(OR(LEN(13_Buscador!$C$5)=0,ISNUMBER(SEARCH(13_Buscador!$C$5,$C562&amp;" "&amp;$D562&amp;" "&amp;$E562&amp;" "&amp;$F562&amp;" "&amp;$S562))),OR(13_Buscador!$C$6="Todas las listas",LEN(13_Buscador!$C$6)=0,13_Buscador!$C$6=$B562)),1,0)</f>
        <v>0</v>
      </c>
      <c r="W562" s="55" t="str">
        <f aca="false">IF(V562=1,SUM($V$2:V562),"")</f>
        <v/>
      </c>
    </row>
    <row r="563" customFormat="false" ht="15" hidden="false" customHeight="true" outlineLevel="0" collapsed="false">
      <c r="A563" s="55" t="n">
        <v>562</v>
      </c>
      <c r="B563" s="55" t="s">
        <v>3331</v>
      </c>
      <c r="C563" s="55" t="str">
        <f aca="false">IF(05_Jugos_Aperitivos!B92="","",05_Jugos_Aperitivos!B92)</f>
        <v>Aperitivos y piqueos</v>
      </c>
      <c r="D563" s="56" t="str">
        <f aca="false">IF(05_Jugos_Aperitivos!C92="","",05_Jugos_Aperitivos!C92)</f>
        <v>Ocopa arequipeña</v>
      </c>
      <c r="E563" s="56" t="str">
        <f aca="false">IF(05_Jugos_Aperitivos!D92="","",05_Jugos_Aperitivos!D92)</f>
        <v>Papa con salsa de huacatay</v>
      </c>
      <c r="F563" s="56" t="str">
        <f aca="false">IF(05_Jugos_Aperitivos!E92="","",05_Jugos_Aperitivos!E92)</f>
        <v>papa, huacatay, ají amarillo, queso, maní, galleta</v>
      </c>
      <c r="G563" s="55" t="str">
        <f aca="false">IF(05_Jugos_Aperitivos!F92="","",05_Jugos_Aperitivos!F92)</f>
        <v>Porción</v>
      </c>
      <c r="H563" s="55" t="str">
        <f aca="false">IF(05_Jugos_Aperitivos!G92="","",05_Jugos_Aperitivos!G92)</f>
        <v>Económico</v>
      </c>
      <c r="I563" s="58" t="n">
        <f aca="false">IF(05_Jugos_Aperitivos!H92="","",05_Jugos_Aperitivos!H92)</f>
        <v>7</v>
      </c>
      <c r="J563" s="58" t="n">
        <f aca="false">IF(05_Jugos_Aperitivos!I92="","",05_Jugos_Aperitivos!I92)</f>
        <v>14</v>
      </c>
      <c r="K563" s="58" t="n">
        <f aca="false">IF(05_Jugos_Aperitivos!J92="","",05_Jugos_Aperitivos!J92)</f>
        <v>10.5</v>
      </c>
      <c r="L563" s="58" t="n">
        <f aca="false">IF(05_Jugos_Aperitivos!L92="","",05_Jugos_Aperitivos!L92)</f>
        <v>11</v>
      </c>
      <c r="M563" s="58" t="n">
        <f aca="false">IF(05_Jugos_Aperitivos!N92="","",05_Jugos_Aperitivos!N92)</f>
        <v>0.74</v>
      </c>
      <c r="N563" s="58" t="n">
        <f aca="false">IF(05_Jugos_Aperitivos!O92="","",05_Jugos_Aperitivos!O92)</f>
        <v>9.76</v>
      </c>
      <c r="O563" s="55" t="str">
        <f aca="false">IF(05_Jugos_Aperitivos!P92="","",05_Jugos_Aperitivos!P92)</f>
        <v>11:00-20:00</v>
      </c>
      <c r="P563" s="55" t="n">
        <f aca="false">IF(05_Jugos_Aperitivos!Q92="","",05_Jugos_Aperitivos!Q92)</f>
        <v>6</v>
      </c>
      <c r="Q563" s="55" t="str">
        <f aca="false">IF(05_Jugos_Aperitivos!R92="","",05_Jugos_Aperitivos!R92)</f>
        <v>Alto</v>
      </c>
      <c r="R563" s="55" t="str">
        <f aca="false">IF(05_Jugos_Aperitivos!S92="","",05_Jugos_Aperitivos!S92)</f>
        <v>Todo el año</v>
      </c>
      <c r="S563" s="55" t="str">
        <f aca="false">IF(05_Jugos_Aperitivos!T92="","",05_Jugos_Aperitivos!T92)</f>
        <v>Restaurante</v>
      </c>
      <c r="T563" s="56" t="str">
        <f aca="false">IF(05_Jugos_Aperitivos!U92="","",05_Jugos_Aperitivos!U92)</f>
        <v/>
      </c>
      <c r="U563" s="55" t="n">
        <v>92</v>
      </c>
      <c r="V563" s="55" t="n">
        <f aca="false">IF(AND(OR(LEN(13_Buscador!$C$5)=0,ISNUMBER(SEARCH(13_Buscador!$C$5,$C563&amp;" "&amp;$D563&amp;" "&amp;$E563&amp;" "&amp;$F563&amp;" "&amp;$S563))),OR(13_Buscador!$C$6="Todas las listas",LEN(13_Buscador!$C$6)=0,13_Buscador!$C$6=$B563)),1,0)</f>
        <v>0</v>
      </c>
      <c r="W563" s="55" t="str">
        <f aca="false">IF(V563=1,SUM($V$2:V563),"")</f>
        <v/>
      </c>
    </row>
    <row r="564" customFormat="false" ht="23.25" hidden="false" customHeight="true" outlineLevel="0" collapsed="false">
      <c r="A564" s="55" t="n">
        <v>563</v>
      </c>
      <c r="B564" s="55" t="s">
        <v>3331</v>
      </c>
      <c r="C564" s="55" t="str">
        <f aca="false">IF(05_Jugos_Aperitivos!B93="","",05_Jugos_Aperitivos!B93)</f>
        <v>Aperitivos y piqueos</v>
      </c>
      <c r="D564" s="56" t="str">
        <f aca="false">IF(05_Jugos_Aperitivos!C93="","",05_Jugos_Aperitivos!C93)</f>
        <v>Tamalito verde</v>
      </c>
      <c r="E564" s="56" t="str">
        <f aca="false">IF(05_Jugos_Aperitivos!D93="","",05_Jugos_Aperitivos!D93)</f>
        <v>Tamal de choclo</v>
      </c>
      <c r="F564" s="56" t="str">
        <f aca="false">IF(05_Jugos_Aperitivos!E93="","",05_Jugos_Aperitivos!E93)</f>
        <v>maíz pelado, carne de cerdo o pollo, ají, manteca, hoja de plátano</v>
      </c>
      <c r="G564" s="55" t="str">
        <f aca="false">IF(05_Jugos_Aperitivos!F93="","",05_Jugos_Aperitivos!F93)</f>
        <v>Unidad</v>
      </c>
      <c r="H564" s="55" t="str">
        <f aca="false">IF(05_Jugos_Aperitivos!G93="","",05_Jugos_Aperitivos!G93)</f>
        <v>Económico</v>
      </c>
      <c r="I564" s="58" t="n">
        <f aca="false">IF(05_Jugos_Aperitivos!H93="","",05_Jugos_Aperitivos!H93)</f>
        <v>3</v>
      </c>
      <c r="J564" s="58" t="n">
        <f aca="false">IF(05_Jugos_Aperitivos!I93="","",05_Jugos_Aperitivos!I93)</f>
        <v>8</v>
      </c>
      <c r="K564" s="58" t="n">
        <f aca="false">IF(05_Jugos_Aperitivos!J93="","",05_Jugos_Aperitivos!J93)</f>
        <v>5.5</v>
      </c>
      <c r="L564" s="58" t="n">
        <f aca="false">IF(05_Jugos_Aperitivos!L93="","",05_Jugos_Aperitivos!L93)</f>
        <v>6</v>
      </c>
      <c r="M564" s="58" t="n">
        <f aca="false">IF(05_Jugos_Aperitivos!N93="","",05_Jugos_Aperitivos!N93)</f>
        <v>0.39</v>
      </c>
      <c r="N564" s="58" t="n">
        <f aca="false">IF(05_Jugos_Aperitivos!O93="","",05_Jugos_Aperitivos!O93)</f>
        <v>5.11</v>
      </c>
      <c r="O564" s="55" t="str">
        <f aca="false">IF(05_Jugos_Aperitivos!P93="","",05_Jugos_Aperitivos!P93)</f>
        <v>Todo el día</v>
      </c>
      <c r="P564" s="55" t="n">
        <f aca="false">IF(05_Jugos_Aperitivos!Q93="","",05_Jugos_Aperitivos!Q93)</f>
        <v>3</v>
      </c>
      <c r="Q564" s="55" t="str">
        <f aca="false">IF(05_Jugos_Aperitivos!R93="","",05_Jugos_Aperitivos!R93)</f>
        <v>Alto</v>
      </c>
      <c r="R564" s="55" t="str">
        <f aca="false">IF(05_Jugos_Aperitivos!S93="","",05_Jugos_Aperitivos!S93)</f>
        <v>Todo el año</v>
      </c>
      <c r="S564" s="55" t="str">
        <f aca="false">IF(05_Jugos_Aperitivos!T93="","",05_Jugos_Aperitivos!T93)</f>
        <v>Mercado</v>
      </c>
      <c r="T564" s="56" t="str">
        <f aca="false">IF(05_Jugos_Aperitivos!U93="","",05_Jugos_Aperitivos!U93)</f>
        <v/>
      </c>
      <c r="U564" s="55" t="n">
        <v>93</v>
      </c>
      <c r="V564" s="55" t="n">
        <f aca="false">IF(AND(OR(LEN(13_Buscador!$C$5)=0,ISNUMBER(SEARCH(13_Buscador!$C$5,$C564&amp;" "&amp;$D564&amp;" "&amp;$E564&amp;" "&amp;$F564&amp;" "&amp;$S564))),OR(13_Buscador!$C$6="Todas las listas",LEN(13_Buscador!$C$6)=0,13_Buscador!$C$6=$B564)),1,0)</f>
        <v>1</v>
      </c>
      <c r="W564" s="55" t="n">
        <f aca="false">IF(V564=1,SUM($V$2:V564),"")</f>
        <v>105</v>
      </c>
    </row>
    <row r="565" customFormat="false" ht="23.25" hidden="false" customHeight="true" outlineLevel="0" collapsed="false">
      <c r="A565" s="55" t="n">
        <v>564</v>
      </c>
      <c r="B565" s="55" t="s">
        <v>3331</v>
      </c>
      <c r="C565" s="55" t="str">
        <f aca="false">IF(05_Jugos_Aperitivos!B94="","",05_Jugos_Aperitivos!B94)</f>
        <v>Aperitivos y piqueos</v>
      </c>
      <c r="D565" s="56" t="str">
        <f aca="false">IF(05_Jugos_Aperitivos!C94="","",05_Jugos_Aperitivos!C94)</f>
        <v>Anticucho de entrada doble</v>
      </c>
      <c r="E565" s="56" t="str">
        <f aca="false">IF(05_Jugos_Aperitivos!D94="","",05_Jugos_Aperitivos!D94)</f>
        <v>2 palos pequeños</v>
      </c>
      <c r="F565" s="56" t="str">
        <f aca="false">IF(05_Jugos_Aperitivos!E94="","",05_Jugos_Aperitivos!E94)</f>
        <v>corazón de res, ají panca, vinagre, comino, ajo, papa, choclo</v>
      </c>
      <c r="G565" s="55" t="str">
        <f aca="false">IF(05_Jugos_Aperitivos!F94="","",05_Jugos_Aperitivos!F94)</f>
        <v>Porción</v>
      </c>
      <c r="H565" s="55" t="str">
        <f aca="false">IF(05_Jugos_Aperitivos!G94="","",05_Jugos_Aperitivos!G94)</f>
        <v>Económico</v>
      </c>
      <c r="I565" s="58" t="n">
        <f aca="false">IF(05_Jugos_Aperitivos!H94="","",05_Jugos_Aperitivos!H94)</f>
        <v>8</v>
      </c>
      <c r="J565" s="58" t="n">
        <f aca="false">IF(05_Jugos_Aperitivos!I94="","",05_Jugos_Aperitivos!I94)</f>
        <v>15</v>
      </c>
      <c r="K565" s="58" t="n">
        <f aca="false">IF(05_Jugos_Aperitivos!J94="","",05_Jugos_Aperitivos!J94)</f>
        <v>11.5</v>
      </c>
      <c r="L565" s="58" t="n">
        <f aca="false">IF(05_Jugos_Aperitivos!L94="","",05_Jugos_Aperitivos!L94)</f>
        <v>12</v>
      </c>
      <c r="M565" s="58" t="n">
        <f aca="false">IF(05_Jugos_Aperitivos!N94="","",05_Jugos_Aperitivos!N94)</f>
        <v>0.81</v>
      </c>
      <c r="N565" s="58" t="n">
        <f aca="false">IF(05_Jugos_Aperitivos!O94="","",05_Jugos_Aperitivos!O94)</f>
        <v>10.69</v>
      </c>
      <c r="O565" s="55" t="str">
        <f aca="false">IF(05_Jugos_Aperitivos!P94="","",05_Jugos_Aperitivos!P94)</f>
        <v>18:00-23:00</v>
      </c>
      <c r="P565" s="55" t="n">
        <f aca="false">IF(05_Jugos_Aperitivos!Q94="","",05_Jugos_Aperitivos!Q94)</f>
        <v>10</v>
      </c>
      <c r="Q565" s="55" t="str">
        <f aca="false">IF(05_Jugos_Aperitivos!R94="","",05_Jugos_Aperitivos!R94)</f>
        <v>Medio</v>
      </c>
      <c r="R565" s="55" t="str">
        <f aca="false">IF(05_Jugos_Aperitivos!S94="","",05_Jugos_Aperitivos!S94)</f>
        <v>Todo el año</v>
      </c>
      <c r="S565" s="55" t="str">
        <f aca="false">IF(05_Jugos_Aperitivos!T94="","",05_Jugos_Aperitivos!T94)</f>
        <v>Parrilla</v>
      </c>
      <c r="T565" s="56" t="str">
        <f aca="false">IF(05_Jugos_Aperitivos!U94="","",05_Jugos_Aperitivos!U94)</f>
        <v/>
      </c>
      <c r="U565" s="55" t="n">
        <v>94</v>
      </c>
      <c r="V565" s="55" t="n">
        <f aca="false">IF(AND(OR(LEN(13_Buscador!$C$5)=0,ISNUMBER(SEARCH(13_Buscador!$C$5,$C565&amp;" "&amp;$D565&amp;" "&amp;$E565&amp;" "&amp;$F565&amp;" "&amp;$S565))),OR(13_Buscador!$C$6="Todas las listas",LEN(13_Buscador!$C$6)=0,13_Buscador!$C$6=$B565)),1,0)</f>
        <v>0</v>
      </c>
      <c r="W565" s="55" t="str">
        <f aca="false">IF(V565=1,SUM($V$2:V565),"")</f>
        <v/>
      </c>
    </row>
    <row r="566" customFormat="false" ht="15" hidden="false" customHeight="true" outlineLevel="0" collapsed="false">
      <c r="A566" s="55" t="n">
        <v>565</v>
      </c>
      <c r="B566" s="55" t="s">
        <v>3331</v>
      </c>
      <c r="C566" s="55" t="str">
        <f aca="false">IF(05_Jugos_Aperitivos!B95="","",05_Jugos_Aperitivos!B95)</f>
        <v>Aperitivos y piqueos</v>
      </c>
      <c r="D566" s="56" t="str">
        <f aca="false">IF(05_Jugos_Aperitivos!C95="","",05_Jugos_Aperitivos!C95)</f>
        <v>Palitos de queso</v>
      </c>
      <c r="E566" s="56" t="str">
        <f aca="false">IF(05_Jugos_Aperitivos!D95="","",05_Jugos_Aperitivos!D95)</f>
        <v>Queso apanado frito</v>
      </c>
      <c r="F566" s="56" t="str">
        <f aca="false">IF(05_Jugos_Aperitivos!E95="","",05_Jugos_Aperitivos!E95)</f>
        <v>queso, harina, huevo, pan molido, aceite</v>
      </c>
      <c r="G566" s="55" t="str">
        <f aca="false">IF(05_Jugos_Aperitivos!F95="","",05_Jugos_Aperitivos!F95)</f>
        <v>Porción</v>
      </c>
      <c r="H566" s="55" t="str">
        <f aca="false">IF(05_Jugos_Aperitivos!G95="","",05_Jugos_Aperitivos!G95)</f>
        <v>Estándar</v>
      </c>
      <c r="I566" s="58" t="n">
        <f aca="false">IF(05_Jugos_Aperitivos!H95="","",05_Jugos_Aperitivos!H95)</f>
        <v>9</v>
      </c>
      <c r="J566" s="58" t="n">
        <f aca="false">IF(05_Jugos_Aperitivos!I95="","",05_Jugos_Aperitivos!I95)</f>
        <v>18</v>
      </c>
      <c r="K566" s="58" t="n">
        <f aca="false">IF(05_Jugos_Aperitivos!J95="","",05_Jugos_Aperitivos!J95)</f>
        <v>13.5</v>
      </c>
      <c r="L566" s="58" t="n">
        <f aca="false">IF(05_Jugos_Aperitivos!L95="","",05_Jugos_Aperitivos!L95)</f>
        <v>14</v>
      </c>
      <c r="M566" s="58" t="n">
        <f aca="false">IF(05_Jugos_Aperitivos!N95="","",05_Jugos_Aperitivos!N95)</f>
        <v>1.22</v>
      </c>
      <c r="N566" s="58" t="n">
        <f aca="false">IF(05_Jugos_Aperitivos!O95="","",05_Jugos_Aperitivos!O95)</f>
        <v>12.28</v>
      </c>
      <c r="O566" s="55" t="str">
        <f aca="false">IF(05_Jugos_Aperitivos!P95="","",05_Jugos_Aperitivos!P95)</f>
        <v>17:00-23:00</v>
      </c>
      <c r="P566" s="55" t="n">
        <f aca="false">IF(05_Jugos_Aperitivos!Q95="","",05_Jugos_Aperitivos!Q95)</f>
        <v>10</v>
      </c>
      <c r="Q566" s="55" t="str">
        <f aca="false">IF(05_Jugos_Aperitivos!R95="","",05_Jugos_Aperitivos!R95)</f>
        <v>Medio</v>
      </c>
      <c r="R566" s="55" t="str">
        <f aca="false">IF(05_Jugos_Aperitivos!S95="","",05_Jugos_Aperitivos!S95)</f>
        <v>Todo el año</v>
      </c>
      <c r="S566" s="55" t="str">
        <f aca="false">IF(05_Jugos_Aperitivos!T95="","",05_Jugos_Aperitivos!T95)</f>
        <v>Bar, pizzería</v>
      </c>
      <c r="T566" s="56" t="str">
        <f aca="false">IF(05_Jugos_Aperitivos!U95="","",05_Jugos_Aperitivos!U95)</f>
        <v/>
      </c>
      <c r="U566" s="55" t="n">
        <v>95</v>
      </c>
      <c r="V566" s="55" t="n">
        <f aca="false">IF(AND(OR(LEN(13_Buscador!$C$5)=0,ISNUMBER(SEARCH(13_Buscador!$C$5,$C566&amp;" "&amp;$D566&amp;" "&amp;$E566&amp;" "&amp;$F566&amp;" "&amp;$S566))),OR(13_Buscador!$C$6="Todas las listas",LEN(13_Buscador!$C$6)=0,13_Buscador!$C$6=$B566)),1,0)</f>
        <v>0</v>
      </c>
      <c r="W566" s="55" t="str">
        <f aca="false">IF(V566=1,SUM($V$2:V566),"")</f>
        <v/>
      </c>
    </row>
    <row r="567" customFormat="false" ht="15" hidden="false" customHeight="true" outlineLevel="0" collapsed="false">
      <c r="A567" s="55" t="n">
        <v>566</v>
      </c>
      <c r="B567" s="55" t="s">
        <v>3331</v>
      </c>
      <c r="C567" s="55" t="str">
        <f aca="false">IF(05_Jugos_Aperitivos!B96="","",05_Jugos_Aperitivos!B96)</f>
        <v>Aperitivos y piqueos</v>
      </c>
      <c r="D567" s="56" t="str">
        <f aca="false">IF(05_Jugos_Aperitivos!C96="","",05_Jugos_Aperitivos!C96)</f>
        <v>Maní salado</v>
      </c>
      <c r="E567" s="56" t="str">
        <f aca="false">IF(05_Jugos_Aperitivos!D96="","",05_Jugos_Aperitivos!D96)</f>
        <v>Bolsa de maní</v>
      </c>
      <c r="F567" s="56" t="str">
        <f aca="false">IF(05_Jugos_Aperitivos!E96="","",05_Jugos_Aperitivos!E96)</f>
        <v>maní tostado, sal</v>
      </c>
      <c r="G567" s="55" t="str">
        <f aca="false">IF(05_Jugos_Aperitivos!F96="","",05_Jugos_Aperitivos!F96)</f>
        <v>Bolsa</v>
      </c>
      <c r="H567" s="55" t="str">
        <f aca="false">IF(05_Jugos_Aperitivos!G96="","",05_Jugos_Aperitivos!G96)</f>
        <v>Económico</v>
      </c>
      <c r="I567" s="58" t="n">
        <f aca="false">IF(05_Jugos_Aperitivos!H96="","",05_Jugos_Aperitivos!H96)</f>
        <v>2</v>
      </c>
      <c r="J567" s="58" t="n">
        <f aca="false">IF(05_Jugos_Aperitivos!I96="","",05_Jugos_Aperitivos!I96)</f>
        <v>5</v>
      </c>
      <c r="K567" s="58" t="n">
        <f aca="false">IF(05_Jugos_Aperitivos!J96="","",05_Jugos_Aperitivos!J96)</f>
        <v>3.5</v>
      </c>
      <c r="L567" s="58" t="n">
        <f aca="false">IF(05_Jugos_Aperitivos!L96="","",05_Jugos_Aperitivos!L96)</f>
        <v>4</v>
      </c>
      <c r="M567" s="58" t="n">
        <f aca="false">IF(05_Jugos_Aperitivos!N96="","",05_Jugos_Aperitivos!N96)</f>
        <v>0.25</v>
      </c>
      <c r="N567" s="58" t="n">
        <f aca="false">IF(05_Jugos_Aperitivos!O96="","",05_Jugos_Aperitivos!O96)</f>
        <v>3.25</v>
      </c>
      <c r="O567" s="55" t="str">
        <f aca="false">IF(05_Jugos_Aperitivos!P96="","",05_Jugos_Aperitivos!P96)</f>
        <v>Todo el día</v>
      </c>
      <c r="P567" s="55" t="n">
        <f aca="false">IF(05_Jugos_Aperitivos!Q96="","",05_Jugos_Aperitivos!Q96)</f>
        <v>1</v>
      </c>
      <c r="Q567" s="55" t="str">
        <f aca="false">IF(05_Jugos_Aperitivos!R96="","",05_Jugos_Aperitivos!R96)</f>
        <v>Alto</v>
      </c>
      <c r="R567" s="55" t="str">
        <f aca="false">IF(05_Jugos_Aperitivos!S96="","",05_Jugos_Aperitivos!S96)</f>
        <v>Todo el año</v>
      </c>
      <c r="S567" s="55" t="str">
        <f aca="false">IF(05_Jugos_Aperitivos!T96="","",05_Jugos_Aperitivos!T96)</f>
        <v>Bodega, bar</v>
      </c>
      <c r="T567" s="56" t="str">
        <f aca="false">IF(05_Jugos_Aperitivos!U96="","",05_Jugos_Aperitivos!U96)</f>
        <v/>
      </c>
      <c r="U567" s="55" t="n">
        <v>96</v>
      </c>
      <c r="V567" s="55" t="n">
        <f aca="false">IF(AND(OR(LEN(13_Buscador!$C$5)=0,ISNUMBER(SEARCH(13_Buscador!$C$5,$C567&amp;" "&amp;$D567&amp;" "&amp;$E567&amp;" "&amp;$F567&amp;" "&amp;$S567))),OR(13_Buscador!$C$6="Todas las listas",LEN(13_Buscador!$C$6)=0,13_Buscador!$C$6=$B567)),1,0)</f>
        <v>0</v>
      </c>
      <c r="W567" s="55" t="str">
        <f aca="false">IF(V567=1,SUM($V$2:V567),"")</f>
        <v/>
      </c>
    </row>
    <row r="568" customFormat="false" ht="15" hidden="false" customHeight="true" outlineLevel="0" collapsed="false">
      <c r="A568" s="55" t="n">
        <v>567</v>
      </c>
      <c r="B568" s="55" t="s">
        <v>3331</v>
      </c>
      <c r="C568" s="55" t="str">
        <f aca="false">IF(05_Jugos_Aperitivos!B97="","",05_Jugos_Aperitivos!B97)</f>
        <v>Postres</v>
      </c>
      <c r="D568" s="56" t="str">
        <f aca="false">IF(05_Jugos_Aperitivos!C97="","",05_Jugos_Aperitivos!C97)</f>
        <v>Leche asada</v>
      </c>
      <c r="E568" s="56" t="str">
        <f aca="false">IF(05_Jugos_Aperitivos!D97="","",05_Jugos_Aperitivos!D97)</f>
        <v>Postre horneado</v>
      </c>
      <c r="F568" s="56" t="str">
        <f aca="false">IF(05_Jugos_Aperitivos!E97="","",05_Jugos_Aperitivos!E97)</f>
        <v>huevo, leche, azúcar, vainilla, caramelo</v>
      </c>
      <c r="G568" s="55" t="str">
        <f aca="false">IF(05_Jugos_Aperitivos!F97="","",05_Jugos_Aperitivos!F97)</f>
        <v>Porción</v>
      </c>
      <c r="H568" s="55" t="str">
        <f aca="false">IF(05_Jugos_Aperitivos!G97="","",05_Jugos_Aperitivos!G97)</f>
        <v>Económico</v>
      </c>
      <c r="I568" s="58" t="n">
        <f aca="false">IF(05_Jugos_Aperitivos!H97="","",05_Jugos_Aperitivos!H97)</f>
        <v>4</v>
      </c>
      <c r="J568" s="58" t="n">
        <f aca="false">IF(05_Jugos_Aperitivos!I97="","",05_Jugos_Aperitivos!I97)</f>
        <v>10</v>
      </c>
      <c r="K568" s="58" t="n">
        <f aca="false">IF(05_Jugos_Aperitivos!J97="","",05_Jugos_Aperitivos!J97)</f>
        <v>7</v>
      </c>
      <c r="L568" s="58" t="n">
        <f aca="false">IF(05_Jugos_Aperitivos!L97="","",05_Jugos_Aperitivos!L97)</f>
        <v>7.5</v>
      </c>
      <c r="M568" s="58" t="n">
        <f aca="false">IF(05_Jugos_Aperitivos!N97="","",05_Jugos_Aperitivos!N97)</f>
        <v>0.49</v>
      </c>
      <c r="N568" s="58" t="n">
        <f aca="false">IF(05_Jugos_Aperitivos!O97="","",05_Jugos_Aperitivos!O97)</f>
        <v>6.51</v>
      </c>
      <c r="O568" s="55" t="str">
        <f aca="false">IF(05_Jugos_Aperitivos!P97="","",05_Jugos_Aperitivos!P97)</f>
        <v>Todo el día</v>
      </c>
      <c r="P568" s="55" t="n">
        <f aca="false">IF(05_Jugos_Aperitivos!Q97="","",05_Jugos_Aperitivos!Q97)</f>
        <v>3</v>
      </c>
      <c r="Q568" s="55" t="str">
        <f aca="false">IF(05_Jugos_Aperitivos!R97="","",05_Jugos_Aperitivos!R97)</f>
        <v>Alto</v>
      </c>
      <c r="R568" s="55" t="str">
        <f aca="false">IF(05_Jugos_Aperitivos!S97="","",05_Jugos_Aperitivos!S97)</f>
        <v>Todo el año</v>
      </c>
      <c r="S568" s="55" t="str">
        <f aca="false">IF(05_Jugos_Aperitivos!T97="","",05_Jugos_Aperitivos!T97)</f>
        <v>Pastelería, menú</v>
      </c>
      <c r="T568" s="56" t="str">
        <f aca="false">IF(05_Jugos_Aperitivos!U97="","",05_Jugos_Aperitivos!U97)</f>
        <v/>
      </c>
      <c r="U568" s="55" t="n">
        <v>97</v>
      </c>
      <c r="V568" s="55" t="n">
        <f aca="false">IF(AND(OR(LEN(13_Buscador!$C$5)=0,ISNUMBER(SEARCH(13_Buscador!$C$5,$C568&amp;" "&amp;$D568&amp;" "&amp;$E568&amp;" "&amp;$F568&amp;" "&amp;$S568))),OR(13_Buscador!$C$6="Todas las listas",LEN(13_Buscador!$C$6)=0,13_Buscador!$C$6=$B568)),1,0)</f>
        <v>0</v>
      </c>
      <c r="W568" s="55" t="str">
        <f aca="false">IF(V568=1,SUM($V$2:V568),"")</f>
        <v/>
      </c>
    </row>
    <row r="569" customFormat="false" ht="23.25" hidden="false" customHeight="true" outlineLevel="0" collapsed="false">
      <c r="A569" s="55" t="n">
        <v>568</v>
      </c>
      <c r="B569" s="55" t="s">
        <v>3331</v>
      </c>
      <c r="C569" s="55" t="str">
        <f aca="false">IF(05_Jugos_Aperitivos!B98="","",05_Jugos_Aperitivos!B98)</f>
        <v>Postres</v>
      </c>
      <c r="D569" s="56" t="str">
        <f aca="false">IF(05_Jugos_Aperitivos!C98="","",05_Jugos_Aperitivos!C98)</f>
        <v>Picarones porción grande</v>
      </c>
      <c r="E569" s="56" t="str">
        <f aca="false">IF(05_Jugos_Aperitivos!D98="","",05_Jugos_Aperitivos!D98)</f>
        <v>Con miel de chancaca</v>
      </c>
      <c r="F569" s="56" t="str">
        <f aca="false">IF(05_Jugos_Aperitivos!E98="","",05_Jugos_Aperitivos!E98)</f>
        <v>zapallo, camote, harina, levadura, miel de chancaca, aceite</v>
      </c>
      <c r="G569" s="55" t="str">
        <f aca="false">IF(05_Jugos_Aperitivos!F98="","",05_Jugos_Aperitivos!F98)</f>
        <v>Porción</v>
      </c>
      <c r="H569" s="55" t="str">
        <f aca="false">IF(05_Jugos_Aperitivos!G98="","",05_Jugos_Aperitivos!G98)</f>
        <v>Económico</v>
      </c>
      <c r="I569" s="58" t="n">
        <f aca="false">IF(05_Jugos_Aperitivos!H98="","",05_Jugos_Aperitivos!H98)</f>
        <v>6</v>
      </c>
      <c r="J569" s="58" t="n">
        <f aca="false">IF(05_Jugos_Aperitivos!I98="","",05_Jugos_Aperitivos!I98)</f>
        <v>13</v>
      </c>
      <c r="K569" s="58" t="n">
        <f aca="false">IF(05_Jugos_Aperitivos!J98="","",05_Jugos_Aperitivos!J98)</f>
        <v>9.5</v>
      </c>
      <c r="L569" s="58" t="n">
        <f aca="false">IF(05_Jugos_Aperitivos!L98="","",05_Jugos_Aperitivos!L98)</f>
        <v>10</v>
      </c>
      <c r="M569" s="58" t="n">
        <f aca="false">IF(05_Jugos_Aperitivos!N98="","",05_Jugos_Aperitivos!N98)</f>
        <v>0.67</v>
      </c>
      <c r="N569" s="58" t="n">
        <f aca="false">IF(05_Jugos_Aperitivos!O98="","",05_Jugos_Aperitivos!O98)</f>
        <v>8.83</v>
      </c>
      <c r="O569" s="55" t="str">
        <f aca="false">IF(05_Jugos_Aperitivos!P98="","",05_Jugos_Aperitivos!P98)</f>
        <v>17:00-22:00</v>
      </c>
      <c r="P569" s="55" t="n">
        <f aca="false">IF(05_Jugos_Aperitivos!Q98="","",05_Jugos_Aperitivos!Q98)</f>
        <v>10</v>
      </c>
      <c r="Q569" s="55" t="str">
        <f aca="false">IF(05_Jugos_Aperitivos!R98="","",05_Jugos_Aperitivos!R98)</f>
        <v>Medio</v>
      </c>
      <c r="R569" s="55" t="str">
        <f aca="false">IF(05_Jugos_Aperitivos!S98="","",05_Jugos_Aperitivos!S98)</f>
        <v>Todo el año</v>
      </c>
      <c r="S569" s="55" t="str">
        <f aca="false">IF(05_Jugos_Aperitivos!T98="","",05_Jugos_Aperitivos!T98)</f>
        <v>Ambulante</v>
      </c>
      <c r="T569" s="56" t="str">
        <f aca="false">IF(05_Jugos_Aperitivos!U98="","",05_Jugos_Aperitivos!U98)</f>
        <v/>
      </c>
      <c r="U569" s="55" t="n">
        <v>98</v>
      </c>
      <c r="V569" s="55" t="n">
        <f aca="false">IF(AND(OR(LEN(13_Buscador!$C$5)=0,ISNUMBER(SEARCH(13_Buscador!$C$5,$C569&amp;" "&amp;$D569&amp;" "&amp;$E569&amp;" "&amp;$F569&amp;" "&amp;$S569))),OR(13_Buscador!$C$6="Todas las listas",LEN(13_Buscador!$C$6)=0,13_Buscador!$C$6=$B569)),1,0)</f>
        <v>0</v>
      </c>
      <c r="W569" s="55" t="str">
        <f aca="false">IF(V569=1,SUM($V$2:V569),"")</f>
        <v/>
      </c>
    </row>
    <row r="570" customFormat="false" ht="23.25" hidden="false" customHeight="true" outlineLevel="0" collapsed="false">
      <c r="A570" s="55" t="n">
        <v>569</v>
      </c>
      <c r="B570" s="55" t="s">
        <v>3331</v>
      </c>
      <c r="C570" s="55" t="str">
        <f aca="false">IF(05_Jugos_Aperitivos!B99="","",05_Jugos_Aperitivos!B99)</f>
        <v>Postres</v>
      </c>
      <c r="D570" s="56" t="str">
        <f aca="false">IF(05_Jugos_Aperitivos!C99="","",05_Jugos_Aperitivos!C99)</f>
        <v>Torta helada</v>
      </c>
      <c r="E570" s="56" t="str">
        <f aca="false">IF(05_Jugos_Aperitivos!D99="","",05_Jugos_Aperitivos!D99)</f>
        <v>Porción</v>
      </c>
      <c r="F570" s="56" t="str">
        <f aca="false">IF(05_Jugos_Aperitivos!E99="","",05_Jugos_Aperitivos!E99)</f>
        <v>harina, huevo, azúcar, mantequilla, crema o fruta según el sabor</v>
      </c>
      <c r="G570" s="55" t="str">
        <f aca="false">IF(05_Jugos_Aperitivos!F99="","",05_Jugos_Aperitivos!F99)</f>
        <v>Porción</v>
      </c>
      <c r="H570" s="55" t="str">
        <f aca="false">IF(05_Jugos_Aperitivos!G99="","",05_Jugos_Aperitivos!G99)</f>
        <v>Estándar</v>
      </c>
      <c r="I570" s="58" t="n">
        <f aca="false">IF(05_Jugos_Aperitivos!H99="","",05_Jugos_Aperitivos!H99)</f>
        <v>6</v>
      </c>
      <c r="J570" s="58" t="n">
        <f aca="false">IF(05_Jugos_Aperitivos!I99="","",05_Jugos_Aperitivos!I99)</f>
        <v>14</v>
      </c>
      <c r="K570" s="58" t="n">
        <f aca="false">IF(05_Jugos_Aperitivos!J99="","",05_Jugos_Aperitivos!J99)</f>
        <v>10</v>
      </c>
      <c r="L570" s="58" t="n">
        <f aca="false">IF(05_Jugos_Aperitivos!L99="","",05_Jugos_Aperitivos!L99)</f>
        <v>10.5</v>
      </c>
      <c r="M570" s="58" t="n">
        <f aca="false">IF(05_Jugos_Aperitivos!N99="","",05_Jugos_Aperitivos!N99)</f>
        <v>0.9</v>
      </c>
      <c r="N570" s="58" t="n">
        <f aca="false">IF(05_Jugos_Aperitivos!O99="","",05_Jugos_Aperitivos!O99)</f>
        <v>9.1</v>
      </c>
      <c r="O570" s="55" t="str">
        <f aca="false">IF(05_Jugos_Aperitivos!P99="","",05_Jugos_Aperitivos!P99)</f>
        <v>Todo el día</v>
      </c>
      <c r="P570" s="55" t="n">
        <f aca="false">IF(05_Jugos_Aperitivos!Q99="","",05_Jugos_Aperitivos!Q99)</f>
        <v>2</v>
      </c>
      <c r="Q570" s="55" t="str">
        <f aca="false">IF(05_Jugos_Aperitivos!R99="","",05_Jugos_Aperitivos!R99)</f>
        <v>Bajo</v>
      </c>
      <c r="R570" s="55" t="str">
        <f aca="false">IF(05_Jugos_Aperitivos!S99="","",05_Jugos_Aperitivos!S99)</f>
        <v>Mayor demanda en calor</v>
      </c>
      <c r="S570" s="55" t="str">
        <f aca="false">IF(05_Jugos_Aperitivos!T99="","",05_Jugos_Aperitivos!T99)</f>
        <v>Pastelería</v>
      </c>
      <c r="T570" s="56" t="str">
        <f aca="false">IF(05_Jugos_Aperitivos!U99="","",05_Jugos_Aperitivos!U99)</f>
        <v>Requiere empaque térmico</v>
      </c>
      <c r="U570" s="55" t="n">
        <v>99</v>
      </c>
      <c r="V570" s="55" t="n">
        <f aca="false">IF(AND(OR(LEN(13_Buscador!$C$5)=0,ISNUMBER(SEARCH(13_Buscador!$C$5,$C570&amp;" "&amp;$D570&amp;" "&amp;$E570&amp;" "&amp;$F570&amp;" "&amp;$S570))),OR(13_Buscador!$C$6="Todas las listas",LEN(13_Buscador!$C$6)=0,13_Buscador!$C$6=$B570)),1,0)</f>
        <v>0</v>
      </c>
      <c r="W570" s="55" t="str">
        <f aca="false">IF(V570=1,SUM($V$2:V570),"")</f>
        <v/>
      </c>
    </row>
    <row r="571" customFormat="false" ht="23.25" hidden="false" customHeight="true" outlineLevel="0" collapsed="false">
      <c r="A571" s="55" t="n">
        <v>570</v>
      </c>
      <c r="B571" s="55" t="s">
        <v>3331</v>
      </c>
      <c r="C571" s="55" t="str">
        <f aca="false">IF(05_Jugos_Aperitivos!B100="","",05_Jugos_Aperitivos!B100)</f>
        <v>Postres</v>
      </c>
      <c r="D571" s="56" t="str">
        <f aca="false">IF(05_Jugos_Aperitivos!C100="","",05_Jugos_Aperitivos!C100)</f>
        <v>Cheesecake</v>
      </c>
      <c r="E571" s="56" t="str">
        <f aca="false">IF(05_Jugos_Aperitivos!D100="","",05_Jugos_Aperitivos!D100)</f>
        <v>Porción</v>
      </c>
      <c r="F571" s="56" t="str">
        <f aca="false">IF(05_Jugos_Aperitivos!E100="","",05_Jugos_Aperitivos!E100)</f>
        <v>harina, huevo, azúcar, mantequilla, crema o fruta según el sabor</v>
      </c>
      <c r="G571" s="55" t="str">
        <f aca="false">IF(05_Jugos_Aperitivos!F100="","",05_Jugos_Aperitivos!F100)</f>
        <v>Porción</v>
      </c>
      <c r="H571" s="55" t="str">
        <f aca="false">IF(05_Jugos_Aperitivos!G100="","",05_Jugos_Aperitivos!G100)</f>
        <v>Estándar</v>
      </c>
      <c r="I571" s="58" t="n">
        <f aca="false">IF(05_Jugos_Aperitivos!H100="","",05_Jugos_Aperitivos!H100)</f>
        <v>8</v>
      </c>
      <c r="J571" s="58" t="n">
        <f aca="false">IF(05_Jugos_Aperitivos!I100="","",05_Jugos_Aperitivos!I100)</f>
        <v>18</v>
      </c>
      <c r="K571" s="58" t="n">
        <f aca="false">IF(05_Jugos_Aperitivos!J100="","",05_Jugos_Aperitivos!J100)</f>
        <v>13</v>
      </c>
      <c r="L571" s="58" t="n">
        <f aca="false">IF(05_Jugos_Aperitivos!L100="","",05_Jugos_Aperitivos!L100)</f>
        <v>13.5</v>
      </c>
      <c r="M571" s="58" t="n">
        <f aca="false">IF(05_Jugos_Aperitivos!N100="","",05_Jugos_Aperitivos!N100)</f>
        <v>1.17</v>
      </c>
      <c r="N571" s="58" t="n">
        <f aca="false">IF(05_Jugos_Aperitivos!O100="","",05_Jugos_Aperitivos!O100)</f>
        <v>11.83</v>
      </c>
      <c r="O571" s="55" t="str">
        <f aca="false">IF(05_Jugos_Aperitivos!P100="","",05_Jugos_Aperitivos!P100)</f>
        <v>Todo el día</v>
      </c>
      <c r="P571" s="55" t="n">
        <f aca="false">IF(05_Jugos_Aperitivos!Q100="","",05_Jugos_Aperitivos!Q100)</f>
        <v>2</v>
      </c>
      <c r="Q571" s="55" t="str">
        <f aca="false">IF(05_Jugos_Aperitivos!R100="","",05_Jugos_Aperitivos!R100)</f>
        <v>Alto</v>
      </c>
      <c r="R571" s="55" t="str">
        <f aca="false">IF(05_Jugos_Aperitivos!S100="","",05_Jugos_Aperitivos!S100)</f>
        <v>Todo el año</v>
      </c>
      <c r="S571" s="55" t="str">
        <f aca="false">IF(05_Jugos_Aperitivos!T100="","",05_Jugos_Aperitivos!T100)</f>
        <v>Pastelería</v>
      </c>
      <c r="T571" s="56" t="str">
        <f aca="false">IF(05_Jugos_Aperitivos!U100="","",05_Jugos_Aperitivos!U100)</f>
        <v/>
      </c>
      <c r="U571" s="55" t="n">
        <v>100</v>
      </c>
      <c r="V571" s="55" t="n">
        <f aca="false">IF(AND(OR(LEN(13_Buscador!$C$5)=0,ISNUMBER(SEARCH(13_Buscador!$C$5,$C571&amp;" "&amp;$D571&amp;" "&amp;$E571&amp;" "&amp;$F571&amp;" "&amp;$S571))),OR(13_Buscador!$C$6="Todas las listas",LEN(13_Buscador!$C$6)=0,13_Buscador!$C$6=$B571)),1,0)</f>
        <v>0</v>
      </c>
      <c r="W571" s="55" t="str">
        <f aca="false">IF(V571=1,SUM($V$2:V571),"")</f>
        <v/>
      </c>
    </row>
    <row r="572" customFormat="false" ht="23.25" hidden="false" customHeight="true" outlineLevel="0" collapsed="false">
      <c r="A572" s="55" t="n">
        <v>571</v>
      </c>
      <c r="B572" s="55" t="s">
        <v>3331</v>
      </c>
      <c r="C572" s="55" t="str">
        <f aca="false">IF(05_Jugos_Aperitivos!B101="","",05_Jugos_Aperitivos!B101)</f>
        <v>Postres</v>
      </c>
      <c r="D572" s="56" t="str">
        <f aca="false">IF(05_Jugos_Aperitivos!C101="","",05_Jugos_Aperitivos!C101)</f>
        <v>Brownie con helado</v>
      </c>
      <c r="E572" s="56" t="str">
        <f aca="false">IF(05_Jugos_Aperitivos!D101="","",05_Jugos_Aperitivos!D101)</f>
        <v>Postre caliente y frío</v>
      </c>
      <c r="F572" s="56" t="str">
        <f aca="false">IF(05_Jugos_Aperitivos!E101="","",05_Jugos_Aperitivos!E101)</f>
        <v>harina, huevo, azúcar, mantequilla, crema o fruta según el sabor</v>
      </c>
      <c r="G572" s="55" t="str">
        <f aca="false">IF(05_Jugos_Aperitivos!F101="","",05_Jugos_Aperitivos!F101)</f>
        <v>Porción</v>
      </c>
      <c r="H572" s="55" t="str">
        <f aca="false">IF(05_Jugos_Aperitivos!G101="","",05_Jugos_Aperitivos!G101)</f>
        <v>Estándar</v>
      </c>
      <c r="I572" s="58" t="n">
        <f aca="false">IF(05_Jugos_Aperitivos!H101="","",05_Jugos_Aperitivos!H101)</f>
        <v>8</v>
      </c>
      <c r="J572" s="58" t="n">
        <f aca="false">IF(05_Jugos_Aperitivos!I101="","",05_Jugos_Aperitivos!I101)</f>
        <v>18</v>
      </c>
      <c r="K572" s="58" t="n">
        <f aca="false">IF(05_Jugos_Aperitivos!J101="","",05_Jugos_Aperitivos!J101)</f>
        <v>13</v>
      </c>
      <c r="L572" s="58" t="n">
        <f aca="false">IF(05_Jugos_Aperitivos!L101="","",05_Jugos_Aperitivos!L101)</f>
        <v>13.5</v>
      </c>
      <c r="M572" s="58" t="n">
        <f aca="false">IF(05_Jugos_Aperitivos!N101="","",05_Jugos_Aperitivos!N101)</f>
        <v>1.17</v>
      </c>
      <c r="N572" s="58" t="n">
        <f aca="false">IF(05_Jugos_Aperitivos!O101="","",05_Jugos_Aperitivos!O101)</f>
        <v>11.83</v>
      </c>
      <c r="O572" s="55" t="str">
        <f aca="false">IF(05_Jugos_Aperitivos!P101="","",05_Jugos_Aperitivos!P101)</f>
        <v>Todo el día</v>
      </c>
      <c r="P572" s="55" t="n">
        <f aca="false">IF(05_Jugos_Aperitivos!Q101="","",05_Jugos_Aperitivos!Q101)</f>
        <v>5</v>
      </c>
      <c r="Q572" s="55" t="str">
        <f aca="false">IF(05_Jugos_Aperitivos!R101="","",05_Jugos_Aperitivos!R101)</f>
        <v>Bajo</v>
      </c>
      <c r="R572" s="55" t="str">
        <f aca="false">IF(05_Jugos_Aperitivos!S101="","",05_Jugos_Aperitivos!S101)</f>
        <v>Todo el año</v>
      </c>
      <c r="S572" s="55" t="str">
        <f aca="false">IF(05_Jugos_Aperitivos!T101="","",05_Jugos_Aperitivos!T101)</f>
        <v>Cafetería</v>
      </c>
      <c r="T572" s="56" t="str">
        <f aca="false">IF(05_Jugos_Aperitivos!U101="","",05_Jugos_Aperitivos!U101)</f>
        <v>Se derrite el helado en traslado</v>
      </c>
      <c r="U572" s="55" t="n">
        <v>101</v>
      </c>
      <c r="V572" s="55" t="n">
        <f aca="false">IF(AND(OR(LEN(13_Buscador!$C$5)=0,ISNUMBER(SEARCH(13_Buscador!$C$5,$C572&amp;" "&amp;$D572&amp;" "&amp;$E572&amp;" "&amp;$F572&amp;" "&amp;$S572))),OR(13_Buscador!$C$6="Todas las listas",LEN(13_Buscador!$C$6)=0,13_Buscador!$C$6=$B572)),1,0)</f>
        <v>0</v>
      </c>
      <c r="W572" s="55" t="str">
        <f aca="false">IF(V572=1,SUM($V$2:V572),"")</f>
        <v/>
      </c>
    </row>
    <row r="573" customFormat="false" ht="23.25" hidden="false" customHeight="true" outlineLevel="0" collapsed="false">
      <c r="A573" s="55" t="n">
        <v>572</v>
      </c>
      <c r="B573" s="55" t="s">
        <v>3331</v>
      </c>
      <c r="C573" s="55" t="str">
        <f aca="false">IF(05_Jugos_Aperitivos!B102="","",05_Jugos_Aperitivos!B102)</f>
        <v>Postres</v>
      </c>
      <c r="D573" s="56" t="str">
        <f aca="false">IF(05_Jugos_Aperitivos!C102="","",05_Jugos_Aperitivos!C102)</f>
        <v>Mousse de maracuyá</v>
      </c>
      <c r="E573" s="56" t="str">
        <f aca="false">IF(05_Jugos_Aperitivos!D102="","",05_Jugos_Aperitivos!D102)</f>
        <v>Postre en copa</v>
      </c>
      <c r="F573" s="56" t="str">
        <f aca="false">IF(05_Jugos_Aperitivos!E102="","",05_Jugos_Aperitivos!E102)</f>
        <v>harina, huevo, azúcar, mantequilla, crema o fruta según el sabor</v>
      </c>
      <c r="G573" s="55" t="str">
        <f aca="false">IF(05_Jugos_Aperitivos!F102="","",05_Jugos_Aperitivos!F102)</f>
        <v>Copa</v>
      </c>
      <c r="H573" s="55" t="str">
        <f aca="false">IF(05_Jugos_Aperitivos!G102="","",05_Jugos_Aperitivos!G102)</f>
        <v>Estándar</v>
      </c>
      <c r="I573" s="58" t="n">
        <f aca="false">IF(05_Jugos_Aperitivos!H102="","",05_Jugos_Aperitivos!H102)</f>
        <v>6</v>
      </c>
      <c r="J573" s="58" t="n">
        <f aca="false">IF(05_Jugos_Aperitivos!I102="","",05_Jugos_Aperitivos!I102)</f>
        <v>14</v>
      </c>
      <c r="K573" s="58" t="n">
        <f aca="false">IF(05_Jugos_Aperitivos!J102="","",05_Jugos_Aperitivos!J102)</f>
        <v>10</v>
      </c>
      <c r="L573" s="58" t="n">
        <f aca="false">IF(05_Jugos_Aperitivos!L102="","",05_Jugos_Aperitivos!L102)</f>
        <v>10.5</v>
      </c>
      <c r="M573" s="58" t="n">
        <f aca="false">IF(05_Jugos_Aperitivos!N102="","",05_Jugos_Aperitivos!N102)</f>
        <v>0.9</v>
      </c>
      <c r="N573" s="58" t="n">
        <f aca="false">IF(05_Jugos_Aperitivos!O102="","",05_Jugos_Aperitivos!O102)</f>
        <v>9.1</v>
      </c>
      <c r="O573" s="55" t="str">
        <f aca="false">IF(05_Jugos_Aperitivos!P102="","",05_Jugos_Aperitivos!P102)</f>
        <v>Todo el día</v>
      </c>
      <c r="P573" s="55" t="n">
        <f aca="false">IF(05_Jugos_Aperitivos!Q102="","",05_Jugos_Aperitivos!Q102)</f>
        <v>3</v>
      </c>
      <c r="Q573" s="55" t="str">
        <f aca="false">IF(05_Jugos_Aperitivos!R102="","",05_Jugos_Aperitivos!R102)</f>
        <v>Alto</v>
      </c>
      <c r="R573" s="55" t="str">
        <f aca="false">IF(05_Jugos_Aperitivos!S102="","",05_Jugos_Aperitivos!S102)</f>
        <v>Todo el año</v>
      </c>
      <c r="S573" s="55" t="str">
        <f aca="false">IF(05_Jugos_Aperitivos!T102="","",05_Jugos_Aperitivos!T102)</f>
        <v>Pastelería</v>
      </c>
      <c r="T573" s="56" t="str">
        <f aca="false">IF(05_Jugos_Aperitivos!U102="","",05_Jugos_Aperitivos!U102)</f>
        <v/>
      </c>
      <c r="U573" s="55" t="n">
        <v>102</v>
      </c>
      <c r="V573" s="55" t="n">
        <f aca="false">IF(AND(OR(LEN(13_Buscador!$C$5)=0,ISNUMBER(SEARCH(13_Buscador!$C$5,$C573&amp;" "&amp;$D573&amp;" "&amp;$E573&amp;" "&amp;$F573&amp;" "&amp;$S573))),OR(13_Buscador!$C$6="Todas las listas",LEN(13_Buscador!$C$6)=0,13_Buscador!$C$6=$B573)),1,0)</f>
        <v>0</v>
      </c>
      <c r="W573" s="55" t="str">
        <f aca="false">IF(V573=1,SUM($V$2:V573),"")</f>
        <v/>
      </c>
    </row>
    <row r="574" customFormat="false" ht="15" hidden="false" customHeight="true" outlineLevel="0" collapsed="false">
      <c r="A574" s="55" t="n">
        <v>573</v>
      </c>
      <c r="B574" s="55" t="s">
        <v>3331</v>
      </c>
      <c r="C574" s="55" t="str">
        <f aca="false">IF(05_Jugos_Aperitivos!B103="","",05_Jugos_Aperitivos!B103)</f>
        <v>Postres</v>
      </c>
      <c r="D574" s="56" t="str">
        <f aca="false">IF(05_Jugos_Aperitivos!C103="","",05_Jugos_Aperitivos!C103)</f>
        <v>Manzana acaramelada</v>
      </c>
      <c r="E574" s="56" t="str">
        <f aca="false">IF(05_Jugos_Aperitivos!D103="","",05_Jugos_Aperitivos!D103)</f>
        <v>Postre de feria</v>
      </c>
      <c r="F574" s="56" t="str">
        <f aca="false">IF(05_Jugos_Aperitivos!E103="","",05_Jugos_Aperitivos!E103)</f>
        <v>azúcar, colorante, fruta</v>
      </c>
      <c r="G574" s="55" t="str">
        <f aca="false">IF(05_Jugos_Aperitivos!F103="","",05_Jugos_Aperitivos!F103)</f>
        <v>Unidad</v>
      </c>
      <c r="H574" s="55" t="str">
        <f aca="false">IF(05_Jugos_Aperitivos!G103="","",05_Jugos_Aperitivos!G103)</f>
        <v>Económico</v>
      </c>
      <c r="I574" s="58" t="n">
        <f aca="false">IF(05_Jugos_Aperitivos!H103="","",05_Jugos_Aperitivos!H103)</f>
        <v>3</v>
      </c>
      <c r="J574" s="58" t="n">
        <f aca="false">IF(05_Jugos_Aperitivos!I103="","",05_Jugos_Aperitivos!I103)</f>
        <v>8</v>
      </c>
      <c r="K574" s="58" t="n">
        <f aca="false">IF(05_Jugos_Aperitivos!J103="","",05_Jugos_Aperitivos!J103)</f>
        <v>5.5</v>
      </c>
      <c r="L574" s="58" t="n">
        <f aca="false">IF(05_Jugos_Aperitivos!L103="","",05_Jugos_Aperitivos!L103)</f>
        <v>6</v>
      </c>
      <c r="M574" s="58" t="n">
        <f aca="false">IF(05_Jugos_Aperitivos!N103="","",05_Jugos_Aperitivos!N103)</f>
        <v>0.39</v>
      </c>
      <c r="N574" s="58" t="n">
        <f aca="false">IF(05_Jugos_Aperitivos!O103="","",05_Jugos_Aperitivos!O103)</f>
        <v>5.11</v>
      </c>
      <c r="O574" s="55" t="str">
        <f aca="false">IF(05_Jugos_Aperitivos!P103="","",05_Jugos_Aperitivos!P103)</f>
        <v>17:00-22:00</v>
      </c>
      <c r="P574" s="55" t="n">
        <f aca="false">IF(05_Jugos_Aperitivos!Q103="","",05_Jugos_Aperitivos!Q103)</f>
        <v>3</v>
      </c>
      <c r="Q574" s="55" t="str">
        <f aca="false">IF(05_Jugos_Aperitivos!R103="","",05_Jugos_Aperitivos!R103)</f>
        <v>Alto</v>
      </c>
      <c r="R574" s="55" t="str">
        <f aca="false">IF(05_Jugos_Aperitivos!S103="","",05_Jugos_Aperitivos!S103)</f>
        <v>Fiestas</v>
      </c>
      <c r="S574" s="55" t="str">
        <f aca="false">IF(05_Jugos_Aperitivos!T103="","",05_Jugos_Aperitivos!T103)</f>
        <v>Ambulante</v>
      </c>
      <c r="T574" s="56" t="str">
        <f aca="false">IF(05_Jugos_Aperitivos!U103="","",05_Jugos_Aperitivos!U103)</f>
        <v/>
      </c>
      <c r="U574" s="55" t="n">
        <v>103</v>
      </c>
      <c r="V574" s="55" t="n">
        <f aca="false">IF(AND(OR(LEN(13_Buscador!$C$5)=0,ISNUMBER(SEARCH(13_Buscador!$C$5,$C574&amp;" "&amp;$D574&amp;" "&amp;$E574&amp;" "&amp;$F574&amp;" "&amp;$S574))),OR(13_Buscador!$C$6="Todas las listas",LEN(13_Buscador!$C$6)=0,13_Buscador!$C$6=$B574)),1,0)</f>
        <v>0</v>
      </c>
      <c r="W574" s="55" t="str">
        <f aca="false">IF(V574=1,SUM($V$2:V574),"")</f>
        <v/>
      </c>
    </row>
    <row r="575" customFormat="false" ht="15" hidden="false" customHeight="true" outlineLevel="0" collapsed="false">
      <c r="A575" s="55" t="n">
        <v>574</v>
      </c>
      <c r="B575" s="55" t="s">
        <v>3331</v>
      </c>
      <c r="C575" s="55" t="str">
        <f aca="false">IF(05_Jugos_Aperitivos!B104="","",05_Jugos_Aperitivos!B104)</f>
        <v>Postres</v>
      </c>
      <c r="D575" s="56" t="str">
        <f aca="false">IF(05_Jugos_Aperitivos!C104="","",05_Jugos_Aperitivos!C104)</f>
        <v>Mazamorra de calabaza</v>
      </c>
      <c r="E575" s="56" t="str">
        <f aca="false">IF(05_Jugos_Aperitivos!D104="","",05_Jugos_Aperitivos!D104)</f>
        <v>Postre tradicional</v>
      </c>
      <c r="F575" s="56" t="str">
        <f aca="false">IF(05_Jugos_Aperitivos!E104="","",05_Jugos_Aperitivos!E104)</f>
        <v>calabaza, harina, azúcar, canela</v>
      </c>
      <c r="G575" s="55" t="str">
        <f aca="false">IF(05_Jugos_Aperitivos!F104="","",05_Jugos_Aperitivos!F104)</f>
        <v>Vaso</v>
      </c>
      <c r="H575" s="55" t="str">
        <f aca="false">IF(05_Jugos_Aperitivos!G104="","",05_Jugos_Aperitivos!G104)</f>
        <v>Económico</v>
      </c>
      <c r="I575" s="58" t="n">
        <f aca="false">IF(05_Jugos_Aperitivos!H104="","",05_Jugos_Aperitivos!H104)</f>
        <v>3</v>
      </c>
      <c r="J575" s="58" t="n">
        <f aca="false">IF(05_Jugos_Aperitivos!I104="","",05_Jugos_Aperitivos!I104)</f>
        <v>8</v>
      </c>
      <c r="K575" s="58" t="n">
        <f aca="false">IF(05_Jugos_Aperitivos!J104="","",05_Jugos_Aperitivos!J104)</f>
        <v>5.5</v>
      </c>
      <c r="L575" s="58" t="n">
        <f aca="false">IF(05_Jugos_Aperitivos!L104="","",05_Jugos_Aperitivos!L104)</f>
        <v>6</v>
      </c>
      <c r="M575" s="58" t="n">
        <f aca="false">IF(05_Jugos_Aperitivos!N104="","",05_Jugos_Aperitivos!N104)</f>
        <v>0.39</v>
      </c>
      <c r="N575" s="58" t="n">
        <f aca="false">IF(05_Jugos_Aperitivos!O104="","",05_Jugos_Aperitivos!O104)</f>
        <v>5.11</v>
      </c>
      <c r="O575" s="55" t="str">
        <f aca="false">IF(05_Jugos_Aperitivos!P104="","",05_Jugos_Aperitivos!P104)</f>
        <v>Todo el día</v>
      </c>
      <c r="P575" s="55" t="n">
        <f aca="false">IF(05_Jugos_Aperitivos!Q104="","",05_Jugos_Aperitivos!Q104)</f>
        <v>3</v>
      </c>
      <c r="Q575" s="55" t="str">
        <f aca="false">IF(05_Jugos_Aperitivos!R104="","",05_Jugos_Aperitivos!R104)</f>
        <v>Alto</v>
      </c>
      <c r="R575" s="55" t="str">
        <f aca="false">IF(05_Jugos_Aperitivos!S104="","",05_Jugos_Aperitivos!S104)</f>
        <v>Todo el año</v>
      </c>
      <c r="S575" s="55" t="str">
        <f aca="false">IF(05_Jugos_Aperitivos!T104="","",05_Jugos_Aperitivos!T104)</f>
        <v>Mercado</v>
      </c>
      <c r="T575" s="56" t="str">
        <f aca="false">IF(05_Jugos_Aperitivos!U104="","",05_Jugos_Aperitivos!U104)</f>
        <v/>
      </c>
      <c r="U575" s="55" t="n">
        <v>104</v>
      </c>
      <c r="V575" s="55" t="n">
        <f aca="false">IF(AND(OR(LEN(13_Buscador!$C$5)=0,ISNUMBER(SEARCH(13_Buscador!$C$5,$C575&amp;" "&amp;$D575&amp;" "&amp;$E575&amp;" "&amp;$F575&amp;" "&amp;$S575))),OR(13_Buscador!$C$6="Todas las listas",LEN(13_Buscador!$C$6)=0,13_Buscador!$C$6=$B575)),1,0)</f>
        <v>0</v>
      </c>
      <c r="W575" s="55" t="str">
        <f aca="false">IF(V575=1,SUM($V$2:V575),"")</f>
        <v/>
      </c>
    </row>
    <row r="576" customFormat="false" ht="15" hidden="false" customHeight="true" outlineLevel="0" collapsed="false">
      <c r="A576" s="55" t="n">
        <v>575</v>
      </c>
      <c r="B576" s="55" t="s">
        <v>3331</v>
      </c>
      <c r="C576" s="55" t="str">
        <f aca="false">IF(05_Jugos_Aperitivos!B105="","",05_Jugos_Aperitivos!B105)</f>
        <v>Postres</v>
      </c>
      <c r="D576" s="56" t="str">
        <f aca="false">IF(05_Jugos_Aperitivos!C105="","",05_Jugos_Aperitivos!C105)</f>
        <v>Dulce de higo / frutas</v>
      </c>
      <c r="E576" s="56" t="str">
        <f aca="false">IF(05_Jugos_Aperitivos!D105="","",05_Jugos_Aperitivos!D105)</f>
        <v>Conserva casera</v>
      </c>
      <c r="F576" s="56" t="str">
        <f aca="false">IF(05_Jugos_Aperitivos!E105="","",05_Jugos_Aperitivos!E105)</f>
        <v>higo, azúcar, canela</v>
      </c>
      <c r="G576" s="55" t="str">
        <f aca="false">IF(05_Jugos_Aperitivos!F105="","",05_Jugos_Aperitivos!F105)</f>
        <v>Porción</v>
      </c>
      <c r="H576" s="55" t="str">
        <f aca="false">IF(05_Jugos_Aperitivos!G105="","",05_Jugos_Aperitivos!G105)</f>
        <v>Económico</v>
      </c>
      <c r="I576" s="58" t="n">
        <f aca="false">IF(05_Jugos_Aperitivos!H105="","",05_Jugos_Aperitivos!H105)</f>
        <v>4</v>
      </c>
      <c r="J576" s="58" t="n">
        <f aca="false">IF(05_Jugos_Aperitivos!I105="","",05_Jugos_Aperitivos!I105)</f>
        <v>10</v>
      </c>
      <c r="K576" s="58" t="n">
        <f aca="false">IF(05_Jugos_Aperitivos!J105="","",05_Jugos_Aperitivos!J105)</f>
        <v>7</v>
      </c>
      <c r="L576" s="58" t="n">
        <f aca="false">IF(05_Jugos_Aperitivos!L105="","",05_Jugos_Aperitivos!L105)</f>
        <v>7.5</v>
      </c>
      <c r="M576" s="58" t="n">
        <f aca="false">IF(05_Jugos_Aperitivos!N105="","",05_Jugos_Aperitivos!N105)</f>
        <v>0.49</v>
      </c>
      <c r="N576" s="58" t="n">
        <f aca="false">IF(05_Jugos_Aperitivos!O105="","",05_Jugos_Aperitivos!O105)</f>
        <v>6.51</v>
      </c>
      <c r="O576" s="55" t="str">
        <f aca="false">IF(05_Jugos_Aperitivos!P105="","",05_Jugos_Aperitivos!P105)</f>
        <v>Todo el día</v>
      </c>
      <c r="P576" s="55" t="n">
        <f aca="false">IF(05_Jugos_Aperitivos!Q105="","",05_Jugos_Aperitivos!Q105)</f>
        <v>2</v>
      </c>
      <c r="Q576" s="55" t="str">
        <f aca="false">IF(05_Jugos_Aperitivos!R105="","",05_Jugos_Aperitivos!R105)</f>
        <v>Alto</v>
      </c>
      <c r="R576" s="55" t="str">
        <f aca="false">IF(05_Jugos_Aperitivos!S105="","",05_Jugos_Aperitivos!S105)</f>
        <v>Estacional</v>
      </c>
      <c r="S576" s="55" t="str">
        <f aca="false">IF(05_Jugos_Aperitivos!T105="","",05_Jugos_Aperitivos!T105)</f>
        <v>Mercado</v>
      </c>
      <c r="T576" s="56" t="str">
        <f aca="false">IF(05_Jugos_Aperitivos!U105="","",05_Jugos_Aperitivos!U105)</f>
        <v/>
      </c>
      <c r="U576" s="55" t="n">
        <v>105</v>
      </c>
      <c r="V576" s="55" t="n">
        <f aca="false">IF(AND(OR(LEN(13_Buscador!$C$5)=0,ISNUMBER(SEARCH(13_Buscador!$C$5,$C576&amp;" "&amp;$D576&amp;" "&amp;$E576&amp;" "&amp;$F576&amp;" "&amp;$S576))),OR(13_Buscador!$C$6="Todas las listas",LEN(13_Buscador!$C$6)=0,13_Buscador!$C$6=$B576)),1,0)</f>
        <v>0</v>
      </c>
      <c r="W576" s="55" t="str">
        <f aca="false">IF(V576=1,SUM($V$2:V576),"")</f>
        <v/>
      </c>
    </row>
    <row r="577" customFormat="false" ht="15" hidden="false" customHeight="true" outlineLevel="0" collapsed="false">
      <c r="A577" s="55" t="n">
        <v>576</v>
      </c>
      <c r="B577" s="55" t="s">
        <v>3331</v>
      </c>
      <c r="C577" s="55" t="str">
        <f aca="false">IF(05_Jugos_Aperitivos!B106="","",05_Jugos_Aperitivos!B106)</f>
        <v>Postres</v>
      </c>
      <c r="D577" s="56" t="str">
        <f aca="false">IF(05_Jugos_Aperitivos!C106="","",05_Jugos_Aperitivos!C106)</f>
        <v>Turrón de Doña Pepa</v>
      </c>
      <c r="E577" s="56" t="str">
        <f aca="false">IF(05_Jugos_Aperitivos!D106="","",05_Jugos_Aperitivos!D106)</f>
        <v>Porción</v>
      </c>
      <c r="F577" s="56" t="str">
        <f aca="false">IF(05_Jugos_Aperitivos!E106="","",05_Jugos_Aperitivos!E106)</f>
        <v>ron de caña</v>
      </c>
      <c r="G577" s="55" t="str">
        <f aca="false">IF(05_Jugos_Aperitivos!F106="","",05_Jugos_Aperitivos!F106)</f>
        <v>Porción</v>
      </c>
      <c r="H577" s="55" t="str">
        <f aca="false">IF(05_Jugos_Aperitivos!G106="","",05_Jugos_Aperitivos!G106)</f>
        <v>Económico</v>
      </c>
      <c r="I577" s="58" t="n">
        <f aca="false">IF(05_Jugos_Aperitivos!H106="","",05_Jugos_Aperitivos!H106)</f>
        <v>5</v>
      </c>
      <c r="J577" s="58" t="n">
        <f aca="false">IF(05_Jugos_Aperitivos!I106="","",05_Jugos_Aperitivos!I106)</f>
        <v>12</v>
      </c>
      <c r="K577" s="58" t="n">
        <f aca="false">IF(05_Jugos_Aperitivos!J106="","",05_Jugos_Aperitivos!J106)</f>
        <v>8.5</v>
      </c>
      <c r="L577" s="58" t="n">
        <f aca="false">IF(05_Jugos_Aperitivos!L106="","",05_Jugos_Aperitivos!L106)</f>
        <v>9</v>
      </c>
      <c r="M577" s="58" t="n">
        <f aca="false">IF(05_Jugos_Aperitivos!N106="","",05_Jugos_Aperitivos!N106)</f>
        <v>0.6</v>
      </c>
      <c r="N577" s="58" t="n">
        <f aca="false">IF(05_Jugos_Aperitivos!O106="","",05_Jugos_Aperitivos!O106)</f>
        <v>7.9</v>
      </c>
      <c r="O577" s="55" t="str">
        <f aca="false">IF(05_Jugos_Aperitivos!P106="","",05_Jugos_Aperitivos!P106)</f>
        <v>Todo el día</v>
      </c>
      <c r="P577" s="55" t="n">
        <f aca="false">IF(05_Jugos_Aperitivos!Q106="","",05_Jugos_Aperitivos!Q106)</f>
        <v>2</v>
      </c>
      <c r="Q577" s="55" t="str">
        <f aca="false">IF(05_Jugos_Aperitivos!R106="","",05_Jugos_Aperitivos!R106)</f>
        <v>Alto</v>
      </c>
      <c r="R577" s="55" t="str">
        <f aca="false">IF(05_Jugos_Aperitivos!S106="","",05_Jugos_Aperitivos!S106)</f>
        <v>Octubre</v>
      </c>
      <c r="S577" s="55" t="str">
        <f aca="false">IF(05_Jugos_Aperitivos!T106="","",05_Jugos_Aperitivos!T106)</f>
        <v>Pastelería</v>
      </c>
      <c r="T577" s="56" t="str">
        <f aca="false">IF(05_Jugos_Aperitivos!U106="","",05_Jugos_Aperitivos!U106)</f>
        <v>Fuerte estacionalidad en octubre</v>
      </c>
      <c r="U577" s="55" t="n">
        <v>106</v>
      </c>
      <c r="V577" s="55" t="n">
        <f aca="false">IF(AND(OR(LEN(13_Buscador!$C$5)=0,ISNUMBER(SEARCH(13_Buscador!$C$5,$C577&amp;" "&amp;$D577&amp;" "&amp;$E577&amp;" "&amp;$F577&amp;" "&amp;$S577))),OR(13_Buscador!$C$6="Todas las listas",LEN(13_Buscador!$C$6)=0,13_Buscador!$C$6=$B577)),1,0)</f>
        <v>0</v>
      </c>
      <c r="W577" s="55" t="str">
        <f aca="false">IF(V577=1,SUM($V$2:V577),"")</f>
        <v/>
      </c>
    </row>
    <row r="578" customFormat="false" ht="15" hidden="false" customHeight="true" outlineLevel="0" collapsed="false">
      <c r="A578" s="55" t="n">
        <v>577</v>
      </c>
      <c r="B578" s="55" t="s">
        <v>3331</v>
      </c>
      <c r="C578" s="55" t="str">
        <f aca="false">IF(05_Jugos_Aperitivos!B107="","",05_Jugos_Aperitivos!B107)</f>
        <v>Postres</v>
      </c>
      <c r="D578" s="56" t="str">
        <f aca="false">IF(05_Jugos_Aperitivos!C107="","",05_Jugos_Aperitivos!C107)</f>
        <v>Torta de quinua</v>
      </c>
      <c r="E578" s="56" t="str">
        <f aca="false">IF(05_Jugos_Aperitivos!D107="","",05_Jugos_Aperitivos!D107)</f>
        <v>Torta con harina de quinua</v>
      </c>
      <c r="F578" s="56" t="str">
        <f aca="false">IF(05_Jugos_Aperitivos!E107="","",05_Jugos_Aperitivos!E107)</f>
        <v>harina de quinua, huevo, azúcar, mantequilla</v>
      </c>
      <c r="G578" s="55" t="str">
        <f aca="false">IF(05_Jugos_Aperitivos!F107="","",05_Jugos_Aperitivos!F107)</f>
        <v>Porción</v>
      </c>
      <c r="H578" s="55" t="str">
        <f aca="false">IF(05_Jugos_Aperitivos!G107="","",05_Jugos_Aperitivos!G107)</f>
        <v>Estándar</v>
      </c>
      <c r="I578" s="58" t="n">
        <f aca="false">IF(05_Jugos_Aperitivos!H107="","",05_Jugos_Aperitivos!H107)</f>
        <v>6</v>
      </c>
      <c r="J578" s="58" t="n">
        <f aca="false">IF(05_Jugos_Aperitivos!I107="","",05_Jugos_Aperitivos!I107)</f>
        <v>14</v>
      </c>
      <c r="K578" s="58" t="n">
        <f aca="false">IF(05_Jugos_Aperitivos!J107="","",05_Jugos_Aperitivos!J107)</f>
        <v>10</v>
      </c>
      <c r="L578" s="58" t="n">
        <f aca="false">IF(05_Jugos_Aperitivos!L107="","",05_Jugos_Aperitivos!L107)</f>
        <v>10.5</v>
      </c>
      <c r="M578" s="58" t="n">
        <f aca="false">IF(05_Jugos_Aperitivos!N107="","",05_Jugos_Aperitivos!N107)</f>
        <v>0.9</v>
      </c>
      <c r="N578" s="58" t="n">
        <f aca="false">IF(05_Jugos_Aperitivos!O107="","",05_Jugos_Aperitivos!O107)</f>
        <v>9.1</v>
      </c>
      <c r="O578" s="55" t="str">
        <f aca="false">IF(05_Jugos_Aperitivos!P107="","",05_Jugos_Aperitivos!P107)</f>
        <v>Todo el día</v>
      </c>
      <c r="P578" s="55" t="n">
        <f aca="false">IF(05_Jugos_Aperitivos!Q107="","",05_Jugos_Aperitivos!Q107)</f>
        <v>2</v>
      </c>
      <c r="Q578" s="55" t="str">
        <f aca="false">IF(05_Jugos_Aperitivos!R107="","",05_Jugos_Aperitivos!R107)</f>
        <v>Alto</v>
      </c>
      <c r="R578" s="55" t="str">
        <f aca="false">IF(05_Jugos_Aperitivos!S107="","",05_Jugos_Aperitivos!S107)</f>
        <v>Todo el año</v>
      </c>
      <c r="S578" s="55" t="str">
        <f aca="false">IF(05_Jugos_Aperitivos!T107="","",05_Jugos_Aperitivos!T107)</f>
        <v>Pastelería, regional</v>
      </c>
      <c r="T578" s="56" t="str">
        <f aca="false">IF(05_Jugos_Aperitivos!U107="","",05_Jugos_Aperitivos!U107)</f>
        <v>Diferenciador andino</v>
      </c>
      <c r="U578" s="55" t="n">
        <v>107</v>
      </c>
      <c r="V578" s="55" t="n">
        <f aca="false">IF(AND(OR(LEN(13_Buscador!$C$5)=0,ISNUMBER(SEARCH(13_Buscador!$C$5,$C578&amp;" "&amp;$D578&amp;" "&amp;$E578&amp;" "&amp;$F578&amp;" "&amp;$S578))),OR(13_Buscador!$C$6="Todas las listas",LEN(13_Buscador!$C$6)=0,13_Buscador!$C$6=$B578)),1,0)</f>
        <v>0</v>
      </c>
      <c r="W578" s="55" t="str">
        <f aca="false">IF(V578=1,SUM($V$2:V578),"")</f>
        <v/>
      </c>
    </row>
    <row r="579" customFormat="false" ht="23.25" hidden="false" customHeight="true" outlineLevel="0" collapsed="false">
      <c r="A579" s="55" t="n">
        <v>578</v>
      </c>
      <c r="B579" s="55" t="s">
        <v>3332</v>
      </c>
      <c r="C579" s="55" t="str">
        <f aca="false">IF(06_Jugos_Desayuno_Rapido!B2="","",06_Jugos_Desayuno_Rapido!B2)</f>
        <v>Bebidas calientes de carretilla</v>
      </c>
      <c r="D579" s="56" t="str">
        <f aca="false">IF(06_Jugos_Desayuno_Rapido!C2="","",06_Jugos_Desayuno_Rapido!C2)</f>
        <v>Api con buñuelo</v>
      </c>
      <c r="E579" s="56" t="str">
        <f aca="false">IF(06_Jugos_Desayuno_Rapido!D2="","",06_Jugos_Desayuno_Rapido!D2)</f>
        <v>Bebida caliente de maíz morado + buñuelo</v>
      </c>
      <c r="F579" s="56" t="str">
        <f aca="false">IF(06_Jugos_Desayuno_Rapido!E2="","",06_Jugos_Desayuno_Rapido!E2)</f>
        <v>maíz morado, canela, clavo de olor, azúcar, harina de maíz</v>
      </c>
      <c r="G579" s="55" t="str">
        <f aca="false">IF(06_Jugos_Desayuno_Rapido!F2="","",06_Jugos_Desayuno_Rapido!F2)</f>
        <v>Vaso + 1 buñuelo</v>
      </c>
      <c r="H579" s="55" t="str">
        <f aca="false">IF(06_Jugos_Desayuno_Rapido!G2="","",06_Jugos_Desayuno_Rapido!G2)</f>
        <v>Económico</v>
      </c>
      <c r="I579" s="58" t="n">
        <f aca="false">IF(06_Jugos_Desayuno_Rapido!H2="","",06_Jugos_Desayuno_Rapido!H2)</f>
        <v>3</v>
      </c>
      <c r="J579" s="58" t="n">
        <f aca="false">IF(06_Jugos_Desayuno_Rapido!I2="","",06_Jugos_Desayuno_Rapido!I2)</f>
        <v>7</v>
      </c>
      <c r="K579" s="58" t="n">
        <f aca="false">IF(06_Jugos_Desayuno_Rapido!J2="","",06_Jugos_Desayuno_Rapido!J2)</f>
        <v>5</v>
      </c>
      <c r="L579" s="58" t="n">
        <f aca="false">IF(06_Jugos_Desayuno_Rapido!L2="","",06_Jugos_Desayuno_Rapido!L2)</f>
        <v>5.5</v>
      </c>
      <c r="M579" s="58" t="n">
        <f aca="false">IF(06_Jugos_Desayuno_Rapido!N2="","",06_Jugos_Desayuno_Rapido!N2)</f>
        <v>0.35</v>
      </c>
      <c r="N579" s="58" t="n">
        <f aca="false">IF(06_Jugos_Desayuno_Rapido!O2="","",06_Jugos_Desayuno_Rapido!O2)</f>
        <v>4.65</v>
      </c>
      <c r="O579" s="55" t="str">
        <f aca="false">IF(06_Jugos_Desayuno_Rapido!P2="","",06_Jugos_Desayuno_Rapido!P2)</f>
        <v>05:00-09:00</v>
      </c>
      <c r="P579" s="55" t="n">
        <f aca="false">IF(06_Jugos_Desayuno_Rapido!Q2="","",06_Jugos_Desayuno_Rapido!Q2)</f>
        <v>2</v>
      </c>
      <c r="Q579" s="55" t="str">
        <f aca="false">IF(06_Jugos_Desayuno_Rapido!R2="","",06_Jugos_Desayuno_Rapido!R2)</f>
        <v>Medio</v>
      </c>
      <c r="R579" s="55" t="str">
        <f aca="false">IF(06_Jugos_Desayuno_Rapido!S2="","",06_Jugos_Desayuno_Rapido!S2)</f>
        <v>Mayor demanda en frío</v>
      </c>
      <c r="S579" s="55" t="str">
        <f aca="false">IF(06_Jugos_Desayuno_Rapido!T2="","",06_Jugos_Desayuno_Rapido!T2)</f>
        <v>Carretilla, mercado</v>
      </c>
      <c r="T579" s="56" t="str">
        <f aca="false">IF(06_Jugos_Desayuno_Rapido!U2="","",06_Jugos_Desayuno_Rapido!U2)</f>
        <v>Clásico de la mañana fría puneña; el vaso debe ir sellado</v>
      </c>
      <c r="U579" s="55" t="n">
        <v>2</v>
      </c>
      <c r="V579" s="55" t="n">
        <f aca="false">IF(AND(OR(LEN(13_Buscador!$C$5)=0,ISNUMBER(SEARCH(13_Buscador!$C$5,$C579&amp;" "&amp;$D579&amp;" "&amp;$E579&amp;" "&amp;$F579&amp;" "&amp;$S579))),OR(13_Buscador!$C$6="Todas las listas",LEN(13_Buscador!$C$6)=0,13_Buscador!$C$6=$B579)),1,0)</f>
        <v>0</v>
      </c>
      <c r="W579" s="55" t="str">
        <f aca="false">IF(V579=1,SUM($V$2:V579),"")</f>
        <v/>
      </c>
    </row>
    <row r="580" customFormat="false" ht="23.25" hidden="false" customHeight="true" outlineLevel="0" collapsed="false">
      <c r="A580" s="55" t="n">
        <v>579</v>
      </c>
      <c r="B580" s="55" t="s">
        <v>3332</v>
      </c>
      <c r="C580" s="55" t="str">
        <f aca="false">IF(06_Jugos_Desayuno_Rapido!B3="","",06_Jugos_Desayuno_Rapido!B3)</f>
        <v>Bebidas calientes de carretilla</v>
      </c>
      <c r="D580" s="56" t="str">
        <f aca="false">IF(06_Jugos_Desayuno_Rapido!C3="","",06_Jugos_Desayuno_Rapido!C3)</f>
        <v>Api solo</v>
      </c>
      <c r="E580" s="56" t="str">
        <f aca="false">IF(06_Jugos_Desayuno_Rapido!D3="","",06_Jugos_Desayuno_Rapido!D3)</f>
        <v>Vaso de api caliente</v>
      </c>
      <c r="F580" s="56" t="str">
        <f aca="false">IF(06_Jugos_Desayuno_Rapido!E3="","",06_Jugos_Desayuno_Rapido!E3)</f>
        <v>maíz morado, canela, clavo de olor, azúcar, harina de maíz</v>
      </c>
      <c r="G580" s="55" t="str">
        <f aca="false">IF(06_Jugos_Desayuno_Rapido!F3="","",06_Jugos_Desayuno_Rapido!F3)</f>
        <v>Vaso 300 ml</v>
      </c>
      <c r="H580" s="55" t="str">
        <f aca="false">IF(06_Jugos_Desayuno_Rapido!G3="","",06_Jugos_Desayuno_Rapido!G3)</f>
        <v>Económico</v>
      </c>
      <c r="I580" s="58" t="n">
        <f aca="false">IF(06_Jugos_Desayuno_Rapido!H3="","",06_Jugos_Desayuno_Rapido!H3)</f>
        <v>2</v>
      </c>
      <c r="J580" s="58" t="n">
        <f aca="false">IF(06_Jugos_Desayuno_Rapido!I3="","",06_Jugos_Desayuno_Rapido!I3)</f>
        <v>4</v>
      </c>
      <c r="K580" s="58" t="n">
        <f aca="false">IF(06_Jugos_Desayuno_Rapido!J3="","",06_Jugos_Desayuno_Rapido!J3)</f>
        <v>3</v>
      </c>
      <c r="L580" s="58" t="n">
        <f aca="false">IF(06_Jugos_Desayuno_Rapido!L3="","",06_Jugos_Desayuno_Rapido!L3)</f>
        <v>3.5</v>
      </c>
      <c r="M580" s="58" t="n">
        <f aca="false">IF(06_Jugos_Desayuno_Rapido!N3="","",06_Jugos_Desayuno_Rapido!N3)</f>
        <v>0.21</v>
      </c>
      <c r="N580" s="58" t="n">
        <f aca="false">IF(06_Jugos_Desayuno_Rapido!O3="","",06_Jugos_Desayuno_Rapido!O3)</f>
        <v>2.79</v>
      </c>
      <c r="O580" s="55" t="str">
        <f aca="false">IF(06_Jugos_Desayuno_Rapido!P3="","",06_Jugos_Desayuno_Rapido!P3)</f>
        <v>05:00-09:00</v>
      </c>
      <c r="P580" s="55" t="n">
        <f aca="false">IF(06_Jugos_Desayuno_Rapido!Q3="","",06_Jugos_Desayuno_Rapido!Q3)</f>
        <v>1</v>
      </c>
      <c r="Q580" s="55" t="str">
        <f aca="false">IF(06_Jugos_Desayuno_Rapido!R3="","",06_Jugos_Desayuno_Rapido!R3)</f>
        <v>Medio</v>
      </c>
      <c r="R580" s="55" t="str">
        <f aca="false">IF(06_Jugos_Desayuno_Rapido!S3="","",06_Jugos_Desayuno_Rapido!S3)</f>
        <v>Mayor demanda en frío</v>
      </c>
      <c r="S580" s="55" t="str">
        <f aca="false">IF(06_Jugos_Desayuno_Rapido!T3="","",06_Jugos_Desayuno_Rapido!T3)</f>
        <v>Carretilla, mercado</v>
      </c>
      <c r="T580" s="56" t="str">
        <f aca="false">IF(06_Jugos_Desayuno_Rapido!U3="","",06_Jugos_Desayuno_Rapido!U3)</f>
        <v/>
      </c>
      <c r="U580" s="55" t="n">
        <v>3</v>
      </c>
      <c r="V580" s="55" t="n">
        <f aca="false">IF(AND(OR(LEN(13_Buscador!$C$5)=0,ISNUMBER(SEARCH(13_Buscador!$C$5,$C580&amp;" "&amp;$D580&amp;" "&amp;$E580&amp;" "&amp;$F580&amp;" "&amp;$S580))),OR(13_Buscador!$C$6="Todas las listas",LEN(13_Buscador!$C$6)=0,13_Buscador!$C$6=$B580)),1,0)</f>
        <v>0</v>
      </c>
      <c r="W580" s="55" t="str">
        <f aca="false">IF(V580=1,SUM($V$2:V580),"")</f>
        <v/>
      </c>
    </row>
    <row r="581" customFormat="false" ht="15" hidden="false" customHeight="true" outlineLevel="0" collapsed="false">
      <c r="A581" s="55" t="n">
        <v>580</v>
      </c>
      <c r="B581" s="55" t="s">
        <v>3332</v>
      </c>
      <c r="C581" s="55" t="str">
        <f aca="false">IF(06_Jugos_Desayuno_Rapido!B4="","",06_Jugos_Desayuno_Rapido!B4)</f>
        <v>Bebidas calientes de carretilla</v>
      </c>
      <c r="D581" s="56" t="str">
        <f aca="false">IF(06_Jugos_Desayuno_Rapido!C4="","",06_Jugos_Desayuno_Rapido!C4)</f>
        <v>Quinuada</v>
      </c>
      <c r="E581" s="56" t="str">
        <f aca="false">IF(06_Jugos_Desayuno_Rapido!D4="","",06_Jugos_Desayuno_Rapido!D4)</f>
        <v>Bebida caliente de quinua con manzana</v>
      </c>
      <c r="F581" s="56" t="str">
        <f aca="false">IF(06_Jugos_Desayuno_Rapido!E4="","",06_Jugos_Desayuno_Rapido!E4)</f>
        <v>quinua, manzana, canela, azúcar</v>
      </c>
      <c r="G581" s="55" t="str">
        <f aca="false">IF(06_Jugos_Desayuno_Rapido!F4="","",06_Jugos_Desayuno_Rapido!F4)</f>
        <v>Vaso 300 ml</v>
      </c>
      <c r="H581" s="55" t="str">
        <f aca="false">IF(06_Jugos_Desayuno_Rapido!G4="","",06_Jugos_Desayuno_Rapido!G4)</f>
        <v>Económico</v>
      </c>
      <c r="I581" s="58" t="n">
        <f aca="false">IF(06_Jugos_Desayuno_Rapido!H4="","",06_Jugos_Desayuno_Rapido!H4)</f>
        <v>2</v>
      </c>
      <c r="J581" s="58" t="n">
        <f aca="false">IF(06_Jugos_Desayuno_Rapido!I4="","",06_Jugos_Desayuno_Rapido!I4)</f>
        <v>5</v>
      </c>
      <c r="K581" s="58" t="n">
        <f aca="false">IF(06_Jugos_Desayuno_Rapido!J4="","",06_Jugos_Desayuno_Rapido!J4)</f>
        <v>3.5</v>
      </c>
      <c r="L581" s="58" t="n">
        <f aca="false">IF(06_Jugos_Desayuno_Rapido!L4="","",06_Jugos_Desayuno_Rapido!L4)</f>
        <v>4</v>
      </c>
      <c r="M581" s="58" t="n">
        <f aca="false">IF(06_Jugos_Desayuno_Rapido!N4="","",06_Jugos_Desayuno_Rapido!N4)</f>
        <v>0.25</v>
      </c>
      <c r="N581" s="58" t="n">
        <f aca="false">IF(06_Jugos_Desayuno_Rapido!O4="","",06_Jugos_Desayuno_Rapido!O4)</f>
        <v>3.25</v>
      </c>
      <c r="O581" s="55" t="str">
        <f aca="false">IF(06_Jugos_Desayuno_Rapido!P4="","",06_Jugos_Desayuno_Rapido!P4)</f>
        <v>05:00-09:00</v>
      </c>
      <c r="P581" s="55" t="n">
        <f aca="false">IF(06_Jugos_Desayuno_Rapido!Q4="","",06_Jugos_Desayuno_Rapido!Q4)</f>
        <v>1</v>
      </c>
      <c r="Q581" s="55" t="str">
        <f aca="false">IF(06_Jugos_Desayuno_Rapido!R4="","",06_Jugos_Desayuno_Rapido!R4)</f>
        <v>Medio</v>
      </c>
      <c r="R581" s="55" t="str">
        <f aca="false">IF(06_Jugos_Desayuno_Rapido!S4="","",06_Jugos_Desayuno_Rapido!S4)</f>
        <v>Todo el año</v>
      </c>
      <c r="S581" s="55" t="str">
        <f aca="false">IF(06_Jugos_Desayuno_Rapido!T4="","",06_Jugos_Desayuno_Rapido!T4)</f>
        <v>Carretilla, mercado</v>
      </c>
      <c r="T581" s="56" t="str">
        <f aca="false">IF(06_Jugos_Desayuno_Rapido!U4="","",06_Jugos_Desayuno_Rapido!U4)</f>
        <v/>
      </c>
      <c r="U581" s="55" t="n">
        <v>4</v>
      </c>
      <c r="V581" s="55" t="n">
        <f aca="false">IF(AND(OR(LEN(13_Buscador!$C$5)=0,ISNUMBER(SEARCH(13_Buscador!$C$5,$C581&amp;" "&amp;$D581&amp;" "&amp;$E581&amp;" "&amp;$F581&amp;" "&amp;$S581))),OR(13_Buscador!$C$6="Todas las listas",LEN(13_Buscador!$C$6)=0,13_Buscador!$C$6=$B581)),1,0)</f>
        <v>0</v>
      </c>
      <c r="W581" s="55" t="str">
        <f aca="false">IF(V581=1,SUM($V$2:V581),"")</f>
        <v/>
      </c>
    </row>
    <row r="582" customFormat="false" ht="15" hidden="false" customHeight="true" outlineLevel="0" collapsed="false">
      <c r="A582" s="55" t="n">
        <v>581</v>
      </c>
      <c r="B582" s="55" t="s">
        <v>3332</v>
      </c>
      <c r="C582" s="55" t="str">
        <f aca="false">IF(06_Jugos_Desayuno_Rapido!B5="","",06_Jugos_Desayuno_Rapido!B5)</f>
        <v>Bebidas calientes de carretilla</v>
      </c>
      <c r="D582" s="56" t="str">
        <f aca="false">IF(06_Jugos_Desayuno_Rapido!C5="","",06_Jugos_Desayuno_Rapido!C5)</f>
        <v>Maicena</v>
      </c>
      <c r="E582" s="56" t="str">
        <f aca="false">IF(06_Jugos_Desayuno_Rapido!D5="","",06_Jugos_Desayuno_Rapido!D5)</f>
        <v>Bebida espesa con canela</v>
      </c>
      <c r="F582" s="56" t="str">
        <f aca="false">IF(06_Jugos_Desayuno_Rapido!E5="","",06_Jugos_Desayuno_Rapido!E5)</f>
        <v>maicena, leche, canela, azúcar</v>
      </c>
      <c r="G582" s="55" t="str">
        <f aca="false">IF(06_Jugos_Desayuno_Rapido!F5="","",06_Jugos_Desayuno_Rapido!F5)</f>
        <v>Vaso 300 ml</v>
      </c>
      <c r="H582" s="55" t="str">
        <f aca="false">IF(06_Jugos_Desayuno_Rapido!G5="","",06_Jugos_Desayuno_Rapido!G5)</f>
        <v>Económico</v>
      </c>
      <c r="I582" s="58" t="n">
        <f aca="false">IF(06_Jugos_Desayuno_Rapido!H5="","",06_Jugos_Desayuno_Rapido!H5)</f>
        <v>2</v>
      </c>
      <c r="J582" s="58" t="n">
        <f aca="false">IF(06_Jugos_Desayuno_Rapido!I5="","",06_Jugos_Desayuno_Rapido!I5)</f>
        <v>5</v>
      </c>
      <c r="K582" s="58" t="n">
        <f aca="false">IF(06_Jugos_Desayuno_Rapido!J5="","",06_Jugos_Desayuno_Rapido!J5)</f>
        <v>3.5</v>
      </c>
      <c r="L582" s="58" t="n">
        <f aca="false">IF(06_Jugos_Desayuno_Rapido!L5="","",06_Jugos_Desayuno_Rapido!L5)</f>
        <v>4</v>
      </c>
      <c r="M582" s="58" t="n">
        <f aca="false">IF(06_Jugos_Desayuno_Rapido!N5="","",06_Jugos_Desayuno_Rapido!N5)</f>
        <v>0.25</v>
      </c>
      <c r="N582" s="58" t="n">
        <f aca="false">IF(06_Jugos_Desayuno_Rapido!O5="","",06_Jugos_Desayuno_Rapido!O5)</f>
        <v>3.25</v>
      </c>
      <c r="O582" s="55" t="str">
        <f aca="false">IF(06_Jugos_Desayuno_Rapido!P5="","",06_Jugos_Desayuno_Rapido!P5)</f>
        <v>05:00-09:00</v>
      </c>
      <c r="P582" s="55" t="n">
        <f aca="false">IF(06_Jugos_Desayuno_Rapido!Q5="","",06_Jugos_Desayuno_Rapido!Q5)</f>
        <v>1</v>
      </c>
      <c r="Q582" s="55" t="str">
        <f aca="false">IF(06_Jugos_Desayuno_Rapido!R5="","",06_Jugos_Desayuno_Rapido!R5)</f>
        <v>Medio</v>
      </c>
      <c r="R582" s="55" t="str">
        <f aca="false">IF(06_Jugos_Desayuno_Rapido!S5="","",06_Jugos_Desayuno_Rapido!S5)</f>
        <v>Mayor demanda en frío</v>
      </c>
      <c r="S582" s="55" t="str">
        <f aca="false">IF(06_Jugos_Desayuno_Rapido!T5="","",06_Jugos_Desayuno_Rapido!T5)</f>
        <v>Carretilla</v>
      </c>
      <c r="T582" s="56" t="str">
        <f aca="false">IF(06_Jugos_Desayuno_Rapido!U5="","",06_Jugos_Desayuno_Rapido!U5)</f>
        <v/>
      </c>
      <c r="U582" s="55" t="n">
        <v>5</v>
      </c>
      <c r="V582" s="55" t="n">
        <f aca="false">IF(AND(OR(LEN(13_Buscador!$C$5)=0,ISNUMBER(SEARCH(13_Buscador!$C$5,$C582&amp;" "&amp;$D582&amp;" "&amp;$E582&amp;" "&amp;$F582&amp;" "&amp;$S582))),OR(13_Buscador!$C$6="Todas las listas",LEN(13_Buscador!$C$6)=0,13_Buscador!$C$6=$B582)),1,0)</f>
        <v>0</v>
      </c>
      <c r="W582" s="55" t="str">
        <f aca="false">IF(V582=1,SUM($V$2:V582),"")</f>
        <v/>
      </c>
    </row>
    <row r="583" customFormat="false" ht="15" hidden="false" customHeight="true" outlineLevel="0" collapsed="false">
      <c r="A583" s="55" t="n">
        <v>582</v>
      </c>
      <c r="B583" s="55" t="s">
        <v>3332</v>
      </c>
      <c r="C583" s="55" t="str">
        <f aca="false">IF(06_Jugos_Desayuno_Rapido!B6="","",06_Jugos_Desayuno_Rapido!B6)</f>
        <v>Bebidas calientes de carretilla</v>
      </c>
      <c r="D583" s="56" t="str">
        <f aca="false">IF(06_Jugos_Desayuno_Rapido!C6="","",06_Jugos_Desayuno_Rapido!C6)</f>
        <v>Emoliente</v>
      </c>
      <c r="E583" s="56" t="str">
        <f aca="false">IF(06_Jugos_Desayuno_Rapido!D6="","",06_Jugos_Desayuno_Rapido!D6)</f>
        <v>Linaza, cebada, hierbas</v>
      </c>
      <c r="F583" s="56" t="str">
        <f aca="false">IF(06_Jugos_Desayuno_Rapido!E6="","",06_Jugos_Desayuno_Rapido!E6)</f>
        <v>cebada tostada, linaza, cola de caballo, limón, azúcar</v>
      </c>
      <c r="G583" s="55" t="str">
        <f aca="false">IF(06_Jugos_Desayuno_Rapido!F6="","",06_Jugos_Desayuno_Rapido!F6)</f>
        <v>Vaso 300 ml</v>
      </c>
      <c r="H583" s="55" t="str">
        <f aca="false">IF(06_Jugos_Desayuno_Rapido!G6="","",06_Jugos_Desayuno_Rapido!G6)</f>
        <v>Económico</v>
      </c>
      <c r="I583" s="58" t="n">
        <f aca="false">IF(06_Jugos_Desayuno_Rapido!H6="","",06_Jugos_Desayuno_Rapido!H6)</f>
        <v>2</v>
      </c>
      <c r="J583" s="58" t="n">
        <f aca="false">IF(06_Jugos_Desayuno_Rapido!I6="","",06_Jugos_Desayuno_Rapido!I6)</f>
        <v>4</v>
      </c>
      <c r="K583" s="58" t="n">
        <f aca="false">IF(06_Jugos_Desayuno_Rapido!J6="","",06_Jugos_Desayuno_Rapido!J6)</f>
        <v>3</v>
      </c>
      <c r="L583" s="58" t="n">
        <f aca="false">IF(06_Jugos_Desayuno_Rapido!L6="","",06_Jugos_Desayuno_Rapido!L6)</f>
        <v>3.5</v>
      </c>
      <c r="M583" s="58" t="n">
        <f aca="false">IF(06_Jugos_Desayuno_Rapido!N6="","",06_Jugos_Desayuno_Rapido!N6)</f>
        <v>0.21</v>
      </c>
      <c r="N583" s="58" t="n">
        <f aca="false">IF(06_Jugos_Desayuno_Rapido!O6="","",06_Jugos_Desayuno_Rapido!O6)</f>
        <v>2.79</v>
      </c>
      <c r="O583" s="55" t="str">
        <f aca="false">IF(06_Jugos_Desayuno_Rapido!P6="","",06_Jugos_Desayuno_Rapido!P6)</f>
        <v>05:00-09:00</v>
      </c>
      <c r="P583" s="55" t="n">
        <f aca="false">IF(06_Jugos_Desayuno_Rapido!Q6="","",06_Jugos_Desayuno_Rapido!Q6)</f>
        <v>1</v>
      </c>
      <c r="Q583" s="55" t="str">
        <f aca="false">IF(06_Jugos_Desayuno_Rapido!R6="","",06_Jugos_Desayuno_Rapido!R6)</f>
        <v>Medio</v>
      </c>
      <c r="R583" s="55" t="str">
        <f aca="false">IF(06_Jugos_Desayuno_Rapido!S6="","",06_Jugos_Desayuno_Rapido!S6)</f>
        <v>Mayor demanda en frío</v>
      </c>
      <c r="S583" s="55" t="str">
        <f aca="false">IF(06_Jugos_Desayuno_Rapido!T6="","",06_Jugos_Desayuno_Rapido!T6)</f>
        <v>Carretilla</v>
      </c>
      <c r="T583" s="56" t="str">
        <f aca="false">IF(06_Jugos_Desayuno_Rapido!U6="","",06_Jugos_Desayuno_Rapido!U6)</f>
        <v>Carretilla de esquina, muy extendida</v>
      </c>
      <c r="U583" s="55" t="n">
        <v>6</v>
      </c>
      <c r="V583" s="55" t="n">
        <f aca="false">IF(AND(OR(LEN(13_Buscador!$C$5)=0,ISNUMBER(SEARCH(13_Buscador!$C$5,$C583&amp;" "&amp;$D583&amp;" "&amp;$E583&amp;" "&amp;$F583&amp;" "&amp;$S583))),OR(13_Buscador!$C$6="Todas las listas",LEN(13_Buscador!$C$6)=0,13_Buscador!$C$6=$B583)),1,0)</f>
        <v>0</v>
      </c>
      <c r="W583" s="55" t="str">
        <f aca="false">IF(V583=1,SUM($V$2:V583),"")</f>
        <v/>
      </c>
    </row>
    <row r="584" customFormat="false" ht="15" hidden="false" customHeight="true" outlineLevel="0" collapsed="false">
      <c r="A584" s="55" t="n">
        <v>583</v>
      </c>
      <c r="B584" s="55" t="s">
        <v>3332</v>
      </c>
      <c r="C584" s="55" t="str">
        <f aca="false">IF(06_Jugos_Desayuno_Rapido!B7="","",06_Jugos_Desayuno_Rapido!B7)</f>
        <v>Bebidas calientes de carretilla</v>
      </c>
      <c r="D584" s="56" t="str">
        <f aca="false">IF(06_Jugos_Desayuno_Rapido!C7="","",06_Jugos_Desayuno_Rapido!C7)</f>
        <v>Emoliente especial</v>
      </c>
      <c r="E584" s="56" t="str">
        <f aca="false">IF(06_Jugos_Desayuno_Rapido!D7="","",06_Jugos_Desayuno_Rapido!D7)</f>
        <v>Con linaza extra y alfalfa</v>
      </c>
      <c r="F584" s="56" t="str">
        <f aca="false">IF(06_Jugos_Desayuno_Rapido!E7="","",06_Jugos_Desayuno_Rapido!E7)</f>
        <v>cebada tostada, linaza, cola de caballo, limón, azúcar</v>
      </c>
      <c r="G584" s="55" t="str">
        <f aca="false">IF(06_Jugos_Desayuno_Rapido!F7="","",06_Jugos_Desayuno_Rapido!F7)</f>
        <v>Vaso 500 ml</v>
      </c>
      <c r="H584" s="55" t="str">
        <f aca="false">IF(06_Jugos_Desayuno_Rapido!G7="","",06_Jugos_Desayuno_Rapido!G7)</f>
        <v>Económico</v>
      </c>
      <c r="I584" s="58" t="n">
        <f aca="false">IF(06_Jugos_Desayuno_Rapido!H7="","",06_Jugos_Desayuno_Rapido!H7)</f>
        <v>3</v>
      </c>
      <c r="J584" s="58" t="n">
        <f aca="false">IF(06_Jugos_Desayuno_Rapido!I7="","",06_Jugos_Desayuno_Rapido!I7)</f>
        <v>6</v>
      </c>
      <c r="K584" s="58" t="n">
        <f aca="false">IF(06_Jugos_Desayuno_Rapido!J7="","",06_Jugos_Desayuno_Rapido!J7)</f>
        <v>4.5</v>
      </c>
      <c r="L584" s="58" t="n">
        <f aca="false">IF(06_Jugos_Desayuno_Rapido!L7="","",06_Jugos_Desayuno_Rapido!L7)</f>
        <v>5</v>
      </c>
      <c r="M584" s="58" t="n">
        <f aca="false">IF(06_Jugos_Desayuno_Rapido!N7="","",06_Jugos_Desayuno_Rapido!N7)</f>
        <v>0.32</v>
      </c>
      <c r="N584" s="58" t="n">
        <f aca="false">IF(06_Jugos_Desayuno_Rapido!O7="","",06_Jugos_Desayuno_Rapido!O7)</f>
        <v>4.18</v>
      </c>
      <c r="O584" s="55" t="str">
        <f aca="false">IF(06_Jugos_Desayuno_Rapido!P7="","",06_Jugos_Desayuno_Rapido!P7)</f>
        <v>05:00-09:00</v>
      </c>
      <c r="P584" s="55" t="n">
        <f aca="false">IF(06_Jugos_Desayuno_Rapido!Q7="","",06_Jugos_Desayuno_Rapido!Q7)</f>
        <v>2</v>
      </c>
      <c r="Q584" s="55" t="str">
        <f aca="false">IF(06_Jugos_Desayuno_Rapido!R7="","",06_Jugos_Desayuno_Rapido!R7)</f>
        <v>Medio</v>
      </c>
      <c r="R584" s="55" t="str">
        <f aca="false">IF(06_Jugos_Desayuno_Rapido!S7="","",06_Jugos_Desayuno_Rapido!S7)</f>
        <v>Mayor demanda en frío</v>
      </c>
      <c r="S584" s="55" t="str">
        <f aca="false">IF(06_Jugos_Desayuno_Rapido!T7="","",06_Jugos_Desayuno_Rapido!T7)</f>
        <v>Carretilla</v>
      </c>
      <c r="T584" s="56" t="str">
        <f aca="false">IF(06_Jugos_Desayuno_Rapido!U7="","",06_Jugos_Desayuno_Rapido!U7)</f>
        <v/>
      </c>
      <c r="U584" s="55" t="n">
        <v>7</v>
      </c>
      <c r="V584" s="55" t="n">
        <f aca="false">IF(AND(OR(LEN(13_Buscador!$C$5)=0,ISNUMBER(SEARCH(13_Buscador!$C$5,$C584&amp;" "&amp;$D584&amp;" "&amp;$E584&amp;" "&amp;$F584&amp;" "&amp;$S584))),OR(13_Buscador!$C$6="Todas las listas",LEN(13_Buscador!$C$6)=0,13_Buscador!$C$6=$B584)),1,0)</f>
        <v>0</v>
      </c>
      <c r="W584" s="55" t="str">
        <f aca="false">IF(V584=1,SUM($V$2:V584),"")</f>
        <v/>
      </c>
    </row>
    <row r="585" customFormat="false" ht="15" hidden="false" customHeight="true" outlineLevel="0" collapsed="false">
      <c r="A585" s="55" t="n">
        <v>584</v>
      </c>
      <c r="B585" s="55" t="s">
        <v>3332</v>
      </c>
      <c r="C585" s="55" t="str">
        <f aca="false">IF(06_Jugos_Desayuno_Rapido!B8="","",06_Jugos_Desayuno_Rapido!B8)</f>
        <v>Bebidas calientes de carretilla</v>
      </c>
      <c r="D585" s="56" t="str">
        <f aca="false">IF(06_Jugos_Desayuno_Rapido!C8="","",06_Jugos_Desayuno_Rapido!C8)</f>
        <v>Ponche de habas</v>
      </c>
      <c r="E585" s="56" t="str">
        <f aca="false">IF(06_Jugos_Desayuno_Rapido!D8="","",06_Jugos_Desayuno_Rapido!D8)</f>
        <v>Bebida espesa de habas</v>
      </c>
      <c r="F585" s="56" t="str">
        <f aca="false">IF(06_Jugos_Desayuno_Rapido!E8="","",06_Jugos_Desayuno_Rapido!E8)</f>
        <v>harina de habas tostadas, leche, azúcar, canela</v>
      </c>
      <c r="G585" s="55" t="str">
        <f aca="false">IF(06_Jugos_Desayuno_Rapido!F8="","",06_Jugos_Desayuno_Rapido!F8)</f>
        <v>Vaso 300 ml</v>
      </c>
      <c r="H585" s="55" t="str">
        <f aca="false">IF(06_Jugos_Desayuno_Rapido!G8="","",06_Jugos_Desayuno_Rapido!G8)</f>
        <v>Económico</v>
      </c>
      <c r="I585" s="58" t="n">
        <f aca="false">IF(06_Jugos_Desayuno_Rapido!H8="","",06_Jugos_Desayuno_Rapido!H8)</f>
        <v>3</v>
      </c>
      <c r="J585" s="58" t="n">
        <f aca="false">IF(06_Jugos_Desayuno_Rapido!I8="","",06_Jugos_Desayuno_Rapido!I8)</f>
        <v>7</v>
      </c>
      <c r="K585" s="58" t="n">
        <f aca="false">IF(06_Jugos_Desayuno_Rapido!J8="","",06_Jugos_Desayuno_Rapido!J8)</f>
        <v>5</v>
      </c>
      <c r="L585" s="58" t="n">
        <f aca="false">IF(06_Jugos_Desayuno_Rapido!L8="","",06_Jugos_Desayuno_Rapido!L8)</f>
        <v>5.5</v>
      </c>
      <c r="M585" s="58" t="n">
        <f aca="false">IF(06_Jugos_Desayuno_Rapido!N8="","",06_Jugos_Desayuno_Rapido!N8)</f>
        <v>0.35</v>
      </c>
      <c r="N585" s="58" t="n">
        <f aca="false">IF(06_Jugos_Desayuno_Rapido!O8="","",06_Jugos_Desayuno_Rapido!O8)</f>
        <v>4.65</v>
      </c>
      <c r="O585" s="55" t="str">
        <f aca="false">IF(06_Jugos_Desayuno_Rapido!P8="","",06_Jugos_Desayuno_Rapido!P8)</f>
        <v>05:00-09:00</v>
      </c>
      <c r="P585" s="55" t="n">
        <f aca="false">IF(06_Jugos_Desayuno_Rapido!Q8="","",06_Jugos_Desayuno_Rapido!Q8)</f>
        <v>2</v>
      </c>
      <c r="Q585" s="55" t="str">
        <f aca="false">IF(06_Jugos_Desayuno_Rapido!R8="","",06_Jugos_Desayuno_Rapido!R8)</f>
        <v>Medio</v>
      </c>
      <c r="R585" s="55" t="str">
        <f aca="false">IF(06_Jugos_Desayuno_Rapido!S8="","",06_Jugos_Desayuno_Rapido!S8)</f>
        <v>Mayor demanda en frío</v>
      </c>
      <c r="S585" s="55" t="str">
        <f aca="false">IF(06_Jugos_Desayuno_Rapido!T8="","",06_Jugos_Desayuno_Rapido!T8)</f>
        <v>Carretilla</v>
      </c>
      <c r="T585" s="56" t="str">
        <f aca="false">IF(06_Jugos_Desayuno_Rapido!U8="","",06_Jugos_Desayuno_Rapido!U8)</f>
        <v/>
      </c>
      <c r="U585" s="55" t="n">
        <v>8</v>
      </c>
      <c r="V585" s="55" t="n">
        <f aca="false">IF(AND(OR(LEN(13_Buscador!$C$5)=0,ISNUMBER(SEARCH(13_Buscador!$C$5,$C585&amp;" "&amp;$D585&amp;" "&amp;$E585&amp;" "&amp;$F585&amp;" "&amp;$S585))),OR(13_Buscador!$C$6="Todas las listas",LEN(13_Buscador!$C$6)=0,13_Buscador!$C$6=$B585)),1,0)</f>
        <v>0</v>
      </c>
      <c r="W585" s="55" t="str">
        <f aca="false">IF(V585=1,SUM($V$2:V585),"")</f>
        <v/>
      </c>
    </row>
    <row r="586" customFormat="false" ht="15" hidden="false" customHeight="true" outlineLevel="0" collapsed="false">
      <c r="A586" s="55" t="n">
        <v>585</v>
      </c>
      <c r="B586" s="55" t="s">
        <v>3332</v>
      </c>
      <c r="C586" s="55" t="str">
        <f aca="false">IF(06_Jugos_Desayuno_Rapido!B9="","",06_Jugos_Desayuno_Rapido!B9)</f>
        <v>Bebidas calientes de carretilla</v>
      </c>
      <c r="D586" s="56" t="str">
        <f aca="false">IF(06_Jugos_Desayuno_Rapido!C9="","",06_Jugos_Desayuno_Rapido!C9)</f>
        <v>Ponche de maní</v>
      </c>
      <c r="E586" s="56" t="str">
        <f aca="false">IF(06_Jugos_Desayuno_Rapido!D9="","",06_Jugos_Desayuno_Rapido!D9)</f>
        <v>Bebida espesa dulce</v>
      </c>
      <c r="F586" s="56" t="str">
        <f aca="false">IF(06_Jugos_Desayuno_Rapido!E9="","",06_Jugos_Desayuno_Rapido!E9)</f>
        <v>maní tostado, leche, azúcar, canela</v>
      </c>
      <c r="G586" s="55" t="str">
        <f aca="false">IF(06_Jugos_Desayuno_Rapido!F9="","",06_Jugos_Desayuno_Rapido!F9)</f>
        <v>Vaso 300 ml</v>
      </c>
      <c r="H586" s="55" t="str">
        <f aca="false">IF(06_Jugos_Desayuno_Rapido!G9="","",06_Jugos_Desayuno_Rapido!G9)</f>
        <v>Económico</v>
      </c>
      <c r="I586" s="58" t="n">
        <f aca="false">IF(06_Jugos_Desayuno_Rapido!H9="","",06_Jugos_Desayuno_Rapido!H9)</f>
        <v>3</v>
      </c>
      <c r="J586" s="58" t="n">
        <f aca="false">IF(06_Jugos_Desayuno_Rapido!I9="","",06_Jugos_Desayuno_Rapido!I9)</f>
        <v>8</v>
      </c>
      <c r="K586" s="58" t="n">
        <f aca="false">IF(06_Jugos_Desayuno_Rapido!J9="","",06_Jugos_Desayuno_Rapido!J9)</f>
        <v>5.5</v>
      </c>
      <c r="L586" s="58" t="n">
        <f aca="false">IF(06_Jugos_Desayuno_Rapido!L9="","",06_Jugos_Desayuno_Rapido!L9)</f>
        <v>6</v>
      </c>
      <c r="M586" s="58" t="n">
        <f aca="false">IF(06_Jugos_Desayuno_Rapido!N9="","",06_Jugos_Desayuno_Rapido!N9)</f>
        <v>0.39</v>
      </c>
      <c r="N586" s="58" t="n">
        <f aca="false">IF(06_Jugos_Desayuno_Rapido!O9="","",06_Jugos_Desayuno_Rapido!O9)</f>
        <v>5.11</v>
      </c>
      <c r="O586" s="55" t="str">
        <f aca="false">IF(06_Jugos_Desayuno_Rapido!P9="","",06_Jugos_Desayuno_Rapido!P9)</f>
        <v>05:00-09:00</v>
      </c>
      <c r="P586" s="55" t="n">
        <f aca="false">IF(06_Jugos_Desayuno_Rapido!Q9="","",06_Jugos_Desayuno_Rapido!Q9)</f>
        <v>2</v>
      </c>
      <c r="Q586" s="55" t="str">
        <f aca="false">IF(06_Jugos_Desayuno_Rapido!R9="","",06_Jugos_Desayuno_Rapido!R9)</f>
        <v>Medio</v>
      </c>
      <c r="R586" s="55" t="str">
        <f aca="false">IF(06_Jugos_Desayuno_Rapido!S9="","",06_Jugos_Desayuno_Rapido!S9)</f>
        <v>Mayor demanda en frío</v>
      </c>
      <c r="S586" s="55" t="str">
        <f aca="false">IF(06_Jugos_Desayuno_Rapido!T9="","",06_Jugos_Desayuno_Rapido!T9)</f>
        <v>Carretilla</v>
      </c>
      <c r="T586" s="56" t="str">
        <f aca="false">IF(06_Jugos_Desayuno_Rapido!U9="","",06_Jugos_Desayuno_Rapido!U9)</f>
        <v/>
      </c>
      <c r="U586" s="55" t="n">
        <v>9</v>
      </c>
      <c r="V586" s="55" t="n">
        <f aca="false">IF(AND(OR(LEN(13_Buscador!$C$5)=0,ISNUMBER(SEARCH(13_Buscador!$C$5,$C586&amp;" "&amp;$D586&amp;" "&amp;$E586&amp;" "&amp;$F586&amp;" "&amp;$S586))),OR(13_Buscador!$C$6="Todas las listas",LEN(13_Buscador!$C$6)=0,13_Buscador!$C$6=$B586)),1,0)</f>
        <v>0</v>
      </c>
      <c r="W586" s="55" t="str">
        <f aca="false">IF(V586=1,SUM($V$2:V586),"")</f>
        <v/>
      </c>
    </row>
    <row r="587" customFormat="false" ht="15" hidden="false" customHeight="true" outlineLevel="0" collapsed="false">
      <c r="A587" s="55" t="n">
        <v>586</v>
      </c>
      <c r="B587" s="55" t="s">
        <v>3332</v>
      </c>
      <c r="C587" s="55" t="str">
        <f aca="false">IF(06_Jugos_Desayuno_Rapido!B10="","",06_Jugos_Desayuno_Rapido!B10)</f>
        <v>Bebidas calientes de carretilla</v>
      </c>
      <c r="D587" s="56" t="str">
        <f aca="false">IF(06_Jugos_Desayuno_Rapido!C10="","",06_Jugos_Desayuno_Rapido!C10)</f>
        <v>Leche con avena / quaker</v>
      </c>
      <c r="E587" s="56" t="str">
        <f aca="false">IF(06_Jugos_Desayuno_Rapido!D10="","",06_Jugos_Desayuno_Rapido!D10)</f>
        <v>Bebida caliente</v>
      </c>
      <c r="F587" s="56" t="str">
        <f aca="false">IF(06_Jugos_Desayuno_Rapido!E10="","",06_Jugos_Desayuno_Rapido!E10)</f>
        <v>avena, leche, manzana, canela, azúcar</v>
      </c>
      <c r="G587" s="55" t="str">
        <f aca="false">IF(06_Jugos_Desayuno_Rapido!F10="","",06_Jugos_Desayuno_Rapido!F10)</f>
        <v>Vaso 500 ml</v>
      </c>
      <c r="H587" s="55" t="str">
        <f aca="false">IF(06_Jugos_Desayuno_Rapido!G10="","",06_Jugos_Desayuno_Rapido!G10)</f>
        <v>Económico</v>
      </c>
      <c r="I587" s="58" t="n">
        <f aca="false">IF(06_Jugos_Desayuno_Rapido!H10="","",06_Jugos_Desayuno_Rapido!H10)</f>
        <v>3</v>
      </c>
      <c r="J587" s="58" t="n">
        <f aca="false">IF(06_Jugos_Desayuno_Rapido!I10="","",06_Jugos_Desayuno_Rapido!I10)</f>
        <v>6</v>
      </c>
      <c r="K587" s="58" t="n">
        <f aca="false">IF(06_Jugos_Desayuno_Rapido!J10="","",06_Jugos_Desayuno_Rapido!J10)</f>
        <v>4.5</v>
      </c>
      <c r="L587" s="58" t="n">
        <f aca="false">IF(06_Jugos_Desayuno_Rapido!L10="","",06_Jugos_Desayuno_Rapido!L10)</f>
        <v>5</v>
      </c>
      <c r="M587" s="58" t="n">
        <f aca="false">IF(06_Jugos_Desayuno_Rapido!N10="","",06_Jugos_Desayuno_Rapido!N10)</f>
        <v>0.32</v>
      </c>
      <c r="N587" s="58" t="n">
        <f aca="false">IF(06_Jugos_Desayuno_Rapido!O10="","",06_Jugos_Desayuno_Rapido!O10)</f>
        <v>4.18</v>
      </c>
      <c r="O587" s="55" t="str">
        <f aca="false">IF(06_Jugos_Desayuno_Rapido!P10="","",06_Jugos_Desayuno_Rapido!P10)</f>
        <v>05:00-09:00</v>
      </c>
      <c r="P587" s="55" t="n">
        <f aca="false">IF(06_Jugos_Desayuno_Rapido!Q10="","",06_Jugos_Desayuno_Rapido!Q10)</f>
        <v>2</v>
      </c>
      <c r="Q587" s="55" t="str">
        <f aca="false">IF(06_Jugos_Desayuno_Rapido!R10="","",06_Jugos_Desayuno_Rapido!R10)</f>
        <v>Alto</v>
      </c>
      <c r="R587" s="55" t="str">
        <f aca="false">IF(06_Jugos_Desayuno_Rapido!S10="","",06_Jugos_Desayuno_Rapido!S10)</f>
        <v>Todo el año</v>
      </c>
      <c r="S587" s="55" t="str">
        <f aca="false">IF(06_Jugos_Desayuno_Rapido!T10="","",06_Jugos_Desayuno_Rapido!T10)</f>
        <v>Carretilla, mercado</v>
      </c>
      <c r="T587" s="56" t="str">
        <f aca="false">IF(06_Jugos_Desayuno_Rapido!U10="","",06_Jugos_Desayuno_Rapido!U10)</f>
        <v/>
      </c>
      <c r="U587" s="55" t="n">
        <v>10</v>
      </c>
      <c r="V587" s="55" t="n">
        <f aca="false">IF(AND(OR(LEN(13_Buscador!$C$5)=0,ISNUMBER(SEARCH(13_Buscador!$C$5,$C587&amp;" "&amp;$D587&amp;" "&amp;$E587&amp;" "&amp;$F587&amp;" "&amp;$S587))),OR(13_Buscador!$C$6="Todas las listas",LEN(13_Buscador!$C$6)=0,13_Buscador!$C$6=$B587)),1,0)</f>
        <v>0</v>
      </c>
      <c r="W587" s="55" t="str">
        <f aca="false">IF(V587=1,SUM($V$2:V587),"")</f>
        <v/>
      </c>
    </row>
    <row r="588" customFormat="false" ht="15" hidden="false" customHeight="true" outlineLevel="0" collapsed="false">
      <c r="A588" s="55" t="n">
        <v>587</v>
      </c>
      <c r="B588" s="55" t="s">
        <v>3332</v>
      </c>
      <c r="C588" s="55" t="str">
        <f aca="false">IF(06_Jugos_Desayuno_Rapido!B11="","",06_Jugos_Desayuno_Rapido!B11)</f>
        <v>Bebidas calientes de carretilla</v>
      </c>
      <c r="D588" s="56" t="str">
        <f aca="false">IF(06_Jugos_Desayuno_Rapido!C11="","",06_Jugos_Desayuno_Rapido!C11)</f>
        <v>Soya caliente</v>
      </c>
      <c r="E588" s="56" t="str">
        <f aca="false">IF(06_Jugos_Desayuno_Rapido!D11="","",06_Jugos_Desayuno_Rapido!D11)</f>
        <v>Bebida de soya</v>
      </c>
      <c r="F588" s="56" t="str">
        <f aca="false">IF(06_Jugos_Desayuno_Rapido!E11="","",06_Jugos_Desayuno_Rapido!E11)</f>
        <v>soya texturizada o tofu, verduras, sillao, arroz</v>
      </c>
      <c r="G588" s="55" t="str">
        <f aca="false">IF(06_Jugos_Desayuno_Rapido!F11="","",06_Jugos_Desayuno_Rapido!F11)</f>
        <v>Vaso 300 ml</v>
      </c>
      <c r="H588" s="55" t="str">
        <f aca="false">IF(06_Jugos_Desayuno_Rapido!G11="","",06_Jugos_Desayuno_Rapido!G11)</f>
        <v>Económico</v>
      </c>
      <c r="I588" s="58" t="n">
        <f aca="false">IF(06_Jugos_Desayuno_Rapido!H11="","",06_Jugos_Desayuno_Rapido!H11)</f>
        <v>2</v>
      </c>
      <c r="J588" s="58" t="n">
        <f aca="false">IF(06_Jugos_Desayuno_Rapido!I11="","",06_Jugos_Desayuno_Rapido!I11)</f>
        <v>5</v>
      </c>
      <c r="K588" s="58" t="n">
        <f aca="false">IF(06_Jugos_Desayuno_Rapido!J11="","",06_Jugos_Desayuno_Rapido!J11)</f>
        <v>3.5</v>
      </c>
      <c r="L588" s="58" t="n">
        <f aca="false">IF(06_Jugos_Desayuno_Rapido!L11="","",06_Jugos_Desayuno_Rapido!L11)</f>
        <v>4</v>
      </c>
      <c r="M588" s="58" t="n">
        <f aca="false">IF(06_Jugos_Desayuno_Rapido!N11="","",06_Jugos_Desayuno_Rapido!N11)</f>
        <v>0.25</v>
      </c>
      <c r="N588" s="58" t="n">
        <f aca="false">IF(06_Jugos_Desayuno_Rapido!O11="","",06_Jugos_Desayuno_Rapido!O11)</f>
        <v>3.25</v>
      </c>
      <c r="O588" s="55" t="str">
        <f aca="false">IF(06_Jugos_Desayuno_Rapido!P11="","",06_Jugos_Desayuno_Rapido!P11)</f>
        <v>05:00-09:00</v>
      </c>
      <c r="P588" s="55" t="n">
        <f aca="false">IF(06_Jugos_Desayuno_Rapido!Q11="","",06_Jugos_Desayuno_Rapido!Q11)</f>
        <v>1</v>
      </c>
      <c r="Q588" s="55" t="str">
        <f aca="false">IF(06_Jugos_Desayuno_Rapido!R11="","",06_Jugos_Desayuno_Rapido!R11)</f>
        <v>Medio</v>
      </c>
      <c r="R588" s="55" t="str">
        <f aca="false">IF(06_Jugos_Desayuno_Rapido!S11="","",06_Jugos_Desayuno_Rapido!S11)</f>
        <v>Mayor demanda en frío</v>
      </c>
      <c r="S588" s="55" t="str">
        <f aca="false">IF(06_Jugos_Desayuno_Rapido!T11="","",06_Jugos_Desayuno_Rapido!T11)</f>
        <v>Carretilla</v>
      </c>
      <c r="T588" s="56" t="str">
        <f aca="false">IF(06_Jugos_Desayuno_Rapido!U11="","",06_Jugos_Desayuno_Rapido!U11)</f>
        <v/>
      </c>
      <c r="U588" s="55" t="n">
        <v>11</v>
      </c>
      <c r="V588" s="55" t="n">
        <f aca="false">IF(AND(OR(LEN(13_Buscador!$C$5)=0,ISNUMBER(SEARCH(13_Buscador!$C$5,$C588&amp;" "&amp;$D588&amp;" "&amp;$E588&amp;" "&amp;$F588&amp;" "&amp;$S588))),OR(13_Buscador!$C$6="Todas las listas",LEN(13_Buscador!$C$6)=0,13_Buscador!$C$6=$B588)),1,0)</f>
        <v>0</v>
      </c>
      <c r="W588" s="55" t="str">
        <f aca="false">IF(V588=1,SUM($V$2:V588),"")</f>
        <v/>
      </c>
    </row>
    <row r="589" customFormat="false" ht="15" hidden="false" customHeight="true" outlineLevel="0" collapsed="false">
      <c r="A589" s="55" t="n">
        <v>588</v>
      </c>
      <c r="B589" s="55" t="s">
        <v>3332</v>
      </c>
      <c r="C589" s="55" t="str">
        <f aca="false">IF(06_Jugos_Desayuno_Rapido!B12="","",06_Jugos_Desayuno_Rapido!B12)</f>
        <v>Bebidas calientes de carretilla</v>
      </c>
      <c r="D589" s="56" t="str">
        <f aca="false">IF(06_Jugos_Desayuno_Rapido!C12="","",06_Jugos_Desayuno_Rapido!C12)</f>
        <v>Café de carretilla</v>
      </c>
      <c r="E589" s="56" t="str">
        <f aca="false">IF(06_Jugos_Desayuno_Rapido!D12="","",06_Jugos_Desayuno_Rapido!D12)</f>
        <v>Café pasado en vaso</v>
      </c>
      <c r="F589" s="56" t="str">
        <f aca="false">IF(06_Jugos_Desayuno_Rapido!E12="","",06_Jugos_Desayuno_Rapido!E12)</f>
        <v>café molido, agua caliente</v>
      </c>
      <c r="G589" s="55" t="str">
        <f aca="false">IF(06_Jugos_Desayuno_Rapido!F12="","",06_Jugos_Desayuno_Rapido!F12)</f>
        <v>Vaso 250 ml</v>
      </c>
      <c r="H589" s="55" t="str">
        <f aca="false">IF(06_Jugos_Desayuno_Rapido!G12="","",06_Jugos_Desayuno_Rapido!G12)</f>
        <v>Económico</v>
      </c>
      <c r="I589" s="58" t="n">
        <f aca="false">IF(06_Jugos_Desayuno_Rapido!H12="","",06_Jugos_Desayuno_Rapido!H12)</f>
        <v>1.5</v>
      </c>
      <c r="J589" s="58" t="n">
        <f aca="false">IF(06_Jugos_Desayuno_Rapido!I12="","",06_Jugos_Desayuno_Rapido!I12)</f>
        <v>4</v>
      </c>
      <c r="K589" s="58" t="n">
        <f aca="false">IF(06_Jugos_Desayuno_Rapido!J12="","",06_Jugos_Desayuno_Rapido!J12)</f>
        <v>2.8</v>
      </c>
      <c r="L589" s="58" t="n">
        <f aca="false">IF(06_Jugos_Desayuno_Rapido!L12="","",06_Jugos_Desayuno_Rapido!L12)</f>
        <v>3.3</v>
      </c>
      <c r="M589" s="58" t="n">
        <f aca="false">IF(06_Jugos_Desayuno_Rapido!N12="","",06_Jugos_Desayuno_Rapido!N12)</f>
        <v>0.2</v>
      </c>
      <c r="N589" s="58" t="n">
        <f aca="false">IF(06_Jugos_Desayuno_Rapido!O12="","",06_Jugos_Desayuno_Rapido!O12)</f>
        <v>2.6</v>
      </c>
      <c r="O589" s="55" t="str">
        <f aca="false">IF(06_Jugos_Desayuno_Rapido!P12="","",06_Jugos_Desayuno_Rapido!P12)</f>
        <v>05:00-10:00</v>
      </c>
      <c r="P589" s="55" t="n">
        <f aca="false">IF(06_Jugos_Desayuno_Rapido!Q12="","",06_Jugos_Desayuno_Rapido!Q12)</f>
        <v>1</v>
      </c>
      <c r="Q589" s="55" t="str">
        <f aca="false">IF(06_Jugos_Desayuno_Rapido!R12="","",06_Jugos_Desayuno_Rapido!R12)</f>
        <v>Medio</v>
      </c>
      <c r="R589" s="55" t="str">
        <f aca="false">IF(06_Jugos_Desayuno_Rapido!S12="","",06_Jugos_Desayuno_Rapido!S12)</f>
        <v>Todo el año</v>
      </c>
      <c r="S589" s="55" t="str">
        <f aca="false">IF(06_Jugos_Desayuno_Rapido!T12="","",06_Jugos_Desayuno_Rapido!T12)</f>
        <v>Carretilla</v>
      </c>
      <c r="T589" s="56" t="str">
        <f aca="false">IF(06_Jugos_Desayuno_Rapido!U12="","",06_Jugos_Desayuno_Rapido!U12)</f>
        <v/>
      </c>
      <c r="U589" s="55" t="n">
        <v>12</v>
      </c>
      <c r="V589" s="55" t="n">
        <f aca="false">IF(AND(OR(LEN(13_Buscador!$C$5)=0,ISNUMBER(SEARCH(13_Buscador!$C$5,$C589&amp;" "&amp;$D589&amp;" "&amp;$E589&amp;" "&amp;$F589&amp;" "&amp;$S589))),OR(13_Buscador!$C$6="Todas las listas",LEN(13_Buscador!$C$6)=0,13_Buscador!$C$6=$B589)),1,0)</f>
        <v>0</v>
      </c>
      <c r="W589" s="55" t="str">
        <f aca="false">IF(V589=1,SUM($V$2:V589),"")</f>
        <v/>
      </c>
    </row>
    <row r="590" customFormat="false" ht="15" hidden="false" customHeight="true" outlineLevel="0" collapsed="false">
      <c r="A590" s="55" t="n">
        <v>589</v>
      </c>
      <c r="B590" s="55" t="s">
        <v>3332</v>
      </c>
      <c r="C590" s="55" t="str">
        <f aca="false">IF(06_Jugos_Desayuno_Rapido!B13="","",06_Jugos_Desayuno_Rapido!B13)</f>
        <v>Bebidas calientes de carretilla</v>
      </c>
      <c r="D590" s="56" t="str">
        <f aca="false">IF(06_Jugos_Desayuno_Rapido!C13="","",06_Jugos_Desayuno_Rapido!C13)</f>
        <v>Té con leche</v>
      </c>
      <c r="E590" s="56" t="str">
        <f aca="false">IF(06_Jugos_Desayuno_Rapido!D13="","",06_Jugos_Desayuno_Rapido!D13)</f>
        <v>Infusión con leche</v>
      </c>
      <c r="F590" s="56" t="str">
        <f aca="false">IF(06_Jugos_Desayuno_Rapido!E13="","",06_Jugos_Desayuno_Rapido!E13)</f>
        <v>hierba aromática, agua caliente, azúcar</v>
      </c>
      <c r="G590" s="55" t="str">
        <f aca="false">IF(06_Jugos_Desayuno_Rapido!F13="","",06_Jugos_Desayuno_Rapido!F13)</f>
        <v>Vaso 300 ml</v>
      </c>
      <c r="H590" s="55" t="str">
        <f aca="false">IF(06_Jugos_Desayuno_Rapido!G13="","",06_Jugos_Desayuno_Rapido!G13)</f>
        <v>Económico</v>
      </c>
      <c r="I590" s="58" t="n">
        <f aca="false">IF(06_Jugos_Desayuno_Rapido!H13="","",06_Jugos_Desayuno_Rapido!H13)</f>
        <v>2</v>
      </c>
      <c r="J590" s="58" t="n">
        <f aca="false">IF(06_Jugos_Desayuno_Rapido!I13="","",06_Jugos_Desayuno_Rapido!I13)</f>
        <v>5</v>
      </c>
      <c r="K590" s="58" t="n">
        <f aca="false">IF(06_Jugos_Desayuno_Rapido!J13="","",06_Jugos_Desayuno_Rapido!J13)</f>
        <v>3.5</v>
      </c>
      <c r="L590" s="58" t="n">
        <f aca="false">IF(06_Jugos_Desayuno_Rapido!L13="","",06_Jugos_Desayuno_Rapido!L13)</f>
        <v>4</v>
      </c>
      <c r="M590" s="58" t="n">
        <f aca="false">IF(06_Jugos_Desayuno_Rapido!N13="","",06_Jugos_Desayuno_Rapido!N13)</f>
        <v>0.25</v>
      </c>
      <c r="N590" s="58" t="n">
        <f aca="false">IF(06_Jugos_Desayuno_Rapido!O13="","",06_Jugos_Desayuno_Rapido!O13)</f>
        <v>3.25</v>
      </c>
      <c r="O590" s="55" t="str">
        <f aca="false">IF(06_Jugos_Desayuno_Rapido!P13="","",06_Jugos_Desayuno_Rapido!P13)</f>
        <v>05:00-10:00</v>
      </c>
      <c r="P590" s="55" t="n">
        <f aca="false">IF(06_Jugos_Desayuno_Rapido!Q13="","",06_Jugos_Desayuno_Rapido!Q13)</f>
        <v>2</v>
      </c>
      <c r="Q590" s="55" t="str">
        <f aca="false">IF(06_Jugos_Desayuno_Rapido!R13="","",06_Jugos_Desayuno_Rapido!R13)</f>
        <v>Medio</v>
      </c>
      <c r="R590" s="55" t="str">
        <f aca="false">IF(06_Jugos_Desayuno_Rapido!S13="","",06_Jugos_Desayuno_Rapido!S13)</f>
        <v>Todo el año</v>
      </c>
      <c r="S590" s="55" t="str">
        <f aca="false">IF(06_Jugos_Desayuno_Rapido!T13="","",06_Jugos_Desayuno_Rapido!T13)</f>
        <v>Carretilla</v>
      </c>
      <c r="T590" s="56" t="str">
        <f aca="false">IF(06_Jugos_Desayuno_Rapido!U13="","",06_Jugos_Desayuno_Rapido!U13)</f>
        <v/>
      </c>
      <c r="U590" s="55" t="n">
        <v>13</v>
      </c>
      <c r="V590" s="55" t="n">
        <f aca="false">IF(AND(OR(LEN(13_Buscador!$C$5)=0,ISNUMBER(SEARCH(13_Buscador!$C$5,$C590&amp;" "&amp;$D590&amp;" "&amp;$E590&amp;" "&amp;$F590&amp;" "&amp;$S590))),OR(13_Buscador!$C$6="Todas las listas",LEN(13_Buscador!$C$6)=0,13_Buscador!$C$6=$B590)),1,0)</f>
        <v>0</v>
      </c>
      <c r="W590" s="55" t="str">
        <f aca="false">IF(V590=1,SUM($V$2:V590),"")</f>
        <v/>
      </c>
    </row>
    <row r="591" customFormat="false" ht="15" hidden="false" customHeight="true" outlineLevel="0" collapsed="false">
      <c r="A591" s="55" t="n">
        <v>590</v>
      </c>
      <c r="B591" s="55" t="s">
        <v>3332</v>
      </c>
      <c r="C591" s="55" t="str">
        <f aca="false">IF(06_Jugos_Desayuno_Rapido!B14="","",06_Jugos_Desayuno_Rapido!B14)</f>
        <v>Bebidas calientes de carretilla</v>
      </c>
      <c r="D591" s="56" t="str">
        <f aca="false">IF(06_Jugos_Desayuno_Rapido!C14="","",06_Jugos_Desayuno_Rapido!C14)</f>
        <v>Chocolate caliente de carretilla</v>
      </c>
      <c r="E591" s="56" t="str">
        <f aca="false">IF(06_Jugos_Desayuno_Rapido!D14="","",06_Jugos_Desayuno_Rapido!D14)</f>
        <v>Vaso de chocolate</v>
      </c>
      <c r="F591" s="56" t="str">
        <f aca="false">IF(06_Jugos_Desayuno_Rapido!E14="","",06_Jugos_Desayuno_Rapido!E14)</f>
        <v>chocolate en barra o cocoa, leche, azúcar, canela</v>
      </c>
      <c r="G591" s="55" t="str">
        <f aca="false">IF(06_Jugos_Desayuno_Rapido!F14="","",06_Jugos_Desayuno_Rapido!F14)</f>
        <v>Vaso 300 ml</v>
      </c>
      <c r="H591" s="55" t="str">
        <f aca="false">IF(06_Jugos_Desayuno_Rapido!G14="","",06_Jugos_Desayuno_Rapido!G14)</f>
        <v>Económico</v>
      </c>
      <c r="I591" s="58" t="n">
        <f aca="false">IF(06_Jugos_Desayuno_Rapido!H14="","",06_Jugos_Desayuno_Rapido!H14)</f>
        <v>2</v>
      </c>
      <c r="J591" s="58" t="n">
        <f aca="false">IF(06_Jugos_Desayuno_Rapido!I14="","",06_Jugos_Desayuno_Rapido!I14)</f>
        <v>6</v>
      </c>
      <c r="K591" s="58" t="n">
        <f aca="false">IF(06_Jugos_Desayuno_Rapido!J14="","",06_Jugos_Desayuno_Rapido!J14)</f>
        <v>4</v>
      </c>
      <c r="L591" s="58" t="n">
        <f aca="false">IF(06_Jugos_Desayuno_Rapido!L14="","",06_Jugos_Desayuno_Rapido!L14)</f>
        <v>4.5</v>
      </c>
      <c r="M591" s="58" t="n">
        <f aca="false">IF(06_Jugos_Desayuno_Rapido!N14="","",06_Jugos_Desayuno_Rapido!N14)</f>
        <v>0.28</v>
      </c>
      <c r="N591" s="58" t="n">
        <f aca="false">IF(06_Jugos_Desayuno_Rapido!O14="","",06_Jugos_Desayuno_Rapido!O14)</f>
        <v>3.72</v>
      </c>
      <c r="O591" s="55" t="str">
        <f aca="false">IF(06_Jugos_Desayuno_Rapido!P14="","",06_Jugos_Desayuno_Rapido!P14)</f>
        <v>05:00-09:00</v>
      </c>
      <c r="P591" s="55" t="n">
        <f aca="false">IF(06_Jugos_Desayuno_Rapido!Q14="","",06_Jugos_Desayuno_Rapido!Q14)</f>
        <v>2</v>
      </c>
      <c r="Q591" s="55" t="str">
        <f aca="false">IF(06_Jugos_Desayuno_Rapido!R14="","",06_Jugos_Desayuno_Rapido!R14)</f>
        <v>Medio</v>
      </c>
      <c r="R591" s="55" t="str">
        <f aca="false">IF(06_Jugos_Desayuno_Rapido!S14="","",06_Jugos_Desayuno_Rapido!S14)</f>
        <v>Mayor demanda en frío</v>
      </c>
      <c r="S591" s="55" t="str">
        <f aca="false">IF(06_Jugos_Desayuno_Rapido!T14="","",06_Jugos_Desayuno_Rapido!T14)</f>
        <v>Carretilla</v>
      </c>
      <c r="T591" s="56" t="str">
        <f aca="false">IF(06_Jugos_Desayuno_Rapido!U14="","",06_Jugos_Desayuno_Rapido!U14)</f>
        <v/>
      </c>
      <c r="U591" s="55" t="n">
        <v>14</v>
      </c>
      <c r="V591" s="55" t="n">
        <f aca="false">IF(AND(OR(LEN(13_Buscador!$C$5)=0,ISNUMBER(SEARCH(13_Buscador!$C$5,$C591&amp;" "&amp;$D591&amp;" "&amp;$E591&amp;" "&amp;$F591&amp;" "&amp;$S591))),OR(13_Buscador!$C$6="Todas las listas",LEN(13_Buscador!$C$6)=0,13_Buscador!$C$6=$B591)),1,0)</f>
        <v>0</v>
      </c>
      <c r="W591" s="55" t="str">
        <f aca="false">IF(V591=1,SUM($V$2:V591),"")</f>
        <v/>
      </c>
    </row>
    <row r="592" customFormat="false" ht="15" hidden="false" customHeight="true" outlineLevel="0" collapsed="false">
      <c r="A592" s="55" t="n">
        <v>591</v>
      </c>
      <c r="B592" s="55" t="s">
        <v>3332</v>
      </c>
      <c r="C592" s="55" t="str">
        <f aca="false">IF(06_Jugos_Desayuno_Rapido!B15="","",06_Jugos_Desayuno_Rapido!B15)</f>
        <v>Jugos de carretilla</v>
      </c>
      <c r="D592" s="56" t="str">
        <f aca="false">IF(06_Jugos_Desayuno_Rapido!C15="","",06_Jugos_Desayuno_Rapido!C15)</f>
        <v>Jugo surtido de carretilla</v>
      </c>
      <c r="E592" s="56" t="str">
        <f aca="false">IF(06_Jugos_Desayuno_Rapido!D15="","",06_Jugos_Desayuno_Rapido!D15)</f>
        <v>Mezcla de frutas</v>
      </c>
      <c r="F592" s="56" t="str">
        <f aca="false">IF(06_Jugos_Desayuno_Rapido!E15="","",06_Jugos_Desayuno_Rapido!E15)</f>
        <v>frutas surtidas de estación, agua o leche, azúcar</v>
      </c>
      <c r="G592" s="55" t="str">
        <f aca="false">IF(06_Jugos_Desayuno_Rapido!F15="","",06_Jugos_Desayuno_Rapido!F15)</f>
        <v>Vaso 500 ml</v>
      </c>
      <c r="H592" s="55" t="str">
        <f aca="false">IF(06_Jugos_Desayuno_Rapido!G15="","",06_Jugos_Desayuno_Rapido!G15)</f>
        <v>Económico</v>
      </c>
      <c r="I592" s="58" t="n">
        <f aca="false">IF(06_Jugos_Desayuno_Rapido!H15="","",06_Jugos_Desayuno_Rapido!H15)</f>
        <v>3</v>
      </c>
      <c r="J592" s="58" t="n">
        <f aca="false">IF(06_Jugos_Desayuno_Rapido!I15="","",06_Jugos_Desayuno_Rapido!I15)</f>
        <v>7</v>
      </c>
      <c r="K592" s="58" t="n">
        <f aca="false">IF(06_Jugos_Desayuno_Rapido!J15="","",06_Jugos_Desayuno_Rapido!J15)</f>
        <v>5</v>
      </c>
      <c r="L592" s="58" t="n">
        <f aca="false">IF(06_Jugos_Desayuno_Rapido!L15="","",06_Jugos_Desayuno_Rapido!L15)</f>
        <v>5.5</v>
      </c>
      <c r="M592" s="58" t="n">
        <f aca="false">IF(06_Jugos_Desayuno_Rapido!N15="","",06_Jugos_Desayuno_Rapido!N15)</f>
        <v>0.35</v>
      </c>
      <c r="N592" s="58" t="n">
        <f aca="false">IF(06_Jugos_Desayuno_Rapido!O15="","",06_Jugos_Desayuno_Rapido!O15)</f>
        <v>4.65</v>
      </c>
      <c r="O592" s="55" t="str">
        <f aca="false">IF(06_Jugos_Desayuno_Rapido!P15="","",06_Jugos_Desayuno_Rapido!P15)</f>
        <v>06:00-11:00</v>
      </c>
      <c r="P592" s="55" t="n">
        <f aca="false">IF(06_Jugos_Desayuno_Rapido!Q15="","",06_Jugos_Desayuno_Rapido!Q15)</f>
        <v>3</v>
      </c>
      <c r="Q592" s="55" t="str">
        <f aca="false">IF(06_Jugos_Desayuno_Rapido!R15="","",06_Jugos_Desayuno_Rapido!R15)</f>
        <v>Alto</v>
      </c>
      <c r="R592" s="55" t="str">
        <f aca="false">IF(06_Jugos_Desayuno_Rapido!S15="","",06_Jugos_Desayuno_Rapido!S15)</f>
        <v>Todo el año</v>
      </c>
      <c r="S592" s="55" t="str">
        <f aca="false">IF(06_Jugos_Desayuno_Rapido!T15="","",06_Jugos_Desayuno_Rapido!T15)</f>
        <v>Carretilla, mercado</v>
      </c>
      <c r="T592" s="56" t="str">
        <f aca="false">IF(06_Jugos_Desayuno_Rapido!U15="","",06_Jugos_Desayuno_Rapido!U15)</f>
        <v>Más barato que la juguería con local</v>
      </c>
      <c r="U592" s="55" t="n">
        <v>15</v>
      </c>
      <c r="V592" s="55" t="n">
        <f aca="false">IF(AND(OR(LEN(13_Buscador!$C$5)=0,ISNUMBER(SEARCH(13_Buscador!$C$5,$C592&amp;" "&amp;$D592&amp;" "&amp;$E592&amp;" "&amp;$F592&amp;" "&amp;$S592))),OR(13_Buscador!$C$6="Todas las listas",LEN(13_Buscador!$C$6)=0,13_Buscador!$C$6=$B592)),1,0)</f>
        <v>0</v>
      </c>
      <c r="W592" s="55" t="str">
        <f aca="false">IF(V592=1,SUM($V$2:V592),"")</f>
        <v/>
      </c>
    </row>
    <row r="593" customFormat="false" ht="15" hidden="false" customHeight="true" outlineLevel="0" collapsed="false">
      <c r="A593" s="55" t="n">
        <v>592</v>
      </c>
      <c r="B593" s="55" t="s">
        <v>3332</v>
      </c>
      <c r="C593" s="55" t="str">
        <f aca="false">IF(06_Jugos_Desayuno_Rapido!B16="","",06_Jugos_Desayuno_Rapido!B16)</f>
        <v>Jugos de carretilla</v>
      </c>
      <c r="D593" s="56" t="str">
        <f aca="false">IF(06_Jugos_Desayuno_Rapido!C16="","",06_Jugos_Desayuno_Rapido!C16)</f>
        <v>Jugo de papaya de carretilla</v>
      </c>
      <c r="E593" s="56" t="str">
        <f aca="false">IF(06_Jugos_Desayuno_Rapido!D16="","",06_Jugos_Desayuno_Rapido!D16)</f>
        <v>Jugo natural</v>
      </c>
      <c r="F593" s="56" t="str">
        <f aca="false">IF(06_Jugos_Desayuno_Rapido!E16="","",06_Jugos_Desayuno_Rapido!E16)</f>
        <v>papaya, agua o leche, azúcar</v>
      </c>
      <c r="G593" s="55" t="str">
        <f aca="false">IF(06_Jugos_Desayuno_Rapido!F16="","",06_Jugos_Desayuno_Rapido!F16)</f>
        <v>Vaso 500 ml</v>
      </c>
      <c r="H593" s="55" t="str">
        <f aca="false">IF(06_Jugos_Desayuno_Rapido!G16="","",06_Jugos_Desayuno_Rapido!G16)</f>
        <v>Económico</v>
      </c>
      <c r="I593" s="58" t="n">
        <f aca="false">IF(06_Jugos_Desayuno_Rapido!H16="","",06_Jugos_Desayuno_Rapido!H16)</f>
        <v>3</v>
      </c>
      <c r="J593" s="58" t="n">
        <f aca="false">IF(06_Jugos_Desayuno_Rapido!I16="","",06_Jugos_Desayuno_Rapido!I16)</f>
        <v>6</v>
      </c>
      <c r="K593" s="58" t="n">
        <f aca="false">IF(06_Jugos_Desayuno_Rapido!J16="","",06_Jugos_Desayuno_Rapido!J16)</f>
        <v>4.5</v>
      </c>
      <c r="L593" s="58" t="n">
        <f aca="false">IF(06_Jugos_Desayuno_Rapido!L16="","",06_Jugos_Desayuno_Rapido!L16)</f>
        <v>5</v>
      </c>
      <c r="M593" s="58" t="n">
        <f aca="false">IF(06_Jugos_Desayuno_Rapido!N16="","",06_Jugos_Desayuno_Rapido!N16)</f>
        <v>0.32</v>
      </c>
      <c r="N593" s="58" t="n">
        <f aca="false">IF(06_Jugos_Desayuno_Rapido!O16="","",06_Jugos_Desayuno_Rapido!O16)</f>
        <v>4.18</v>
      </c>
      <c r="O593" s="55" t="str">
        <f aca="false">IF(06_Jugos_Desayuno_Rapido!P16="","",06_Jugos_Desayuno_Rapido!P16)</f>
        <v>06:00-11:00</v>
      </c>
      <c r="P593" s="55" t="n">
        <f aca="false">IF(06_Jugos_Desayuno_Rapido!Q16="","",06_Jugos_Desayuno_Rapido!Q16)</f>
        <v>3</v>
      </c>
      <c r="Q593" s="55" t="str">
        <f aca="false">IF(06_Jugos_Desayuno_Rapido!R16="","",06_Jugos_Desayuno_Rapido!R16)</f>
        <v>Alto</v>
      </c>
      <c r="R593" s="55" t="str">
        <f aca="false">IF(06_Jugos_Desayuno_Rapido!S16="","",06_Jugos_Desayuno_Rapido!S16)</f>
        <v>Todo el año</v>
      </c>
      <c r="S593" s="55" t="str">
        <f aca="false">IF(06_Jugos_Desayuno_Rapido!T16="","",06_Jugos_Desayuno_Rapido!T16)</f>
        <v>Carretilla</v>
      </c>
      <c r="T593" s="56" t="str">
        <f aca="false">IF(06_Jugos_Desayuno_Rapido!U16="","",06_Jugos_Desayuno_Rapido!U16)</f>
        <v/>
      </c>
      <c r="U593" s="55" t="n">
        <v>16</v>
      </c>
      <c r="V593" s="55" t="n">
        <f aca="false">IF(AND(OR(LEN(13_Buscador!$C$5)=0,ISNUMBER(SEARCH(13_Buscador!$C$5,$C593&amp;" "&amp;$D593&amp;" "&amp;$E593&amp;" "&amp;$F593&amp;" "&amp;$S593))),OR(13_Buscador!$C$6="Todas las listas",LEN(13_Buscador!$C$6)=0,13_Buscador!$C$6=$B593)),1,0)</f>
        <v>0</v>
      </c>
      <c r="W593" s="55" t="str">
        <f aca="false">IF(V593=1,SUM($V$2:V593),"")</f>
        <v/>
      </c>
    </row>
    <row r="594" customFormat="false" ht="15" hidden="false" customHeight="true" outlineLevel="0" collapsed="false">
      <c r="A594" s="55" t="n">
        <v>593</v>
      </c>
      <c r="B594" s="55" t="s">
        <v>3332</v>
      </c>
      <c r="C594" s="55" t="str">
        <f aca="false">IF(06_Jugos_Desayuno_Rapido!B17="","",06_Jugos_Desayuno_Rapido!B17)</f>
        <v>Jugos de carretilla</v>
      </c>
      <c r="D594" s="56" t="str">
        <f aca="false">IF(06_Jugos_Desayuno_Rapido!C17="","",06_Jugos_Desayuno_Rapido!C17)</f>
        <v>Jugo de plátano con leche</v>
      </c>
      <c r="E594" s="56" t="str">
        <f aca="false">IF(06_Jugos_Desayuno_Rapido!D17="","",06_Jugos_Desayuno_Rapido!D17)</f>
        <v>Batido simple</v>
      </c>
      <c r="F594" s="56" t="str">
        <f aca="false">IF(06_Jugos_Desayuno_Rapido!E17="","",06_Jugos_Desayuno_Rapido!E17)</f>
        <v>plátano, leche, azúcar</v>
      </c>
      <c r="G594" s="55" t="str">
        <f aca="false">IF(06_Jugos_Desayuno_Rapido!F17="","",06_Jugos_Desayuno_Rapido!F17)</f>
        <v>Vaso 500 ml</v>
      </c>
      <c r="H594" s="55" t="str">
        <f aca="false">IF(06_Jugos_Desayuno_Rapido!G17="","",06_Jugos_Desayuno_Rapido!G17)</f>
        <v>Económico</v>
      </c>
      <c r="I594" s="58" t="n">
        <f aca="false">IF(06_Jugos_Desayuno_Rapido!H17="","",06_Jugos_Desayuno_Rapido!H17)</f>
        <v>3</v>
      </c>
      <c r="J594" s="58" t="n">
        <f aca="false">IF(06_Jugos_Desayuno_Rapido!I17="","",06_Jugos_Desayuno_Rapido!I17)</f>
        <v>7</v>
      </c>
      <c r="K594" s="58" t="n">
        <f aca="false">IF(06_Jugos_Desayuno_Rapido!J17="","",06_Jugos_Desayuno_Rapido!J17)</f>
        <v>5</v>
      </c>
      <c r="L594" s="58" t="n">
        <f aca="false">IF(06_Jugos_Desayuno_Rapido!L17="","",06_Jugos_Desayuno_Rapido!L17)</f>
        <v>5.5</v>
      </c>
      <c r="M594" s="58" t="n">
        <f aca="false">IF(06_Jugos_Desayuno_Rapido!N17="","",06_Jugos_Desayuno_Rapido!N17)</f>
        <v>0.35</v>
      </c>
      <c r="N594" s="58" t="n">
        <f aca="false">IF(06_Jugos_Desayuno_Rapido!O17="","",06_Jugos_Desayuno_Rapido!O17)</f>
        <v>4.65</v>
      </c>
      <c r="O594" s="55" t="str">
        <f aca="false">IF(06_Jugos_Desayuno_Rapido!P17="","",06_Jugos_Desayuno_Rapido!P17)</f>
        <v>06:00-11:00</v>
      </c>
      <c r="P594" s="55" t="n">
        <f aca="false">IF(06_Jugos_Desayuno_Rapido!Q17="","",06_Jugos_Desayuno_Rapido!Q17)</f>
        <v>3</v>
      </c>
      <c r="Q594" s="55" t="str">
        <f aca="false">IF(06_Jugos_Desayuno_Rapido!R17="","",06_Jugos_Desayuno_Rapido!R17)</f>
        <v>Alto</v>
      </c>
      <c r="R594" s="55" t="str">
        <f aca="false">IF(06_Jugos_Desayuno_Rapido!S17="","",06_Jugos_Desayuno_Rapido!S17)</f>
        <v>Todo el año</v>
      </c>
      <c r="S594" s="55" t="str">
        <f aca="false">IF(06_Jugos_Desayuno_Rapido!T17="","",06_Jugos_Desayuno_Rapido!T17)</f>
        <v>Carretilla</v>
      </c>
      <c r="T594" s="56" t="str">
        <f aca="false">IF(06_Jugos_Desayuno_Rapido!U17="","",06_Jugos_Desayuno_Rapido!U17)</f>
        <v/>
      </c>
      <c r="U594" s="55" t="n">
        <v>17</v>
      </c>
      <c r="V594" s="55" t="n">
        <f aca="false">IF(AND(OR(LEN(13_Buscador!$C$5)=0,ISNUMBER(SEARCH(13_Buscador!$C$5,$C594&amp;" "&amp;$D594&amp;" "&amp;$E594&amp;" "&amp;$F594&amp;" "&amp;$S594))),OR(13_Buscador!$C$6="Todas las listas",LEN(13_Buscador!$C$6)=0,13_Buscador!$C$6=$B594)),1,0)</f>
        <v>0</v>
      </c>
      <c r="W594" s="55" t="str">
        <f aca="false">IF(V594=1,SUM($V$2:V594),"")</f>
        <v/>
      </c>
    </row>
    <row r="595" customFormat="false" ht="15" hidden="false" customHeight="true" outlineLevel="0" collapsed="false">
      <c r="A595" s="55" t="n">
        <v>594</v>
      </c>
      <c r="B595" s="55" t="s">
        <v>3332</v>
      </c>
      <c r="C595" s="55" t="str">
        <f aca="false">IF(06_Jugos_Desayuno_Rapido!B18="","",06_Jugos_Desayuno_Rapido!B18)</f>
        <v>Jugos de carretilla</v>
      </c>
      <c r="D595" s="56" t="str">
        <f aca="false">IF(06_Jugos_Desayuno_Rapido!C18="","",06_Jugos_Desayuno_Rapido!C18)</f>
        <v>Jugo de naranja exprimido</v>
      </c>
      <c r="E595" s="56" t="str">
        <f aca="false">IF(06_Jugos_Desayuno_Rapido!D18="","",06_Jugos_Desayuno_Rapido!D18)</f>
        <v>Exprimido al momento</v>
      </c>
      <c r="F595" s="56" t="str">
        <f aca="false">IF(06_Jugos_Desayuno_Rapido!E18="","",06_Jugos_Desayuno_Rapido!E18)</f>
        <v>naranja exprimida</v>
      </c>
      <c r="G595" s="55" t="str">
        <f aca="false">IF(06_Jugos_Desayuno_Rapido!F18="","",06_Jugos_Desayuno_Rapido!F18)</f>
        <v>Vaso 500 ml</v>
      </c>
      <c r="H595" s="55" t="str">
        <f aca="false">IF(06_Jugos_Desayuno_Rapido!G18="","",06_Jugos_Desayuno_Rapido!G18)</f>
        <v>Económico</v>
      </c>
      <c r="I595" s="58" t="n">
        <f aca="false">IF(06_Jugos_Desayuno_Rapido!H18="","",06_Jugos_Desayuno_Rapido!H18)</f>
        <v>3</v>
      </c>
      <c r="J595" s="58" t="n">
        <f aca="false">IF(06_Jugos_Desayuno_Rapido!I18="","",06_Jugos_Desayuno_Rapido!I18)</f>
        <v>7</v>
      </c>
      <c r="K595" s="58" t="n">
        <f aca="false">IF(06_Jugos_Desayuno_Rapido!J18="","",06_Jugos_Desayuno_Rapido!J18)</f>
        <v>5</v>
      </c>
      <c r="L595" s="58" t="n">
        <f aca="false">IF(06_Jugos_Desayuno_Rapido!L18="","",06_Jugos_Desayuno_Rapido!L18)</f>
        <v>5.5</v>
      </c>
      <c r="M595" s="58" t="n">
        <f aca="false">IF(06_Jugos_Desayuno_Rapido!N18="","",06_Jugos_Desayuno_Rapido!N18)</f>
        <v>0.35</v>
      </c>
      <c r="N595" s="58" t="n">
        <f aca="false">IF(06_Jugos_Desayuno_Rapido!O18="","",06_Jugos_Desayuno_Rapido!O18)</f>
        <v>4.65</v>
      </c>
      <c r="O595" s="55" t="str">
        <f aca="false">IF(06_Jugos_Desayuno_Rapido!P18="","",06_Jugos_Desayuno_Rapido!P18)</f>
        <v>06:00-11:00</v>
      </c>
      <c r="P595" s="55" t="n">
        <f aca="false">IF(06_Jugos_Desayuno_Rapido!Q18="","",06_Jugos_Desayuno_Rapido!Q18)</f>
        <v>3</v>
      </c>
      <c r="Q595" s="55" t="str">
        <f aca="false">IF(06_Jugos_Desayuno_Rapido!R18="","",06_Jugos_Desayuno_Rapido!R18)</f>
        <v>Alto</v>
      </c>
      <c r="R595" s="55" t="str">
        <f aca="false">IF(06_Jugos_Desayuno_Rapido!S18="","",06_Jugos_Desayuno_Rapido!S18)</f>
        <v>Todo el año</v>
      </c>
      <c r="S595" s="55" t="str">
        <f aca="false">IF(06_Jugos_Desayuno_Rapido!T18="","",06_Jugos_Desayuno_Rapido!T18)</f>
        <v>Carretilla</v>
      </c>
      <c r="T595" s="56" t="str">
        <f aca="false">IF(06_Jugos_Desayuno_Rapido!U18="","",06_Jugos_Desayuno_Rapido!U18)</f>
        <v>Muy vendido a la salida de colegios y oficinas</v>
      </c>
      <c r="U595" s="55" t="n">
        <v>18</v>
      </c>
      <c r="V595" s="55" t="n">
        <f aca="false">IF(AND(OR(LEN(13_Buscador!$C$5)=0,ISNUMBER(SEARCH(13_Buscador!$C$5,$C595&amp;" "&amp;$D595&amp;" "&amp;$E595&amp;" "&amp;$F595&amp;" "&amp;$S595))),OR(13_Buscador!$C$6="Todas las listas",LEN(13_Buscador!$C$6)=0,13_Buscador!$C$6=$B595)),1,0)</f>
        <v>0</v>
      </c>
      <c r="W595" s="55" t="str">
        <f aca="false">IF(V595=1,SUM($V$2:V595),"")</f>
        <v/>
      </c>
    </row>
    <row r="596" customFormat="false" ht="15" hidden="false" customHeight="true" outlineLevel="0" collapsed="false">
      <c r="A596" s="55" t="n">
        <v>595</v>
      </c>
      <c r="B596" s="55" t="s">
        <v>3332</v>
      </c>
      <c r="C596" s="55" t="str">
        <f aca="false">IF(06_Jugos_Desayuno_Rapido!B19="","",06_Jugos_Desayuno_Rapido!B19)</f>
        <v>Jugos de carretilla</v>
      </c>
      <c r="D596" s="56" t="str">
        <f aca="false">IF(06_Jugos_Desayuno_Rapido!C19="","",06_Jugos_Desayuno_Rapido!C19)</f>
        <v>Jugo especial de carretilla</v>
      </c>
      <c r="E596" s="56" t="str">
        <f aca="false">IF(06_Jugos_Desayuno_Rapido!D19="","",06_Jugos_Desayuno_Rapido!D19)</f>
        <v>Con huevo de codorniz o polen</v>
      </c>
      <c r="F596" s="56" t="str">
        <f aca="false">IF(06_Jugos_Desayuno_Rapido!E19="","",06_Jugos_Desayuno_Rapido!E19)</f>
        <v>frutas surtidas de estación, agua o leche, azúcar</v>
      </c>
      <c r="G596" s="55" t="str">
        <f aca="false">IF(06_Jugos_Desayuno_Rapido!F19="","",06_Jugos_Desayuno_Rapido!F19)</f>
        <v>Vaso 1 L</v>
      </c>
      <c r="H596" s="55" t="str">
        <f aca="false">IF(06_Jugos_Desayuno_Rapido!G19="","",06_Jugos_Desayuno_Rapido!G19)</f>
        <v>Económico</v>
      </c>
      <c r="I596" s="58" t="n">
        <f aca="false">IF(06_Jugos_Desayuno_Rapido!H19="","",06_Jugos_Desayuno_Rapido!H19)</f>
        <v>5</v>
      </c>
      <c r="J596" s="58" t="n">
        <f aca="false">IF(06_Jugos_Desayuno_Rapido!I19="","",06_Jugos_Desayuno_Rapido!I19)</f>
        <v>10</v>
      </c>
      <c r="K596" s="58" t="n">
        <f aca="false">IF(06_Jugos_Desayuno_Rapido!J19="","",06_Jugos_Desayuno_Rapido!J19)</f>
        <v>7.5</v>
      </c>
      <c r="L596" s="58" t="n">
        <f aca="false">IF(06_Jugos_Desayuno_Rapido!L19="","",06_Jugos_Desayuno_Rapido!L19)</f>
        <v>8</v>
      </c>
      <c r="M596" s="58" t="n">
        <f aca="false">IF(06_Jugos_Desayuno_Rapido!N19="","",06_Jugos_Desayuno_Rapido!N19)</f>
        <v>0.53</v>
      </c>
      <c r="N596" s="58" t="n">
        <f aca="false">IF(06_Jugos_Desayuno_Rapido!O19="","",06_Jugos_Desayuno_Rapido!O19)</f>
        <v>6.97</v>
      </c>
      <c r="O596" s="55" t="str">
        <f aca="false">IF(06_Jugos_Desayuno_Rapido!P19="","",06_Jugos_Desayuno_Rapido!P19)</f>
        <v>06:00-11:00</v>
      </c>
      <c r="P596" s="55" t="n">
        <f aca="false">IF(06_Jugos_Desayuno_Rapido!Q19="","",06_Jugos_Desayuno_Rapido!Q19)</f>
        <v>4</v>
      </c>
      <c r="Q596" s="55" t="str">
        <f aca="false">IF(06_Jugos_Desayuno_Rapido!R19="","",06_Jugos_Desayuno_Rapido!R19)</f>
        <v>Alto</v>
      </c>
      <c r="R596" s="55" t="str">
        <f aca="false">IF(06_Jugos_Desayuno_Rapido!S19="","",06_Jugos_Desayuno_Rapido!S19)</f>
        <v>Todo el año</v>
      </c>
      <c r="S596" s="55" t="str">
        <f aca="false">IF(06_Jugos_Desayuno_Rapido!T19="","",06_Jugos_Desayuno_Rapido!T19)</f>
        <v>Carretilla, mercado</v>
      </c>
      <c r="T596" s="56" t="str">
        <f aca="false">IF(06_Jugos_Desayuno_Rapido!U19="","",06_Jugos_Desayuno_Rapido!U19)</f>
        <v/>
      </c>
      <c r="U596" s="55" t="n">
        <v>19</v>
      </c>
      <c r="V596" s="55" t="n">
        <f aca="false">IF(AND(OR(LEN(13_Buscador!$C$5)=0,ISNUMBER(SEARCH(13_Buscador!$C$5,$C596&amp;" "&amp;$D596&amp;" "&amp;$E596&amp;" "&amp;$F596&amp;" "&amp;$S596))),OR(13_Buscador!$C$6="Todas las listas",LEN(13_Buscador!$C$6)=0,13_Buscador!$C$6=$B596)),1,0)</f>
        <v>0</v>
      </c>
      <c r="W596" s="55" t="str">
        <f aca="false">IF(V596=1,SUM($V$2:V596),"")</f>
        <v/>
      </c>
    </row>
    <row r="597" customFormat="false" ht="15" hidden="false" customHeight="true" outlineLevel="0" collapsed="false">
      <c r="A597" s="55" t="n">
        <v>596</v>
      </c>
      <c r="B597" s="55" t="s">
        <v>3332</v>
      </c>
      <c r="C597" s="55" t="str">
        <f aca="false">IF(06_Jugos_Desayuno_Rapido!B20="","",06_Jugos_Desayuno_Rapido!B20)</f>
        <v>Jugos de carretilla</v>
      </c>
      <c r="D597" s="56" t="str">
        <f aca="false">IF(06_Jugos_Desayuno_Rapido!C20="","",06_Jugos_Desayuno_Rapido!C20)</f>
        <v>Extracto de alfalfa de carretilla</v>
      </c>
      <c r="E597" s="56" t="str">
        <f aca="false">IF(06_Jugos_Desayuno_Rapido!D20="","",06_Jugos_Desayuno_Rapido!D20)</f>
        <v>Extracto verde</v>
      </c>
      <c r="F597" s="56" t="str">
        <f aca="false">IF(06_Jugos_Desayuno_Rapido!E20="","",06_Jugos_Desayuno_Rapido!E20)</f>
        <v>verdura u hoja fresca, agua, limón</v>
      </c>
      <c r="G597" s="55" t="str">
        <f aca="false">IF(06_Jugos_Desayuno_Rapido!F20="","",06_Jugos_Desayuno_Rapido!F20)</f>
        <v>Vaso 300 ml</v>
      </c>
      <c r="H597" s="55" t="str">
        <f aca="false">IF(06_Jugos_Desayuno_Rapido!G20="","",06_Jugos_Desayuno_Rapido!G20)</f>
        <v>Económico</v>
      </c>
      <c r="I597" s="58" t="n">
        <f aca="false">IF(06_Jugos_Desayuno_Rapido!H20="","",06_Jugos_Desayuno_Rapido!H20)</f>
        <v>3</v>
      </c>
      <c r="J597" s="58" t="n">
        <f aca="false">IF(06_Jugos_Desayuno_Rapido!I20="","",06_Jugos_Desayuno_Rapido!I20)</f>
        <v>6</v>
      </c>
      <c r="K597" s="58" t="n">
        <f aca="false">IF(06_Jugos_Desayuno_Rapido!J20="","",06_Jugos_Desayuno_Rapido!J20)</f>
        <v>4.5</v>
      </c>
      <c r="L597" s="58" t="n">
        <f aca="false">IF(06_Jugos_Desayuno_Rapido!L20="","",06_Jugos_Desayuno_Rapido!L20)</f>
        <v>5</v>
      </c>
      <c r="M597" s="58" t="n">
        <f aca="false">IF(06_Jugos_Desayuno_Rapido!N20="","",06_Jugos_Desayuno_Rapido!N20)</f>
        <v>0.32</v>
      </c>
      <c r="N597" s="58" t="n">
        <f aca="false">IF(06_Jugos_Desayuno_Rapido!O20="","",06_Jugos_Desayuno_Rapido!O20)</f>
        <v>4.18</v>
      </c>
      <c r="O597" s="55" t="str">
        <f aca="false">IF(06_Jugos_Desayuno_Rapido!P20="","",06_Jugos_Desayuno_Rapido!P20)</f>
        <v>06:00-10:00</v>
      </c>
      <c r="P597" s="55" t="n">
        <f aca="false">IF(06_Jugos_Desayuno_Rapido!Q20="","",06_Jugos_Desayuno_Rapido!Q20)</f>
        <v>3</v>
      </c>
      <c r="Q597" s="55" t="str">
        <f aca="false">IF(06_Jugos_Desayuno_Rapido!R20="","",06_Jugos_Desayuno_Rapido!R20)</f>
        <v>Alto</v>
      </c>
      <c r="R597" s="55" t="str">
        <f aca="false">IF(06_Jugos_Desayuno_Rapido!S20="","",06_Jugos_Desayuno_Rapido!S20)</f>
        <v>Todo el año</v>
      </c>
      <c r="S597" s="55" t="str">
        <f aca="false">IF(06_Jugos_Desayuno_Rapido!T20="","",06_Jugos_Desayuno_Rapido!T20)</f>
        <v>Carretilla</v>
      </c>
      <c r="T597" s="56" t="str">
        <f aca="false">IF(06_Jugos_Desayuno_Rapido!U20="","",06_Jugos_Desayuno_Rapido!U20)</f>
        <v/>
      </c>
      <c r="U597" s="55" t="n">
        <v>20</v>
      </c>
      <c r="V597" s="55" t="n">
        <f aca="false">IF(AND(OR(LEN(13_Buscador!$C$5)=0,ISNUMBER(SEARCH(13_Buscador!$C$5,$C597&amp;" "&amp;$D597&amp;" "&amp;$E597&amp;" "&amp;$F597&amp;" "&amp;$S597))),OR(13_Buscador!$C$6="Todas las listas",LEN(13_Buscador!$C$6)=0,13_Buscador!$C$6=$B597)),1,0)</f>
        <v>0</v>
      </c>
      <c r="W597" s="55" t="str">
        <f aca="false">IF(V597=1,SUM($V$2:V597),"")</f>
        <v/>
      </c>
    </row>
    <row r="598" customFormat="false" ht="15" hidden="false" customHeight="true" outlineLevel="0" collapsed="false">
      <c r="A598" s="55" t="n">
        <v>597</v>
      </c>
      <c r="B598" s="55" t="s">
        <v>3332</v>
      </c>
      <c r="C598" s="55" t="str">
        <f aca="false">IF(06_Jugos_Desayuno_Rapido!B21="","",06_Jugos_Desayuno_Rapido!B21)</f>
        <v>Jugos de carretilla</v>
      </c>
      <c r="D598" s="56" t="str">
        <f aca="false">IF(06_Jugos_Desayuno_Rapido!C21="","",06_Jugos_Desayuno_Rapido!C21)</f>
        <v>Extracto de zanahoria y betarraga</v>
      </c>
      <c r="E598" s="56" t="str">
        <f aca="false">IF(06_Jugos_Desayuno_Rapido!D21="","",06_Jugos_Desayuno_Rapido!D21)</f>
        <v>Extracto rojo</v>
      </c>
      <c r="F598" s="56" t="str">
        <f aca="false">IF(06_Jugos_Desayuno_Rapido!E21="","",06_Jugos_Desayuno_Rapido!E21)</f>
        <v>verdura, fruta o raíz fresca, agua</v>
      </c>
      <c r="G598" s="55" t="str">
        <f aca="false">IF(06_Jugos_Desayuno_Rapido!F21="","",06_Jugos_Desayuno_Rapido!F21)</f>
        <v>Vaso 300 ml</v>
      </c>
      <c r="H598" s="55" t="str">
        <f aca="false">IF(06_Jugos_Desayuno_Rapido!G21="","",06_Jugos_Desayuno_Rapido!G21)</f>
        <v>Económico</v>
      </c>
      <c r="I598" s="58" t="n">
        <f aca="false">IF(06_Jugos_Desayuno_Rapido!H21="","",06_Jugos_Desayuno_Rapido!H21)</f>
        <v>3</v>
      </c>
      <c r="J598" s="58" t="n">
        <f aca="false">IF(06_Jugos_Desayuno_Rapido!I21="","",06_Jugos_Desayuno_Rapido!I21)</f>
        <v>6</v>
      </c>
      <c r="K598" s="58" t="n">
        <f aca="false">IF(06_Jugos_Desayuno_Rapido!J21="","",06_Jugos_Desayuno_Rapido!J21)</f>
        <v>4.5</v>
      </c>
      <c r="L598" s="58" t="n">
        <f aca="false">IF(06_Jugos_Desayuno_Rapido!L21="","",06_Jugos_Desayuno_Rapido!L21)</f>
        <v>5</v>
      </c>
      <c r="M598" s="58" t="n">
        <f aca="false">IF(06_Jugos_Desayuno_Rapido!N21="","",06_Jugos_Desayuno_Rapido!N21)</f>
        <v>0.32</v>
      </c>
      <c r="N598" s="58" t="n">
        <f aca="false">IF(06_Jugos_Desayuno_Rapido!O21="","",06_Jugos_Desayuno_Rapido!O21)</f>
        <v>4.18</v>
      </c>
      <c r="O598" s="55" t="str">
        <f aca="false">IF(06_Jugos_Desayuno_Rapido!P21="","",06_Jugos_Desayuno_Rapido!P21)</f>
        <v>06:00-10:00</v>
      </c>
      <c r="P598" s="55" t="n">
        <f aca="false">IF(06_Jugos_Desayuno_Rapido!Q21="","",06_Jugos_Desayuno_Rapido!Q21)</f>
        <v>3</v>
      </c>
      <c r="Q598" s="55" t="str">
        <f aca="false">IF(06_Jugos_Desayuno_Rapido!R21="","",06_Jugos_Desayuno_Rapido!R21)</f>
        <v>Alto</v>
      </c>
      <c r="R598" s="55" t="str">
        <f aca="false">IF(06_Jugos_Desayuno_Rapido!S21="","",06_Jugos_Desayuno_Rapido!S21)</f>
        <v>Todo el año</v>
      </c>
      <c r="S598" s="55" t="str">
        <f aca="false">IF(06_Jugos_Desayuno_Rapido!T21="","",06_Jugos_Desayuno_Rapido!T21)</f>
        <v>Carretilla</v>
      </c>
      <c r="T598" s="56" t="str">
        <f aca="false">IF(06_Jugos_Desayuno_Rapido!U21="","",06_Jugos_Desayuno_Rapido!U21)</f>
        <v/>
      </c>
      <c r="U598" s="55" t="n">
        <v>21</v>
      </c>
      <c r="V598" s="55" t="n">
        <f aca="false">IF(AND(OR(LEN(13_Buscador!$C$5)=0,ISNUMBER(SEARCH(13_Buscador!$C$5,$C598&amp;" "&amp;$D598&amp;" "&amp;$E598&amp;" "&amp;$F598&amp;" "&amp;$S598))),OR(13_Buscador!$C$6="Todas las listas",LEN(13_Buscador!$C$6)=0,13_Buscador!$C$6=$B598)),1,0)</f>
        <v>0</v>
      </c>
      <c r="W598" s="55" t="str">
        <f aca="false">IF(V598=1,SUM($V$2:V598),"")</f>
        <v/>
      </c>
    </row>
    <row r="599" customFormat="false" ht="15" hidden="false" customHeight="true" outlineLevel="0" collapsed="false">
      <c r="A599" s="55" t="n">
        <v>598</v>
      </c>
      <c r="B599" s="55" t="s">
        <v>3332</v>
      </c>
      <c r="C599" s="55" t="str">
        <f aca="false">IF(06_Jugos_Desayuno_Rapido!B22="","",06_Jugos_Desayuno_Rapido!B22)</f>
        <v>Jugos de carretilla</v>
      </c>
      <c r="D599" s="56" t="str">
        <f aca="false">IF(06_Jugos_Desayuno_Rapido!C22="","",06_Jugos_Desayuno_Rapido!C22)</f>
        <v>Maca con fruta</v>
      </c>
      <c r="E599" s="56" t="str">
        <f aca="false">IF(06_Jugos_Desayuno_Rapido!D22="","",06_Jugos_Desayuno_Rapido!D22)</f>
        <v>Batido energético</v>
      </c>
      <c r="F599" s="56" t="str">
        <f aca="false">IF(06_Jugos_Desayuno_Rapido!E22="","",06_Jugos_Desayuno_Rapido!E22)</f>
        <v>verdura, fruta o raíz fresca, agua</v>
      </c>
      <c r="G599" s="55" t="str">
        <f aca="false">IF(06_Jugos_Desayuno_Rapido!F22="","",06_Jugos_Desayuno_Rapido!F22)</f>
        <v>Vaso 500 ml</v>
      </c>
      <c r="H599" s="55" t="str">
        <f aca="false">IF(06_Jugos_Desayuno_Rapido!G22="","",06_Jugos_Desayuno_Rapido!G22)</f>
        <v>Económico</v>
      </c>
      <c r="I599" s="58" t="n">
        <f aca="false">IF(06_Jugos_Desayuno_Rapido!H22="","",06_Jugos_Desayuno_Rapido!H22)</f>
        <v>4</v>
      </c>
      <c r="J599" s="58" t="n">
        <f aca="false">IF(06_Jugos_Desayuno_Rapido!I22="","",06_Jugos_Desayuno_Rapido!I22)</f>
        <v>8</v>
      </c>
      <c r="K599" s="58" t="n">
        <f aca="false">IF(06_Jugos_Desayuno_Rapido!J22="","",06_Jugos_Desayuno_Rapido!J22)</f>
        <v>6</v>
      </c>
      <c r="L599" s="58" t="n">
        <f aca="false">IF(06_Jugos_Desayuno_Rapido!L22="","",06_Jugos_Desayuno_Rapido!L22)</f>
        <v>6.5</v>
      </c>
      <c r="M599" s="58" t="n">
        <f aca="false">IF(06_Jugos_Desayuno_Rapido!N22="","",06_Jugos_Desayuno_Rapido!N22)</f>
        <v>0.42</v>
      </c>
      <c r="N599" s="58" t="n">
        <f aca="false">IF(06_Jugos_Desayuno_Rapido!O22="","",06_Jugos_Desayuno_Rapido!O22)</f>
        <v>5.58</v>
      </c>
      <c r="O599" s="55" t="str">
        <f aca="false">IF(06_Jugos_Desayuno_Rapido!P22="","",06_Jugos_Desayuno_Rapido!P22)</f>
        <v>06:00-11:00</v>
      </c>
      <c r="P599" s="55" t="n">
        <f aca="false">IF(06_Jugos_Desayuno_Rapido!Q22="","",06_Jugos_Desayuno_Rapido!Q22)</f>
        <v>4</v>
      </c>
      <c r="Q599" s="55" t="str">
        <f aca="false">IF(06_Jugos_Desayuno_Rapido!R22="","",06_Jugos_Desayuno_Rapido!R22)</f>
        <v>Alto</v>
      </c>
      <c r="R599" s="55" t="str">
        <f aca="false">IF(06_Jugos_Desayuno_Rapido!S22="","",06_Jugos_Desayuno_Rapido!S22)</f>
        <v>Todo el año</v>
      </c>
      <c r="S599" s="55" t="str">
        <f aca="false">IF(06_Jugos_Desayuno_Rapido!T22="","",06_Jugos_Desayuno_Rapido!T22)</f>
        <v>Carretilla, mercado</v>
      </c>
      <c r="T599" s="56" t="str">
        <f aca="false">IF(06_Jugos_Desayuno_Rapido!U22="","",06_Jugos_Desayuno_Rapido!U22)</f>
        <v/>
      </c>
      <c r="U599" s="55" t="n">
        <v>22</v>
      </c>
      <c r="V599" s="55" t="n">
        <f aca="false">IF(AND(OR(LEN(13_Buscador!$C$5)=0,ISNUMBER(SEARCH(13_Buscador!$C$5,$C599&amp;" "&amp;$D599&amp;" "&amp;$E599&amp;" "&amp;$F599&amp;" "&amp;$S599))),OR(13_Buscador!$C$6="Todas las listas",LEN(13_Buscador!$C$6)=0,13_Buscador!$C$6=$B599)),1,0)</f>
        <v>0</v>
      </c>
      <c r="W599" s="55" t="str">
        <f aca="false">IF(V599=1,SUM($V$2:V599),"")</f>
        <v/>
      </c>
    </row>
    <row r="600" customFormat="false" ht="15" hidden="false" customHeight="true" outlineLevel="0" collapsed="false">
      <c r="A600" s="55" t="n">
        <v>599</v>
      </c>
      <c r="B600" s="55" t="s">
        <v>3332</v>
      </c>
      <c r="C600" s="55" t="str">
        <f aca="false">IF(06_Jugos_Desayuno_Rapido!B23="","",06_Jugos_Desayuno_Rapido!B23)</f>
        <v>Jugos de carretilla</v>
      </c>
      <c r="D600" s="56" t="str">
        <f aca="false">IF(06_Jugos_Desayuno_Rapido!C23="","",06_Jugos_Desayuno_Rapido!C23)</f>
        <v>Jugo de zanahoria con naranja</v>
      </c>
      <c r="E600" s="56" t="str">
        <f aca="false">IF(06_Jugos_Desayuno_Rapido!D23="","",06_Jugos_Desayuno_Rapido!D23)</f>
        <v>Mezcla cítrica</v>
      </c>
      <c r="F600" s="56" t="str">
        <f aca="false">IF(06_Jugos_Desayuno_Rapido!E23="","",06_Jugos_Desayuno_Rapido!E23)</f>
        <v>zanahoria, naranja o miel, agua</v>
      </c>
      <c r="G600" s="55" t="str">
        <f aca="false">IF(06_Jugos_Desayuno_Rapido!F23="","",06_Jugos_Desayuno_Rapido!F23)</f>
        <v>Vaso 500 ml</v>
      </c>
      <c r="H600" s="55" t="str">
        <f aca="false">IF(06_Jugos_Desayuno_Rapido!G23="","",06_Jugos_Desayuno_Rapido!G23)</f>
        <v>Económico</v>
      </c>
      <c r="I600" s="58" t="n">
        <f aca="false">IF(06_Jugos_Desayuno_Rapido!H23="","",06_Jugos_Desayuno_Rapido!H23)</f>
        <v>3</v>
      </c>
      <c r="J600" s="58" t="n">
        <f aca="false">IF(06_Jugos_Desayuno_Rapido!I23="","",06_Jugos_Desayuno_Rapido!I23)</f>
        <v>7</v>
      </c>
      <c r="K600" s="58" t="n">
        <f aca="false">IF(06_Jugos_Desayuno_Rapido!J23="","",06_Jugos_Desayuno_Rapido!J23)</f>
        <v>5</v>
      </c>
      <c r="L600" s="58" t="n">
        <f aca="false">IF(06_Jugos_Desayuno_Rapido!L23="","",06_Jugos_Desayuno_Rapido!L23)</f>
        <v>5.5</v>
      </c>
      <c r="M600" s="58" t="n">
        <f aca="false">IF(06_Jugos_Desayuno_Rapido!N23="","",06_Jugos_Desayuno_Rapido!N23)</f>
        <v>0.35</v>
      </c>
      <c r="N600" s="58" t="n">
        <f aca="false">IF(06_Jugos_Desayuno_Rapido!O23="","",06_Jugos_Desayuno_Rapido!O23)</f>
        <v>4.65</v>
      </c>
      <c r="O600" s="55" t="str">
        <f aca="false">IF(06_Jugos_Desayuno_Rapido!P23="","",06_Jugos_Desayuno_Rapido!P23)</f>
        <v>06:00-11:00</v>
      </c>
      <c r="P600" s="55" t="n">
        <f aca="false">IF(06_Jugos_Desayuno_Rapido!Q23="","",06_Jugos_Desayuno_Rapido!Q23)</f>
        <v>3</v>
      </c>
      <c r="Q600" s="55" t="str">
        <f aca="false">IF(06_Jugos_Desayuno_Rapido!R23="","",06_Jugos_Desayuno_Rapido!R23)</f>
        <v>Alto</v>
      </c>
      <c r="R600" s="55" t="str">
        <f aca="false">IF(06_Jugos_Desayuno_Rapido!S23="","",06_Jugos_Desayuno_Rapido!S23)</f>
        <v>Todo el año</v>
      </c>
      <c r="S600" s="55" t="str">
        <f aca="false">IF(06_Jugos_Desayuno_Rapido!T23="","",06_Jugos_Desayuno_Rapido!T23)</f>
        <v>Carretilla</v>
      </c>
      <c r="T600" s="56" t="str">
        <f aca="false">IF(06_Jugos_Desayuno_Rapido!U23="","",06_Jugos_Desayuno_Rapido!U23)</f>
        <v/>
      </c>
      <c r="U600" s="55" t="n">
        <v>23</v>
      </c>
      <c r="V600" s="55" t="n">
        <f aca="false">IF(AND(OR(LEN(13_Buscador!$C$5)=0,ISNUMBER(SEARCH(13_Buscador!$C$5,$C600&amp;" "&amp;$D600&amp;" "&amp;$E600&amp;" "&amp;$F600&amp;" "&amp;$S600))),OR(13_Buscador!$C$6="Todas las listas",LEN(13_Buscador!$C$6)=0,13_Buscador!$C$6=$B600)),1,0)</f>
        <v>0</v>
      </c>
      <c r="W600" s="55" t="str">
        <f aca="false">IF(V600=1,SUM($V$2:V600),"")</f>
        <v/>
      </c>
    </row>
    <row r="601" customFormat="false" ht="23.25" hidden="false" customHeight="true" outlineLevel="0" collapsed="false">
      <c r="A601" s="55" t="n">
        <v>600</v>
      </c>
      <c r="B601" s="55" t="s">
        <v>3332</v>
      </c>
      <c r="C601" s="55" t="str">
        <f aca="false">IF(06_Jugos_Desayuno_Rapido!B24="","",06_Jugos_Desayuno_Rapido!B24)</f>
        <v>Panes y frituras de carretilla</v>
      </c>
      <c r="D601" s="56" t="str">
        <f aca="false">IF(06_Jugos_Desayuno_Rapido!C24="","",06_Jugos_Desayuno_Rapido!C24)</f>
        <v>Pan con chicharrón de carretilla</v>
      </c>
      <c r="E601" s="56" t="str">
        <f aca="false">IF(06_Jugos_Desayuno_Rapido!D24="","",06_Jugos_Desayuno_Rapido!D24)</f>
        <v>Chicharrón, camote, salsa criolla</v>
      </c>
      <c r="F601" s="56" t="str">
        <f aca="false">IF(06_Jugos_Desayuno_Rapido!E24="","",06_Jugos_Desayuno_Rapido!E24)</f>
        <v>pan, chicharrón de cerdo, camote frito, salsa criolla (cebolla, limón, ají)</v>
      </c>
      <c r="G601" s="55" t="str">
        <f aca="false">IF(06_Jugos_Desayuno_Rapido!F24="","",06_Jugos_Desayuno_Rapido!F24)</f>
        <v>1 unidad</v>
      </c>
      <c r="H601" s="55" t="str">
        <f aca="false">IF(06_Jugos_Desayuno_Rapido!G24="","",06_Jugos_Desayuno_Rapido!G24)</f>
        <v>Económico</v>
      </c>
      <c r="I601" s="58" t="n">
        <f aca="false">IF(06_Jugos_Desayuno_Rapido!H24="","",06_Jugos_Desayuno_Rapido!H24)</f>
        <v>4</v>
      </c>
      <c r="J601" s="58" t="n">
        <f aca="false">IF(06_Jugos_Desayuno_Rapido!I24="","",06_Jugos_Desayuno_Rapido!I24)</f>
        <v>9</v>
      </c>
      <c r="K601" s="58" t="n">
        <f aca="false">IF(06_Jugos_Desayuno_Rapido!J24="","",06_Jugos_Desayuno_Rapido!J24)</f>
        <v>6.5</v>
      </c>
      <c r="L601" s="58" t="n">
        <f aca="false">IF(06_Jugos_Desayuno_Rapido!L24="","",06_Jugos_Desayuno_Rapido!L24)</f>
        <v>7</v>
      </c>
      <c r="M601" s="58" t="n">
        <f aca="false">IF(06_Jugos_Desayuno_Rapido!N24="","",06_Jugos_Desayuno_Rapido!N24)</f>
        <v>0.46</v>
      </c>
      <c r="N601" s="58" t="n">
        <f aca="false">IF(06_Jugos_Desayuno_Rapido!O24="","",06_Jugos_Desayuno_Rapido!O24)</f>
        <v>6.04</v>
      </c>
      <c r="O601" s="55" t="str">
        <f aca="false">IF(06_Jugos_Desayuno_Rapido!P24="","",06_Jugos_Desayuno_Rapido!P24)</f>
        <v>06:00-10:00</v>
      </c>
      <c r="P601" s="55" t="n">
        <f aca="false">IF(06_Jugos_Desayuno_Rapido!Q24="","",06_Jugos_Desayuno_Rapido!Q24)</f>
        <v>2</v>
      </c>
      <c r="Q601" s="55" t="str">
        <f aca="false">IF(06_Jugos_Desayuno_Rapido!R24="","",06_Jugos_Desayuno_Rapido!R24)</f>
        <v>Alto</v>
      </c>
      <c r="R601" s="55" t="str">
        <f aca="false">IF(06_Jugos_Desayuno_Rapido!S24="","",06_Jugos_Desayuno_Rapido!S24)</f>
        <v>Todo el año</v>
      </c>
      <c r="S601" s="55" t="str">
        <f aca="false">IF(06_Jugos_Desayuno_Rapido!T24="","",06_Jugos_Desayuno_Rapido!T24)</f>
        <v>Carretilla</v>
      </c>
      <c r="T601" s="56" t="str">
        <f aca="false">IF(06_Jugos_Desayuno_Rapido!U24="","",06_Jugos_Desayuno_Rapido!U24)</f>
        <v>Aguanta bien el traslado: ideal para app</v>
      </c>
      <c r="U601" s="55" t="n">
        <v>24</v>
      </c>
      <c r="V601" s="55" t="n">
        <f aca="false">IF(AND(OR(LEN(13_Buscador!$C$5)=0,ISNUMBER(SEARCH(13_Buscador!$C$5,$C601&amp;" "&amp;$D601&amp;" "&amp;$E601&amp;" "&amp;$F601&amp;" "&amp;$S601))),OR(13_Buscador!$C$6="Todas las listas",LEN(13_Buscador!$C$6)=0,13_Buscador!$C$6=$B601)),1,0)</f>
        <v>0</v>
      </c>
      <c r="W601" s="55" t="str">
        <f aca="false">IF(V601=1,SUM($V$2:V601),"")</f>
        <v/>
      </c>
    </row>
    <row r="602" customFormat="false" ht="15" hidden="false" customHeight="true" outlineLevel="0" collapsed="false">
      <c r="A602" s="55" t="n">
        <v>601</v>
      </c>
      <c r="B602" s="55" t="s">
        <v>3332</v>
      </c>
      <c r="C602" s="55" t="str">
        <f aca="false">IF(06_Jugos_Desayuno_Rapido!B25="","",06_Jugos_Desayuno_Rapido!B25)</f>
        <v>Panes y frituras de carretilla</v>
      </c>
      <c r="D602" s="56" t="str">
        <f aca="false">IF(06_Jugos_Desayuno_Rapido!C25="","",06_Jugos_Desayuno_Rapido!C25)</f>
        <v>Pan con huevo de carretilla</v>
      </c>
      <c r="E602" s="56" t="str">
        <f aca="false">IF(06_Jugos_Desayuno_Rapido!D25="","",06_Jugos_Desayuno_Rapido!D25)</f>
        <v>Huevo frito en pan</v>
      </c>
      <c r="F602" s="56" t="str">
        <f aca="false">IF(06_Jugos_Desayuno_Rapido!E25="","",06_Jugos_Desayuno_Rapido!E25)</f>
        <v>pan, huevo, sal, aceite</v>
      </c>
      <c r="G602" s="55" t="str">
        <f aca="false">IF(06_Jugos_Desayuno_Rapido!F25="","",06_Jugos_Desayuno_Rapido!F25)</f>
        <v>1 unidad</v>
      </c>
      <c r="H602" s="55" t="str">
        <f aca="false">IF(06_Jugos_Desayuno_Rapido!G25="","",06_Jugos_Desayuno_Rapido!G25)</f>
        <v>Económico</v>
      </c>
      <c r="I602" s="58" t="n">
        <f aca="false">IF(06_Jugos_Desayuno_Rapido!H25="","",06_Jugos_Desayuno_Rapido!H25)</f>
        <v>2</v>
      </c>
      <c r="J602" s="58" t="n">
        <f aca="false">IF(06_Jugos_Desayuno_Rapido!I25="","",06_Jugos_Desayuno_Rapido!I25)</f>
        <v>5</v>
      </c>
      <c r="K602" s="58" t="n">
        <f aca="false">IF(06_Jugos_Desayuno_Rapido!J25="","",06_Jugos_Desayuno_Rapido!J25)</f>
        <v>3.5</v>
      </c>
      <c r="L602" s="58" t="n">
        <f aca="false">IF(06_Jugos_Desayuno_Rapido!L25="","",06_Jugos_Desayuno_Rapido!L25)</f>
        <v>4</v>
      </c>
      <c r="M602" s="58" t="n">
        <f aca="false">IF(06_Jugos_Desayuno_Rapido!N25="","",06_Jugos_Desayuno_Rapido!N25)</f>
        <v>0.25</v>
      </c>
      <c r="N602" s="58" t="n">
        <f aca="false">IF(06_Jugos_Desayuno_Rapido!O25="","",06_Jugos_Desayuno_Rapido!O25)</f>
        <v>3.25</v>
      </c>
      <c r="O602" s="55" t="str">
        <f aca="false">IF(06_Jugos_Desayuno_Rapido!P25="","",06_Jugos_Desayuno_Rapido!P25)</f>
        <v>06:00-10:00</v>
      </c>
      <c r="P602" s="55" t="n">
        <f aca="false">IF(06_Jugos_Desayuno_Rapido!Q25="","",06_Jugos_Desayuno_Rapido!Q25)</f>
        <v>3</v>
      </c>
      <c r="Q602" s="55" t="str">
        <f aca="false">IF(06_Jugos_Desayuno_Rapido!R25="","",06_Jugos_Desayuno_Rapido!R25)</f>
        <v>Alto</v>
      </c>
      <c r="R602" s="55" t="str">
        <f aca="false">IF(06_Jugos_Desayuno_Rapido!S25="","",06_Jugos_Desayuno_Rapido!S25)</f>
        <v>Todo el año</v>
      </c>
      <c r="S602" s="55" t="str">
        <f aca="false">IF(06_Jugos_Desayuno_Rapido!T25="","",06_Jugos_Desayuno_Rapido!T25)</f>
        <v>Carretilla</v>
      </c>
      <c r="T602" s="56" t="str">
        <f aca="false">IF(06_Jugos_Desayuno_Rapido!U25="","",06_Jugos_Desayuno_Rapido!U25)</f>
        <v/>
      </c>
      <c r="U602" s="55" t="n">
        <v>25</v>
      </c>
      <c r="V602" s="55" t="n">
        <f aca="false">IF(AND(OR(LEN(13_Buscador!$C$5)=0,ISNUMBER(SEARCH(13_Buscador!$C$5,$C602&amp;" "&amp;$D602&amp;" "&amp;$E602&amp;" "&amp;$F602&amp;" "&amp;$S602))),OR(13_Buscador!$C$6="Todas las listas",LEN(13_Buscador!$C$6)=0,13_Buscador!$C$6=$B602)),1,0)</f>
        <v>0</v>
      </c>
      <c r="W602" s="55" t="str">
        <f aca="false">IF(V602=1,SUM($V$2:V602),"")</f>
        <v/>
      </c>
    </row>
    <row r="603" customFormat="false" ht="15" hidden="false" customHeight="true" outlineLevel="0" collapsed="false">
      <c r="A603" s="55" t="n">
        <v>602</v>
      </c>
      <c r="B603" s="55" t="s">
        <v>3332</v>
      </c>
      <c r="C603" s="55" t="str">
        <f aca="false">IF(06_Jugos_Desayuno_Rapido!B26="","",06_Jugos_Desayuno_Rapido!B26)</f>
        <v>Panes y frituras de carretilla</v>
      </c>
      <c r="D603" s="56" t="str">
        <f aca="false">IF(06_Jugos_Desayuno_Rapido!C26="","",06_Jugos_Desayuno_Rapido!C26)</f>
        <v>Pan con palta</v>
      </c>
      <c r="E603" s="56" t="str">
        <f aca="false">IF(06_Jugos_Desayuno_Rapido!D26="","",06_Jugos_Desayuno_Rapido!D26)</f>
        <v>Palta y sal</v>
      </c>
      <c r="F603" s="56" t="str">
        <f aca="false">IF(06_Jugos_Desayuno_Rapido!E26="","",06_Jugos_Desayuno_Rapido!E26)</f>
        <v>pan, palta, sal, limón</v>
      </c>
      <c r="G603" s="55" t="str">
        <f aca="false">IF(06_Jugos_Desayuno_Rapido!F26="","",06_Jugos_Desayuno_Rapido!F26)</f>
        <v>1 unidad</v>
      </c>
      <c r="H603" s="55" t="str">
        <f aca="false">IF(06_Jugos_Desayuno_Rapido!G26="","",06_Jugos_Desayuno_Rapido!G26)</f>
        <v>Económico</v>
      </c>
      <c r="I603" s="58" t="n">
        <f aca="false">IF(06_Jugos_Desayuno_Rapido!H26="","",06_Jugos_Desayuno_Rapido!H26)</f>
        <v>2</v>
      </c>
      <c r="J603" s="58" t="n">
        <f aca="false">IF(06_Jugos_Desayuno_Rapido!I26="","",06_Jugos_Desayuno_Rapido!I26)</f>
        <v>5</v>
      </c>
      <c r="K603" s="58" t="n">
        <f aca="false">IF(06_Jugos_Desayuno_Rapido!J26="","",06_Jugos_Desayuno_Rapido!J26)</f>
        <v>3.5</v>
      </c>
      <c r="L603" s="58" t="n">
        <f aca="false">IF(06_Jugos_Desayuno_Rapido!L26="","",06_Jugos_Desayuno_Rapido!L26)</f>
        <v>4</v>
      </c>
      <c r="M603" s="58" t="n">
        <f aca="false">IF(06_Jugos_Desayuno_Rapido!N26="","",06_Jugos_Desayuno_Rapido!N26)</f>
        <v>0.25</v>
      </c>
      <c r="N603" s="58" t="n">
        <f aca="false">IF(06_Jugos_Desayuno_Rapido!O26="","",06_Jugos_Desayuno_Rapido!O26)</f>
        <v>3.25</v>
      </c>
      <c r="O603" s="55" t="str">
        <f aca="false">IF(06_Jugos_Desayuno_Rapido!P26="","",06_Jugos_Desayuno_Rapido!P26)</f>
        <v>06:00-10:00</v>
      </c>
      <c r="P603" s="55" t="n">
        <f aca="false">IF(06_Jugos_Desayuno_Rapido!Q26="","",06_Jugos_Desayuno_Rapido!Q26)</f>
        <v>2</v>
      </c>
      <c r="Q603" s="55" t="str">
        <f aca="false">IF(06_Jugos_Desayuno_Rapido!R26="","",06_Jugos_Desayuno_Rapido!R26)</f>
        <v>Alto</v>
      </c>
      <c r="R603" s="55" t="str">
        <f aca="false">IF(06_Jugos_Desayuno_Rapido!S26="","",06_Jugos_Desayuno_Rapido!S26)</f>
        <v>Todo el año</v>
      </c>
      <c r="S603" s="55" t="str">
        <f aca="false">IF(06_Jugos_Desayuno_Rapido!T26="","",06_Jugos_Desayuno_Rapido!T26)</f>
        <v>Carretilla</v>
      </c>
      <c r="T603" s="56" t="str">
        <f aca="false">IF(06_Jugos_Desayuno_Rapido!U26="","",06_Jugos_Desayuno_Rapido!U26)</f>
        <v/>
      </c>
      <c r="U603" s="55" t="n">
        <v>26</v>
      </c>
      <c r="V603" s="55" t="n">
        <f aca="false">IF(AND(OR(LEN(13_Buscador!$C$5)=0,ISNUMBER(SEARCH(13_Buscador!$C$5,$C603&amp;" "&amp;$D603&amp;" "&amp;$E603&amp;" "&amp;$F603&amp;" "&amp;$S603))),OR(13_Buscador!$C$6="Todas las listas",LEN(13_Buscador!$C$6)=0,13_Buscador!$C$6=$B603)),1,0)</f>
        <v>0</v>
      </c>
      <c r="W603" s="55" t="str">
        <f aca="false">IF(V603=1,SUM($V$2:V603),"")</f>
        <v/>
      </c>
    </row>
    <row r="604" customFormat="false" ht="15" hidden="false" customHeight="true" outlineLevel="0" collapsed="false">
      <c r="A604" s="55" t="n">
        <v>603</v>
      </c>
      <c r="B604" s="55" t="s">
        <v>3332</v>
      </c>
      <c r="C604" s="55" t="str">
        <f aca="false">IF(06_Jugos_Desayuno_Rapido!B27="","",06_Jugos_Desayuno_Rapido!B27)</f>
        <v>Panes y frituras de carretilla</v>
      </c>
      <c r="D604" s="56" t="str">
        <f aca="false">IF(06_Jugos_Desayuno_Rapido!C27="","",06_Jugos_Desayuno_Rapido!C27)</f>
        <v>Pan con queso frito</v>
      </c>
      <c r="E604" s="56" t="str">
        <f aca="false">IF(06_Jugos_Desayuno_Rapido!D27="","",06_Jugos_Desayuno_Rapido!D27)</f>
        <v>Queso local frito</v>
      </c>
      <c r="F604" s="56" t="str">
        <f aca="false">IF(06_Jugos_Desayuno_Rapido!E27="","",06_Jugos_Desayuno_Rapido!E27)</f>
        <v>pan, queso fresco frito, sal</v>
      </c>
      <c r="G604" s="55" t="str">
        <f aca="false">IF(06_Jugos_Desayuno_Rapido!F27="","",06_Jugos_Desayuno_Rapido!F27)</f>
        <v>1 unidad</v>
      </c>
      <c r="H604" s="55" t="str">
        <f aca="false">IF(06_Jugos_Desayuno_Rapido!G27="","",06_Jugos_Desayuno_Rapido!G27)</f>
        <v>Económico</v>
      </c>
      <c r="I604" s="58" t="n">
        <f aca="false">IF(06_Jugos_Desayuno_Rapido!H27="","",06_Jugos_Desayuno_Rapido!H27)</f>
        <v>3</v>
      </c>
      <c r="J604" s="58" t="n">
        <f aca="false">IF(06_Jugos_Desayuno_Rapido!I27="","",06_Jugos_Desayuno_Rapido!I27)</f>
        <v>7</v>
      </c>
      <c r="K604" s="58" t="n">
        <f aca="false">IF(06_Jugos_Desayuno_Rapido!J27="","",06_Jugos_Desayuno_Rapido!J27)</f>
        <v>5</v>
      </c>
      <c r="L604" s="58" t="n">
        <f aca="false">IF(06_Jugos_Desayuno_Rapido!L27="","",06_Jugos_Desayuno_Rapido!L27)</f>
        <v>5.5</v>
      </c>
      <c r="M604" s="58" t="n">
        <f aca="false">IF(06_Jugos_Desayuno_Rapido!N27="","",06_Jugos_Desayuno_Rapido!N27)</f>
        <v>0.35</v>
      </c>
      <c r="N604" s="58" t="n">
        <f aca="false">IF(06_Jugos_Desayuno_Rapido!O27="","",06_Jugos_Desayuno_Rapido!O27)</f>
        <v>4.65</v>
      </c>
      <c r="O604" s="55" t="str">
        <f aca="false">IF(06_Jugos_Desayuno_Rapido!P27="","",06_Jugos_Desayuno_Rapido!P27)</f>
        <v>06:00-10:00</v>
      </c>
      <c r="P604" s="55" t="n">
        <f aca="false">IF(06_Jugos_Desayuno_Rapido!Q27="","",06_Jugos_Desayuno_Rapido!Q27)</f>
        <v>3</v>
      </c>
      <c r="Q604" s="55" t="str">
        <f aca="false">IF(06_Jugos_Desayuno_Rapido!R27="","",06_Jugos_Desayuno_Rapido!R27)</f>
        <v>Alto</v>
      </c>
      <c r="R604" s="55" t="str">
        <f aca="false">IF(06_Jugos_Desayuno_Rapido!S27="","",06_Jugos_Desayuno_Rapido!S27)</f>
        <v>Todo el año</v>
      </c>
      <c r="S604" s="55" t="str">
        <f aca="false">IF(06_Jugos_Desayuno_Rapido!T27="","",06_Jugos_Desayuno_Rapido!T27)</f>
        <v>Carretilla, mercado</v>
      </c>
      <c r="T604" s="56" t="str">
        <f aca="false">IF(06_Jugos_Desayuno_Rapido!U27="","",06_Jugos_Desayuno_Rapido!U27)</f>
        <v/>
      </c>
      <c r="U604" s="55" t="n">
        <v>27</v>
      </c>
      <c r="V604" s="55" t="n">
        <f aca="false">IF(AND(OR(LEN(13_Buscador!$C$5)=0,ISNUMBER(SEARCH(13_Buscador!$C$5,$C604&amp;" "&amp;$D604&amp;" "&amp;$E604&amp;" "&amp;$F604&amp;" "&amp;$S604))),OR(13_Buscador!$C$6="Todas las listas",LEN(13_Buscador!$C$6)=0,13_Buscador!$C$6=$B604)),1,0)</f>
        <v>0</v>
      </c>
      <c r="W604" s="55" t="str">
        <f aca="false">IF(V604=1,SUM($V$2:V604),"")</f>
        <v/>
      </c>
    </row>
    <row r="605" customFormat="false" ht="15" hidden="false" customHeight="true" outlineLevel="0" collapsed="false">
      <c r="A605" s="55" t="n">
        <v>604</v>
      </c>
      <c r="B605" s="55" t="s">
        <v>3332</v>
      </c>
      <c r="C605" s="55" t="str">
        <f aca="false">IF(06_Jugos_Desayuno_Rapido!B28="","",06_Jugos_Desayuno_Rapido!B28)</f>
        <v>Panes y frituras de carretilla</v>
      </c>
      <c r="D605" s="56" t="str">
        <f aca="false">IF(06_Jugos_Desayuno_Rapido!C28="","",06_Jugos_Desayuno_Rapido!C28)</f>
        <v>Pan con salchicha</v>
      </c>
      <c r="E605" s="56" t="str">
        <f aca="false">IF(06_Jugos_Desayuno_Rapido!D28="","",06_Jugos_Desayuno_Rapido!D28)</f>
        <v>Salchicha frita en pan</v>
      </c>
      <c r="F605" s="56" t="str">
        <f aca="false">IF(06_Jugos_Desayuno_Rapido!E28="","",06_Jugos_Desayuno_Rapido!E28)</f>
        <v>pan, salchicha o chorizo, papas al hilo, salsas</v>
      </c>
      <c r="G605" s="55" t="str">
        <f aca="false">IF(06_Jugos_Desayuno_Rapido!F28="","",06_Jugos_Desayuno_Rapido!F28)</f>
        <v>1 unidad</v>
      </c>
      <c r="H605" s="55" t="str">
        <f aca="false">IF(06_Jugos_Desayuno_Rapido!G28="","",06_Jugos_Desayuno_Rapido!G28)</f>
        <v>Económico</v>
      </c>
      <c r="I605" s="58" t="n">
        <f aca="false">IF(06_Jugos_Desayuno_Rapido!H28="","",06_Jugos_Desayuno_Rapido!H28)</f>
        <v>2</v>
      </c>
      <c r="J605" s="58" t="n">
        <f aca="false">IF(06_Jugos_Desayuno_Rapido!I28="","",06_Jugos_Desayuno_Rapido!I28)</f>
        <v>5</v>
      </c>
      <c r="K605" s="58" t="n">
        <f aca="false">IF(06_Jugos_Desayuno_Rapido!J28="","",06_Jugos_Desayuno_Rapido!J28)</f>
        <v>3.5</v>
      </c>
      <c r="L605" s="58" t="n">
        <f aca="false">IF(06_Jugos_Desayuno_Rapido!L28="","",06_Jugos_Desayuno_Rapido!L28)</f>
        <v>4</v>
      </c>
      <c r="M605" s="58" t="n">
        <f aca="false">IF(06_Jugos_Desayuno_Rapido!N28="","",06_Jugos_Desayuno_Rapido!N28)</f>
        <v>0.25</v>
      </c>
      <c r="N605" s="58" t="n">
        <f aca="false">IF(06_Jugos_Desayuno_Rapido!O28="","",06_Jugos_Desayuno_Rapido!O28)</f>
        <v>3.25</v>
      </c>
      <c r="O605" s="55" t="str">
        <f aca="false">IF(06_Jugos_Desayuno_Rapido!P28="","",06_Jugos_Desayuno_Rapido!P28)</f>
        <v>06:00-10:00</v>
      </c>
      <c r="P605" s="55" t="n">
        <f aca="false">IF(06_Jugos_Desayuno_Rapido!Q28="","",06_Jugos_Desayuno_Rapido!Q28)</f>
        <v>3</v>
      </c>
      <c r="Q605" s="55" t="str">
        <f aca="false">IF(06_Jugos_Desayuno_Rapido!R28="","",06_Jugos_Desayuno_Rapido!R28)</f>
        <v>Alto</v>
      </c>
      <c r="R605" s="55" t="str">
        <f aca="false">IF(06_Jugos_Desayuno_Rapido!S28="","",06_Jugos_Desayuno_Rapido!S28)</f>
        <v>Todo el año</v>
      </c>
      <c r="S605" s="55" t="str">
        <f aca="false">IF(06_Jugos_Desayuno_Rapido!T28="","",06_Jugos_Desayuno_Rapido!T28)</f>
        <v>Carretilla</v>
      </c>
      <c r="T605" s="56" t="str">
        <f aca="false">IF(06_Jugos_Desayuno_Rapido!U28="","",06_Jugos_Desayuno_Rapido!U28)</f>
        <v/>
      </c>
      <c r="U605" s="55" t="n">
        <v>28</v>
      </c>
      <c r="V605" s="55" t="n">
        <f aca="false">IF(AND(OR(LEN(13_Buscador!$C$5)=0,ISNUMBER(SEARCH(13_Buscador!$C$5,$C605&amp;" "&amp;$D605&amp;" "&amp;$E605&amp;" "&amp;$F605&amp;" "&amp;$S605))),OR(13_Buscador!$C$6="Todas las listas",LEN(13_Buscador!$C$6)=0,13_Buscador!$C$6=$B605)),1,0)</f>
        <v>0</v>
      </c>
      <c r="W605" s="55" t="str">
        <f aca="false">IF(V605=1,SUM($V$2:V605),"")</f>
        <v/>
      </c>
    </row>
    <row r="606" customFormat="false" ht="15" hidden="false" customHeight="true" outlineLevel="0" collapsed="false">
      <c r="A606" s="55" t="n">
        <v>605</v>
      </c>
      <c r="B606" s="55" t="s">
        <v>3332</v>
      </c>
      <c r="C606" s="55" t="str">
        <f aca="false">IF(06_Jugos_Desayuno_Rapido!B29="","",06_Jugos_Desayuno_Rapido!B29)</f>
        <v>Panes y frituras de carretilla</v>
      </c>
      <c r="D606" s="56" t="str">
        <f aca="false">IF(06_Jugos_Desayuno_Rapido!C29="","",06_Jugos_Desayuno_Rapido!C29)</f>
        <v>Sándwich mixto de carretilla</v>
      </c>
      <c r="E606" s="56" t="str">
        <f aca="false">IF(06_Jugos_Desayuno_Rapido!D29="","",06_Jugos_Desayuno_Rapido!D29)</f>
        <v>Jamón y queso</v>
      </c>
      <c r="F606" s="56" t="str">
        <f aca="false">IF(06_Jugos_Desayuno_Rapido!E29="","",06_Jugos_Desayuno_Rapido!E29)</f>
        <v>pan, jamón, queso, mantequilla</v>
      </c>
      <c r="G606" s="55" t="str">
        <f aca="false">IF(06_Jugos_Desayuno_Rapido!F29="","",06_Jugos_Desayuno_Rapido!F29)</f>
        <v>1 unidad</v>
      </c>
      <c r="H606" s="55" t="str">
        <f aca="false">IF(06_Jugos_Desayuno_Rapido!G29="","",06_Jugos_Desayuno_Rapido!G29)</f>
        <v>Económico</v>
      </c>
      <c r="I606" s="58" t="n">
        <f aca="false">IF(06_Jugos_Desayuno_Rapido!H29="","",06_Jugos_Desayuno_Rapido!H29)</f>
        <v>3</v>
      </c>
      <c r="J606" s="58" t="n">
        <f aca="false">IF(06_Jugos_Desayuno_Rapido!I29="","",06_Jugos_Desayuno_Rapido!I29)</f>
        <v>7</v>
      </c>
      <c r="K606" s="58" t="n">
        <f aca="false">IF(06_Jugos_Desayuno_Rapido!J29="","",06_Jugos_Desayuno_Rapido!J29)</f>
        <v>5</v>
      </c>
      <c r="L606" s="58" t="n">
        <f aca="false">IF(06_Jugos_Desayuno_Rapido!L29="","",06_Jugos_Desayuno_Rapido!L29)</f>
        <v>5.5</v>
      </c>
      <c r="M606" s="58" t="n">
        <f aca="false">IF(06_Jugos_Desayuno_Rapido!N29="","",06_Jugos_Desayuno_Rapido!N29)</f>
        <v>0.35</v>
      </c>
      <c r="N606" s="58" t="n">
        <f aca="false">IF(06_Jugos_Desayuno_Rapido!O29="","",06_Jugos_Desayuno_Rapido!O29)</f>
        <v>4.65</v>
      </c>
      <c r="O606" s="55" t="str">
        <f aca="false">IF(06_Jugos_Desayuno_Rapido!P29="","",06_Jugos_Desayuno_Rapido!P29)</f>
        <v>06:00-10:00</v>
      </c>
      <c r="P606" s="55" t="n">
        <f aca="false">IF(06_Jugos_Desayuno_Rapido!Q29="","",06_Jugos_Desayuno_Rapido!Q29)</f>
        <v>2</v>
      </c>
      <c r="Q606" s="55" t="str">
        <f aca="false">IF(06_Jugos_Desayuno_Rapido!R29="","",06_Jugos_Desayuno_Rapido!R29)</f>
        <v>Alto</v>
      </c>
      <c r="R606" s="55" t="str">
        <f aca="false">IF(06_Jugos_Desayuno_Rapido!S29="","",06_Jugos_Desayuno_Rapido!S29)</f>
        <v>Todo el año</v>
      </c>
      <c r="S606" s="55" t="str">
        <f aca="false">IF(06_Jugos_Desayuno_Rapido!T29="","",06_Jugos_Desayuno_Rapido!T29)</f>
        <v>Carretilla</v>
      </c>
      <c r="T606" s="56" t="str">
        <f aca="false">IF(06_Jugos_Desayuno_Rapido!U29="","",06_Jugos_Desayuno_Rapido!U29)</f>
        <v/>
      </c>
      <c r="U606" s="55" t="n">
        <v>29</v>
      </c>
      <c r="V606" s="55" t="n">
        <f aca="false">IF(AND(OR(LEN(13_Buscador!$C$5)=0,ISNUMBER(SEARCH(13_Buscador!$C$5,$C606&amp;" "&amp;$D606&amp;" "&amp;$E606&amp;" "&amp;$F606&amp;" "&amp;$S606))),OR(13_Buscador!$C$6="Todas las listas",LEN(13_Buscador!$C$6)=0,13_Buscador!$C$6=$B606)),1,0)</f>
        <v>0</v>
      </c>
      <c r="W606" s="55" t="str">
        <f aca="false">IF(V606=1,SUM($V$2:V606),"")</f>
        <v/>
      </c>
    </row>
    <row r="607" customFormat="false" ht="23.25" hidden="false" customHeight="true" outlineLevel="0" collapsed="false">
      <c r="A607" s="55" t="n">
        <v>606</v>
      </c>
      <c r="B607" s="55" t="s">
        <v>3332</v>
      </c>
      <c r="C607" s="55" t="str">
        <f aca="false">IF(06_Jugos_Desayuno_Rapido!B30="","",06_Jugos_Desayuno_Rapido!B30)</f>
        <v>Panes y frituras de carretilla</v>
      </c>
      <c r="D607" s="56" t="str">
        <f aca="false">IF(06_Jugos_Desayuno_Rapido!C30="","",06_Jugos_Desayuno_Rapido!C30)</f>
        <v>Buñuelos (3 und)</v>
      </c>
      <c r="E607" s="56" t="str">
        <f aca="false">IF(06_Jugos_Desayuno_Rapido!D30="","",06_Jugos_Desayuno_Rapido!D30)</f>
        <v>Masa frita con miel</v>
      </c>
      <c r="F607" s="56" t="str">
        <f aca="false">IF(06_Jugos_Desayuno_Rapido!E30="","",06_Jugos_Desayuno_Rapido!E30)</f>
        <v>harina, huevo, levadura, azúcar, miel de chancaca, aceite</v>
      </c>
      <c r="G607" s="55" t="str">
        <f aca="false">IF(06_Jugos_Desayuno_Rapido!F30="","",06_Jugos_Desayuno_Rapido!F30)</f>
        <v>Porción</v>
      </c>
      <c r="H607" s="55" t="str">
        <f aca="false">IF(06_Jugos_Desayuno_Rapido!G30="","",06_Jugos_Desayuno_Rapido!G30)</f>
        <v>Económico</v>
      </c>
      <c r="I607" s="58" t="n">
        <f aca="false">IF(06_Jugos_Desayuno_Rapido!H30="","",06_Jugos_Desayuno_Rapido!H30)</f>
        <v>3</v>
      </c>
      <c r="J607" s="58" t="n">
        <f aca="false">IF(06_Jugos_Desayuno_Rapido!I30="","",06_Jugos_Desayuno_Rapido!I30)</f>
        <v>7</v>
      </c>
      <c r="K607" s="58" t="n">
        <f aca="false">IF(06_Jugos_Desayuno_Rapido!J30="","",06_Jugos_Desayuno_Rapido!J30)</f>
        <v>5</v>
      </c>
      <c r="L607" s="58" t="n">
        <f aca="false">IF(06_Jugos_Desayuno_Rapido!L30="","",06_Jugos_Desayuno_Rapido!L30)</f>
        <v>5.5</v>
      </c>
      <c r="M607" s="58" t="n">
        <f aca="false">IF(06_Jugos_Desayuno_Rapido!N30="","",06_Jugos_Desayuno_Rapido!N30)</f>
        <v>0.35</v>
      </c>
      <c r="N607" s="58" t="n">
        <f aca="false">IF(06_Jugos_Desayuno_Rapido!O30="","",06_Jugos_Desayuno_Rapido!O30)</f>
        <v>4.65</v>
      </c>
      <c r="O607" s="55" t="str">
        <f aca="false">IF(06_Jugos_Desayuno_Rapido!P30="","",06_Jugos_Desayuno_Rapido!P30)</f>
        <v>05:00-10:00</v>
      </c>
      <c r="P607" s="55" t="n">
        <f aca="false">IF(06_Jugos_Desayuno_Rapido!Q30="","",06_Jugos_Desayuno_Rapido!Q30)</f>
        <v>4</v>
      </c>
      <c r="Q607" s="55" t="str">
        <f aca="false">IF(06_Jugos_Desayuno_Rapido!R30="","",06_Jugos_Desayuno_Rapido!R30)</f>
        <v>Medio</v>
      </c>
      <c r="R607" s="55" t="str">
        <f aca="false">IF(06_Jugos_Desayuno_Rapido!S30="","",06_Jugos_Desayuno_Rapido!S30)</f>
        <v>Todo el año</v>
      </c>
      <c r="S607" s="55" t="str">
        <f aca="false">IF(06_Jugos_Desayuno_Rapido!T30="","",06_Jugos_Desayuno_Rapido!T30)</f>
        <v>Carretilla</v>
      </c>
      <c r="T607" s="56" t="str">
        <f aca="false">IF(06_Jugos_Desayuno_Rapido!U30="","",06_Jugos_Desayuno_Rapido!U30)</f>
        <v/>
      </c>
      <c r="U607" s="55" t="n">
        <v>30</v>
      </c>
      <c r="V607" s="55" t="n">
        <f aca="false">IF(AND(OR(LEN(13_Buscador!$C$5)=0,ISNUMBER(SEARCH(13_Buscador!$C$5,$C607&amp;" "&amp;$D607&amp;" "&amp;$E607&amp;" "&amp;$F607&amp;" "&amp;$S607))),OR(13_Buscador!$C$6="Todas las listas",LEN(13_Buscador!$C$6)=0,13_Buscador!$C$6=$B607)),1,0)</f>
        <v>0</v>
      </c>
      <c r="W607" s="55" t="str">
        <f aca="false">IF(V607=1,SUM($V$2:V607),"")</f>
        <v/>
      </c>
    </row>
    <row r="608" customFormat="false" ht="23.25" hidden="false" customHeight="true" outlineLevel="0" collapsed="false">
      <c r="A608" s="55" t="n">
        <v>607</v>
      </c>
      <c r="B608" s="55" t="s">
        <v>3332</v>
      </c>
      <c r="C608" s="55" t="str">
        <f aca="false">IF(06_Jugos_Desayuno_Rapido!B31="","",06_Jugos_Desayuno_Rapido!B31)</f>
        <v>Panes y frituras de carretilla</v>
      </c>
      <c r="D608" s="56" t="str">
        <f aca="false">IF(06_Jugos_Desayuno_Rapido!C31="","",06_Jugos_Desayuno_Rapido!C31)</f>
        <v>Picarones de carretilla</v>
      </c>
      <c r="E608" s="56" t="str">
        <f aca="false">IF(06_Jugos_Desayuno_Rapido!D31="","",06_Jugos_Desayuno_Rapido!D31)</f>
        <v>Buñuelos de zapallo con miel</v>
      </c>
      <c r="F608" s="56" t="str">
        <f aca="false">IF(06_Jugos_Desayuno_Rapido!E31="","",06_Jugos_Desayuno_Rapido!E31)</f>
        <v>zapallo, camote, harina, levadura, miel de chancaca, aceite</v>
      </c>
      <c r="G608" s="55" t="str">
        <f aca="false">IF(06_Jugos_Desayuno_Rapido!F31="","",06_Jugos_Desayuno_Rapido!F31)</f>
        <v>Porción</v>
      </c>
      <c r="H608" s="55" t="str">
        <f aca="false">IF(06_Jugos_Desayuno_Rapido!G31="","",06_Jugos_Desayuno_Rapido!G31)</f>
        <v>Económico</v>
      </c>
      <c r="I608" s="58" t="n">
        <f aca="false">IF(06_Jugos_Desayuno_Rapido!H31="","",06_Jugos_Desayuno_Rapido!H31)</f>
        <v>3</v>
      </c>
      <c r="J608" s="58" t="n">
        <f aca="false">IF(06_Jugos_Desayuno_Rapido!I31="","",06_Jugos_Desayuno_Rapido!I31)</f>
        <v>8</v>
      </c>
      <c r="K608" s="58" t="n">
        <f aca="false">IF(06_Jugos_Desayuno_Rapido!J31="","",06_Jugos_Desayuno_Rapido!J31)</f>
        <v>5.5</v>
      </c>
      <c r="L608" s="58" t="n">
        <f aca="false">IF(06_Jugos_Desayuno_Rapido!L31="","",06_Jugos_Desayuno_Rapido!L31)</f>
        <v>6</v>
      </c>
      <c r="M608" s="58" t="n">
        <f aca="false">IF(06_Jugos_Desayuno_Rapido!N31="","",06_Jugos_Desayuno_Rapido!N31)</f>
        <v>0.39</v>
      </c>
      <c r="N608" s="58" t="n">
        <f aca="false">IF(06_Jugos_Desayuno_Rapido!O31="","",06_Jugos_Desayuno_Rapido!O31)</f>
        <v>5.11</v>
      </c>
      <c r="O608" s="55" t="str">
        <f aca="false">IF(06_Jugos_Desayuno_Rapido!P31="","",06_Jugos_Desayuno_Rapido!P31)</f>
        <v>17:00-22:00</v>
      </c>
      <c r="P608" s="55" t="n">
        <f aca="false">IF(06_Jugos_Desayuno_Rapido!Q31="","",06_Jugos_Desayuno_Rapido!Q31)</f>
        <v>6</v>
      </c>
      <c r="Q608" s="55" t="str">
        <f aca="false">IF(06_Jugos_Desayuno_Rapido!R31="","",06_Jugos_Desayuno_Rapido!R31)</f>
        <v>Medio</v>
      </c>
      <c r="R608" s="55" t="str">
        <f aca="false">IF(06_Jugos_Desayuno_Rapido!S31="","",06_Jugos_Desayuno_Rapido!S31)</f>
        <v>Todo el año</v>
      </c>
      <c r="S608" s="55" t="str">
        <f aca="false">IF(06_Jugos_Desayuno_Rapido!T31="","",06_Jugos_Desayuno_Rapido!T31)</f>
        <v>Carretilla</v>
      </c>
      <c r="T608" s="56" t="str">
        <f aca="false">IF(06_Jugos_Desayuno_Rapido!U31="","",06_Jugos_Desayuno_Rapido!U31)</f>
        <v>Producto de noche más que de mañana</v>
      </c>
      <c r="U608" s="55" t="n">
        <v>31</v>
      </c>
      <c r="V608" s="55" t="n">
        <f aca="false">IF(AND(OR(LEN(13_Buscador!$C$5)=0,ISNUMBER(SEARCH(13_Buscador!$C$5,$C608&amp;" "&amp;$D608&amp;" "&amp;$E608&amp;" "&amp;$F608&amp;" "&amp;$S608))),OR(13_Buscador!$C$6="Todas las listas",LEN(13_Buscador!$C$6)=0,13_Buscador!$C$6=$B608)),1,0)</f>
        <v>0</v>
      </c>
      <c r="W608" s="55" t="str">
        <f aca="false">IF(V608=1,SUM($V$2:V608),"")</f>
        <v/>
      </c>
    </row>
    <row r="609" customFormat="false" ht="23.25" hidden="false" customHeight="true" outlineLevel="0" collapsed="false">
      <c r="A609" s="55" t="n">
        <v>608</v>
      </c>
      <c r="B609" s="55" t="s">
        <v>3332</v>
      </c>
      <c r="C609" s="55" t="str">
        <f aca="false">IF(06_Jugos_Desayuno_Rapido!B32="","",06_Jugos_Desayuno_Rapido!B32)</f>
        <v>Panes y frituras de carretilla</v>
      </c>
      <c r="D609" s="56" t="str">
        <f aca="false">IF(06_Jugos_Desayuno_Rapido!C32="","",06_Jugos_Desayuno_Rapido!C32)</f>
        <v>Empanada de carne de carretilla</v>
      </c>
      <c r="E609" s="56" t="str">
        <f aca="false">IF(06_Jugos_Desayuno_Rapido!D32="","",06_Jugos_Desayuno_Rapido!D32)</f>
        <v>Empanada frita</v>
      </c>
      <c r="F609" s="56" t="str">
        <f aca="false">IF(06_Jugos_Desayuno_Rapido!E32="","",06_Jugos_Desayuno_Rapido!E32)</f>
        <v>masa de trigo, carne molida, cebolla, huevo, aceituna, pasas</v>
      </c>
      <c r="G609" s="55" t="str">
        <f aca="false">IF(06_Jugos_Desayuno_Rapido!F32="","",06_Jugos_Desayuno_Rapido!F32)</f>
        <v>Unidad</v>
      </c>
      <c r="H609" s="55" t="str">
        <f aca="false">IF(06_Jugos_Desayuno_Rapido!G32="","",06_Jugos_Desayuno_Rapido!G32)</f>
        <v>Económico</v>
      </c>
      <c r="I609" s="58" t="n">
        <f aca="false">IF(06_Jugos_Desayuno_Rapido!H32="","",06_Jugos_Desayuno_Rapido!H32)</f>
        <v>2</v>
      </c>
      <c r="J609" s="58" t="n">
        <f aca="false">IF(06_Jugos_Desayuno_Rapido!I32="","",06_Jugos_Desayuno_Rapido!I32)</f>
        <v>6</v>
      </c>
      <c r="K609" s="58" t="n">
        <f aca="false">IF(06_Jugos_Desayuno_Rapido!J32="","",06_Jugos_Desayuno_Rapido!J32)</f>
        <v>4</v>
      </c>
      <c r="L609" s="58" t="n">
        <f aca="false">IF(06_Jugos_Desayuno_Rapido!L32="","",06_Jugos_Desayuno_Rapido!L32)</f>
        <v>4.5</v>
      </c>
      <c r="M609" s="58" t="n">
        <f aca="false">IF(06_Jugos_Desayuno_Rapido!N32="","",06_Jugos_Desayuno_Rapido!N32)</f>
        <v>0.28</v>
      </c>
      <c r="N609" s="58" t="n">
        <f aca="false">IF(06_Jugos_Desayuno_Rapido!O32="","",06_Jugos_Desayuno_Rapido!O32)</f>
        <v>3.72</v>
      </c>
      <c r="O609" s="55" t="str">
        <f aca="false">IF(06_Jugos_Desayuno_Rapido!P32="","",06_Jugos_Desayuno_Rapido!P32)</f>
        <v>06:00-11:00</v>
      </c>
      <c r="P609" s="55" t="n">
        <f aca="false">IF(06_Jugos_Desayuno_Rapido!Q32="","",06_Jugos_Desayuno_Rapido!Q32)</f>
        <v>2</v>
      </c>
      <c r="Q609" s="55" t="str">
        <f aca="false">IF(06_Jugos_Desayuno_Rapido!R32="","",06_Jugos_Desayuno_Rapido!R32)</f>
        <v>Alto</v>
      </c>
      <c r="R609" s="55" t="str">
        <f aca="false">IF(06_Jugos_Desayuno_Rapido!S32="","",06_Jugos_Desayuno_Rapido!S32)</f>
        <v>Todo el año</v>
      </c>
      <c r="S609" s="55" t="str">
        <f aca="false">IF(06_Jugos_Desayuno_Rapido!T32="","",06_Jugos_Desayuno_Rapido!T32)</f>
        <v>Carretilla</v>
      </c>
      <c r="T609" s="56" t="str">
        <f aca="false">IF(06_Jugos_Desayuno_Rapido!U32="","",06_Jugos_Desayuno_Rapido!U32)</f>
        <v/>
      </c>
      <c r="U609" s="55" t="n">
        <v>32</v>
      </c>
      <c r="V609" s="55" t="n">
        <f aca="false">IF(AND(OR(LEN(13_Buscador!$C$5)=0,ISNUMBER(SEARCH(13_Buscador!$C$5,$C609&amp;" "&amp;$D609&amp;" "&amp;$E609&amp;" "&amp;$F609&amp;" "&amp;$S609))),OR(13_Buscador!$C$6="Todas las listas",LEN(13_Buscador!$C$6)=0,13_Buscador!$C$6=$B609)),1,0)</f>
        <v>0</v>
      </c>
      <c r="W609" s="55" t="str">
        <f aca="false">IF(V609=1,SUM($V$2:V609),"")</f>
        <v/>
      </c>
    </row>
    <row r="610" customFormat="false" ht="23.25" hidden="false" customHeight="true" outlineLevel="0" collapsed="false">
      <c r="A610" s="55" t="n">
        <v>609</v>
      </c>
      <c r="B610" s="55" t="s">
        <v>3332</v>
      </c>
      <c r="C610" s="55" t="str">
        <f aca="false">IF(06_Jugos_Desayuno_Rapido!B33="","",06_Jugos_Desayuno_Rapido!B33)</f>
        <v>Panes y frituras de carretilla</v>
      </c>
      <c r="D610" s="56" t="str">
        <f aca="false">IF(06_Jugos_Desayuno_Rapido!C33="","",06_Jugos_Desayuno_Rapido!C33)</f>
        <v>Tamal</v>
      </c>
      <c r="E610" s="56" t="str">
        <f aca="false">IF(06_Jugos_Desayuno_Rapido!D33="","",06_Jugos_Desayuno_Rapido!D33)</f>
        <v>Tamal de maíz con carne</v>
      </c>
      <c r="F610" s="56" t="str">
        <f aca="false">IF(06_Jugos_Desayuno_Rapido!E33="","",06_Jugos_Desayuno_Rapido!E33)</f>
        <v>maíz pelado, carne de cerdo o pollo, ají, manteca, hoja de plátano</v>
      </c>
      <c r="G610" s="55" t="str">
        <f aca="false">IF(06_Jugos_Desayuno_Rapido!F33="","",06_Jugos_Desayuno_Rapido!F33)</f>
        <v>1 unidad</v>
      </c>
      <c r="H610" s="55" t="str">
        <f aca="false">IF(06_Jugos_Desayuno_Rapido!G33="","",06_Jugos_Desayuno_Rapido!G33)</f>
        <v>Económico</v>
      </c>
      <c r="I610" s="58" t="n">
        <f aca="false">IF(06_Jugos_Desayuno_Rapido!H33="","",06_Jugos_Desayuno_Rapido!H33)</f>
        <v>3</v>
      </c>
      <c r="J610" s="58" t="n">
        <f aca="false">IF(06_Jugos_Desayuno_Rapido!I33="","",06_Jugos_Desayuno_Rapido!I33)</f>
        <v>7</v>
      </c>
      <c r="K610" s="58" t="n">
        <f aca="false">IF(06_Jugos_Desayuno_Rapido!J33="","",06_Jugos_Desayuno_Rapido!J33)</f>
        <v>5</v>
      </c>
      <c r="L610" s="58" t="n">
        <f aca="false">IF(06_Jugos_Desayuno_Rapido!L33="","",06_Jugos_Desayuno_Rapido!L33)</f>
        <v>5.5</v>
      </c>
      <c r="M610" s="58" t="n">
        <f aca="false">IF(06_Jugos_Desayuno_Rapido!N33="","",06_Jugos_Desayuno_Rapido!N33)</f>
        <v>0.35</v>
      </c>
      <c r="N610" s="58" t="n">
        <f aca="false">IF(06_Jugos_Desayuno_Rapido!O33="","",06_Jugos_Desayuno_Rapido!O33)</f>
        <v>4.65</v>
      </c>
      <c r="O610" s="55" t="str">
        <f aca="false">IF(06_Jugos_Desayuno_Rapido!P33="","",06_Jugos_Desayuno_Rapido!P33)</f>
        <v>06:00-10:00</v>
      </c>
      <c r="P610" s="55" t="n">
        <f aca="false">IF(06_Jugos_Desayuno_Rapido!Q33="","",06_Jugos_Desayuno_Rapido!Q33)</f>
        <v>2</v>
      </c>
      <c r="Q610" s="55" t="str">
        <f aca="false">IF(06_Jugos_Desayuno_Rapido!R33="","",06_Jugos_Desayuno_Rapido!R33)</f>
        <v>Alto</v>
      </c>
      <c r="R610" s="55" t="str">
        <f aca="false">IF(06_Jugos_Desayuno_Rapido!S33="","",06_Jugos_Desayuno_Rapido!S33)</f>
        <v>Fin de semana</v>
      </c>
      <c r="S610" s="55" t="str">
        <f aca="false">IF(06_Jugos_Desayuno_Rapido!T33="","",06_Jugos_Desayuno_Rapido!T33)</f>
        <v>Carretilla, mercado</v>
      </c>
      <c r="T610" s="56" t="str">
        <f aca="false">IF(06_Jugos_Desayuno_Rapido!U33="","",06_Jugos_Desayuno_Rapido!U33)</f>
        <v/>
      </c>
      <c r="U610" s="55" t="n">
        <v>33</v>
      </c>
      <c r="V610" s="55" t="n">
        <f aca="false">IF(AND(OR(LEN(13_Buscador!$C$5)=0,ISNUMBER(SEARCH(13_Buscador!$C$5,$C610&amp;" "&amp;$D610&amp;" "&amp;$E610&amp;" "&amp;$F610&amp;" "&amp;$S610))),OR(13_Buscador!$C$6="Todas las listas",LEN(13_Buscador!$C$6)=0,13_Buscador!$C$6=$B610)),1,0)</f>
        <v>1</v>
      </c>
      <c r="W610" s="55" t="n">
        <f aca="false">IF(V610=1,SUM($V$2:V610),"")</f>
        <v>106</v>
      </c>
    </row>
    <row r="611" customFormat="false" ht="23.25" hidden="false" customHeight="true" outlineLevel="0" collapsed="false">
      <c r="A611" s="55" t="n">
        <v>610</v>
      </c>
      <c r="B611" s="55" t="s">
        <v>3332</v>
      </c>
      <c r="C611" s="55" t="str">
        <f aca="false">IF(06_Jugos_Desayuno_Rapido!B34="","",06_Jugos_Desayuno_Rapido!B34)</f>
        <v>Panes y frituras de carretilla</v>
      </c>
      <c r="D611" s="56" t="str">
        <f aca="false">IF(06_Jugos_Desayuno_Rapido!C34="","",06_Jugos_Desayuno_Rapido!C34)</f>
        <v>Humita dulce</v>
      </c>
      <c r="E611" s="56" t="str">
        <f aca="false">IF(06_Jugos_Desayuno_Rapido!D34="","",06_Jugos_Desayuno_Rapido!D34)</f>
        <v>Pastel de choclo</v>
      </c>
      <c r="F611" s="56" t="str">
        <f aca="false">IF(06_Jugos_Desayuno_Rapido!E34="","",06_Jugos_Desayuno_Rapido!E34)</f>
        <v>choclo molido, queso o azúcar, manteca, panca de maíz</v>
      </c>
      <c r="G611" s="55" t="str">
        <f aca="false">IF(06_Jugos_Desayuno_Rapido!F34="","",06_Jugos_Desayuno_Rapido!F34)</f>
        <v>1 unidad</v>
      </c>
      <c r="H611" s="55" t="str">
        <f aca="false">IF(06_Jugos_Desayuno_Rapido!G34="","",06_Jugos_Desayuno_Rapido!G34)</f>
        <v>Económico</v>
      </c>
      <c r="I611" s="58" t="n">
        <f aca="false">IF(06_Jugos_Desayuno_Rapido!H34="","",06_Jugos_Desayuno_Rapido!H34)</f>
        <v>2</v>
      </c>
      <c r="J611" s="58" t="n">
        <f aca="false">IF(06_Jugos_Desayuno_Rapido!I34="","",06_Jugos_Desayuno_Rapido!I34)</f>
        <v>6</v>
      </c>
      <c r="K611" s="58" t="n">
        <f aca="false">IF(06_Jugos_Desayuno_Rapido!J34="","",06_Jugos_Desayuno_Rapido!J34)</f>
        <v>4</v>
      </c>
      <c r="L611" s="58" t="n">
        <f aca="false">IF(06_Jugos_Desayuno_Rapido!L34="","",06_Jugos_Desayuno_Rapido!L34)</f>
        <v>4.5</v>
      </c>
      <c r="M611" s="58" t="n">
        <f aca="false">IF(06_Jugos_Desayuno_Rapido!N34="","",06_Jugos_Desayuno_Rapido!N34)</f>
        <v>0.28</v>
      </c>
      <c r="N611" s="58" t="n">
        <f aca="false">IF(06_Jugos_Desayuno_Rapido!O34="","",06_Jugos_Desayuno_Rapido!O34)</f>
        <v>3.72</v>
      </c>
      <c r="O611" s="55" t="str">
        <f aca="false">IF(06_Jugos_Desayuno_Rapido!P34="","",06_Jugos_Desayuno_Rapido!P34)</f>
        <v>06:00-10:00</v>
      </c>
      <c r="P611" s="55" t="n">
        <f aca="false">IF(06_Jugos_Desayuno_Rapido!Q34="","",06_Jugos_Desayuno_Rapido!Q34)</f>
        <v>2</v>
      </c>
      <c r="Q611" s="55" t="str">
        <f aca="false">IF(06_Jugos_Desayuno_Rapido!R34="","",06_Jugos_Desayuno_Rapido!R34)</f>
        <v>Alto</v>
      </c>
      <c r="R611" s="55" t="str">
        <f aca="false">IF(06_Jugos_Desayuno_Rapido!S34="","",06_Jugos_Desayuno_Rapido!S34)</f>
        <v>Todo el año</v>
      </c>
      <c r="S611" s="55" t="str">
        <f aca="false">IF(06_Jugos_Desayuno_Rapido!T34="","",06_Jugos_Desayuno_Rapido!T34)</f>
        <v>Carretilla, mercado</v>
      </c>
      <c r="T611" s="56" t="str">
        <f aca="false">IF(06_Jugos_Desayuno_Rapido!U34="","",06_Jugos_Desayuno_Rapido!U34)</f>
        <v/>
      </c>
      <c r="U611" s="55" t="n">
        <v>34</v>
      </c>
      <c r="V611" s="55" t="n">
        <f aca="false">IF(AND(OR(LEN(13_Buscador!$C$5)=0,ISNUMBER(SEARCH(13_Buscador!$C$5,$C611&amp;" "&amp;$D611&amp;" "&amp;$E611&amp;" "&amp;$F611&amp;" "&amp;$S611))),OR(13_Buscador!$C$6="Todas las listas",LEN(13_Buscador!$C$6)=0,13_Buscador!$C$6=$B611)),1,0)</f>
        <v>0</v>
      </c>
      <c r="W611" s="55" t="str">
        <f aca="false">IF(V611=1,SUM($V$2:V611),"")</f>
        <v/>
      </c>
    </row>
    <row r="612" customFormat="false" ht="15" hidden="false" customHeight="true" outlineLevel="0" collapsed="false">
      <c r="A612" s="55" t="n">
        <v>611</v>
      </c>
      <c r="B612" s="55" t="s">
        <v>3332</v>
      </c>
      <c r="C612" s="55" t="str">
        <f aca="false">IF(06_Jugos_Desayuno_Rapido!B35="","",06_Jugos_Desayuno_Rapido!B35)</f>
        <v>Panes y frituras de carretilla</v>
      </c>
      <c r="D612" s="56" t="str">
        <f aca="false">IF(06_Jugos_Desayuno_Rapido!C35="","",06_Jugos_Desayuno_Rapido!C35)</f>
        <v>Quispiño (2 und)</v>
      </c>
      <c r="E612" s="56" t="str">
        <f aca="false">IF(06_Jugos_Desayuno_Rapido!D35="","",06_Jugos_Desayuno_Rapido!D35)</f>
        <v>Panecillo de quinua</v>
      </c>
      <c r="F612" s="56" t="str">
        <f aca="false">IF(06_Jugos_Desayuno_Rapido!E35="","",06_Jugos_Desayuno_Rapido!E35)</f>
        <v>harina de quinua, agua, sal, cal o ceniza</v>
      </c>
      <c r="G612" s="55" t="str">
        <f aca="false">IF(06_Jugos_Desayuno_Rapido!F35="","",06_Jugos_Desayuno_Rapido!F35)</f>
        <v>Porción</v>
      </c>
      <c r="H612" s="55" t="str">
        <f aca="false">IF(06_Jugos_Desayuno_Rapido!G35="","",06_Jugos_Desayuno_Rapido!G35)</f>
        <v>Económico</v>
      </c>
      <c r="I612" s="58" t="n">
        <f aca="false">IF(06_Jugos_Desayuno_Rapido!H35="","",06_Jugos_Desayuno_Rapido!H35)</f>
        <v>2</v>
      </c>
      <c r="J612" s="58" t="n">
        <f aca="false">IF(06_Jugos_Desayuno_Rapido!I35="","",06_Jugos_Desayuno_Rapido!I35)</f>
        <v>5</v>
      </c>
      <c r="K612" s="58" t="n">
        <f aca="false">IF(06_Jugos_Desayuno_Rapido!J35="","",06_Jugos_Desayuno_Rapido!J35)</f>
        <v>3.5</v>
      </c>
      <c r="L612" s="58" t="n">
        <f aca="false">IF(06_Jugos_Desayuno_Rapido!L35="","",06_Jugos_Desayuno_Rapido!L35)</f>
        <v>4</v>
      </c>
      <c r="M612" s="58" t="n">
        <f aca="false">IF(06_Jugos_Desayuno_Rapido!N35="","",06_Jugos_Desayuno_Rapido!N35)</f>
        <v>0.25</v>
      </c>
      <c r="N612" s="58" t="n">
        <f aca="false">IF(06_Jugos_Desayuno_Rapido!O35="","",06_Jugos_Desayuno_Rapido!O35)</f>
        <v>3.25</v>
      </c>
      <c r="O612" s="55" t="str">
        <f aca="false">IF(06_Jugos_Desayuno_Rapido!P35="","",06_Jugos_Desayuno_Rapido!P35)</f>
        <v>06:00-10:00</v>
      </c>
      <c r="P612" s="55" t="n">
        <f aca="false">IF(06_Jugos_Desayuno_Rapido!Q35="","",06_Jugos_Desayuno_Rapido!Q35)</f>
        <v>2</v>
      </c>
      <c r="Q612" s="55" t="str">
        <f aca="false">IF(06_Jugos_Desayuno_Rapido!R35="","",06_Jugos_Desayuno_Rapido!R35)</f>
        <v>Alto</v>
      </c>
      <c r="R612" s="55" t="str">
        <f aca="false">IF(06_Jugos_Desayuno_Rapido!S35="","",06_Jugos_Desayuno_Rapido!S35)</f>
        <v>Todo el año</v>
      </c>
      <c r="S612" s="55" t="str">
        <f aca="false">IF(06_Jugos_Desayuno_Rapido!T35="","",06_Jugos_Desayuno_Rapido!T35)</f>
        <v>Carretilla, mercado</v>
      </c>
      <c r="T612" s="56" t="str">
        <f aca="false">IF(06_Jugos_Desayuno_Rapido!U35="","",06_Jugos_Desayuno_Rapido!U35)</f>
        <v>Producto identitario de Puno</v>
      </c>
      <c r="U612" s="55" t="n">
        <v>35</v>
      </c>
      <c r="V612" s="55" t="n">
        <f aca="false">IF(AND(OR(LEN(13_Buscador!$C$5)=0,ISNUMBER(SEARCH(13_Buscador!$C$5,$C612&amp;" "&amp;$D612&amp;" "&amp;$E612&amp;" "&amp;$F612&amp;" "&amp;$S612))),OR(13_Buscador!$C$6="Todas las listas",LEN(13_Buscador!$C$6)=0,13_Buscador!$C$6=$B612)),1,0)</f>
        <v>0</v>
      </c>
      <c r="W612" s="55" t="str">
        <f aca="false">IF(V612=1,SUM($V$2:V612),"")</f>
        <v/>
      </c>
    </row>
    <row r="613" customFormat="false" ht="15" hidden="false" customHeight="true" outlineLevel="0" collapsed="false">
      <c r="A613" s="55" t="n">
        <v>612</v>
      </c>
      <c r="B613" s="55" t="s">
        <v>3332</v>
      </c>
      <c r="C613" s="55" t="str">
        <f aca="false">IF(06_Jugos_Desayuno_Rapido!B36="","",06_Jugos_Desayuno_Rapido!B36)</f>
        <v>Panes y frituras de carretilla</v>
      </c>
      <c r="D613" s="56" t="str">
        <f aca="false">IF(06_Jugos_Desayuno_Rapido!C36="","",06_Jugos_Desayuno_Rapido!C36)</f>
        <v>Pan de tres puntas (3 und)</v>
      </c>
      <c r="E613" s="56" t="str">
        <f aca="false">IF(06_Jugos_Desayuno_Rapido!D36="","",06_Jugos_Desayuno_Rapido!D36)</f>
        <v>Pan local</v>
      </c>
      <c r="F613" s="56" t="str">
        <f aca="false">IF(06_Jugos_Desayuno_Rapido!E36="","",06_Jugos_Desayuno_Rapido!E36)</f>
        <v>harina de trigo, levadura, manteca, sal o azúcar</v>
      </c>
      <c r="G613" s="55" t="str">
        <f aca="false">IF(06_Jugos_Desayuno_Rapido!F36="","",06_Jugos_Desayuno_Rapido!F36)</f>
        <v>Porción</v>
      </c>
      <c r="H613" s="55" t="str">
        <f aca="false">IF(06_Jugos_Desayuno_Rapido!G36="","",06_Jugos_Desayuno_Rapido!G36)</f>
        <v>Económico</v>
      </c>
      <c r="I613" s="58" t="n">
        <f aca="false">IF(06_Jugos_Desayuno_Rapido!H36="","",06_Jugos_Desayuno_Rapido!H36)</f>
        <v>1</v>
      </c>
      <c r="J613" s="58" t="n">
        <f aca="false">IF(06_Jugos_Desayuno_Rapido!I36="","",06_Jugos_Desayuno_Rapido!I36)</f>
        <v>3</v>
      </c>
      <c r="K613" s="58" t="n">
        <f aca="false">IF(06_Jugos_Desayuno_Rapido!J36="","",06_Jugos_Desayuno_Rapido!J36)</f>
        <v>2</v>
      </c>
      <c r="L613" s="58" t="n">
        <f aca="false">IF(06_Jugos_Desayuno_Rapido!L36="","",06_Jugos_Desayuno_Rapido!L36)</f>
        <v>2.5</v>
      </c>
      <c r="M613" s="58" t="n">
        <f aca="false">IF(06_Jugos_Desayuno_Rapido!N36="","",06_Jugos_Desayuno_Rapido!N36)</f>
        <v>0.14</v>
      </c>
      <c r="N613" s="58" t="n">
        <f aca="false">IF(06_Jugos_Desayuno_Rapido!O36="","",06_Jugos_Desayuno_Rapido!O36)</f>
        <v>1.86</v>
      </c>
      <c r="O613" s="55" t="str">
        <f aca="false">IF(06_Jugos_Desayuno_Rapido!P36="","",06_Jugos_Desayuno_Rapido!P36)</f>
        <v>05:00-10:00</v>
      </c>
      <c r="P613" s="55" t="n">
        <f aca="false">IF(06_Jugos_Desayuno_Rapido!Q36="","",06_Jugos_Desayuno_Rapido!Q36)</f>
        <v>1</v>
      </c>
      <c r="Q613" s="55" t="str">
        <f aca="false">IF(06_Jugos_Desayuno_Rapido!R36="","",06_Jugos_Desayuno_Rapido!R36)</f>
        <v>Alto</v>
      </c>
      <c r="R613" s="55" t="str">
        <f aca="false">IF(06_Jugos_Desayuno_Rapido!S36="","",06_Jugos_Desayuno_Rapido!S36)</f>
        <v>Todo el año</v>
      </c>
      <c r="S613" s="55" t="str">
        <f aca="false">IF(06_Jugos_Desayuno_Rapido!T36="","",06_Jugos_Desayuno_Rapido!T36)</f>
        <v>Panadería, carretilla</v>
      </c>
      <c r="T613" s="56" t="str">
        <f aca="false">IF(06_Jugos_Desayuno_Rapido!U36="","",06_Jugos_Desayuno_Rapido!U36)</f>
        <v>Complemento de muy bajo costo</v>
      </c>
      <c r="U613" s="55" t="n">
        <v>36</v>
      </c>
      <c r="V613" s="55" t="n">
        <f aca="false">IF(AND(OR(LEN(13_Buscador!$C$5)=0,ISNUMBER(SEARCH(13_Buscador!$C$5,$C613&amp;" "&amp;$D613&amp;" "&amp;$E613&amp;" "&amp;$F613&amp;" "&amp;$S613))),OR(13_Buscador!$C$6="Todas las listas",LEN(13_Buscador!$C$6)=0,13_Buscador!$C$6=$B613)),1,0)</f>
        <v>0</v>
      </c>
      <c r="W613" s="55" t="str">
        <f aca="false">IF(V613=1,SUM($V$2:V613),"")</f>
        <v/>
      </c>
    </row>
    <row r="614" customFormat="false" ht="15" hidden="false" customHeight="true" outlineLevel="0" collapsed="false">
      <c r="A614" s="55" t="n">
        <v>613</v>
      </c>
      <c r="B614" s="55" t="s">
        <v>3332</v>
      </c>
      <c r="C614" s="55" t="str">
        <f aca="false">IF(06_Jugos_Desayuno_Rapido!B37="","",06_Jugos_Desayuno_Rapido!B37)</f>
        <v>Panes y frituras de carretilla</v>
      </c>
      <c r="D614" s="56" t="str">
        <f aca="false">IF(06_Jugos_Desayuno_Rapido!C37="","",06_Jugos_Desayuno_Rapido!C37)</f>
        <v>Salchipapa mañanera</v>
      </c>
      <c r="E614" s="56" t="str">
        <f aca="false">IF(06_Jugos_Desayuno_Rapido!D37="","",06_Jugos_Desayuno_Rapido!D37)</f>
        <v>Papas con salchicha</v>
      </c>
      <c r="F614" s="56" t="str">
        <f aca="false">IF(06_Jugos_Desayuno_Rapido!E37="","",06_Jugos_Desayuno_Rapido!E37)</f>
        <v>papa frita, salchicha, mayonesa, ketchup, mostaza</v>
      </c>
      <c r="G614" s="55" t="str">
        <f aca="false">IF(06_Jugos_Desayuno_Rapido!F37="","",06_Jugos_Desayuno_Rapido!F37)</f>
        <v>Porción</v>
      </c>
      <c r="H614" s="55" t="str">
        <f aca="false">IF(06_Jugos_Desayuno_Rapido!G37="","",06_Jugos_Desayuno_Rapido!G37)</f>
        <v>Económico</v>
      </c>
      <c r="I614" s="58" t="n">
        <f aca="false">IF(06_Jugos_Desayuno_Rapido!H37="","",06_Jugos_Desayuno_Rapido!H37)</f>
        <v>4</v>
      </c>
      <c r="J614" s="58" t="n">
        <f aca="false">IF(06_Jugos_Desayuno_Rapido!I37="","",06_Jugos_Desayuno_Rapido!I37)</f>
        <v>9</v>
      </c>
      <c r="K614" s="58" t="n">
        <f aca="false">IF(06_Jugos_Desayuno_Rapido!J37="","",06_Jugos_Desayuno_Rapido!J37)</f>
        <v>6.5</v>
      </c>
      <c r="L614" s="58" t="n">
        <f aca="false">IF(06_Jugos_Desayuno_Rapido!L37="","",06_Jugos_Desayuno_Rapido!L37)</f>
        <v>7</v>
      </c>
      <c r="M614" s="58" t="n">
        <f aca="false">IF(06_Jugos_Desayuno_Rapido!N37="","",06_Jugos_Desayuno_Rapido!N37)</f>
        <v>0.46</v>
      </c>
      <c r="N614" s="58" t="n">
        <f aca="false">IF(06_Jugos_Desayuno_Rapido!O37="","",06_Jugos_Desayuno_Rapido!O37)</f>
        <v>6.04</v>
      </c>
      <c r="O614" s="55" t="str">
        <f aca="false">IF(06_Jugos_Desayuno_Rapido!P37="","",06_Jugos_Desayuno_Rapido!P37)</f>
        <v>06:00-10:00</v>
      </c>
      <c r="P614" s="55" t="n">
        <f aca="false">IF(06_Jugos_Desayuno_Rapido!Q37="","",06_Jugos_Desayuno_Rapido!Q37)</f>
        <v>5</v>
      </c>
      <c r="Q614" s="55" t="str">
        <f aca="false">IF(06_Jugos_Desayuno_Rapido!R37="","",06_Jugos_Desayuno_Rapido!R37)</f>
        <v>Medio</v>
      </c>
      <c r="R614" s="55" t="str">
        <f aca="false">IF(06_Jugos_Desayuno_Rapido!S37="","",06_Jugos_Desayuno_Rapido!S37)</f>
        <v>Todo el año</v>
      </c>
      <c r="S614" s="55" t="str">
        <f aca="false">IF(06_Jugos_Desayuno_Rapido!T37="","",06_Jugos_Desayuno_Rapido!T37)</f>
        <v>Carretilla</v>
      </c>
      <c r="T614" s="56" t="str">
        <f aca="false">IF(06_Jugos_Desayuno_Rapido!U37="","",06_Jugos_Desayuno_Rapido!U37)</f>
        <v/>
      </c>
      <c r="U614" s="55" t="n">
        <v>37</v>
      </c>
      <c r="V614" s="55" t="n">
        <f aca="false">IF(AND(OR(LEN(13_Buscador!$C$5)=0,ISNUMBER(SEARCH(13_Buscador!$C$5,$C614&amp;" "&amp;$D614&amp;" "&amp;$E614&amp;" "&amp;$F614&amp;" "&amp;$S614))),OR(13_Buscador!$C$6="Todas las listas",LEN(13_Buscador!$C$6)=0,13_Buscador!$C$6=$B614)),1,0)</f>
        <v>0</v>
      </c>
      <c r="W614" s="55" t="str">
        <f aca="false">IF(V614=1,SUM($V$2:V614),"")</f>
        <v/>
      </c>
    </row>
    <row r="615" customFormat="false" ht="23.25" hidden="false" customHeight="true" outlineLevel="0" collapsed="false">
      <c r="A615" s="55" t="n">
        <v>614</v>
      </c>
      <c r="B615" s="55" t="s">
        <v>3332</v>
      </c>
      <c r="C615" s="55" t="str">
        <f aca="false">IF(06_Jugos_Desayuno_Rapido!B38="","",06_Jugos_Desayuno_Rapido!B38)</f>
        <v>Combos rápidos</v>
      </c>
      <c r="D615" s="56" t="str">
        <f aca="false">IF(06_Jugos_Desayuno_Rapido!C38="","",06_Jugos_Desayuno_Rapido!C38)</f>
        <v>Api + pan con chicharrón</v>
      </c>
      <c r="E615" s="56" t="str">
        <f aca="false">IF(06_Jugos_Desayuno_Rapido!D38="","",06_Jugos_Desayuno_Rapido!D38)</f>
        <v>Combo de mañana</v>
      </c>
      <c r="F615" s="56" t="str">
        <f aca="false">IF(06_Jugos_Desayuno_Rapido!E38="","",06_Jugos_Desayuno_Rapido!E38)</f>
        <v>maíz morado, canela, clavo de olor, azúcar, harina de maíz</v>
      </c>
      <c r="G615" s="55" t="str">
        <f aca="false">IF(06_Jugos_Desayuno_Rapido!F38="","",06_Jugos_Desayuno_Rapido!F38)</f>
        <v>Combo</v>
      </c>
      <c r="H615" s="55" t="str">
        <f aca="false">IF(06_Jugos_Desayuno_Rapido!G38="","",06_Jugos_Desayuno_Rapido!G38)</f>
        <v>Económico</v>
      </c>
      <c r="I615" s="58" t="n">
        <f aca="false">IF(06_Jugos_Desayuno_Rapido!H38="","",06_Jugos_Desayuno_Rapido!H38)</f>
        <v>6</v>
      </c>
      <c r="J615" s="58" t="n">
        <f aca="false">IF(06_Jugos_Desayuno_Rapido!I38="","",06_Jugos_Desayuno_Rapido!I38)</f>
        <v>12</v>
      </c>
      <c r="K615" s="58" t="n">
        <f aca="false">IF(06_Jugos_Desayuno_Rapido!J38="","",06_Jugos_Desayuno_Rapido!J38)</f>
        <v>9</v>
      </c>
      <c r="L615" s="58" t="n">
        <f aca="false">IF(06_Jugos_Desayuno_Rapido!L38="","",06_Jugos_Desayuno_Rapido!L38)</f>
        <v>9.5</v>
      </c>
      <c r="M615" s="58" t="n">
        <f aca="false">IF(06_Jugos_Desayuno_Rapido!N38="","",06_Jugos_Desayuno_Rapido!N38)</f>
        <v>0.63</v>
      </c>
      <c r="N615" s="58" t="n">
        <f aca="false">IF(06_Jugos_Desayuno_Rapido!O38="","",06_Jugos_Desayuno_Rapido!O38)</f>
        <v>8.37</v>
      </c>
      <c r="O615" s="55" t="str">
        <f aca="false">IF(06_Jugos_Desayuno_Rapido!P38="","",06_Jugos_Desayuno_Rapido!P38)</f>
        <v>05:00-09:00</v>
      </c>
      <c r="P615" s="55" t="n">
        <f aca="false">IF(06_Jugos_Desayuno_Rapido!Q38="","",06_Jugos_Desayuno_Rapido!Q38)</f>
        <v>4</v>
      </c>
      <c r="Q615" s="55" t="str">
        <f aca="false">IF(06_Jugos_Desayuno_Rapido!R38="","",06_Jugos_Desayuno_Rapido!R38)</f>
        <v>Medio</v>
      </c>
      <c r="R615" s="55" t="str">
        <f aca="false">IF(06_Jugos_Desayuno_Rapido!S38="","",06_Jugos_Desayuno_Rapido!S38)</f>
        <v>Mayor demanda en frío</v>
      </c>
      <c r="S615" s="55" t="str">
        <f aca="false">IF(06_Jugos_Desayuno_Rapido!T38="","",06_Jugos_Desayuno_Rapido!T38)</f>
        <v>Carretilla</v>
      </c>
      <c r="T615" s="56" t="str">
        <f aca="false">IF(06_Jugos_Desayuno_Rapido!U38="","",06_Jugos_Desayuno_Rapido!U38)</f>
        <v>COMBO ANCLA de la lista: sube el ticket de S/ 3 a S/ 8</v>
      </c>
      <c r="U615" s="55" t="n">
        <v>38</v>
      </c>
      <c r="V615" s="55" t="n">
        <f aca="false">IF(AND(OR(LEN(13_Buscador!$C$5)=0,ISNUMBER(SEARCH(13_Buscador!$C$5,$C615&amp;" "&amp;$D615&amp;" "&amp;$E615&amp;" "&amp;$F615&amp;" "&amp;$S615))),OR(13_Buscador!$C$6="Todas las listas",LEN(13_Buscador!$C$6)=0,13_Buscador!$C$6=$B615)),1,0)</f>
        <v>0</v>
      </c>
      <c r="W615" s="55" t="str">
        <f aca="false">IF(V615=1,SUM($V$2:V615),"")</f>
        <v/>
      </c>
    </row>
    <row r="616" customFormat="false" ht="15" hidden="false" customHeight="true" outlineLevel="0" collapsed="false">
      <c r="A616" s="55" t="n">
        <v>615</v>
      </c>
      <c r="B616" s="55" t="s">
        <v>3332</v>
      </c>
      <c r="C616" s="55" t="str">
        <f aca="false">IF(06_Jugos_Desayuno_Rapido!B39="","",06_Jugos_Desayuno_Rapido!B39)</f>
        <v>Combos rápidos</v>
      </c>
      <c r="D616" s="56" t="str">
        <f aca="false">IF(06_Jugos_Desayuno_Rapido!C39="","",06_Jugos_Desayuno_Rapido!C39)</f>
        <v>Jugo + sándwich</v>
      </c>
      <c r="E616" s="56" t="str">
        <f aca="false">IF(06_Jugos_Desayuno_Rapido!D39="","",06_Jugos_Desayuno_Rapido!D39)</f>
        <v>Desayuno rápido</v>
      </c>
      <c r="F616" s="56" t="str">
        <f aca="false">IF(06_Jugos_Desayuno_Rapido!E39="","",06_Jugos_Desayuno_Rapido!E39)</f>
        <v>fruta de estación, agua o leche, azúcar</v>
      </c>
      <c r="G616" s="55" t="str">
        <f aca="false">IF(06_Jugos_Desayuno_Rapido!F39="","",06_Jugos_Desayuno_Rapido!F39)</f>
        <v>Combo</v>
      </c>
      <c r="H616" s="55" t="str">
        <f aca="false">IF(06_Jugos_Desayuno_Rapido!G39="","",06_Jugos_Desayuno_Rapido!G39)</f>
        <v>Económico</v>
      </c>
      <c r="I616" s="58" t="n">
        <f aca="false">IF(06_Jugos_Desayuno_Rapido!H39="","",06_Jugos_Desayuno_Rapido!H39)</f>
        <v>6</v>
      </c>
      <c r="J616" s="58" t="n">
        <f aca="false">IF(06_Jugos_Desayuno_Rapido!I39="","",06_Jugos_Desayuno_Rapido!I39)</f>
        <v>12</v>
      </c>
      <c r="K616" s="58" t="n">
        <f aca="false">IF(06_Jugos_Desayuno_Rapido!J39="","",06_Jugos_Desayuno_Rapido!J39)</f>
        <v>9</v>
      </c>
      <c r="L616" s="58" t="n">
        <f aca="false">IF(06_Jugos_Desayuno_Rapido!L39="","",06_Jugos_Desayuno_Rapido!L39)</f>
        <v>9.5</v>
      </c>
      <c r="M616" s="58" t="n">
        <f aca="false">IF(06_Jugos_Desayuno_Rapido!N39="","",06_Jugos_Desayuno_Rapido!N39)</f>
        <v>0.63</v>
      </c>
      <c r="N616" s="58" t="n">
        <f aca="false">IF(06_Jugos_Desayuno_Rapido!O39="","",06_Jugos_Desayuno_Rapido!O39)</f>
        <v>8.37</v>
      </c>
      <c r="O616" s="55" t="str">
        <f aca="false">IF(06_Jugos_Desayuno_Rapido!P39="","",06_Jugos_Desayuno_Rapido!P39)</f>
        <v>06:00-11:00</v>
      </c>
      <c r="P616" s="55" t="n">
        <f aca="false">IF(06_Jugos_Desayuno_Rapido!Q39="","",06_Jugos_Desayuno_Rapido!Q39)</f>
        <v>5</v>
      </c>
      <c r="Q616" s="55" t="str">
        <f aca="false">IF(06_Jugos_Desayuno_Rapido!R39="","",06_Jugos_Desayuno_Rapido!R39)</f>
        <v>Alto</v>
      </c>
      <c r="R616" s="55" t="str">
        <f aca="false">IF(06_Jugos_Desayuno_Rapido!S39="","",06_Jugos_Desayuno_Rapido!S39)</f>
        <v>Todo el año</v>
      </c>
      <c r="S616" s="55" t="str">
        <f aca="false">IF(06_Jugos_Desayuno_Rapido!T39="","",06_Jugos_Desayuno_Rapido!T39)</f>
        <v>Carretilla, juguería</v>
      </c>
      <c r="T616" s="56" t="str">
        <f aca="false">IF(06_Jugos_Desayuno_Rapido!U39="","",06_Jugos_Desayuno_Rapido!U39)</f>
        <v>Producto más rentable de esta categoría</v>
      </c>
      <c r="U616" s="55" t="n">
        <v>39</v>
      </c>
      <c r="V616" s="55" t="n">
        <f aca="false">IF(AND(OR(LEN(13_Buscador!$C$5)=0,ISNUMBER(SEARCH(13_Buscador!$C$5,$C616&amp;" "&amp;$D616&amp;" "&amp;$E616&amp;" "&amp;$F616&amp;" "&amp;$S616))),OR(13_Buscador!$C$6="Todas las listas",LEN(13_Buscador!$C$6)=0,13_Buscador!$C$6=$B616)),1,0)</f>
        <v>0</v>
      </c>
      <c r="W616" s="55" t="str">
        <f aca="false">IF(V616=1,SUM($V$2:V616),"")</f>
        <v/>
      </c>
    </row>
    <row r="617" customFormat="false" ht="15" hidden="false" customHeight="true" outlineLevel="0" collapsed="false">
      <c r="A617" s="55" t="n">
        <v>616</v>
      </c>
      <c r="B617" s="55" t="s">
        <v>3332</v>
      </c>
      <c r="C617" s="55" t="str">
        <f aca="false">IF(06_Jugos_Desayuno_Rapido!B40="","",06_Jugos_Desayuno_Rapido!B40)</f>
        <v>Combos rápidos</v>
      </c>
      <c r="D617" s="56" t="str">
        <f aca="false">IF(06_Jugos_Desayuno_Rapido!C40="","",06_Jugos_Desayuno_Rapido!C40)</f>
        <v>Emoliente + empanada</v>
      </c>
      <c r="E617" s="56" t="str">
        <f aca="false">IF(06_Jugos_Desayuno_Rapido!D40="","",06_Jugos_Desayuno_Rapido!D40)</f>
        <v>Combo de esquina</v>
      </c>
      <c r="F617" s="56" t="str">
        <f aca="false">IF(06_Jugos_Desayuno_Rapido!E40="","",06_Jugos_Desayuno_Rapido!E40)</f>
        <v>cebada tostada, linaza, cola de caballo, limón, azúcar</v>
      </c>
      <c r="G617" s="55" t="str">
        <f aca="false">IF(06_Jugos_Desayuno_Rapido!F40="","",06_Jugos_Desayuno_Rapido!F40)</f>
        <v>Combo</v>
      </c>
      <c r="H617" s="55" t="str">
        <f aca="false">IF(06_Jugos_Desayuno_Rapido!G40="","",06_Jugos_Desayuno_Rapido!G40)</f>
        <v>Económico</v>
      </c>
      <c r="I617" s="58" t="n">
        <f aca="false">IF(06_Jugos_Desayuno_Rapido!H40="","",06_Jugos_Desayuno_Rapido!H40)</f>
        <v>4</v>
      </c>
      <c r="J617" s="58" t="n">
        <f aca="false">IF(06_Jugos_Desayuno_Rapido!I40="","",06_Jugos_Desayuno_Rapido!I40)</f>
        <v>9</v>
      </c>
      <c r="K617" s="58" t="n">
        <f aca="false">IF(06_Jugos_Desayuno_Rapido!J40="","",06_Jugos_Desayuno_Rapido!J40)</f>
        <v>6.5</v>
      </c>
      <c r="L617" s="58" t="n">
        <f aca="false">IF(06_Jugos_Desayuno_Rapido!L40="","",06_Jugos_Desayuno_Rapido!L40)</f>
        <v>7</v>
      </c>
      <c r="M617" s="58" t="n">
        <f aca="false">IF(06_Jugos_Desayuno_Rapido!N40="","",06_Jugos_Desayuno_Rapido!N40)</f>
        <v>0.46</v>
      </c>
      <c r="N617" s="58" t="n">
        <f aca="false">IF(06_Jugos_Desayuno_Rapido!O40="","",06_Jugos_Desayuno_Rapido!O40)</f>
        <v>6.04</v>
      </c>
      <c r="O617" s="55" t="str">
        <f aca="false">IF(06_Jugos_Desayuno_Rapido!P40="","",06_Jugos_Desayuno_Rapido!P40)</f>
        <v>05:00-09:00</v>
      </c>
      <c r="P617" s="55" t="n">
        <f aca="false">IF(06_Jugos_Desayuno_Rapido!Q40="","",06_Jugos_Desayuno_Rapido!Q40)</f>
        <v>3</v>
      </c>
      <c r="Q617" s="55" t="str">
        <f aca="false">IF(06_Jugos_Desayuno_Rapido!R40="","",06_Jugos_Desayuno_Rapido!R40)</f>
        <v>Medio</v>
      </c>
      <c r="R617" s="55" t="str">
        <f aca="false">IF(06_Jugos_Desayuno_Rapido!S40="","",06_Jugos_Desayuno_Rapido!S40)</f>
        <v>Mayor demanda en frío</v>
      </c>
      <c r="S617" s="55" t="str">
        <f aca="false">IF(06_Jugos_Desayuno_Rapido!T40="","",06_Jugos_Desayuno_Rapido!T40)</f>
        <v>Carretilla</v>
      </c>
      <c r="T617" s="56" t="str">
        <f aca="false">IF(06_Jugos_Desayuno_Rapido!U40="","",06_Jugos_Desayuno_Rapido!U40)</f>
        <v/>
      </c>
      <c r="U617" s="55" t="n">
        <v>40</v>
      </c>
      <c r="V617" s="55" t="n">
        <f aca="false">IF(AND(OR(LEN(13_Buscador!$C$5)=0,ISNUMBER(SEARCH(13_Buscador!$C$5,$C617&amp;" "&amp;$D617&amp;" "&amp;$E617&amp;" "&amp;$F617&amp;" "&amp;$S617))),OR(13_Buscador!$C$6="Todas las listas",LEN(13_Buscador!$C$6)=0,13_Buscador!$C$6=$B617)),1,0)</f>
        <v>0</v>
      </c>
      <c r="W617" s="55" t="str">
        <f aca="false">IF(V617=1,SUM($V$2:V617),"")</f>
        <v/>
      </c>
    </row>
    <row r="618" customFormat="false" ht="23.25" hidden="false" customHeight="true" outlineLevel="0" collapsed="false">
      <c r="A618" s="55" t="n">
        <v>617</v>
      </c>
      <c r="B618" s="55" t="s">
        <v>3332</v>
      </c>
      <c r="C618" s="55" t="str">
        <f aca="false">IF(06_Jugos_Desayuno_Rapido!B41="","",06_Jugos_Desayuno_Rapido!B41)</f>
        <v>Combos rápidos</v>
      </c>
      <c r="D618" s="56" t="str">
        <f aca="false">IF(06_Jugos_Desayuno_Rapido!C41="","",06_Jugos_Desayuno_Rapido!C41)</f>
        <v>Quinuada + quispiño</v>
      </c>
      <c r="E618" s="56" t="str">
        <f aca="false">IF(06_Jugos_Desayuno_Rapido!D41="","",06_Jugos_Desayuno_Rapido!D41)</f>
        <v>Combo andino</v>
      </c>
      <c r="F618" s="56" t="str">
        <f aca="false">IF(06_Jugos_Desayuno_Rapido!E41="","",06_Jugos_Desayuno_Rapido!E41)</f>
        <v>quinua, manzana, canela, azúcar</v>
      </c>
      <c r="G618" s="55" t="str">
        <f aca="false">IF(06_Jugos_Desayuno_Rapido!F41="","",06_Jugos_Desayuno_Rapido!F41)</f>
        <v>Combo</v>
      </c>
      <c r="H618" s="55" t="str">
        <f aca="false">IF(06_Jugos_Desayuno_Rapido!G41="","",06_Jugos_Desayuno_Rapido!G41)</f>
        <v>Económico</v>
      </c>
      <c r="I618" s="58" t="n">
        <f aca="false">IF(06_Jugos_Desayuno_Rapido!H41="","",06_Jugos_Desayuno_Rapido!H41)</f>
        <v>4</v>
      </c>
      <c r="J618" s="58" t="n">
        <f aca="false">IF(06_Jugos_Desayuno_Rapido!I41="","",06_Jugos_Desayuno_Rapido!I41)</f>
        <v>9</v>
      </c>
      <c r="K618" s="58" t="n">
        <f aca="false">IF(06_Jugos_Desayuno_Rapido!J41="","",06_Jugos_Desayuno_Rapido!J41)</f>
        <v>6.5</v>
      </c>
      <c r="L618" s="58" t="n">
        <f aca="false">IF(06_Jugos_Desayuno_Rapido!L41="","",06_Jugos_Desayuno_Rapido!L41)</f>
        <v>7</v>
      </c>
      <c r="M618" s="58" t="n">
        <f aca="false">IF(06_Jugos_Desayuno_Rapido!N41="","",06_Jugos_Desayuno_Rapido!N41)</f>
        <v>0.46</v>
      </c>
      <c r="N618" s="58" t="n">
        <f aca="false">IF(06_Jugos_Desayuno_Rapido!O41="","",06_Jugos_Desayuno_Rapido!O41)</f>
        <v>6.04</v>
      </c>
      <c r="O618" s="55" t="str">
        <f aca="false">IF(06_Jugos_Desayuno_Rapido!P41="","",06_Jugos_Desayuno_Rapido!P41)</f>
        <v>05:00-09:00</v>
      </c>
      <c r="P618" s="55" t="n">
        <f aca="false">IF(06_Jugos_Desayuno_Rapido!Q41="","",06_Jugos_Desayuno_Rapido!Q41)</f>
        <v>3</v>
      </c>
      <c r="Q618" s="55" t="str">
        <f aca="false">IF(06_Jugos_Desayuno_Rapido!R41="","",06_Jugos_Desayuno_Rapido!R41)</f>
        <v>Medio</v>
      </c>
      <c r="R618" s="55" t="str">
        <f aca="false">IF(06_Jugos_Desayuno_Rapido!S41="","",06_Jugos_Desayuno_Rapido!S41)</f>
        <v>Todo el año</v>
      </c>
      <c r="S618" s="55" t="str">
        <f aca="false">IF(06_Jugos_Desayuno_Rapido!T41="","",06_Jugos_Desayuno_Rapido!T41)</f>
        <v>Carretilla</v>
      </c>
      <c r="T618" s="56" t="str">
        <f aca="false">IF(06_Jugos_Desayuno_Rapido!U41="","",06_Jugos_Desayuno_Rapido!U41)</f>
        <v>Combo con identidad puneña para posicionar la marca</v>
      </c>
      <c r="U618" s="55" t="n">
        <v>41</v>
      </c>
      <c r="V618" s="55" t="n">
        <f aca="false">IF(AND(OR(LEN(13_Buscador!$C$5)=0,ISNUMBER(SEARCH(13_Buscador!$C$5,$C618&amp;" "&amp;$D618&amp;" "&amp;$E618&amp;" "&amp;$F618&amp;" "&amp;$S618))),OR(13_Buscador!$C$6="Todas las listas",LEN(13_Buscador!$C$6)=0,13_Buscador!$C$6=$B618)),1,0)</f>
        <v>0</v>
      </c>
      <c r="W618" s="55" t="str">
        <f aca="false">IF(V618=1,SUM($V$2:V618),"")</f>
        <v/>
      </c>
    </row>
    <row r="619" customFormat="false" ht="15" hidden="false" customHeight="true" outlineLevel="0" collapsed="false">
      <c r="A619" s="55" t="n">
        <v>618</v>
      </c>
      <c r="B619" s="55" t="s">
        <v>3332</v>
      </c>
      <c r="C619" s="55" t="str">
        <f aca="false">IF(06_Jugos_Desayuno_Rapido!B42="","",06_Jugos_Desayuno_Rapido!B42)</f>
        <v>Combos rápidos</v>
      </c>
      <c r="D619" s="56" t="str">
        <f aca="false">IF(06_Jugos_Desayuno_Rapido!C42="","",06_Jugos_Desayuno_Rapido!C42)</f>
        <v>Jugo grande + 2 panes</v>
      </c>
      <c r="E619" s="56" t="str">
        <f aca="false">IF(06_Jugos_Desayuno_Rapido!D42="","",06_Jugos_Desayuno_Rapido!D42)</f>
        <v>Desayuno para dos</v>
      </c>
      <c r="F619" s="56" t="str">
        <f aca="false">IF(06_Jugos_Desayuno_Rapido!E42="","",06_Jugos_Desayuno_Rapido!E42)</f>
        <v>fruta de estación, agua o leche, azúcar</v>
      </c>
      <c r="G619" s="55" t="str">
        <f aca="false">IF(06_Jugos_Desayuno_Rapido!F42="","",06_Jugos_Desayuno_Rapido!F42)</f>
        <v>Combo</v>
      </c>
      <c r="H619" s="55" t="str">
        <f aca="false">IF(06_Jugos_Desayuno_Rapido!G42="","",06_Jugos_Desayuno_Rapido!G42)</f>
        <v>Económico</v>
      </c>
      <c r="I619" s="58" t="n">
        <f aca="false">IF(06_Jugos_Desayuno_Rapido!H42="","",06_Jugos_Desayuno_Rapido!H42)</f>
        <v>7</v>
      </c>
      <c r="J619" s="58" t="n">
        <f aca="false">IF(06_Jugos_Desayuno_Rapido!I42="","",06_Jugos_Desayuno_Rapido!I42)</f>
        <v>14</v>
      </c>
      <c r="K619" s="58" t="n">
        <f aca="false">IF(06_Jugos_Desayuno_Rapido!J42="","",06_Jugos_Desayuno_Rapido!J42)</f>
        <v>10.5</v>
      </c>
      <c r="L619" s="58" t="n">
        <f aca="false">IF(06_Jugos_Desayuno_Rapido!L42="","",06_Jugos_Desayuno_Rapido!L42)</f>
        <v>11</v>
      </c>
      <c r="M619" s="58" t="n">
        <f aca="false">IF(06_Jugos_Desayuno_Rapido!N42="","",06_Jugos_Desayuno_Rapido!N42)</f>
        <v>0.74</v>
      </c>
      <c r="N619" s="58" t="n">
        <f aca="false">IF(06_Jugos_Desayuno_Rapido!O42="","",06_Jugos_Desayuno_Rapido!O42)</f>
        <v>9.76</v>
      </c>
      <c r="O619" s="55" t="str">
        <f aca="false">IF(06_Jugos_Desayuno_Rapido!P42="","",06_Jugos_Desayuno_Rapido!P42)</f>
        <v>06:00-11:00</v>
      </c>
      <c r="P619" s="55" t="n">
        <f aca="false">IF(06_Jugos_Desayuno_Rapido!Q42="","",06_Jugos_Desayuno_Rapido!Q42)</f>
        <v>5</v>
      </c>
      <c r="Q619" s="55" t="str">
        <f aca="false">IF(06_Jugos_Desayuno_Rapido!R42="","",06_Jugos_Desayuno_Rapido!R42)</f>
        <v>Alto</v>
      </c>
      <c r="R619" s="55" t="str">
        <f aca="false">IF(06_Jugos_Desayuno_Rapido!S42="","",06_Jugos_Desayuno_Rapido!S42)</f>
        <v>Todo el año</v>
      </c>
      <c r="S619" s="55" t="str">
        <f aca="false">IF(06_Jugos_Desayuno_Rapido!T42="","",06_Jugos_Desayuno_Rapido!T42)</f>
        <v>Carretilla</v>
      </c>
      <c r="T619" s="56" t="str">
        <f aca="false">IF(06_Jugos_Desayuno_Rapido!U42="","",06_Jugos_Desayuno_Rapido!U42)</f>
        <v/>
      </c>
      <c r="U619" s="55" t="n">
        <v>42</v>
      </c>
      <c r="V619" s="55" t="n">
        <f aca="false">IF(AND(OR(LEN(13_Buscador!$C$5)=0,ISNUMBER(SEARCH(13_Buscador!$C$5,$C619&amp;" "&amp;$D619&amp;" "&amp;$E619&amp;" "&amp;$F619&amp;" "&amp;$S619))),OR(13_Buscador!$C$6="Todas las listas",LEN(13_Buscador!$C$6)=0,13_Buscador!$C$6=$B619)),1,0)</f>
        <v>0</v>
      </c>
      <c r="W619" s="55" t="str">
        <f aca="false">IF(V619=1,SUM($V$2:V619),"")</f>
        <v/>
      </c>
    </row>
    <row r="620" customFormat="false" ht="23.25" hidden="false" customHeight="true" outlineLevel="0" collapsed="false">
      <c r="A620" s="55" t="n">
        <v>619</v>
      </c>
      <c r="B620" s="55" t="s">
        <v>3332</v>
      </c>
      <c r="C620" s="55" t="str">
        <f aca="false">IF(06_Jugos_Desayuno_Rapido!B43="","",06_Jugos_Desayuno_Rapido!B43)</f>
        <v>Combos rápidos</v>
      </c>
      <c r="D620" s="56" t="str">
        <f aca="false">IF(06_Jugos_Desayuno_Rapido!C43="","",06_Jugos_Desayuno_Rapido!C43)</f>
        <v>Desayuno de obra (jugo + pan + huevo)</v>
      </c>
      <c r="E620" s="56" t="str">
        <f aca="false">IF(06_Jugos_Desayuno_Rapido!D43="","",06_Jugos_Desayuno_Rapido!D43)</f>
        <v>Para trabajadores de construcción</v>
      </c>
      <c r="F620" s="56" t="str">
        <f aca="false">IF(06_Jugos_Desayuno_Rapido!E43="","",06_Jugos_Desayuno_Rapido!E43)</f>
        <v>fruta de estación, agua o leche, azúcar</v>
      </c>
      <c r="G620" s="55" t="str">
        <f aca="false">IF(06_Jugos_Desayuno_Rapido!F43="","",06_Jugos_Desayuno_Rapido!F43)</f>
        <v>Combo</v>
      </c>
      <c r="H620" s="55" t="str">
        <f aca="false">IF(06_Jugos_Desayuno_Rapido!G43="","",06_Jugos_Desayuno_Rapido!G43)</f>
        <v>Económico</v>
      </c>
      <c r="I620" s="58" t="n">
        <f aca="false">IF(06_Jugos_Desayuno_Rapido!H43="","",06_Jugos_Desayuno_Rapido!H43)</f>
        <v>6</v>
      </c>
      <c r="J620" s="58" t="n">
        <f aca="false">IF(06_Jugos_Desayuno_Rapido!I43="","",06_Jugos_Desayuno_Rapido!I43)</f>
        <v>12</v>
      </c>
      <c r="K620" s="58" t="n">
        <f aca="false">IF(06_Jugos_Desayuno_Rapido!J43="","",06_Jugos_Desayuno_Rapido!J43)</f>
        <v>9</v>
      </c>
      <c r="L620" s="58" t="n">
        <f aca="false">IF(06_Jugos_Desayuno_Rapido!L43="","",06_Jugos_Desayuno_Rapido!L43)</f>
        <v>9.5</v>
      </c>
      <c r="M620" s="58" t="n">
        <f aca="false">IF(06_Jugos_Desayuno_Rapido!N43="","",06_Jugos_Desayuno_Rapido!N43)</f>
        <v>0.63</v>
      </c>
      <c r="N620" s="58" t="n">
        <f aca="false">IF(06_Jugos_Desayuno_Rapido!O43="","",06_Jugos_Desayuno_Rapido!O43)</f>
        <v>8.37</v>
      </c>
      <c r="O620" s="55" t="str">
        <f aca="false">IF(06_Jugos_Desayuno_Rapido!P43="","",06_Jugos_Desayuno_Rapido!P43)</f>
        <v>05:00-08:00</v>
      </c>
      <c r="P620" s="55" t="n">
        <f aca="false">IF(06_Jugos_Desayuno_Rapido!Q43="","",06_Jugos_Desayuno_Rapido!Q43)</f>
        <v>5</v>
      </c>
      <c r="Q620" s="55" t="str">
        <f aca="false">IF(06_Jugos_Desayuno_Rapido!R43="","",06_Jugos_Desayuno_Rapido!R43)</f>
        <v>Alto</v>
      </c>
      <c r="R620" s="55" t="str">
        <f aca="false">IF(06_Jugos_Desayuno_Rapido!S43="","",06_Jugos_Desayuno_Rapido!S43)</f>
        <v>Todo el año</v>
      </c>
      <c r="S620" s="55" t="str">
        <f aca="false">IF(06_Jugos_Desayuno_Rapido!T43="","",06_Jugos_Desayuno_Rapido!T43)</f>
        <v>Carretilla</v>
      </c>
      <c r="T620" s="56" t="str">
        <f aca="false">IF(06_Jugos_Desayuno_Rapido!U43="","",06_Jugos_Desayuno_Rapido!U43)</f>
        <v>Cliente madrugador con pedido repetido diario</v>
      </c>
      <c r="U620" s="55" t="n">
        <v>43</v>
      </c>
      <c r="V620" s="55" t="n">
        <f aca="false">IF(AND(OR(LEN(13_Buscador!$C$5)=0,ISNUMBER(SEARCH(13_Buscador!$C$5,$C620&amp;" "&amp;$D620&amp;" "&amp;$E620&amp;" "&amp;$F620&amp;" "&amp;$S620))),OR(13_Buscador!$C$6="Todas las listas",LEN(13_Buscador!$C$6)=0,13_Buscador!$C$6=$B620)),1,0)</f>
        <v>0</v>
      </c>
      <c r="W620" s="55" t="str">
        <f aca="false">IF(V620=1,SUM($V$2:V620),"")</f>
        <v/>
      </c>
    </row>
    <row r="621" customFormat="false" ht="15" hidden="false" customHeight="true" outlineLevel="0" collapsed="false">
      <c r="A621" s="55" t="n">
        <v>620</v>
      </c>
      <c r="B621" s="55" t="s">
        <v>3332</v>
      </c>
      <c r="C621" s="55" t="str">
        <f aca="false">IF(06_Jugos_Desayuno_Rapido!B44="","",06_Jugos_Desayuno_Rapido!B44)</f>
        <v>Combos rápidos</v>
      </c>
      <c r="D621" s="56" t="str">
        <f aca="false">IF(06_Jugos_Desayuno_Rapido!C44="","",06_Jugos_Desayuno_Rapido!C44)</f>
        <v>Desayuno escolar</v>
      </c>
      <c r="E621" s="56" t="str">
        <f aca="false">IF(06_Jugos_Desayuno_Rapido!D44="","",06_Jugos_Desayuno_Rapido!D44)</f>
        <v>Jugo + sándwich pequeño</v>
      </c>
      <c r="F621" s="56" t="str">
        <f aca="false">IF(06_Jugos_Desayuno_Rapido!E44="","",06_Jugos_Desayuno_Rapido!E44)</f>
        <v>pan, bebida caliente o jugo, huevo o relleno, fruta</v>
      </c>
      <c r="G621" s="55" t="str">
        <f aca="false">IF(06_Jugos_Desayuno_Rapido!F44="","",06_Jugos_Desayuno_Rapido!F44)</f>
        <v>Combo</v>
      </c>
      <c r="H621" s="55" t="str">
        <f aca="false">IF(06_Jugos_Desayuno_Rapido!G44="","",06_Jugos_Desayuno_Rapido!G44)</f>
        <v>Económico</v>
      </c>
      <c r="I621" s="58" t="n">
        <f aca="false">IF(06_Jugos_Desayuno_Rapido!H44="","",06_Jugos_Desayuno_Rapido!H44)</f>
        <v>4</v>
      </c>
      <c r="J621" s="58" t="n">
        <f aca="false">IF(06_Jugos_Desayuno_Rapido!I44="","",06_Jugos_Desayuno_Rapido!I44)</f>
        <v>9</v>
      </c>
      <c r="K621" s="58" t="n">
        <f aca="false">IF(06_Jugos_Desayuno_Rapido!J44="","",06_Jugos_Desayuno_Rapido!J44)</f>
        <v>6.5</v>
      </c>
      <c r="L621" s="58" t="n">
        <f aca="false">IF(06_Jugos_Desayuno_Rapido!L44="","",06_Jugos_Desayuno_Rapido!L44)</f>
        <v>7</v>
      </c>
      <c r="M621" s="58" t="n">
        <f aca="false">IF(06_Jugos_Desayuno_Rapido!N44="","",06_Jugos_Desayuno_Rapido!N44)</f>
        <v>0.46</v>
      </c>
      <c r="N621" s="58" t="n">
        <f aca="false">IF(06_Jugos_Desayuno_Rapido!O44="","",06_Jugos_Desayuno_Rapido!O44)</f>
        <v>6.04</v>
      </c>
      <c r="O621" s="55" t="str">
        <f aca="false">IF(06_Jugos_Desayuno_Rapido!P44="","",06_Jugos_Desayuno_Rapido!P44)</f>
        <v>06:00-08:00</v>
      </c>
      <c r="P621" s="55" t="n">
        <f aca="false">IF(06_Jugos_Desayuno_Rapido!Q44="","",06_Jugos_Desayuno_Rapido!Q44)</f>
        <v>4</v>
      </c>
      <c r="Q621" s="55" t="str">
        <f aca="false">IF(06_Jugos_Desayuno_Rapido!R44="","",06_Jugos_Desayuno_Rapido!R44)</f>
        <v>Alto</v>
      </c>
      <c r="R621" s="55" t="str">
        <f aca="false">IF(06_Jugos_Desayuno_Rapido!S44="","",06_Jugos_Desayuno_Rapido!S44)</f>
        <v>Año escolar</v>
      </c>
      <c r="S621" s="55" t="str">
        <f aca="false">IF(06_Jugos_Desayuno_Rapido!T44="","",06_Jugos_Desayuno_Rapido!T44)</f>
        <v>Carretilla, juguería</v>
      </c>
      <c r="T621" s="56" t="str">
        <f aca="false">IF(06_Jugos_Desayuno_Rapido!U44="","",06_Jugos_Desayuno_Rapido!U44)</f>
        <v>Demanda de marzo a diciembre</v>
      </c>
      <c r="U621" s="55" t="n">
        <v>44</v>
      </c>
      <c r="V621" s="55" t="n">
        <f aca="false">IF(AND(OR(LEN(13_Buscador!$C$5)=0,ISNUMBER(SEARCH(13_Buscador!$C$5,$C621&amp;" "&amp;$D621&amp;" "&amp;$E621&amp;" "&amp;$F621&amp;" "&amp;$S621))),OR(13_Buscador!$C$6="Todas las listas",LEN(13_Buscador!$C$6)=0,13_Buscador!$C$6=$B621)),1,0)</f>
        <v>0</v>
      </c>
      <c r="W621" s="55" t="str">
        <f aca="false">IF(V621=1,SUM($V$2:V621),"")</f>
        <v/>
      </c>
    </row>
    <row r="622" customFormat="false" ht="15" hidden="false" customHeight="true" outlineLevel="0" collapsed="false">
      <c r="A622" s="55" t="n">
        <v>621</v>
      </c>
      <c r="B622" s="55" t="s">
        <v>3332</v>
      </c>
      <c r="C622" s="55" t="str">
        <f aca="false">IF(06_Jugos_Desayuno_Rapido!B45="","",06_Jugos_Desayuno_Rapido!B45)</f>
        <v>Snacks de calle</v>
      </c>
      <c r="D622" s="56" t="str">
        <f aca="false">IF(06_Jugos_Desayuno_Rapido!C45="","",06_Jugos_Desayuno_Rapido!C45)</f>
        <v>Choclo con queso</v>
      </c>
      <c r="E622" s="56" t="str">
        <f aca="false">IF(06_Jugos_Desayuno_Rapido!D45="","",06_Jugos_Desayuno_Rapido!D45)</f>
        <v>Maíz cocido con queso</v>
      </c>
      <c r="F622" s="56" t="str">
        <f aca="false">IF(06_Jugos_Desayuno_Rapido!E45="","",06_Jugos_Desayuno_Rapido!E45)</f>
        <v>maíz cocido, queso fresco, sal</v>
      </c>
      <c r="G622" s="55" t="str">
        <f aca="false">IF(06_Jugos_Desayuno_Rapido!F45="","",06_Jugos_Desayuno_Rapido!F45)</f>
        <v>Porción</v>
      </c>
      <c r="H622" s="55" t="str">
        <f aca="false">IF(06_Jugos_Desayuno_Rapido!G45="","",06_Jugos_Desayuno_Rapido!G45)</f>
        <v>Económico</v>
      </c>
      <c r="I622" s="58" t="n">
        <f aca="false">IF(06_Jugos_Desayuno_Rapido!H45="","",06_Jugos_Desayuno_Rapido!H45)</f>
        <v>3</v>
      </c>
      <c r="J622" s="58" t="n">
        <f aca="false">IF(06_Jugos_Desayuno_Rapido!I45="","",06_Jugos_Desayuno_Rapido!I45)</f>
        <v>8</v>
      </c>
      <c r="K622" s="58" t="n">
        <f aca="false">IF(06_Jugos_Desayuno_Rapido!J45="","",06_Jugos_Desayuno_Rapido!J45)</f>
        <v>5.5</v>
      </c>
      <c r="L622" s="58" t="n">
        <f aca="false">IF(06_Jugos_Desayuno_Rapido!L45="","",06_Jugos_Desayuno_Rapido!L45)</f>
        <v>6</v>
      </c>
      <c r="M622" s="58" t="n">
        <f aca="false">IF(06_Jugos_Desayuno_Rapido!N45="","",06_Jugos_Desayuno_Rapido!N45)</f>
        <v>0.39</v>
      </c>
      <c r="N622" s="58" t="n">
        <f aca="false">IF(06_Jugos_Desayuno_Rapido!O45="","",06_Jugos_Desayuno_Rapido!O45)</f>
        <v>5.11</v>
      </c>
      <c r="O622" s="55" t="str">
        <f aca="false">IF(06_Jugos_Desayuno_Rapido!P45="","",06_Jugos_Desayuno_Rapido!P45)</f>
        <v>Todo el día</v>
      </c>
      <c r="P622" s="55" t="n">
        <f aca="false">IF(06_Jugos_Desayuno_Rapido!Q45="","",06_Jugos_Desayuno_Rapido!Q45)</f>
        <v>3</v>
      </c>
      <c r="Q622" s="55" t="str">
        <f aca="false">IF(06_Jugos_Desayuno_Rapido!R45="","",06_Jugos_Desayuno_Rapido!R45)</f>
        <v>Alto</v>
      </c>
      <c r="R622" s="55" t="str">
        <f aca="false">IF(06_Jugos_Desayuno_Rapido!S45="","",06_Jugos_Desayuno_Rapido!S45)</f>
        <v>Todo el año</v>
      </c>
      <c r="S622" s="55" t="str">
        <f aca="false">IF(06_Jugos_Desayuno_Rapido!T45="","",06_Jugos_Desayuno_Rapido!T45)</f>
        <v>Carretilla</v>
      </c>
      <c r="T622" s="56" t="str">
        <f aca="false">IF(06_Jugos_Desayuno_Rapido!U45="","",06_Jugos_Desayuno_Rapido!U45)</f>
        <v>Muy típico del altiplano</v>
      </c>
      <c r="U622" s="55" t="n">
        <v>45</v>
      </c>
      <c r="V622" s="55" t="n">
        <f aca="false">IF(AND(OR(LEN(13_Buscador!$C$5)=0,ISNUMBER(SEARCH(13_Buscador!$C$5,$C622&amp;" "&amp;$D622&amp;" "&amp;$E622&amp;" "&amp;$F622&amp;" "&amp;$S622))),OR(13_Buscador!$C$6="Todas las listas",LEN(13_Buscador!$C$6)=0,13_Buscador!$C$6=$B622)),1,0)</f>
        <v>0</v>
      </c>
      <c r="W622" s="55" t="str">
        <f aca="false">IF(V622=1,SUM($V$2:V622),"")</f>
        <v/>
      </c>
    </row>
    <row r="623" customFormat="false" ht="15" hidden="false" customHeight="true" outlineLevel="0" collapsed="false">
      <c r="A623" s="55" t="n">
        <v>622</v>
      </c>
      <c r="B623" s="55" t="s">
        <v>3332</v>
      </c>
      <c r="C623" s="55" t="str">
        <f aca="false">IF(06_Jugos_Desayuno_Rapido!B46="","",06_Jugos_Desayuno_Rapido!B46)</f>
        <v>Snacks de calle</v>
      </c>
      <c r="D623" s="56" t="str">
        <f aca="false">IF(06_Jugos_Desayuno_Rapido!C46="","",06_Jugos_Desayuno_Rapido!C46)</f>
        <v>Habas tostadas</v>
      </c>
      <c r="E623" s="56" t="str">
        <f aca="false">IF(06_Jugos_Desayuno_Rapido!D46="","",06_Jugos_Desayuno_Rapido!D46)</f>
        <v>Habas saladas</v>
      </c>
      <c r="F623" s="56" t="str">
        <f aca="false">IF(06_Jugos_Desayuno_Rapido!E46="","",06_Jugos_Desayuno_Rapido!E46)</f>
        <v>pan tostado, mantequilla, mermelada</v>
      </c>
      <c r="G623" s="55" t="str">
        <f aca="false">IF(06_Jugos_Desayuno_Rapido!F46="","",06_Jugos_Desayuno_Rapido!F46)</f>
        <v>Bolsa</v>
      </c>
      <c r="H623" s="55" t="str">
        <f aca="false">IF(06_Jugos_Desayuno_Rapido!G46="","",06_Jugos_Desayuno_Rapido!G46)</f>
        <v>Económico</v>
      </c>
      <c r="I623" s="58" t="n">
        <f aca="false">IF(06_Jugos_Desayuno_Rapido!H46="","",06_Jugos_Desayuno_Rapido!H46)</f>
        <v>1.5</v>
      </c>
      <c r="J623" s="58" t="n">
        <f aca="false">IF(06_Jugos_Desayuno_Rapido!I46="","",06_Jugos_Desayuno_Rapido!I46)</f>
        <v>4</v>
      </c>
      <c r="K623" s="58" t="n">
        <f aca="false">IF(06_Jugos_Desayuno_Rapido!J46="","",06_Jugos_Desayuno_Rapido!J46)</f>
        <v>2.8</v>
      </c>
      <c r="L623" s="58" t="n">
        <f aca="false">IF(06_Jugos_Desayuno_Rapido!L46="","",06_Jugos_Desayuno_Rapido!L46)</f>
        <v>3.3</v>
      </c>
      <c r="M623" s="58" t="n">
        <f aca="false">IF(06_Jugos_Desayuno_Rapido!N46="","",06_Jugos_Desayuno_Rapido!N46)</f>
        <v>0.2</v>
      </c>
      <c r="N623" s="58" t="n">
        <f aca="false">IF(06_Jugos_Desayuno_Rapido!O46="","",06_Jugos_Desayuno_Rapido!O46)</f>
        <v>2.6</v>
      </c>
      <c r="O623" s="55" t="str">
        <f aca="false">IF(06_Jugos_Desayuno_Rapido!P46="","",06_Jugos_Desayuno_Rapido!P46)</f>
        <v>Todo el día</v>
      </c>
      <c r="P623" s="55" t="n">
        <f aca="false">IF(06_Jugos_Desayuno_Rapido!Q46="","",06_Jugos_Desayuno_Rapido!Q46)</f>
        <v>1</v>
      </c>
      <c r="Q623" s="55" t="str">
        <f aca="false">IF(06_Jugos_Desayuno_Rapido!R46="","",06_Jugos_Desayuno_Rapido!R46)</f>
        <v>Alto</v>
      </c>
      <c r="R623" s="55" t="str">
        <f aca="false">IF(06_Jugos_Desayuno_Rapido!S46="","",06_Jugos_Desayuno_Rapido!S46)</f>
        <v>Todo el año</v>
      </c>
      <c r="S623" s="55" t="str">
        <f aca="false">IF(06_Jugos_Desayuno_Rapido!T46="","",06_Jugos_Desayuno_Rapido!T46)</f>
        <v>Carretilla, mercado</v>
      </c>
      <c r="T623" s="56" t="str">
        <f aca="false">IF(06_Jugos_Desayuno_Rapido!U46="","",06_Jugos_Desayuno_Rapido!U46)</f>
        <v/>
      </c>
      <c r="U623" s="55" t="n">
        <v>46</v>
      </c>
      <c r="V623" s="55" t="n">
        <f aca="false">IF(AND(OR(LEN(13_Buscador!$C$5)=0,ISNUMBER(SEARCH(13_Buscador!$C$5,$C623&amp;" "&amp;$D623&amp;" "&amp;$E623&amp;" "&amp;$F623&amp;" "&amp;$S623))),OR(13_Buscador!$C$6="Todas las listas",LEN(13_Buscador!$C$6)=0,13_Buscador!$C$6=$B623)),1,0)</f>
        <v>0</v>
      </c>
      <c r="W623" s="55" t="str">
        <f aca="false">IF(V623=1,SUM($V$2:V623),"")</f>
        <v/>
      </c>
    </row>
    <row r="624" customFormat="false" ht="15" hidden="false" customHeight="true" outlineLevel="0" collapsed="false">
      <c r="A624" s="55" t="n">
        <v>623</v>
      </c>
      <c r="B624" s="55" t="s">
        <v>3332</v>
      </c>
      <c r="C624" s="55" t="str">
        <f aca="false">IF(06_Jugos_Desayuno_Rapido!B47="","",06_Jugos_Desayuno_Rapido!B47)</f>
        <v>Snacks de calle</v>
      </c>
      <c r="D624" s="56" t="str">
        <f aca="false">IF(06_Jugos_Desayuno_Rapido!C47="","",06_Jugos_Desayuno_Rapido!C47)</f>
        <v>Canchita salada</v>
      </c>
      <c r="E624" s="56" t="str">
        <f aca="false">IF(06_Jugos_Desayuno_Rapido!D47="","",06_Jugos_Desayuno_Rapido!D47)</f>
        <v>Maíz tostado</v>
      </c>
      <c r="F624" s="56" t="str">
        <f aca="false">IF(06_Jugos_Desayuno_Rapido!E47="","",06_Jugos_Desayuno_Rapido!E47)</f>
        <v>maíz cancha, aceite, sal</v>
      </c>
      <c r="G624" s="55" t="str">
        <f aca="false">IF(06_Jugos_Desayuno_Rapido!F47="","",06_Jugos_Desayuno_Rapido!F47)</f>
        <v>Bolsa</v>
      </c>
      <c r="H624" s="55" t="str">
        <f aca="false">IF(06_Jugos_Desayuno_Rapido!G47="","",06_Jugos_Desayuno_Rapido!G47)</f>
        <v>Económico</v>
      </c>
      <c r="I624" s="58" t="n">
        <f aca="false">IF(06_Jugos_Desayuno_Rapido!H47="","",06_Jugos_Desayuno_Rapido!H47)</f>
        <v>1</v>
      </c>
      <c r="J624" s="58" t="n">
        <f aca="false">IF(06_Jugos_Desayuno_Rapido!I47="","",06_Jugos_Desayuno_Rapido!I47)</f>
        <v>3</v>
      </c>
      <c r="K624" s="58" t="n">
        <f aca="false">IF(06_Jugos_Desayuno_Rapido!J47="","",06_Jugos_Desayuno_Rapido!J47)</f>
        <v>2</v>
      </c>
      <c r="L624" s="58" t="n">
        <f aca="false">IF(06_Jugos_Desayuno_Rapido!L47="","",06_Jugos_Desayuno_Rapido!L47)</f>
        <v>2.5</v>
      </c>
      <c r="M624" s="58" t="n">
        <f aca="false">IF(06_Jugos_Desayuno_Rapido!N47="","",06_Jugos_Desayuno_Rapido!N47)</f>
        <v>0.14</v>
      </c>
      <c r="N624" s="58" t="n">
        <f aca="false">IF(06_Jugos_Desayuno_Rapido!O47="","",06_Jugos_Desayuno_Rapido!O47)</f>
        <v>1.86</v>
      </c>
      <c r="O624" s="55" t="str">
        <f aca="false">IF(06_Jugos_Desayuno_Rapido!P47="","",06_Jugos_Desayuno_Rapido!P47)</f>
        <v>Todo el día</v>
      </c>
      <c r="P624" s="55" t="n">
        <f aca="false">IF(06_Jugos_Desayuno_Rapido!Q47="","",06_Jugos_Desayuno_Rapido!Q47)</f>
        <v>1</v>
      </c>
      <c r="Q624" s="55" t="str">
        <f aca="false">IF(06_Jugos_Desayuno_Rapido!R47="","",06_Jugos_Desayuno_Rapido!R47)</f>
        <v>Alto</v>
      </c>
      <c r="R624" s="55" t="str">
        <f aca="false">IF(06_Jugos_Desayuno_Rapido!S47="","",06_Jugos_Desayuno_Rapido!S47)</f>
        <v>Todo el año</v>
      </c>
      <c r="S624" s="55" t="str">
        <f aca="false">IF(06_Jugos_Desayuno_Rapido!T47="","",06_Jugos_Desayuno_Rapido!T47)</f>
        <v>Carretilla</v>
      </c>
      <c r="T624" s="56" t="str">
        <f aca="false">IF(06_Jugos_Desayuno_Rapido!U47="","",06_Jugos_Desayuno_Rapido!U47)</f>
        <v/>
      </c>
      <c r="U624" s="55" t="n">
        <v>47</v>
      </c>
      <c r="V624" s="55" t="n">
        <f aca="false">IF(AND(OR(LEN(13_Buscador!$C$5)=0,ISNUMBER(SEARCH(13_Buscador!$C$5,$C624&amp;" "&amp;$D624&amp;" "&amp;$E624&amp;" "&amp;$F624&amp;" "&amp;$S624))),OR(13_Buscador!$C$6="Todas las listas",LEN(13_Buscador!$C$6)=0,13_Buscador!$C$6=$B624)),1,0)</f>
        <v>0</v>
      </c>
      <c r="W624" s="55" t="str">
        <f aca="false">IF(V624=1,SUM($V$2:V624),"")</f>
        <v/>
      </c>
    </row>
    <row r="625" customFormat="false" ht="15" hidden="false" customHeight="true" outlineLevel="0" collapsed="false">
      <c r="A625" s="55" t="n">
        <v>624</v>
      </c>
      <c r="B625" s="55" t="s">
        <v>3332</v>
      </c>
      <c r="C625" s="55" t="str">
        <f aca="false">IF(06_Jugos_Desayuno_Rapido!B48="","",06_Jugos_Desayuno_Rapido!B48)</f>
        <v>Snacks de calle</v>
      </c>
      <c r="D625" s="56" t="str">
        <f aca="false">IF(06_Jugos_Desayuno_Rapido!C48="","",06_Jugos_Desayuno_Rapido!C48)</f>
        <v>Mote con queso</v>
      </c>
      <c r="E625" s="56" t="str">
        <f aca="false">IF(06_Jugos_Desayuno_Rapido!D48="","",06_Jugos_Desayuno_Rapido!D48)</f>
        <v>Maíz pelado con queso</v>
      </c>
      <c r="F625" s="56" t="str">
        <f aca="false">IF(06_Jugos_Desayuno_Rapido!E48="","",06_Jugos_Desayuno_Rapido!E48)</f>
        <v>maíz cocido, queso fresco, sal</v>
      </c>
      <c r="G625" s="55" t="str">
        <f aca="false">IF(06_Jugos_Desayuno_Rapido!F48="","",06_Jugos_Desayuno_Rapido!F48)</f>
        <v>Porción</v>
      </c>
      <c r="H625" s="55" t="str">
        <f aca="false">IF(06_Jugos_Desayuno_Rapido!G48="","",06_Jugos_Desayuno_Rapido!G48)</f>
        <v>Económico</v>
      </c>
      <c r="I625" s="58" t="n">
        <f aca="false">IF(06_Jugos_Desayuno_Rapido!H48="","",06_Jugos_Desayuno_Rapido!H48)</f>
        <v>2</v>
      </c>
      <c r="J625" s="58" t="n">
        <f aca="false">IF(06_Jugos_Desayuno_Rapido!I48="","",06_Jugos_Desayuno_Rapido!I48)</f>
        <v>6</v>
      </c>
      <c r="K625" s="58" t="n">
        <f aca="false">IF(06_Jugos_Desayuno_Rapido!J48="","",06_Jugos_Desayuno_Rapido!J48)</f>
        <v>4</v>
      </c>
      <c r="L625" s="58" t="n">
        <f aca="false">IF(06_Jugos_Desayuno_Rapido!L48="","",06_Jugos_Desayuno_Rapido!L48)</f>
        <v>4.5</v>
      </c>
      <c r="M625" s="58" t="n">
        <f aca="false">IF(06_Jugos_Desayuno_Rapido!N48="","",06_Jugos_Desayuno_Rapido!N48)</f>
        <v>0.28</v>
      </c>
      <c r="N625" s="58" t="n">
        <f aca="false">IF(06_Jugos_Desayuno_Rapido!O48="","",06_Jugos_Desayuno_Rapido!O48)</f>
        <v>3.72</v>
      </c>
      <c r="O625" s="55" t="str">
        <f aca="false">IF(06_Jugos_Desayuno_Rapido!P48="","",06_Jugos_Desayuno_Rapido!P48)</f>
        <v>Todo el día</v>
      </c>
      <c r="P625" s="55" t="n">
        <f aca="false">IF(06_Jugos_Desayuno_Rapido!Q48="","",06_Jugos_Desayuno_Rapido!Q48)</f>
        <v>2</v>
      </c>
      <c r="Q625" s="55" t="str">
        <f aca="false">IF(06_Jugos_Desayuno_Rapido!R48="","",06_Jugos_Desayuno_Rapido!R48)</f>
        <v>Alto</v>
      </c>
      <c r="R625" s="55" t="str">
        <f aca="false">IF(06_Jugos_Desayuno_Rapido!S48="","",06_Jugos_Desayuno_Rapido!S48)</f>
        <v>Todo el año</v>
      </c>
      <c r="S625" s="55" t="str">
        <f aca="false">IF(06_Jugos_Desayuno_Rapido!T48="","",06_Jugos_Desayuno_Rapido!T48)</f>
        <v>Carretilla, mercado</v>
      </c>
      <c r="T625" s="56" t="str">
        <f aca="false">IF(06_Jugos_Desayuno_Rapido!U48="","",06_Jugos_Desayuno_Rapido!U48)</f>
        <v/>
      </c>
      <c r="U625" s="55" t="n">
        <v>48</v>
      </c>
      <c r="V625" s="55" t="n">
        <f aca="false">IF(AND(OR(LEN(13_Buscador!$C$5)=0,ISNUMBER(SEARCH(13_Buscador!$C$5,$C625&amp;" "&amp;$D625&amp;" "&amp;$E625&amp;" "&amp;$F625&amp;" "&amp;$S625))),OR(13_Buscador!$C$6="Todas las listas",LEN(13_Buscador!$C$6)=0,13_Buscador!$C$6=$B625)),1,0)</f>
        <v>0</v>
      </c>
      <c r="W625" s="55" t="str">
        <f aca="false">IF(V625=1,SUM($V$2:V625),"")</f>
        <v/>
      </c>
    </row>
    <row r="626" customFormat="false" ht="15" hidden="false" customHeight="true" outlineLevel="0" collapsed="false">
      <c r="A626" s="55" t="n">
        <v>625</v>
      </c>
      <c r="B626" s="55" t="s">
        <v>3332</v>
      </c>
      <c r="C626" s="55" t="str">
        <f aca="false">IF(06_Jugos_Desayuno_Rapido!B49="","",06_Jugos_Desayuno_Rapido!B49)</f>
        <v>Snacks de calle</v>
      </c>
      <c r="D626" s="56" t="str">
        <f aca="false">IF(06_Jugos_Desayuno_Rapido!C49="","",06_Jugos_Desayuno_Rapido!C49)</f>
        <v>Fruta picada en vaso</v>
      </c>
      <c r="E626" s="56" t="str">
        <f aca="false">IF(06_Jugos_Desayuno_Rapido!D49="","",06_Jugos_Desayuno_Rapido!D49)</f>
        <v>Fruta cortada</v>
      </c>
      <c r="F626" s="56" t="str">
        <f aca="false">IF(06_Jugos_Desayuno_Rapido!E49="","",06_Jugos_Desayuno_Rapido!E49)</f>
        <v>fruta de estación, miel o yogurt</v>
      </c>
      <c r="G626" s="55" t="str">
        <f aca="false">IF(06_Jugos_Desayuno_Rapido!F49="","",06_Jugos_Desayuno_Rapido!F49)</f>
        <v>Vaso</v>
      </c>
      <c r="H626" s="55" t="str">
        <f aca="false">IF(06_Jugos_Desayuno_Rapido!G49="","",06_Jugos_Desayuno_Rapido!G49)</f>
        <v>Económico</v>
      </c>
      <c r="I626" s="58" t="n">
        <f aca="false">IF(06_Jugos_Desayuno_Rapido!H49="","",06_Jugos_Desayuno_Rapido!H49)</f>
        <v>3</v>
      </c>
      <c r="J626" s="58" t="n">
        <f aca="false">IF(06_Jugos_Desayuno_Rapido!I49="","",06_Jugos_Desayuno_Rapido!I49)</f>
        <v>7</v>
      </c>
      <c r="K626" s="58" t="n">
        <f aca="false">IF(06_Jugos_Desayuno_Rapido!J49="","",06_Jugos_Desayuno_Rapido!J49)</f>
        <v>5</v>
      </c>
      <c r="L626" s="58" t="n">
        <f aca="false">IF(06_Jugos_Desayuno_Rapido!L49="","",06_Jugos_Desayuno_Rapido!L49)</f>
        <v>5.5</v>
      </c>
      <c r="M626" s="58" t="n">
        <f aca="false">IF(06_Jugos_Desayuno_Rapido!N49="","",06_Jugos_Desayuno_Rapido!N49)</f>
        <v>0.35</v>
      </c>
      <c r="N626" s="58" t="n">
        <f aca="false">IF(06_Jugos_Desayuno_Rapido!O49="","",06_Jugos_Desayuno_Rapido!O49)</f>
        <v>4.65</v>
      </c>
      <c r="O626" s="55" t="str">
        <f aca="false">IF(06_Jugos_Desayuno_Rapido!P49="","",06_Jugos_Desayuno_Rapido!P49)</f>
        <v>06:00-16:00</v>
      </c>
      <c r="P626" s="55" t="n">
        <f aca="false">IF(06_Jugos_Desayuno_Rapido!Q49="","",06_Jugos_Desayuno_Rapido!Q49)</f>
        <v>3</v>
      </c>
      <c r="Q626" s="55" t="str">
        <f aca="false">IF(06_Jugos_Desayuno_Rapido!R49="","",06_Jugos_Desayuno_Rapido!R49)</f>
        <v>Alto</v>
      </c>
      <c r="R626" s="55" t="str">
        <f aca="false">IF(06_Jugos_Desayuno_Rapido!S49="","",06_Jugos_Desayuno_Rapido!S49)</f>
        <v>Todo el año</v>
      </c>
      <c r="S626" s="55" t="str">
        <f aca="false">IF(06_Jugos_Desayuno_Rapido!T49="","",06_Jugos_Desayuno_Rapido!T49)</f>
        <v>Carretilla</v>
      </c>
      <c r="T626" s="56" t="str">
        <f aca="false">IF(06_Jugos_Desayuno_Rapido!U49="","",06_Jugos_Desayuno_Rapido!U49)</f>
        <v/>
      </c>
      <c r="U626" s="55" t="n">
        <v>49</v>
      </c>
      <c r="V626" s="55" t="n">
        <f aca="false">IF(AND(OR(LEN(13_Buscador!$C$5)=0,ISNUMBER(SEARCH(13_Buscador!$C$5,$C626&amp;" "&amp;$D626&amp;" "&amp;$E626&amp;" "&amp;$F626&amp;" "&amp;$S626))),OR(13_Buscador!$C$6="Todas las listas",LEN(13_Buscador!$C$6)=0,13_Buscador!$C$6=$B626)),1,0)</f>
        <v>0</v>
      </c>
      <c r="W626" s="55" t="str">
        <f aca="false">IF(V626=1,SUM($V$2:V626),"")</f>
        <v/>
      </c>
    </row>
    <row r="627" customFormat="false" ht="15" hidden="false" customHeight="true" outlineLevel="0" collapsed="false">
      <c r="A627" s="55" t="n">
        <v>626</v>
      </c>
      <c r="B627" s="55" t="s">
        <v>3332</v>
      </c>
      <c r="C627" s="55" t="str">
        <f aca="false">IF(06_Jugos_Desayuno_Rapido!B50="","",06_Jugos_Desayuno_Rapido!B50)</f>
        <v>Snacks de calle</v>
      </c>
      <c r="D627" s="56" t="str">
        <f aca="false">IF(06_Jugos_Desayuno_Rapido!C50="","",06_Jugos_Desayuno_Rapido!C50)</f>
        <v>Gelatina en vaso</v>
      </c>
      <c r="E627" s="56" t="str">
        <f aca="false">IF(06_Jugos_Desayuno_Rapido!D50="","",06_Jugos_Desayuno_Rapido!D50)</f>
        <v>Postre para llevar</v>
      </c>
      <c r="F627" s="56" t="str">
        <f aca="false">IF(06_Jugos_Desayuno_Rapido!E50="","",06_Jugos_Desayuno_Rapido!E50)</f>
        <v>gelatina, agua, azúcar, leche</v>
      </c>
      <c r="G627" s="55" t="str">
        <f aca="false">IF(06_Jugos_Desayuno_Rapido!F50="","",06_Jugos_Desayuno_Rapido!F50)</f>
        <v>Vaso</v>
      </c>
      <c r="H627" s="55" t="str">
        <f aca="false">IF(06_Jugos_Desayuno_Rapido!G50="","",06_Jugos_Desayuno_Rapido!G50)</f>
        <v>Económico</v>
      </c>
      <c r="I627" s="58" t="n">
        <f aca="false">IF(06_Jugos_Desayuno_Rapido!H50="","",06_Jugos_Desayuno_Rapido!H50)</f>
        <v>1.5</v>
      </c>
      <c r="J627" s="58" t="n">
        <f aca="false">IF(06_Jugos_Desayuno_Rapido!I50="","",06_Jugos_Desayuno_Rapido!I50)</f>
        <v>4</v>
      </c>
      <c r="K627" s="58" t="n">
        <f aca="false">IF(06_Jugos_Desayuno_Rapido!J50="","",06_Jugos_Desayuno_Rapido!J50)</f>
        <v>2.8</v>
      </c>
      <c r="L627" s="58" t="n">
        <f aca="false">IF(06_Jugos_Desayuno_Rapido!L50="","",06_Jugos_Desayuno_Rapido!L50)</f>
        <v>3.3</v>
      </c>
      <c r="M627" s="58" t="n">
        <f aca="false">IF(06_Jugos_Desayuno_Rapido!N50="","",06_Jugos_Desayuno_Rapido!N50)</f>
        <v>0.2</v>
      </c>
      <c r="N627" s="58" t="n">
        <f aca="false">IF(06_Jugos_Desayuno_Rapido!O50="","",06_Jugos_Desayuno_Rapido!O50)</f>
        <v>2.6</v>
      </c>
      <c r="O627" s="55" t="str">
        <f aca="false">IF(06_Jugos_Desayuno_Rapido!P50="","",06_Jugos_Desayuno_Rapido!P50)</f>
        <v>Todo el día</v>
      </c>
      <c r="P627" s="55" t="n">
        <f aca="false">IF(06_Jugos_Desayuno_Rapido!Q50="","",06_Jugos_Desayuno_Rapido!Q50)</f>
        <v>1</v>
      </c>
      <c r="Q627" s="55" t="str">
        <f aca="false">IF(06_Jugos_Desayuno_Rapido!R50="","",06_Jugos_Desayuno_Rapido!R50)</f>
        <v>Alto</v>
      </c>
      <c r="R627" s="55" t="str">
        <f aca="false">IF(06_Jugos_Desayuno_Rapido!S50="","",06_Jugos_Desayuno_Rapido!S50)</f>
        <v>Todo el año</v>
      </c>
      <c r="S627" s="55" t="str">
        <f aca="false">IF(06_Jugos_Desayuno_Rapido!T50="","",06_Jugos_Desayuno_Rapido!T50)</f>
        <v>Carretilla</v>
      </c>
      <c r="T627" s="56" t="str">
        <f aca="false">IF(06_Jugos_Desayuno_Rapido!U50="","",06_Jugos_Desayuno_Rapido!U50)</f>
        <v/>
      </c>
      <c r="U627" s="55" t="n">
        <v>50</v>
      </c>
      <c r="V627" s="55" t="n">
        <f aca="false">IF(AND(OR(LEN(13_Buscador!$C$5)=0,ISNUMBER(SEARCH(13_Buscador!$C$5,$C627&amp;" "&amp;$D627&amp;" "&amp;$E627&amp;" "&amp;$F627&amp;" "&amp;$S627))),OR(13_Buscador!$C$6="Todas las listas",LEN(13_Buscador!$C$6)=0,13_Buscador!$C$6=$B627)),1,0)</f>
        <v>0</v>
      </c>
      <c r="W627" s="55" t="str">
        <f aca="false">IF(V627=1,SUM($V$2:V627),"")</f>
        <v/>
      </c>
    </row>
    <row r="628" customFormat="false" ht="15" hidden="false" customHeight="true" outlineLevel="0" collapsed="false">
      <c r="A628" s="55" t="n">
        <v>627</v>
      </c>
      <c r="B628" s="55" t="s">
        <v>3332</v>
      </c>
      <c r="C628" s="55" t="str">
        <f aca="false">IF(06_Jugos_Desayuno_Rapido!B51="","",06_Jugos_Desayuno_Rapido!B51)</f>
        <v>Snacks de calle</v>
      </c>
      <c r="D628" s="56" t="str">
        <f aca="false">IF(06_Jugos_Desayuno_Rapido!C51="","",06_Jugos_Desayuno_Rapido!C51)</f>
        <v>Arroz con leche en vaso</v>
      </c>
      <c r="E628" s="56" t="str">
        <f aca="false">IF(06_Jugos_Desayuno_Rapido!D51="","",06_Jugos_Desayuno_Rapido!D51)</f>
        <v>Postre para llevar</v>
      </c>
      <c r="F628" s="56" t="str">
        <f aca="false">IF(06_Jugos_Desayuno_Rapido!E51="","",06_Jugos_Desayuno_Rapido!E51)</f>
        <v>arroz, leche, canela, clavo, azúcar, pasas</v>
      </c>
      <c r="G628" s="55" t="str">
        <f aca="false">IF(06_Jugos_Desayuno_Rapido!F51="","",06_Jugos_Desayuno_Rapido!F51)</f>
        <v>Vaso</v>
      </c>
      <c r="H628" s="55" t="str">
        <f aca="false">IF(06_Jugos_Desayuno_Rapido!G51="","",06_Jugos_Desayuno_Rapido!G51)</f>
        <v>Económico</v>
      </c>
      <c r="I628" s="58" t="n">
        <f aca="false">IF(06_Jugos_Desayuno_Rapido!H51="","",06_Jugos_Desayuno_Rapido!H51)</f>
        <v>2</v>
      </c>
      <c r="J628" s="58" t="n">
        <f aca="false">IF(06_Jugos_Desayuno_Rapido!I51="","",06_Jugos_Desayuno_Rapido!I51)</f>
        <v>5</v>
      </c>
      <c r="K628" s="58" t="n">
        <f aca="false">IF(06_Jugos_Desayuno_Rapido!J51="","",06_Jugos_Desayuno_Rapido!J51)</f>
        <v>3.5</v>
      </c>
      <c r="L628" s="58" t="n">
        <f aca="false">IF(06_Jugos_Desayuno_Rapido!L51="","",06_Jugos_Desayuno_Rapido!L51)</f>
        <v>4</v>
      </c>
      <c r="M628" s="58" t="n">
        <f aca="false">IF(06_Jugos_Desayuno_Rapido!N51="","",06_Jugos_Desayuno_Rapido!N51)</f>
        <v>0.25</v>
      </c>
      <c r="N628" s="58" t="n">
        <f aca="false">IF(06_Jugos_Desayuno_Rapido!O51="","",06_Jugos_Desayuno_Rapido!O51)</f>
        <v>3.25</v>
      </c>
      <c r="O628" s="55" t="str">
        <f aca="false">IF(06_Jugos_Desayuno_Rapido!P51="","",06_Jugos_Desayuno_Rapido!P51)</f>
        <v>Todo el día</v>
      </c>
      <c r="P628" s="55" t="n">
        <f aca="false">IF(06_Jugos_Desayuno_Rapido!Q51="","",06_Jugos_Desayuno_Rapido!Q51)</f>
        <v>1</v>
      </c>
      <c r="Q628" s="55" t="str">
        <f aca="false">IF(06_Jugos_Desayuno_Rapido!R51="","",06_Jugos_Desayuno_Rapido!R51)</f>
        <v>Alto</v>
      </c>
      <c r="R628" s="55" t="str">
        <f aca="false">IF(06_Jugos_Desayuno_Rapido!S51="","",06_Jugos_Desayuno_Rapido!S51)</f>
        <v>Todo el año</v>
      </c>
      <c r="S628" s="55" t="str">
        <f aca="false">IF(06_Jugos_Desayuno_Rapido!T51="","",06_Jugos_Desayuno_Rapido!T51)</f>
        <v>Carretilla, mercado</v>
      </c>
      <c r="T628" s="56" t="str">
        <f aca="false">IF(06_Jugos_Desayuno_Rapido!U51="","",06_Jugos_Desayuno_Rapido!U51)</f>
        <v/>
      </c>
      <c r="U628" s="55" t="n">
        <v>51</v>
      </c>
      <c r="V628" s="55" t="n">
        <f aca="false">IF(AND(OR(LEN(13_Buscador!$C$5)=0,ISNUMBER(SEARCH(13_Buscador!$C$5,$C628&amp;" "&amp;$D628&amp;" "&amp;$E628&amp;" "&amp;$F628&amp;" "&amp;$S628))),OR(13_Buscador!$C$6="Todas las listas",LEN(13_Buscador!$C$6)=0,13_Buscador!$C$6=$B628)),1,0)</f>
        <v>0</v>
      </c>
      <c r="W628" s="55" t="str">
        <f aca="false">IF(V628=1,SUM($V$2:V628),"")</f>
        <v/>
      </c>
    </row>
    <row r="629" customFormat="false" ht="15" hidden="false" customHeight="true" outlineLevel="0" collapsed="false">
      <c r="A629" s="55" t="n">
        <v>628</v>
      </c>
      <c r="B629" s="55" t="s">
        <v>3332</v>
      </c>
      <c r="C629" s="55" t="str">
        <f aca="false">IF(06_Jugos_Desayuno_Rapido!B52="","",06_Jugos_Desayuno_Rapido!B52)</f>
        <v>Snacks de calle</v>
      </c>
      <c r="D629" s="56" t="str">
        <f aca="false">IF(06_Jugos_Desayuno_Rapido!C52="","",06_Jugos_Desayuno_Rapido!C52)</f>
        <v>Mazamorra en vaso</v>
      </c>
      <c r="E629" s="56" t="str">
        <f aca="false">IF(06_Jugos_Desayuno_Rapido!D52="","",06_Jugos_Desayuno_Rapido!D52)</f>
        <v>Postre para llevar</v>
      </c>
      <c r="F629" s="56" t="str">
        <f aca="false">IF(06_Jugos_Desayuno_Rapido!E52="","",06_Jugos_Desayuno_Rapido!E52)</f>
        <v>maíz morado o harina, fruta, azúcar, canela</v>
      </c>
      <c r="G629" s="55" t="str">
        <f aca="false">IF(06_Jugos_Desayuno_Rapido!F52="","",06_Jugos_Desayuno_Rapido!F52)</f>
        <v>Vaso</v>
      </c>
      <c r="H629" s="55" t="str">
        <f aca="false">IF(06_Jugos_Desayuno_Rapido!G52="","",06_Jugos_Desayuno_Rapido!G52)</f>
        <v>Económico</v>
      </c>
      <c r="I629" s="58" t="n">
        <f aca="false">IF(06_Jugos_Desayuno_Rapido!H52="","",06_Jugos_Desayuno_Rapido!H52)</f>
        <v>2</v>
      </c>
      <c r="J629" s="58" t="n">
        <f aca="false">IF(06_Jugos_Desayuno_Rapido!I52="","",06_Jugos_Desayuno_Rapido!I52)</f>
        <v>5</v>
      </c>
      <c r="K629" s="58" t="n">
        <f aca="false">IF(06_Jugos_Desayuno_Rapido!J52="","",06_Jugos_Desayuno_Rapido!J52)</f>
        <v>3.5</v>
      </c>
      <c r="L629" s="58" t="n">
        <f aca="false">IF(06_Jugos_Desayuno_Rapido!L52="","",06_Jugos_Desayuno_Rapido!L52)</f>
        <v>4</v>
      </c>
      <c r="M629" s="58" t="n">
        <f aca="false">IF(06_Jugos_Desayuno_Rapido!N52="","",06_Jugos_Desayuno_Rapido!N52)</f>
        <v>0.25</v>
      </c>
      <c r="N629" s="58" t="n">
        <f aca="false">IF(06_Jugos_Desayuno_Rapido!O52="","",06_Jugos_Desayuno_Rapido!O52)</f>
        <v>3.25</v>
      </c>
      <c r="O629" s="55" t="str">
        <f aca="false">IF(06_Jugos_Desayuno_Rapido!P52="","",06_Jugos_Desayuno_Rapido!P52)</f>
        <v>Todo el día</v>
      </c>
      <c r="P629" s="55" t="n">
        <f aca="false">IF(06_Jugos_Desayuno_Rapido!Q52="","",06_Jugos_Desayuno_Rapido!Q52)</f>
        <v>1</v>
      </c>
      <c r="Q629" s="55" t="str">
        <f aca="false">IF(06_Jugos_Desayuno_Rapido!R52="","",06_Jugos_Desayuno_Rapido!R52)</f>
        <v>Alto</v>
      </c>
      <c r="R629" s="55" t="str">
        <f aca="false">IF(06_Jugos_Desayuno_Rapido!S52="","",06_Jugos_Desayuno_Rapido!S52)</f>
        <v>Todo el año</v>
      </c>
      <c r="S629" s="55" t="str">
        <f aca="false">IF(06_Jugos_Desayuno_Rapido!T52="","",06_Jugos_Desayuno_Rapido!T52)</f>
        <v>Carretilla, mercado</v>
      </c>
      <c r="T629" s="56" t="str">
        <f aca="false">IF(06_Jugos_Desayuno_Rapido!U52="","",06_Jugos_Desayuno_Rapido!U52)</f>
        <v/>
      </c>
      <c r="U629" s="55" t="n">
        <v>52</v>
      </c>
      <c r="V629" s="55" t="n">
        <f aca="false">IF(AND(OR(LEN(13_Buscador!$C$5)=0,ISNUMBER(SEARCH(13_Buscador!$C$5,$C629&amp;" "&amp;$D629&amp;" "&amp;$E629&amp;" "&amp;$F629&amp;" "&amp;$S629))),OR(13_Buscador!$C$6="Todas las listas",LEN(13_Buscador!$C$6)=0,13_Buscador!$C$6=$B629)),1,0)</f>
        <v>0</v>
      </c>
      <c r="W629" s="55" t="str">
        <f aca="false">IF(V629=1,SUM($V$2:V629),"")</f>
        <v/>
      </c>
    </row>
    <row r="630" customFormat="false" ht="15" hidden="false" customHeight="true" outlineLevel="0" collapsed="false">
      <c r="A630" s="55" t="n">
        <v>629</v>
      </c>
      <c r="B630" s="55" t="s">
        <v>3332</v>
      </c>
      <c r="C630" s="55" t="str">
        <f aca="false">IF(06_Jugos_Desayuno_Rapido!B53="","",06_Jugos_Desayuno_Rapido!B53)</f>
        <v>Snacks de calle</v>
      </c>
      <c r="D630" s="56" t="str">
        <f aca="false">IF(06_Jugos_Desayuno_Rapido!C53="","",06_Jugos_Desayuno_Rapido!C53)</f>
        <v>Combinado en vaso</v>
      </c>
      <c r="E630" s="56" t="str">
        <f aca="false">IF(06_Jugos_Desayuno_Rapido!D53="","",06_Jugos_Desayuno_Rapido!D53)</f>
        <v>Arroz con leche + mazamorra</v>
      </c>
      <c r="F630" s="56" t="str">
        <f aca="false">IF(06_Jugos_Desayuno_Rapido!E53="","",06_Jugos_Desayuno_Rapido!E53)</f>
        <v>arroz con leche y mazamorra morada</v>
      </c>
      <c r="G630" s="55" t="str">
        <f aca="false">IF(06_Jugos_Desayuno_Rapido!F53="","",06_Jugos_Desayuno_Rapido!F53)</f>
        <v>Vaso</v>
      </c>
      <c r="H630" s="55" t="str">
        <f aca="false">IF(06_Jugos_Desayuno_Rapido!G53="","",06_Jugos_Desayuno_Rapido!G53)</f>
        <v>Económico</v>
      </c>
      <c r="I630" s="58" t="n">
        <f aca="false">IF(06_Jugos_Desayuno_Rapido!H53="","",06_Jugos_Desayuno_Rapido!H53)</f>
        <v>3</v>
      </c>
      <c r="J630" s="58" t="n">
        <f aca="false">IF(06_Jugos_Desayuno_Rapido!I53="","",06_Jugos_Desayuno_Rapido!I53)</f>
        <v>6</v>
      </c>
      <c r="K630" s="58" t="n">
        <f aca="false">IF(06_Jugos_Desayuno_Rapido!J53="","",06_Jugos_Desayuno_Rapido!J53)</f>
        <v>4.5</v>
      </c>
      <c r="L630" s="58" t="n">
        <f aca="false">IF(06_Jugos_Desayuno_Rapido!L53="","",06_Jugos_Desayuno_Rapido!L53)</f>
        <v>5</v>
      </c>
      <c r="M630" s="58" t="n">
        <f aca="false">IF(06_Jugos_Desayuno_Rapido!N53="","",06_Jugos_Desayuno_Rapido!N53)</f>
        <v>0.32</v>
      </c>
      <c r="N630" s="58" t="n">
        <f aca="false">IF(06_Jugos_Desayuno_Rapido!O53="","",06_Jugos_Desayuno_Rapido!O53)</f>
        <v>4.18</v>
      </c>
      <c r="O630" s="55" t="str">
        <f aca="false">IF(06_Jugos_Desayuno_Rapido!P53="","",06_Jugos_Desayuno_Rapido!P53)</f>
        <v>Todo el día</v>
      </c>
      <c r="P630" s="55" t="n">
        <f aca="false">IF(06_Jugos_Desayuno_Rapido!Q53="","",06_Jugos_Desayuno_Rapido!Q53)</f>
        <v>2</v>
      </c>
      <c r="Q630" s="55" t="str">
        <f aca="false">IF(06_Jugos_Desayuno_Rapido!R53="","",06_Jugos_Desayuno_Rapido!R53)</f>
        <v>Alto</v>
      </c>
      <c r="R630" s="55" t="str">
        <f aca="false">IF(06_Jugos_Desayuno_Rapido!S53="","",06_Jugos_Desayuno_Rapido!S53)</f>
        <v>Todo el año</v>
      </c>
      <c r="S630" s="55" t="str">
        <f aca="false">IF(06_Jugos_Desayuno_Rapido!T53="","",06_Jugos_Desayuno_Rapido!T53)</f>
        <v>Carretilla, mercado</v>
      </c>
      <c r="T630" s="56" t="str">
        <f aca="false">IF(06_Jugos_Desayuno_Rapido!U53="","",06_Jugos_Desayuno_Rapido!U53)</f>
        <v>Clásico del mercado</v>
      </c>
      <c r="U630" s="55" t="n">
        <v>53</v>
      </c>
      <c r="V630" s="55" t="n">
        <f aca="false">IF(AND(OR(LEN(13_Buscador!$C$5)=0,ISNUMBER(SEARCH(13_Buscador!$C$5,$C630&amp;" "&amp;$D630&amp;" "&amp;$E630&amp;" "&amp;$F630&amp;" "&amp;$S630))),OR(13_Buscador!$C$6="Todas las listas",LEN(13_Buscador!$C$6)=0,13_Buscador!$C$6=$B630)),1,0)</f>
        <v>0</v>
      </c>
      <c r="W630" s="55" t="str">
        <f aca="false">IF(V630=1,SUM($V$2:V630),"")</f>
        <v/>
      </c>
    </row>
    <row r="631" customFormat="false" ht="23.25" hidden="false" customHeight="true" outlineLevel="0" collapsed="false">
      <c r="A631" s="55" t="n">
        <v>630</v>
      </c>
      <c r="B631" s="55" t="s">
        <v>3332</v>
      </c>
      <c r="C631" s="55" t="str">
        <f aca="false">IF(06_Jugos_Desayuno_Rapido!B54="","",06_Jugos_Desayuno_Rapido!B54)</f>
        <v>Snacks de calle</v>
      </c>
      <c r="D631" s="56" t="str">
        <f aca="false">IF(06_Jugos_Desayuno_Rapido!C54="","",06_Jugos_Desayuno_Rapido!C54)</f>
        <v>Helado de carretilla</v>
      </c>
      <c r="E631" s="56" t="str">
        <f aca="false">IF(06_Jugos_Desayuno_Rapido!D54="","",06_Jugos_Desayuno_Rapido!D54)</f>
        <v>Helado artesanal</v>
      </c>
      <c r="F631" s="56" t="str">
        <f aca="false">IF(06_Jugos_Desayuno_Rapido!E54="","",06_Jugos_Desayuno_Rapido!E54)</f>
        <v>leche o fruta, azúcar, hielo</v>
      </c>
      <c r="G631" s="55" t="str">
        <f aca="false">IF(06_Jugos_Desayuno_Rapido!F54="","",06_Jugos_Desayuno_Rapido!F54)</f>
        <v>Cono o vaso</v>
      </c>
      <c r="H631" s="55" t="str">
        <f aca="false">IF(06_Jugos_Desayuno_Rapido!G54="","",06_Jugos_Desayuno_Rapido!G54)</f>
        <v>Económico</v>
      </c>
      <c r="I631" s="58" t="n">
        <f aca="false">IF(06_Jugos_Desayuno_Rapido!H54="","",06_Jugos_Desayuno_Rapido!H54)</f>
        <v>1.5</v>
      </c>
      <c r="J631" s="58" t="n">
        <f aca="false">IF(06_Jugos_Desayuno_Rapido!I54="","",06_Jugos_Desayuno_Rapido!I54)</f>
        <v>5</v>
      </c>
      <c r="K631" s="58" t="n">
        <f aca="false">IF(06_Jugos_Desayuno_Rapido!J54="","",06_Jugos_Desayuno_Rapido!J54)</f>
        <v>3.3</v>
      </c>
      <c r="L631" s="58" t="n">
        <f aca="false">IF(06_Jugos_Desayuno_Rapido!L54="","",06_Jugos_Desayuno_Rapido!L54)</f>
        <v>3.8</v>
      </c>
      <c r="M631" s="58" t="n">
        <f aca="false">IF(06_Jugos_Desayuno_Rapido!N54="","",06_Jugos_Desayuno_Rapido!N54)</f>
        <v>0.23</v>
      </c>
      <c r="N631" s="58" t="n">
        <f aca="false">IF(06_Jugos_Desayuno_Rapido!O54="","",06_Jugos_Desayuno_Rapido!O54)</f>
        <v>3.07</v>
      </c>
      <c r="O631" s="55" t="str">
        <f aca="false">IF(06_Jugos_Desayuno_Rapido!P54="","",06_Jugos_Desayuno_Rapido!P54)</f>
        <v>11:00-18:00</v>
      </c>
      <c r="P631" s="55" t="n">
        <f aca="false">IF(06_Jugos_Desayuno_Rapido!Q54="","",06_Jugos_Desayuno_Rapido!Q54)</f>
        <v>1</v>
      </c>
      <c r="Q631" s="55" t="str">
        <f aca="false">IF(06_Jugos_Desayuno_Rapido!R54="","",06_Jugos_Desayuno_Rapido!R54)</f>
        <v>Bajo</v>
      </c>
      <c r="R631" s="55" t="str">
        <f aca="false">IF(06_Jugos_Desayuno_Rapido!S54="","",06_Jugos_Desayuno_Rapido!S54)</f>
        <v>Mayor demanda en calor</v>
      </c>
      <c r="S631" s="55" t="str">
        <f aca="false">IF(06_Jugos_Desayuno_Rapido!T54="","",06_Jugos_Desayuno_Rapido!T54)</f>
        <v>Carretilla</v>
      </c>
      <c r="T631" s="56" t="str">
        <f aca="false">IF(06_Jugos_Desayuno_Rapido!U54="","",06_Jugos_Desayuno_Rapido!U54)</f>
        <v>Se derrite: no apto para entregas de más de 15 minutos</v>
      </c>
      <c r="U631" s="55" t="n">
        <v>54</v>
      </c>
      <c r="V631" s="55" t="n">
        <f aca="false">IF(AND(OR(LEN(13_Buscador!$C$5)=0,ISNUMBER(SEARCH(13_Buscador!$C$5,$C631&amp;" "&amp;$D631&amp;" "&amp;$E631&amp;" "&amp;$F631&amp;" "&amp;$S631))),OR(13_Buscador!$C$6="Todas las listas",LEN(13_Buscador!$C$6)=0,13_Buscador!$C$6=$B631)),1,0)</f>
        <v>0</v>
      </c>
      <c r="W631" s="55" t="str">
        <f aca="false">IF(V631=1,SUM($V$2:V631),"")</f>
        <v/>
      </c>
    </row>
    <row r="632" customFormat="false" ht="23.25" hidden="false" customHeight="true" outlineLevel="0" collapsed="false">
      <c r="A632" s="55" t="n">
        <v>631</v>
      </c>
      <c r="B632" s="55" t="s">
        <v>3332</v>
      </c>
      <c r="C632" s="55" t="str">
        <f aca="false">IF(06_Jugos_Desayuno_Rapido!B55="","",06_Jugos_Desayuno_Rapido!B55)</f>
        <v>Bebidas calientes de carretilla</v>
      </c>
      <c r="D632" s="56" t="str">
        <f aca="false">IF(06_Jugos_Desayuno_Rapido!C55="","",06_Jugos_Desayuno_Rapido!C55)</f>
        <v>Api de quinua</v>
      </c>
      <c r="E632" s="56" t="str">
        <f aca="false">IF(06_Jugos_Desayuno_Rapido!D55="","",06_Jugos_Desayuno_Rapido!D55)</f>
        <v>Api con quinua</v>
      </c>
      <c r="F632" s="56" t="str">
        <f aca="false">IF(06_Jugos_Desayuno_Rapido!E55="","",06_Jugos_Desayuno_Rapido!E55)</f>
        <v>maíz morado, canela, clavo de olor, azúcar, harina de maíz</v>
      </c>
      <c r="G632" s="55" t="str">
        <f aca="false">IF(06_Jugos_Desayuno_Rapido!F55="","",06_Jugos_Desayuno_Rapido!F55)</f>
        <v>Vaso 300 ml</v>
      </c>
      <c r="H632" s="55" t="str">
        <f aca="false">IF(06_Jugos_Desayuno_Rapido!G55="","",06_Jugos_Desayuno_Rapido!G55)</f>
        <v>Económico</v>
      </c>
      <c r="I632" s="58" t="n">
        <f aca="false">IF(06_Jugos_Desayuno_Rapido!H55="","",06_Jugos_Desayuno_Rapido!H55)</f>
        <v>2</v>
      </c>
      <c r="J632" s="58" t="n">
        <f aca="false">IF(06_Jugos_Desayuno_Rapido!I55="","",06_Jugos_Desayuno_Rapido!I55)</f>
        <v>5</v>
      </c>
      <c r="K632" s="58" t="n">
        <f aca="false">IF(06_Jugos_Desayuno_Rapido!J55="","",06_Jugos_Desayuno_Rapido!J55)</f>
        <v>3.5</v>
      </c>
      <c r="L632" s="58" t="n">
        <f aca="false">IF(06_Jugos_Desayuno_Rapido!L55="","",06_Jugos_Desayuno_Rapido!L55)</f>
        <v>4</v>
      </c>
      <c r="M632" s="58" t="n">
        <f aca="false">IF(06_Jugos_Desayuno_Rapido!N55="","",06_Jugos_Desayuno_Rapido!N55)</f>
        <v>0.25</v>
      </c>
      <c r="N632" s="58" t="n">
        <f aca="false">IF(06_Jugos_Desayuno_Rapido!O55="","",06_Jugos_Desayuno_Rapido!O55)</f>
        <v>3.25</v>
      </c>
      <c r="O632" s="55" t="str">
        <f aca="false">IF(06_Jugos_Desayuno_Rapido!P55="","",06_Jugos_Desayuno_Rapido!P55)</f>
        <v>05:00-09:00</v>
      </c>
      <c r="P632" s="55" t="n">
        <f aca="false">IF(06_Jugos_Desayuno_Rapido!Q55="","",06_Jugos_Desayuno_Rapido!Q55)</f>
        <v>2</v>
      </c>
      <c r="Q632" s="55" t="str">
        <f aca="false">IF(06_Jugos_Desayuno_Rapido!R55="","",06_Jugos_Desayuno_Rapido!R55)</f>
        <v>Medio</v>
      </c>
      <c r="R632" s="55" t="str">
        <f aca="false">IF(06_Jugos_Desayuno_Rapido!S55="","",06_Jugos_Desayuno_Rapido!S55)</f>
        <v>Mayor demanda en frío</v>
      </c>
      <c r="S632" s="55" t="str">
        <f aca="false">IF(06_Jugos_Desayuno_Rapido!T55="","",06_Jugos_Desayuno_Rapido!T55)</f>
        <v>Carretilla</v>
      </c>
      <c r="T632" s="56" t="str">
        <f aca="false">IF(06_Jugos_Desayuno_Rapido!U55="","",06_Jugos_Desayuno_Rapido!U55)</f>
        <v/>
      </c>
      <c r="U632" s="55" t="n">
        <v>55</v>
      </c>
      <c r="V632" s="55" t="n">
        <f aca="false">IF(AND(OR(LEN(13_Buscador!$C$5)=0,ISNUMBER(SEARCH(13_Buscador!$C$5,$C632&amp;" "&amp;$D632&amp;" "&amp;$E632&amp;" "&amp;$F632&amp;" "&amp;$S632))),OR(13_Buscador!$C$6="Todas las listas",LEN(13_Buscador!$C$6)=0,13_Buscador!$C$6=$B632)),1,0)</f>
        <v>0</v>
      </c>
      <c r="W632" s="55" t="str">
        <f aca="false">IF(V632=1,SUM($V$2:V632),"")</f>
        <v/>
      </c>
    </row>
    <row r="633" customFormat="false" ht="23.25" hidden="false" customHeight="true" outlineLevel="0" collapsed="false">
      <c r="A633" s="55" t="n">
        <v>632</v>
      </c>
      <c r="B633" s="55" t="s">
        <v>3332</v>
      </c>
      <c r="C633" s="55" t="str">
        <f aca="false">IF(06_Jugos_Desayuno_Rapido!B56="","",06_Jugos_Desayuno_Rapido!B56)</f>
        <v>Bebidas calientes de carretilla</v>
      </c>
      <c r="D633" s="56" t="str">
        <f aca="false">IF(06_Jugos_Desayuno_Rapido!C56="","",06_Jugos_Desayuno_Rapido!C56)</f>
        <v>Api con queso</v>
      </c>
      <c r="E633" s="56" t="str">
        <f aca="false">IF(06_Jugos_Desayuno_Rapido!D56="","",06_Jugos_Desayuno_Rapido!D56)</f>
        <v>Api acompañado de queso</v>
      </c>
      <c r="F633" s="56" t="str">
        <f aca="false">IF(06_Jugos_Desayuno_Rapido!E56="","",06_Jugos_Desayuno_Rapido!E56)</f>
        <v>maíz morado, canela, clavo de olor, azúcar, harina de maíz</v>
      </c>
      <c r="G633" s="55" t="str">
        <f aca="false">IF(06_Jugos_Desayuno_Rapido!F56="","",06_Jugos_Desayuno_Rapido!F56)</f>
        <v>Vaso + porción</v>
      </c>
      <c r="H633" s="55" t="str">
        <f aca="false">IF(06_Jugos_Desayuno_Rapido!G56="","",06_Jugos_Desayuno_Rapido!G56)</f>
        <v>Económico</v>
      </c>
      <c r="I633" s="58" t="n">
        <f aca="false">IF(06_Jugos_Desayuno_Rapido!H56="","",06_Jugos_Desayuno_Rapido!H56)</f>
        <v>4</v>
      </c>
      <c r="J633" s="58" t="n">
        <f aca="false">IF(06_Jugos_Desayuno_Rapido!I56="","",06_Jugos_Desayuno_Rapido!I56)</f>
        <v>8</v>
      </c>
      <c r="K633" s="58" t="n">
        <f aca="false">IF(06_Jugos_Desayuno_Rapido!J56="","",06_Jugos_Desayuno_Rapido!J56)</f>
        <v>6</v>
      </c>
      <c r="L633" s="58" t="n">
        <f aca="false">IF(06_Jugos_Desayuno_Rapido!L56="","",06_Jugos_Desayuno_Rapido!L56)</f>
        <v>6.5</v>
      </c>
      <c r="M633" s="58" t="n">
        <f aca="false">IF(06_Jugos_Desayuno_Rapido!N56="","",06_Jugos_Desayuno_Rapido!N56)</f>
        <v>0.42</v>
      </c>
      <c r="N633" s="58" t="n">
        <f aca="false">IF(06_Jugos_Desayuno_Rapido!O56="","",06_Jugos_Desayuno_Rapido!O56)</f>
        <v>5.58</v>
      </c>
      <c r="O633" s="55" t="str">
        <f aca="false">IF(06_Jugos_Desayuno_Rapido!P56="","",06_Jugos_Desayuno_Rapido!P56)</f>
        <v>05:00-09:00</v>
      </c>
      <c r="P633" s="55" t="n">
        <f aca="false">IF(06_Jugos_Desayuno_Rapido!Q56="","",06_Jugos_Desayuno_Rapido!Q56)</f>
        <v>3</v>
      </c>
      <c r="Q633" s="55" t="str">
        <f aca="false">IF(06_Jugos_Desayuno_Rapido!R56="","",06_Jugos_Desayuno_Rapido!R56)</f>
        <v>Medio</v>
      </c>
      <c r="R633" s="55" t="str">
        <f aca="false">IF(06_Jugos_Desayuno_Rapido!S56="","",06_Jugos_Desayuno_Rapido!S56)</f>
        <v>Mayor demanda en frío</v>
      </c>
      <c r="S633" s="55" t="str">
        <f aca="false">IF(06_Jugos_Desayuno_Rapido!T56="","",06_Jugos_Desayuno_Rapido!T56)</f>
        <v>Carretilla</v>
      </c>
      <c r="T633" s="56" t="str">
        <f aca="false">IF(06_Jugos_Desayuno_Rapido!U56="","",06_Jugos_Desayuno_Rapido!U56)</f>
        <v/>
      </c>
      <c r="U633" s="55" t="n">
        <v>56</v>
      </c>
      <c r="V633" s="55" t="n">
        <f aca="false">IF(AND(OR(LEN(13_Buscador!$C$5)=0,ISNUMBER(SEARCH(13_Buscador!$C$5,$C633&amp;" "&amp;$D633&amp;" "&amp;$E633&amp;" "&amp;$F633&amp;" "&amp;$S633))),OR(13_Buscador!$C$6="Todas las listas",LEN(13_Buscador!$C$6)=0,13_Buscador!$C$6=$B633)),1,0)</f>
        <v>0</v>
      </c>
      <c r="W633" s="55" t="str">
        <f aca="false">IF(V633=1,SUM($V$2:V633),"")</f>
        <v/>
      </c>
    </row>
    <row r="634" customFormat="false" ht="15" hidden="false" customHeight="true" outlineLevel="0" collapsed="false">
      <c r="A634" s="55" t="n">
        <v>633</v>
      </c>
      <c r="B634" s="55" t="s">
        <v>3332</v>
      </c>
      <c r="C634" s="55" t="str">
        <f aca="false">IF(06_Jugos_Desayuno_Rapido!B57="","",06_Jugos_Desayuno_Rapido!B57)</f>
        <v>Bebidas calientes de carretilla</v>
      </c>
      <c r="D634" s="56" t="str">
        <f aca="false">IF(06_Jugos_Desayuno_Rapido!C57="","",06_Jugos_Desayuno_Rapido!C57)</f>
        <v>Ponche de quinua</v>
      </c>
      <c r="E634" s="56" t="str">
        <f aca="false">IF(06_Jugos_Desayuno_Rapido!D57="","",06_Jugos_Desayuno_Rapido!D57)</f>
        <v>Bebida espesa de quinua</v>
      </c>
      <c r="F634" s="56" t="str">
        <f aca="false">IF(06_Jugos_Desayuno_Rapido!E57="","",06_Jugos_Desayuno_Rapido!E57)</f>
        <v>harina de quinua, leche, azúcar, canela</v>
      </c>
      <c r="G634" s="55" t="str">
        <f aca="false">IF(06_Jugos_Desayuno_Rapido!F57="","",06_Jugos_Desayuno_Rapido!F57)</f>
        <v>Vaso 300 ml</v>
      </c>
      <c r="H634" s="55" t="str">
        <f aca="false">IF(06_Jugos_Desayuno_Rapido!G57="","",06_Jugos_Desayuno_Rapido!G57)</f>
        <v>Económico</v>
      </c>
      <c r="I634" s="58" t="n">
        <f aca="false">IF(06_Jugos_Desayuno_Rapido!H57="","",06_Jugos_Desayuno_Rapido!H57)</f>
        <v>3</v>
      </c>
      <c r="J634" s="58" t="n">
        <f aca="false">IF(06_Jugos_Desayuno_Rapido!I57="","",06_Jugos_Desayuno_Rapido!I57)</f>
        <v>7</v>
      </c>
      <c r="K634" s="58" t="n">
        <f aca="false">IF(06_Jugos_Desayuno_Rapido!J57="","",06_Jugos_Desayuno_Rapido!J57)</f>
        <v>5</v>
      </c>
      <c r="L634" s="58" t="n">
        <f aca="false">IF(06_Jugos_Desayuno_Rapido!L57="","",06_Jugos_Desayuno_Rapido!L57)</f>
        <v>5.5</v>
      </c>
      <c r="M634" s="58" t="n">
        <f aca="false">IF(06_Jugos_Desayuno_Rapido!N57="","",06_Jugos_Desayuno_Rapido!N57)</f>
        <v>0.35</v>
      </c>
      <c r="N634" s="58" t="n">
        <f aca="false">IF(06_Jugos_Desayuno_Rapido!O57="","",06_Jugos_Desayuno_Rapido!O57)</f>
        <v>4.65</v>
      </c>
      <c r="O634" s="55" t="str">
        <f aca="false">IF(06_Jugos_Desayuno_Rapido!P57="","",06_Jugos_Desayuno_Rapido!P57)</f>
        <v>05:00-09:00</v>
      </c>
      <c r="P634" s="55" t="n">
        <f aca="false">IF(06_Jugos_Desayuno_Rapido!Q57="","",06_Jugos_Desayuno_Rapido!Q57)</f>
        <v>2</v>
      </c>
      <c r="Q634" s="55" t="str">
        <f aca="false">IF(06_Jugos_Desayuno_Rapido!R57="","",06_Jugos_Desayuno_Rapido!R57)</f>
        <v>Medio</v>
      </c>
      <c r="R634" s="55" t="str">
        <f aca="false">IF(06_Jugos_Desayuno_Rapido!S57="","",06_Jugos_Desayuno_Rapido!S57)</f>
        <v>Mayor demanda en frío</v>
      </c>
      <c r="S634" s="55" t="str">
        <f aca="false">IF(06_Jugos_Desayuno_Rapido!T57="","",06_Jugos_Desayuno_Rapido!T57)</f>
        <v>Carretilla</v>
      </c>
      <c r="T634" s="56" t="str">
        <f aca="false">IF(06_Jugos_Desayuno_Rapido!U57="","",06_Jugos_Desayuno_Rapido!U57)</f>
        <v/>
      </c>
      <c r="U634" s="55" t="n">
        <v>57</v>
      </c>
      <c r="V634" s="55" t="n">
        <f aca="false">IF(AND(OR(LEN(13_Buscador!$C$5)=0,ISNUMBER(SEARCH(13_Buscador!$C$5,$C634&amp;" "&amp;$D634&amp;" "&amp;$E634&amp;" "&amp;$F634&amp;" "&amp;$S634))),OR(13_Buscador!$C$6="Todas las listas",LEN(13_Buscador!$C$6)=0,13_Buscador!$C$6=$B634)),1,0)</f>
        <v>0</v>
      </c>
      <c r="W634" s="55" t="str">
        <f aca="false">IF(V634=1,SUM($V$2:V634),"")</f>
        <v/>
      </c>
    </row>
    <row r="635" customFormat="false" ht="15" hidden="false" customHeight="true" outlineLevel="0" collapsed="false">
      <c r="A635" s="55" t="n">
        <v>634</v>
      </c>
      <c r="B635" s="55" t="s">
        <v>3332</v>
      </c>
      <c r="C635" s="55" t="str">
        <f aca="false">IF(06_Jugos_Desayuno_Rapido!B58="","",06_Jugos_Desayuno_Rapido!B58)</f>
        <v>Bebidas calientes de carretilla</v>
      </c>
      <c r="D635" s="56" t="str">
        <f aca="false">IF(06_Jugos_Desayuno_Rapido!C58="","",06_Jugos_Desayuno_Rapido!C58)</f>
        <v>Ponche de kiwicha</v>
      </c>
      <c r="E635" s="56" t="str">
        <f aca="false">IF(06_Jugos_Desayuno_Rapido!D58="","",06_Jugos_Desayuno_Rapido!D58)</f>
        <v>Bebida espesa andina</v>
      </c>
      <c r="F635" s="56" t="str">
        <f aca="false">IF(06_Jugos_Desayuno_Rapido!E58="","",06_Jugos_Desayuno_Rapido!E58)</f>
        <v>harina de kiwicha, leche, azúcar, canela</v>
      </c>
      <c r="G635" s="55" t="str">
        <f aca="false">IF(06_Jugos_Desayuno_Rapido!F58="","",06_Jugos_Desayuno_Rapido!F58)</f>
        <v>Vaso 300 ml</v>
      </c>
      <c r="H635" s="55" t="str">
        <f aca="false">IF(06_Jugos_Desayuno_Rapido!G58="","",06_Jugos_Desayuno_Rapido!G58)</f>
        <v>Económico</v>
      </c>
      <c r="I635" s="58" t="n">
        <f aca="false">IF(06_Jugos_Desayuno_Rapido!H58="","",06_Jugos_Desayuno_Rapido!H58)</f>
        <v>3</v>
      </c>
      <c r="J635" s="58" t="n">
        <f aca="false">IF(06_Jugos_Desayuno_Rapido!I58="","",06_Jugos_Desayuno_Rapido!I58)</f>
        <v>7</v>
      </c>
      <c r="K635" s="58" t="n">
        <f aca="false">IF(06_Jugos_Desayuno_Rapido!J58="","",06_Jugos_Desayuno_Rapido!J58)</f>
        <v>5</v>
      </c>
      <c r="L635" s="58" t="n">
        <f aca="false">IF(06_Jugos_Desayuno_Rapido!L58="","",06_Jugos_Desayuno_Rapido!L58)</f>
        <v>5.5</v>
      </c>
      <c r="M635" s="58" t="n">
        <f aca="false">IF(06_Jugos_Desayuno_Rapido!N58="","",06_Jugos_Desayuno_Rapido!N58)</f>
        <v>0.35</v>
      </c>
      <c r="N635" s="58" t="n">
        <f aca="false">IF(06_Jugos_Desayuno_Rapido!O58="","",06_Jugos_Desayuno_Rapido!O58)</f>
        <v>4.65</v>
      </c>
      <c r="O635" s="55" t="str">
        <f aca="false">IF(06_Jugos_Desayuno_Rapido!P58="","",06_Jugos_Desayuno_Rapido!P58)</f>
        <v>05:00-09:00</v>
      </c>
      <c r="P635" s="55" t="n">
        <f aca="false">IF(06_Jugos_Desayuno_Rapido!Q58="","",06_Jugos_Desayuno_Rapido!Q58)</f>
        <v>2</v>
      </c>
      <c r="Q635" s="55" t="str">
        <f aca="false">IF(06_Jugos_Desayuno_Rapido!R58="","",06_Jugos_Desayuno_Rapido!R58)</f>
        <v>Medio</v>
      </c>
      <c r="R635" s="55" t="str">
        <f aca="false">IF(06_Jugos_Desayuno_Rapido!S58="","",06_Jugos_Desayuno_Rapido!S58)</f>
        <v>Mayor demanda en frío</v>
      </c>
      <c r="S635" s="55" t="str">
        <f aca="false">IF(06_Jugos_Desayuno_Rapido!T58="","",06_Jugos_Desayuno_Rapido!T58)</f>
        <v>Carretilla</v>
      </c>
      <c r="T635" s="56" t="str">
        <f aca="false">IF(06_Jugos_Desayuno_Rapido!U58="","",06_Jugos_Desayuno_Rapido!U58)</f>
        <v/>
      </c>
      <c r="U635" s="55" t="n">
        <v>58</v>
      </c>
      <c r="V635" s="55" t="n">
        <f aca="false">IF(AND(OR(LEN(13_Buscador!$C$5)=0,ISNUMBER(SEARCH(13_Buscador!$C$5,$C635&amp;" "&amp;$D635&amp;" "&amp;$E635&amp;" "&amp;$F635&amp;" "&amp;$S635))),OR(13_Buscador!$C$6="Todas las listas",LEN(13_Buscador!$C$6)=0,13_Buscador!$C$6=$B635)),1,0)</f>
        <v>0</v>
      </c>
      <c r="W635" s="55" t="str">
        <f aca="false">IF(V635=1,SUM($V$2:V635),"")</f>
        <v/>
      </c>
    </row>
    <row r="636" customFormat="false" ht="15" hidden="false" customHeight="true" outlineLevel="0" collapsed="false">
      <c r="A636" s="55" t="n">
        <v>635</v>
      </c>
      <c r="B636" s="55" t="s">
        <v>3332</v>
      </c>
      <c r="C636" s="55" t="str">
        <f aca="false">IF(06_Jugos_Desayuno_Rapido!B59="","",06_Jugos_Desayuno_Rapido!B59)</f>
        <v>Bebidas calientes de carretilla</v>
      </c>
      <c r="D636" s="56" t="str">
        <f aca="false">IF(06_Jugos_Desayuno_Rapido!C59="","",06_Jugos_Desayuno_Rapido!C59)</f>
        <v>Ponche de ajonjolí</v>
      </c>
      <c r="E636" s="56" t="str">
        <f aca="false">IF(06_Jugos_Desayuno_Rapido!D59="","",06_Jugos_Desayuno_Rapido!D59)</f>
        <v>Bebida dulce espesa</v>
      </c>
      <c r="F636" s="56" t="str">
        <f aca="false">IF(06_Jugos_Desayuno_Rapido!E59="","",06_Jugos_Desayuno_Rapido!E59)</f>
        <v>ajonjolí tostado, leche, azúcar, canela</v>
      </c>
      <c r="G636" s="55" t="str">
        <f aca="false">IF(06_Jugos_Desayuno_Rapido!F59="","",06_Jugos_Desayuno_Rapido!F59)</f>
        <v>Vaso 300 ml</v>
      </c>
      <c r="H636" s="55" t="str">
        <f aca="false">IF(06_Jugos_Desayuno_Rapido!G59="","",06_Jugos_Desayuno_Rapido!G59)</f>
        <v>Económico</v>
      </c>
      <c r="I636" s="58" t="n">
        <f aca="false">IF(06_Jugos_Desayuno_Rapido!H59="","",06_Jugos_Desayuno_Rapido!H59)</f>
        <v>3</v>
      </c>
      <c r="J636" s="58" t="n">
        <f aca="false">IF(06_Jugos_Desayuno_Rapido!I59="","",06_Jugos_Desayuno_Rapido!I59)</f>
        <v>8</v>
      </c>
      <c r="K636" s="58" t="n">
        <f aca="false">IF(06_Jugos_Desayuno_Rapido!J59="","",06_Jugos_Desayuno_Rapido!J59)</f>
        <v>5.5</v>
      </c>
      <c r="L636" s="58" t="n">
        <f aca="false">IF(06_Jugos_Desayuno_Rapido!L59="","",06_Jugos_Desayuno_Rapido!L59)</f>
        <v>6</v>
      </c>
      <c r="M636" s="58" t="n">
        <f aca="false">IF(06_Jugos_Desayuno_Rapido!N59="","",06_Jugos_Desayuno_Rapido!N59)</f>
        <v>0.39</v>
      </c>
      <c r="N636" s="58" t="n">
        <f aca="false">IF(06_Jugos_Desayuno_Rapido!O59="","",06_Jugos_Desayuno_Rapido!O59)</f>
        <v>5.11</v>
      </c>
      <c r="O636" s="55" t="str">
        <f aca="false">IF(06_Jugos_Desayuno_Rapido!P59="","",06_Jugos_Desayuno_Rapido!P59)</f>
        <v>05:00-09:00</v>
      </c>
      <c r="P636" s="55" t="n">
        <f aca="false">IF(06_Jugos_Desayuno_Rapido!Q59="","",06_Jugos_Desayuno_Rapido!Q59)</f>
        <v>2</v>
      </c>
      <c r="Q636" s="55" t="str">
        <f aca="false">IF(06_Jugos_Desayuno_Rapido!R59="","",06_Jugos_Desayuno_Rapido!R59)</f>
        <v>Medio</v>
      </c>
      <c r="R636" s="55" t="str">
        <f aca="false">IF(06_Jugos_Desayuno_Rapido!S59="","",06_Jugos_Desayuno_Rapido!S59)</f>
        <v>Mayor demanda en frío</v>
      </c>
      <c r="S636" s="55" t="str">
        <f aca="false">IF(06_Jugos_Desayuno_Rapido!T59="","",06_Jugos_Desayuno_Rapido!T59)</f>
        <v>Carretilla</v>
      </c>
      <c r="T636" s="56" t="str">
        <f aca="false">IF(06_Jugos_Desayuno_Rapido!U59="","",06_Jugos_Desayuno_Rapido!U59)</f>
        <v/>
      </c>
      <c r="U636" s="55" t="n">
        <v>59</v>
      </c>
      <c r="V636" s="55" t="n">
        <f aca="false">IF(AND(OR(LEN(13_Buscador!$C$5)=0,ISNUMBER(SEARCH(13_Buscador!$C$5,$C636&amp;" "&amp;$D636&amp;" "&amp;$E636&amp;" "&amp;$F636&amp;" "&amp;$S636))),OR(13_Buscador!$C$6="Todas las listas",LEN(13_Buscador!$C$6)=0,13_Buscador!$C$6=$B636)),1,0)</f>
        <v>0</v>
      </c>
      <c r="W636" s="55" t="str">
        <f aca="false">IF(V636=1,SUM($V$2:V636),"")</f>
        <v/>
      </c>
    </row>
    <row r="637" customFormat="false" ht="15" hidden="false" customHeight="true" outlineLevel="0" collapsed="false">
      <c r="A637" s="55" t="n">
        <v>636</v>
      </c>
      <c r="B637" s="55" t="s">
        <v>3332</v>
      </c>
      <c r="C637" s="55" t="str">
        <f aca="false">IF(06_Jugos_Desayuno_Rapido!B60="","",06_Jugos_Desayuno_Rapido!B60)</f>
        <v>Bebidas calientes de carretilla</v>
      </c>
      <c r="D637" s="56" t="str">
        <f aca="false">IF(06_Jugos_Desayuno_Rapido!C60="","",06_Jugos_Desayuno_Rapido!C60)</f>
        <v>Emoliente con uña de gato</v>
      </c>
      <c r="E637" s="56" t="str">
        <f aca="false">IF(06_Jugos_Desayuno_Rapido!D60="","",06_Jugos_Desayuno_Rapido!D60)</f>
        <v>Infusión medicinal</v>
      </c>
      <c r="F637" s="56" t="str">
        <f aca="false">IF(06_Jugos_Desayuno_Rapido!E60="","",06_Jugos_Desayuno_Rapido!E60)</f>
        <v>cebada tostada, linaza, cola de caballo, limón, azúcar</v>
      </c>
      <c r="G637" s="55" t="str">
        <f aca="false">IF(06_Jugos_Desayuno_Rapido!F60="","",06_Jugos_Desayuno_Rapido!F60)</f>
        <v>Vaso 300 ml</v>
      </c>
      <c r="H637" s="55" t="str">
        <f aca="false">IF(06_Jugos_Desayuno_Rapido!G60="","",06_Jugos_Desayuno_Rapido!G60)</f>
        <v>Económico</v>
      </c>
      <c r="I637" s="58" t="n">
        <f aca="false">IF(06_Jugos_Desayuno_Rapido!H60="","",06_Jugos_Desayuno_Rapido!H60)</f>
        <v>3</v>
      </c>
      <c r="J637" s="58" t="n">
        <f aca="false">IF(06_Jugos_Desayuno_Rapido!I60="","",06_Jugos_Desayuno_Rapido!I60)</f>
        <v>6</v>
      </c>
      <c r="K637" s="58" t="n">
        <f aca="false">IF(06_Jugos_Desayuno_Rapido!J60="","",06_Jugos_Desayuno_Rapido!J60)</f>
        <v>4.5</v>
      </c>
      <c r="L637" s="58" t="n">
        <f aca="false">IF(06_Jugos_Desayuno_Rapido!L60="","",06_Jugos_Desayuno_Rapido!L60)</f>
        <v>5</v>
      </c>
      <c r="M637" s="58" t="n">
        <f aca="false">IF(06_Jugos_Desayuno_Rapido!N60="","",06_Jugos_Desayuno_Rapido!N60)</f>
        <v>0.32</v>
      </c>
      <c r="N637" s="58" t="n">
        <f aca="false">IF(06_Jugos_Desayuno_Rapido!O60="","",06_Jugos_Desayuno_Rapido!O60)</f>
        <v>4.18</v>
      </c>
      <c r="O637" s="55" t="str">
        <f aca="false">IF(06_Jugos_Desayuno_Rapido!P60="","",06_Jugos_Desayuno_Rapido!P60)</f>
        <v>05:00-09:00</v>
      </c>
      <c r="P637" s="55" t="n">
        <f aca="false">IF(06_Jugos_Desayuno_Rapido!Q60="","",06_Jugos_Desayuno_Rapido!Q60)</f>
        <v>2</v>
      </c>
      <c r="Q637" s="55" t="str">
        <f aca="false">IF(06_Jugos_Desayuno_Rapido!R60="","",06_Jugos_Desayuno_Rapido!R60)</f>
        <v>Medio</v>
      </c>
      <c r="R637" s="55" t="str">
        <f aca="false">IF(06_Jugos_Desayuno_Rapido!S60="","",06_Jugos_Desayuno_Rapido!S60)</f>
        <v>Todo el año</v>
      </c>
      <c r="S637" s="55" t="str">
        <f aca="false">IF(06_Jugos_Desayuno_Rapido!T60="","",06_Jugos_Desayuno_Rapido!T60)</f>
        <v>Carretilla</v>
      </c>
      <c r="T637" s="56" t="str">
        <f aca="false">IF(06_Jugos_Desayuno_Rapido!U60="","",06_Jugos_Desayuno_Rapido!U60)</f>
        <v/>
      </c>
      <c r="U637" s="55" t="n">
        <v>60</v>
      </c>
      <c r="V637" s="55" t="n">
        <f aca="false">IF(AND(OR(LEN(13_Buscador!$C$5)=0,ISNUMBER(SEARCH(13_Buscador!$C$5,$C637&amp;" "&amp;$D637&amp;" "&amp;$E637&amp;" "&amp;$F637&amp;" "&amp;$S637))),OR(13_Buscador!$C$6="Todas las listas",LEN(13_Buscador!$C$6)=0,13_Buscador!$C$6=$B637)),1,0)</f>
        <v>0</v>
      </c>
      <c r="W637" s="55" t="str">
        <f aca="false">IF(V637=1,SUM($V$2:V637),"")</f>
        <v/>
      </c>
    </row>
    <row r="638" customFormat="false" ht="15" hidden="false" customHeight="true" outlineLevel="0" collapsed="false">
      <c r="A638" s="55" t="n">
        <v>637</v>
      </c>
      <c r="B638" s="55" t="s">
        <v>3332</v>
      </c>
      <c r="C638" s="55" t="str">
        <f aca="false">IF(06_Jugos_Desayuno_Rapido!B61="","",06_Jugos_Desayuno_Rapido!B61)</f>
        <v>Bebidas calientes de carretilla</v>
      </c>
      <c r="D638" s="56" t="str">
        <f aca="false">IF(06_Jugos_Desayuno_Rapido!C61="","",06_Jugos_Desayuno_Rapido!C61)</f>
        <v>Hierba luisa / cedrón</v>
      </c>
      <c r="E638" s="56" t="str">
        <f aca="false">IF(06_Jugos_Desayuno_Rapido!D61="","",06_Jugos_Desayuno_Rapido!D61)</f>
        <v>Infusión de hierbas</v>
      </c>
      <c r="F638" s="56" t="str">
        <f aca="false">IF(06_Jugos_Desayuno_Rapido!E61="","",06_Jugos_Desayuno_Rapido!E61)</f>
        <v>hierba aromática, agua caliente, azúcar</v>
      </c>
      <c r="G638" s="55" t="str">
        <f aca="false">IF(06_Jugos_Desayuno_Rapido!F61="","",06_Jugos_Desayuno_Rapido!F61)</f>
        <v>Vaso 300 ml</v>
      </c>
      <c r="H638" s="55" t="str">
        <f aca="false">IF(06_Jugos_Desayuno_Rapido!G61="","",06_Jugos_Desayuno_Rapido!G61)</f>
        <v>Económico</v>
      </c>
      <c r="I638" s="58" t="n">
        <f aca="false">IF(06_Jugos_Desayuno_Rapido!H61="","",06_Jugos_Desayuno_Rapido!H61)</f>
        <v>2</v>
      </c>
      <c r="J638" s="58" t="n">
        <f aca="false">IF(06_Jugos_Desayuno_Rapido!I61="","",06_Jugos_Desayuno_Rapido!I61)</f>
        <v>4</v>
      </c>
      <c r="K638" s="58" t="n">
        <f aca="false">IF(06_Jugos_Desayuno_Rapido!J61="","",06_Jugos_Desayuno_Rapido!J61)</f>
        <v>3</v>
      </c>
      <c r="L638" s="58" t="n">
        <f aca="false">IF(06_Jugos_Desayuno_Rapido!L61="","",06_Jugos_Desayuno_Rapido!L61)</f>
        <v>3.5</v>
      </c>
      <c r="M638" s="58" t="n">
        <f aca="false">IF(06_Jugos_Desayuno_Rapido!N61="","",06_Jugos_Desayuno_Rapido!N61)</f>
        <v>0.21</v>
      </c>
      <c r="N638" s="58" t="n">
        <f aca="false">IF(06_Jugos_Desayuno_Rapido!O61="","",06_Jugos_Desayuno_Rapido!O61)</f>
        <v>2.79</v>
      </c>
      <c r="O638" s="55" t="str">
        <f aca="false">IF(06_Jugos_Desayuno_Rapido!P61="","",06_Jugos_Desayuno_Rapido!P61)</f>
        <v>05:00-10:00</v>
      </c>
      <c r="P638" s="55" t="n">
        <f aca="false">IF(06_Jugos_Desayuno_Rapido!Q61="","",06_Jugos_Desayuno_Rapido!Q61)</f>
        <v>2</v>
      </c>
      <c r="Q638" s="55" t="str">
        <f aca="false">IF(06_Jugos_Desayuno_Rapido!R61="","",06_Jugos_Desayuno_Rapido!R61)</f>
        <v>Medio</v>
      </c>
      <c r="R638" s="55" t="str">
        <f aca="false">IF(06_Jugos_Desayuno_Rapido!S61="","",06_Jugos_Desayuno_Rapido!S61)</f>
        <v>Todo el año</v>
      </c>
      <c r="S638" s="55" t="str">
        <f aca="false">IF(06_Jugos_Desayuno_Rapido!T61="","",06_Jugos_Desayuno_Rapido!T61)</f>
        <v>Carretilla</v>
      </c>
      <c r="T638" s="56" t="str">
        <f aca="false">IF(06_Jugos_Desayuno_Rapido!U61="","",06_Jugos_Desayuno_Rapido!U61)</f>
        <v/>
      </c>
      <c r="U638" s="55" t="n">
        <v>61</v>
      </c>
      <c r="V638" s="55" t="n">
        <f aca="false">IF(AND(OR(LEN(13_Buscador!$C$5)=0,ISNUMBER(SEARCH(13_Buscador!$C$5,$C638&amp;" "&amp;$D638&amp;" "&amp;$E638&amp;" "&amp;$F638&amp;" "&amp;$S638))),OR(13_Buscador!$C$6="Todas las listas",LEN(13_Buscador!$C$6)=0,13_Buscador!$C$6=$B638)),1,0)</f>
        <v>0</v>
      </c>
      <c r="W638" s="55" t="str">
        <f aca="false">IF(V638=1,SUM($V$2:V638),"")</f>
        <v/>
      </c>
    </row>
    <row r="639" customFormat="false" ht="15" hidden="false" customHeight="true" outlineLevel="0" collapsed="false">
      <c r="A639" s="55" t="n">
        <v>638</v>
      </c>
      <c r="B639" s="55" t="s">
        <v>3332</v>
      </c>
      <c r="C639" s="55" t="str">
        <f aca="false">IF(06_Jugos_Desayuno_Rapido!B62="","",06_Jugos_Desayuno_Rapido!B62)</f>
        <v>Bebidas calientes de carretilla</v>
      </c>
      <c r="D639" s="56" t="str">
        <f aca="false">IF(06_Jugos_Desayuno_Rapido!C62="","",06_Jugos_Desayuno_Rapido!C62)</f>
        <v>Agua de cebada con limón</v>
      </c>
      <c r="E639" s="56" t="str">
        <f aca="false">IF(06_Jugos_Desayuno_Rapido!D62="","",06_Jugos_Desayuno_Rapido!D62)</f>
        <v>Bebida caliente</v>
      </c>
      <c r="F639" s="56" t="str">
        <f aca="false">IF(06_Jugos_Desayuno_Rapido!E62="","",06_Jugos_Desayuno_Rapido!E62)</f>
        <v>cebada tostada, agua, limón, azúcar</v>
      </c>
      <c r="G639" s="55" t="str">
        <f aca="false">IF(06_Jugos_Desayuno_Rapido!F62="","",06_Jugos_Desayuno_Rapido!F62)</f>
        <v>Vaso 300 ml</v>
      </c>
      <c r="H639" s="55" t="str">
        <f aca="false">IF(06_Jugos_Desayuno_Rapido!G62="","",06_Jugos_Desayuno_Rapido!G62)</f>
        <v>Económico</v>
      </c>
      <c r="I639" s="58" t="n">
        <f aca="false">IF(06_Jugos_Desayuno_Rapido!H62="","",06_Jugos_Desayuno_Rapido!H62)</f>
        <v>2</v>
      </c>
      <c r="J639" s="58" t="n">
        <f aca="false">IF(06_Jugos_Desayuno_Rapido!I62="","",06_Jugos_Desayuno_Rapido!I62)</f>
        <v>4</v>
      </c>
      <c r="K639" s="58" t="n">
        <f aca="false">IF(06_Jugos_Desayuno_Rapido!J62="","",06_Jugos_Desayuno_Rapido!J62)</f>
        <v>3</v>
      </c>
      <c r="L639" s="58" t="n">
        <f aca="false">IF(06_Jugos_Desayuno_Rapido!L62="","",06_Jugos_Desayuno_Rapido!L62)</f>
        <v>3.5</v>
      </c>
      <c r="M639" s="58" t="n">
        <f aca="false">IF(06_Jugos_Desayuno_Rapido!N62="","",06_Jugos_Desayuno_Rapido!N62)</f>
        <v>0.21</v>
      </c>
      <c r="N639" s="58" t="n">
        <f aca="false">IF(06_Jugos_Desayuno_Rapido!O62="","",06_Jugos_Desayuno_Rapido!O62)</f>
        <v>2.79</v>
      </c>
      <c r="O639" s="55" t="str">
        <f aca="false">IF(06_Jugos_Desayuno_Rapido!P62="","",06_Jugos_Desayuno_Rapido!P62)</f>
        <v>05:00-09:00</v>
      </c>
      <c r="P639" s="55" t="n">
        <f aca="false">IF(06_Jugos_Desayuno_Rapido!Q62="","",06_Jugos_Desayuno_Rapido!Q62)</f>
        <v>2</v>
      </c>
      <c r="Q639" s="55" t="str">
        <f aca="false">IF(06_Jugos_Desayuno_Rapido!R62="","",06_Jugos_Desayuno_Rapido!R62)</f>
        <v>Medio</v>
      </c>
      <c r="R639" s="55" t="str">
        <f aca="false">IF(06_Jugos_Desayuno_Rapido!S62="","",06_Jugos_Desayuno_Rapido!S62)</f>
        <v>Mayor demanda en frío</v>
      </c>
      <c r="S639" s="55" t="str">
        <f aca="false">IF(06_Jugos_Desayuno_Rapido!T62="","",06_Jugos_Desayuno_Rapido!T62)</f>
        <v>Carretilla</v>
      </c>
      <c r="T639" s="56" t="str">
        <f aca="false">IF(06_Jugos_Desayuno_Rapido!U62="","",06_Jugos_Desayuno_Rapido!U62)</f>
        <v/>
      </c>
      <c r="U639" s="55" t="n">
        <v>62</v>
      </c>
      <c r="V639" s="55" t="n">
        <f aca="false">IF(AND(OR(LEN(13_Buscador!$C$5)=0,ISNUMBER(SEARCH(13_Buscador!$C$5,$C639&amp;" "&amp;$D639&amp;" "&amp;$E639&amp;" "&amp;$F639&amp;" "&amp;$S639))),OR(13_Buscador!$C$6="Todas las listas",LEN(13_Buscador!$C$6)=0,13_Buscador!$C$6=$B639)),1,0)</f>
        <v>0</v>
      </c>
      <c r="W639" s="55" t="str">
        <f aca="false">IF(V639=1,SUM($V$2:V639),"")</f>
        <v/>
      </c>
    </row>
    <row r="640" customFormat="false" ht="15" hidden="false" customHeight="true" outlineLevel="0" collapsed="false">
      <c r="A640" s="55" t="n">
        <v>639</v>
      </c>
      <c r="B640" s="55" t="s">
        <v>3332</v>
      </c>
      <c r="C640" s="55" t="str">
        <f aca="false">IF(06_Jugos_Desayuno_Rapido!B63="","",06_Jugos_Desayuno_Rapido!B63)</f>
        <v>Bebidas calientes de carretilla</v>
      </c>
      <c r="D640" s="56" t="str">
        <f aca="false">IF(06_Jugos_Desayuno_Rapido!C63="","",06_Jugos_Desayuno_Rapido!C63)</f>
        <v>Café con leche de carretilla</v>
      </c>
      <c r="E640" s="56" t="str">
        <f aca="false">IF(06_Jugos_Desayuno_Rapido!D63="","",06_Jugos_Desayuno_Rapido!D63)</f>
        <v>Vaso grande</v>
      </c>
      <c r="F640" s="56" t="str">
        <f aca="false">IF(06_Jugos_Desayuno_Rapido!E63="","",06_Jugos_Desayuno_Rapido!E63)</f>
        <v>café molido, agua caliente</v>
      </c>
      <c r="G640" s="55" t="str">
        <f aca="false">IF(06_Jugos_Desayuno_Rapido!F63="","",06_Jugos_Desayuno_Rapido!F63)</f>
        <v>Vaso 500 ml</v>
      </c>
      <c r="H640" s="55" t="str">
        <f aca="false">IF(06_Jugos_Desayuno_Rapido!G63="","",06_Jugos_Desayuno_Rapido!G63)</f>
        <v>Económico</v>
      </c>
      <c r="I640" s="58" t="n">
        <f aca="false">IF(06_Jugos_Desayuno_Rapido!H63="","",06_Jugos_Desayuno_Rapido!H63)</f>
        <v>2</v>
      </c>
      <c r="J640" s="58" t="n">
        <f aca="false">IF(06_Jugos_Desayuno_Rapido!I63="","",06_Jugos_Desayuno_Rapido!I63)</f>
        <v>5</v>
      </c>
      <c r="K640" s="58" t="n">
        <f aca="false">IF(06_Jugos_Desayuno_Rapido!J63="","",06_Jugos_Desayuno_Rapido!J63)</f>
        <v>3.5</v>
      </c>
      <c r="L640" s="58" t="n">
        <f aca="false">IF(06_Jugos_Desayuno_Rapido!L63="","",06_Jugos_Desayuno_Rapido!L63)</f>
        <v>4</v>
      </c>
      <c r="M640" s="58" t="n">
        <f aca="false">IF(06_Jugos_Desayuno_Rapido!N63="","",06_Jugos_Desayuno_Rapido!N63)</f>
        <v>0.25</v>
      </c>
      <c r="N640" s="58" t="n">
        <f aca="false">IF(06_Jugos_Desayuno_Rapido!O63="","",06_Jugos_Desayuno_Rapido!O63)</f>
        <v>3.25</v>
      </c>
      <c r="O640" s="55" t="str">
        <f aca="false">IF(06_Jugos_Desayuno_Rapido!P63="","",06_Jugos_Desayuno_Rapido!P63)</f>
        <v>05:00-10:00</v>
      </c>
      <c r="P640" s="55" t="n">
        <f aca="false">IF(06_Jugos_Desayuno_Rapido!Q63="","",06_Jugos_Desayuno_Rapido!Q63)</f>
        <v>2</v>
      </c>
      <c r="Q640" s="55" t="str">
        <f aca="false">IF(06_Jugos_Desayuno_Rapido!R63="","",06_Jugos_Desayuno_Rapido!R63)</f>
        <v>Medio</v>
      </c>
      <c r="R640" s="55" t="str">
        <f aca="false">IF(06_Jugos_Desayuno_Rapido!S63="","",06_Jugos_Desayuno_Rapido!S63)</f>
        <v>Todo el año</v>
      </c>
      <c r="S640" s="55" t="str">
        <f aca="false">IF(06_Jugos_Desayuno_Rapido!T63="","",06_Jugos_Desayuno_Rapido!T63)</f>
        <v>Carretilla</v>
      </c>
      <c r="T640" s="56" t="str">
        <f aca="false">IF(06_Jugos_Desayuno_Rapido!U63="","",06_Jugos_Desayuno_Rapido!U63)</f>
        <v/>
      </c>
      <c r="U640" s="55" t="n">
        <v>63</v>
      </c>
      <c r="V640" s="55" t="n">
        <f aca="false">IF(AND(OR(LEN(13_Buscador!$C$5)=0,ISNUMBER(SEARCH(13_Buscador!$C$5,$C640&amp;" "&amp;$D640&amp;" "&amp;$E640&amp;" "&amp;$F640&amp;" "&amp;$S640))),OR(13_Buscador!$C$6="Todas las listas",LEN(13_Buscador!$C$6)=0,13_Buscador!$C$6=$B640)),1,0)</f>
        <v>0</v>
      </c>
      <c r="W640" s="55" t="str">
        <f aca="false">IF(V640=1,SUM($V$2:V640),"")</f>
        <v/>
      </c>
    </row>
    <row r="641" customFormat="false" ht="15" hidden="false" customHeight="true" outlineLevel="0" collapsed="false">
      <c r="A641" s="55" t="n">
        <v>640</v>
      </c>
      <c r="B641" s="55" t="s">
        <v>3332</v>
      </c>
      <c r="C641" s="55" t="str">
        <f aca="false">IF(06_Jugos_Desayuno_Rapido!B64="","",06_Jugos_Desayuno_Rapido!B64)</f>
        <v>Bebidas calientes de carretilla</v>
      </c>
      <c r="D641" s="56" t="str">
        <f aca="false">IF(06_Jugos_Desayuno_Rapido!C64="","",06_Jugos_Desayuno_Rapido!C64)</f>
        <v>Chocolate con pan</v>
      </c>
      <c r="E641" s="56" t="str">
        <f aca="false">IF(06_Jugos_Desayuno_Rapido!D64="","",06_Jugos_Desayuno_Rapido!D64)</f>
        <v>Combo de esquina</v>
      </c>
      <c r="F641" s="56" t="str">
        <f aca="false">IF(06_Jugos_Desayuno_Rapido!E64="","",06_Jugos_Desayuno_Rapido!E64)</f>
        <v>chocolate en barra o cocoa, leche, azúcar, canela</v>
      </c>
      <c r="G641" s="55" t="str">
        <f aca="false">IF(06_Jugos_Desayuno_Rapido!F64="","",06_Jugos_Desayuno_Rapido!F64)</f>
        <v>Combo</v>
      </c>
      <c r="H641" s="55" t="str">
        <f aca="false">IF(06_Jugos_Desayuno_Rapido!G64="","",06_Jugos_Desayuno_Rapido!G64)</f>
        <v>Económico</v>
      </c>
      <c r="I641" s="58" t="n">
        <f aca="false">IF(06_Jugos_Desayuno_Rapido!H64="","",06_Jugos_Desayuno_Rapido!H64)</f>
        <v>4</v>
      </c>
      <c r="J641" s="58" t="n">
        <f aca="false">IF(06_Jugos_Desayuno_Rapido!I64="","",06_Jugos_Desayuno_Rapido!I64)</f>
        <v>8</v>
      </c>
      <c r="K641" s="58" t="n">
        <f aca="false">IF(06_Jugos_Desayuno_Rapido!J64="","",06_Jugos_Desayuno_Rapido!J64)</f>
        <v>6</v>
      </c>
      <c r="L641" s="58" t="n">
        <f aca="false">IF(06_Jugos_Desayuno_Rapido!L64="","",06_Jugos_Desayuno_Rapido!L64)</f>
        <v>6.5</v>
      </c>
      <c r="M641" s="58" t="n">
        <f aca="false">IF(06_Jugos_Desayuno_Rapido!N64="","",06_Jugos_Desayuno_Rapido!N64)</f>
        <v>0.42</v>
      </c>
      <c r="N641" s="58" t="n">
        <f aca="false">IF(06_Jugos_Desayuno_Rapido!O64="","",06_Jugos_Desayuno_Rapido!O64)</f>
        <v>5.58</v>
      </c>
      <c r="O641" s="55" t="str">
        <f aca="false">IF(06_Jugos_Desayuno_Rapido!P64="","",06_Jugos_Desayuno_Rapido!P64)</f>
        <v>05:00-09:00</v>
      </c>
      <c r="P641" s="55" t="n">
        <f aca="false">IF(06_Jugos_Desayuno_Rapido!Q64="","",06_Jugos_Desayuno_Rapido!Q64)</f>
        <v>3</v>
      </c>
      <c r="Q641" s="55" t="str">
        <f aca="false">IF(06_Jugos_Desayuno_Rapido!R64="","",06_Jugos_Desayuno_Rapido!R64)</f>
        <v>Medio</v>
      </c>
      <c r="R641" s="55" t="str">
        <f aca="false">IF(06_Jugos_Desayuno_Rapido!S64="","",06_Jugos_Desayuno_Rapido!S64)</f>
        <v>Mayor demanda en frío</v>
      </c>
      <c r="S641" s="55" t="str">
        <f aca="false">IF(06_Jugos_Desayuno_Rapido!T64="","",06_Jugos_Desayuno_Rapido!T64)</f>
        <v>Carretilla</v>
      </c>
      <c r="T641" s="56" t="str">
        <f aca="false">IF(06_Jugos_Desayuno_Rapido!U64="","",06_Jugos_Desayuno_Rapido!U64)</f>
        <v/>
      </c>
      <c r="U641" s="55" t="n">
        <v>64</v>
      </c>
      <c r="V641" s="55" t="n">
        <f aca="false">IF(AND(OR(LEN(13_Buscador!$C$5)=0,ISNUMBER(SEARCH(13_Buscador!$C$5,$C641&amp;" "&amp;$D641&amp;" "&amp;$E641&amp;" "&amp;$F641&amp;" "&amp;$S641))),OR(13_Buscador!$C$6="Todas las listas",LEN(13_Buscador!$C$6)=0,13_Buscador!$C$6=$B641)),1,0)</f>
        <v>0</v>
      </c>
      <c r="W641" s="55" t="str">
        <f aca="false">IF(V641=1,SUM($V$2:V641),"")</f>
        <v/>
      </c>
    </row>
    <row r="642" customFormat="false" ht="15" hidden="false" customHeight="true" outlineLevel="0" collapsed="false">
      <c r="A642" s="55" t="n">
        <v>641</v>
      </c>
      <c r="B642" s="55" t="s">
        <v>3332</v>
      </c>
      <c r="C642" s="55" t="str">
        <f aca="false">IF(06_Jugos_Desayuno_Rapido!B65="","",06_Jugos_Desayuno_Rapido!B65)</f>
        <v>Jugos de carretilla</v>
      </c>
      <c r="D642" s="56" t="str">
        <f aca="false">IF(06_Jugos_Desayuno_Rapido!C65="","",06_Jugos_Desayuno_Rapido!C65)</f>
        <v>Jugo de fresa con leche</v>
      </c>
      <c r="E642" s="56" t="str">
        <f aca="false">IF(06_Jugos_Desayuno_Rapido!D65="","",06_Jugos_Desayuno_Rapido!D65)</f>
        <v>Batido de fresa</v>
      </c>
      <c r="F642" s="56" t="str">
        <f aca="false">IF(06_Jugos_Desayuno_Rapido!E65="","",06_Jugos_Desayuno_Rapido!E65)</f>
        <v>fresa, leche o agua, azúcar</v>
      </c>
      <c r="G642" s="55" t="str">
        <f aca="false">IF(06_Jugos_Desayuno_Rapido!F65="","",06_Jugos_Desayuno_Rapido!F65)</f>
        <v>Vaso 500 ml</v>
      </c>
      <c r="H642" s="55" t="str">
        <f aca="false">IF(06_Jugos_Desayuno_Rapido!G65="","",06_Jugos_Desayuno_Rapido!G65)</f>
        <v>Económico</v>
      </c>
      <c r="I642" s="58" t="n">
        <f aca="false">IF(06_Jugos_Desayuno_Rapido!H65="","",06_Jugos_Desayuno_Rapido!H65)</f>
        <v>4</v>
      </c>
      <c r="J642" s="58" t="n">
        <f aca="false">IF(06_Jugos_Desayuno_Rapido!I65="","",06_Jugos_Desayuno_Rapido!I65)</f>
        <v>8</v>
      </c>
      <c r="K642" s="58" t="n">
        <f aca="false">IF(06_Jugos_Desayuno_Rapido!J65="","",06_Jugos_Desayuno_Rapido!J65)</f>
        <v>6</v>
      </c>
      <c r="L642" s="58" t="n">
        <f aca="false">IF(06_Jugos_Desayuno_Rapido!L65="","",06_Jugos_Desayuno_Rapido!L65)</f>
        <v>6.5</v>
      </c>
      <c r="M642" s="58" t="n">
        <f aca="false">IF(06_Jugos_Desayuno_Rapido!N65="","",06_Jugos_Desayuno_Rapido!N65)</f>
        <v>0.42</v>
      </c>
      <c r="N642" s="58" t="n">
        <f aca="false">IF(06_Jugos_Desayuno_Rapido!O65="","",06_Jugos_Desayuno_Rapido!O65)</f>
        <v>5.58</v>
      </c>
      <c r="O642" s="55" t="str">
        <f aca="false">IF(06_Jugos_Desayuno_Rapido!P65="","",06_Jugos_Desayuno_Rapido!P65)</f>
        <v>06:00-11:00</v>
      </c>
      <c r="P642" s="55" t="n">
        <f aca="false">IF(06_Jugos_Desayuno_Rapido!Q65="","",06_Jugos_Desayuno_Rapido!Q65)</f>
        <v>4</v>
      </c>
      <c r="Q642" s="55" t="str">
        <f aca="false">IF(06_Jugos_Desayuno_Rapido!R65="","",06_Jugos_Desayuno_Rapido!R65)</f>
        <v>Alto</v>
      </c>
      <c r="R642" s="55" t="str">
        <f aca="false">IF(06_Jugos_Desayuno_Rapido!S65="","",06_Jugos_Desayuno_Rapido!S65)</f>
        <v>Estacional</v>
      </c>
      <c r="S642" s="55" t="str">
        <f aca="false">IF(06_Jugos_Desayuno_Rapido!T65="","",06_Jugos_Desayuno_Rapido!T65)</f>
        <v>Carretilla</v>
      </c>
      <c r="T642" s="56" t="str">
        <f aca="false">IF(06_Jugos_Desayuno_Rapido!U65="","",06_Jugos_Desayuno_Rapido!U65)</f>
        <v/>
      </c>
      <c r="U642" s="55" t="n">
        <v>65</v>
      </c>
      <c r="V642" s="55" t="n">
        <f aca="false">IF(AND(OR(LEN(13_Buscador!$C$5)=0,ISNUMBER(SEARCH(13_Buscador!$C$5,$C642&amp;" "&amp;$D642&amp;" "&amp;$E642&amp;" "&amp;$F642&amp;" "&amp;$S642))),OR(13_Buscador!$C$6="Todas las listas",LEN(13_Buscador!$C$6)=0,13_Buscador!$C$6=$B642)),1,0)</f>
        <v>0</v>
      </c>
      <c r="W642" s="55" t="str">
        <f aca="false">IF(V642=1,SUM($V$2:V642),"")</f>
        <v/>
      </c>
    </row>
    <row r="643" customFormat="false" ht="15" hidden="false" customHeight="true" outlineLevel="0" collapsed="false">
      <c r="A643" s="55" t="n">
        <v>642</v>
      </c>
      <c r="B643" s="55" t="s">
        <v>3332</v>
      </c>
      <c r="C643" s="55" t="str">
        <f aca="false">IF(06_Jugos_Desayuno_Rapido!B66="","",06_Jugos_Desayuno_Rapido!B66)</f>
        <v>Jugos de carretilla</v>
      </c>
      <c r="D643" s="56" t="str">
        <f aca="false">IF(06_Jugos_Desayuno_Rapido!C66="","",06_Jugos_Desayuno_Rapido!C66)</f>
        <v>Jugo de piña con linaza</v>
      </c>
      <c r="E643" s="56" t="str">
        <f aca="false">IF(06_Jugos_Desayuno_Rapido!D66="","",06_Jugos_Desayuno_Rapido!D66)</f>
        <v>Mezcla depurativa</v>
      </c>
      <c r="F643" s="56" t="str">
        <f aca="false">IF(06_Jugos_Desayuno_Rapido!E66="","",06_Jugos_Desayuno_Rapido!E66)</f>
        <v>piña, agua, azúcar</v>
      </c>
      <c r="G643" s="55" t="str">
        <f aca="false">IF(06_Jugos_Desayuno_Rapido!F66="","",06_Jugos_Desayuno_Rapido!F66)</f>
        <v>Vaso 500 ml</v>
      </c>
      <c r="H643" s="55" t="str">
        <f aca="false">IF(06_Jugos_Desayuno_Rapido!G66="","",06_Jugos_Desayuno_Rapido!G66)</f>
        <v>Económico</v>
      </c>
      <c r="I643" s="58" t="n">
        <f aca="false">IF(06_Jugos_Desayuno_Rapido!H66="","",06_Jugos_Desayuno_Rapido!H66)</f>
        <v>3</v>
      </c>
      <c r="J643" s="58" t="n">
        <f aca="false">IF(06_Jugos_Desayuno_Rapido!I66="","",06_Jugos_Desayuno_Rapido!I66)</f>
        <v>8</v>
      </c>
      <c r="K643" s="58" t="n">
        <f aca="false">IF(06_Jugos_Desayuno_Rapido!J66="","",06_Jugos_Desayuno_Rapido!J66)</f>
        <v>5.5</v>
      </c>
      <c r="L643" s="58" t="n">
        <f aca="false">IF(06_Jugos_Desayuno_Rapido!L66="","",06_Jugos_Desayuno_Rapido!L66)</f>
        <v>6</v>
      </c>
      <c r="M643" s="58" t="n">
        <f aca="false">IF(06_Jugos_Desayuno_Rapido!N66="","",06_Jugos_Desayuno_Rapido!N66)</f>
        <v>0.39</v>
      </c>
      <c r="N643" s="58" t="n">
        <f aca="false">IF(06_Jugos_Desayuno_Rapido!O66="","",06_Jugos_Desayuno_Rapido!O66)</f>
        <v>5.11</v>
      </c>
      <c r="O643" s="55" t="str">
        <f aca="false">IF(06_Jugos_Desayuno_Rapido!P66="","",06_Jugos_Desayuno_Rapido!P66)</f>
        <v>06:00-11:00</v>
      </c>
      <c r="P643" s="55" t="n">
        <f aca="false">IF(06_Jugos_Desayuno_Rapido!Q66="","",06_Jugos_Desayuno_Rapido!Q66)</f>
        <v>4</v>
      </c>
      <c r="Q643" s="55" t="str">
        <f aca="false">IF(06_Jugos_Desayuno_Rapido!R66="","",06_Jugos_Desayuno_Rapido!R66)</f>
        <v>Alto</v>
      </c>
      <c r="R643" s="55" t="str">
        <f aca="false">IF(06_Jugos_Desayuno_Rapido!S66="","",06_Jugos_Desayuno_Rapido!S66)</f>
        <v>Todo el año</v>
      </c>
      <c r="S643" s="55" t="str">
        <f aca="false">IF(06_Jugos_Desayuno_Rapido!T66="","",06_Jugos_Desayuno_Rapido!T66)</f>
        <v>Carretilla</v>
      </c>
      <c r="T643" s="56" t="str">
        <f aca="false">IF(06_Jugos_Desayuno_Rapido!U66="","",06_Jugos_Desayuno_Rapido!U66)</f>
        <v/>
      </c>
      <c r="U643" s="55" t="n">
        <v>66</v>
      </c>
      <c r="V643" s="55" t="n">
        <f aca="false">IF(AND(OR(LEN(13_Buscador!$C$5)=0,ISNUMBER(SEARCH(13_Buscador!$C$5,$C643&amp;" "&amp;$D643&amp;" "&amp;$E643&amp;" "&amp;$F643&amp;" "&amp;$S643))),OR(13_Buscador!$C$6="Todas las listas",LEN(13_Buscador!$C$6)=0,13_Buscador!$C$6=$B643)),1,0)</f>
        <v>0</v>
      </c>
      <c r="W643" s="55" t="str">
        <f aca="false">IF(V643=1,SUM($V$2:V643),"")</f>
        <v/>
      </c>
    </row>
    <row r="644" customFormat="false" ht="15" hidden="false" customHeight="true" outlineLevel="0" collapsed="false">
      <c r="A644" s="55" t="n">
        <v>643</v>
      </c>
      <c r="B644" s="55" t="s">
        <v>3332</v>
      </c>
      <c r="C644" s="55" t="str">
        <f aca="false">IF(06_Jugos_Desayuno_Rapido!B67="","",06_Jugos_Desayuno_Rapido!B67)</f>
        <v>Jugos de carretilla</v>
      </c>
      <c r="D644" s="56" t="str">
        <f aca="false">IF(06_Jugos_Desayuno_Rapido!C67="","",06_Jugos_Desayuno_Rapido!C67)</f>
        <v>Jugo de maracuyá de carretilla</v>
      </c>
      <c r="E644" s="56" t="str">
        <f aca="false">IF(06_Jugos_Desayuno_Rapido!D67="","",06_Jugos_Desayuno_Rapido!D67)</f>
        <v>Jugo natural</v>
      </c>
      <c r="F644" s="56" t="str">
        <f aca="false">IF(06_Jugos_Desayuno_Rapido!E67="","",06_Jugos_Desayuno_Rapido!E67)</f>
        <v>maracuyá, agua, azúcar</v>
      </c>
      <c r="G644" s="55" t="str">
        <f aca="false">IF(06_Jugos_Desayuno_Rapido!F67="","",06_Jugos_Desayuno_Rapido!F67)</f>
        <v>Vaso 500 ml</v>
      </c>
      <c r="H644" s="55" t="str">
        <f aca="false">IF(06_Jugos_Desayuno_Rapido!G67="","",06_Jugos_Desayuno_Rapido!G67)</f>
        <v>Económico</v>
      </c>
      <c r="I644" s="58" t="n">
        <f aca="false">IF(06_Jugos_Desayuno_Rapido!H67="","",06_Jugos_Desayuno_Rapido!H67)</f>
        <v>3</v>
      </c>
      <c r="J644" s="58" t="n">
        <f aca="false">IF(06_Jugos_Desayuno_Rapido!I67="","",06_Jugos_Desayuno_Rapido!I67)</f>
        <v>7</v>
      </c>
      <c r="K644" s="58" t="n">
        <f aca="false">IF(06_Jugos_Desayuno_Rapido!J67="","",06_Jugos_Desayuno_Rapido!J67)</f>
        <v>5</v>
      </c>
      <c r="L644" s="58" t="n">
        <f aca="false">IF(06_Jugos_Desayuno_Rapido!L67="","",06_Jugos_Desayuno_Rapido!L67)</f>
        <v>5.5</v>
      </c>
      <c r="M644" s="58" t="n">
        <f aca="false">IF(06_Jugos_Desayuno_Rapido!N67="","",06_Jugos_Desayuno_Rapido!N67)</f>
        <v>0.35</v>
      </c>
      <c r="N644" s="58" t="n">
        <f aca="false">IF(06_Jugos_Desayuno_Rapido!O67="","",06_Jugos_Desayuno_Rapido!O67)</f>
        <v>4.65</v>
      </c>
      <c r="O644" s="55" t="str">
        <f aca="false">IF(06_Jugos_Desayuno_Rapido!P67="","",06_Jugos_Desayuno_Rapido!P67)</f>
        <v>06:00-11:00</v>
      </c>
      <c r="P644" s="55" t="n">
        <f aca="false">IF(06_Jugos_Desayuno_Rapido!Q67="","",06_Jugos_Desayuno_Rapido!Q67)</f>
        <v>3</v>
      </c>
      <c r="Q644" s="55" t="str">
        <f aca="false">IF(06_Jugos_Desayuno_Rapido!R67="","",06_Jugos_Desayuno_Rapido!R67)</f>
        <v>Alto</v>
      </c>
      <c r="R644" s="55" t="str">
        <f aca="false">IF(06_Jugos_Desayuno_Rapido!S67="","",06_Jugos_Desayuno_Rapido!S67)</f>
        <v>Todo el año</v>
      </c>
      <c r="S644" s="55" t="str">
        <f aca="false">IF(06_Jugos_Desayuno_Rapido!T67="","",06_Jugos_Desayuno_Rapido!T67)</f>
        <v>Carretilla</v>
      </c>
      <c r="T644" s="56" t="str">
        <f aca="false">IF(06_Jugos_Desayuno_Rapido!U67="","",06_Jugos_Desayuno_Rapido!U67)</f>
        <v/>
      </c>
      <c r="U644" s="55" t="n">
        <v>67</v>
      </c>
      <c r="V644" s="55" t="n">
        <f aca="false">IF(AND(OR(LEN(13_Buscador!$C$5)=0,ISNUMBER(SEARCH(13_Buscador!$C$5,$C644&amp;" "&amp;$D644&amp;" "&amp;$E644&amp;" "&amp;$F644&amp;" "&amp;$S644))),OR(13_Buscador!$C$6="Todas las listas",LEN(13_Buscador!$C$6)=0,13_Buscador!$C$6=$B644)),1,0)</f>
        <v>0</v>
      </c>
      <c r="W644" s="55" t="str">
        <f aca="false">IF(V644=1,SUM($V$2:V644),"")</f>
        <v/>
      </c>
    </row>
    <row r="645" customFormat="false" ht="15" hidden="false" customHeight="true" outlineLevel="0" collapsed="false">
      <c r="A645" s="55" t="n">
        <v>644</v>
      </c>
      <c r="B645" s="55" t="s">
        <v>3332</v>
      </c>
      <c r="C645" s="55" t="str">
        <f aca="false">IF(06_Jugos_Desayuno_Rapido!B68="","",06_Jugos_Desayuno_Rapido!B68)</f>
        <v>Jugos de carretilla</v>
      </c>
      <c r="D645" s="56" t="str">
        <f aca="false">IF(06_Jugos_Desayuno_Rapido!C68="","",06_Jugos_Desayuno_Rapido!C68)</f>
        <v>Extracto de sábila</v>
      </c>
      <c r="E645" s="56" t="str">
        <f aca="false">IF(06_Jugos_Desayuno_Rapido!D68="","",06_Jugos_Desayuno_Rapido!D68)</f>
        <v>Extracto natural</v>
      </c>
      <c r="F645" s="56" t="str">
        <f aca="false">IF(06_Jugos_Desayuno_Rapido!E68="","",06_Jugos_Desayuno_Rapido!E68)</f>
        <v>verdura u hoja fresca, agua, limón</v>
      </c>
      <c r="G645" s="55" t="str">
        <f aca="false">IF(06_Jugos_Desayuno_Rapido!F68="","",06_Jugos_Desayuno_Rapido!F68)</f>
        <v>Vaso 300 ml</v>
      </c>
      <c r="H645" s="55" t="str">
        <f aca="false">IF(06_Jugos_Desayuno_Rapido!G68="","",06_Jugos_Desayuno_Rapido!G68)</f>
        <v>Económico</v>
      </c>
      <c r="I645" s="58" t="n">
        <f aca="false">IF(06_Jugos_Desayuno_Rapido!H68="","",06_Jugos_Desayuno_Rapido!H68)</f>
        <v>3</v>
      </c>
      <c r="J645" s="58" t="n">
        <f aca="false">IF(06_Jugos_Desayuno_Rapido!I68="","",06_Jugos_Desayuno_Rapido!I68)</f>
        <v>7</v>
      </c>
      <c r="K645" s="58" t="n">
        <f aca="false">IF(06_Jugos_Desayuno_Rapido!J68="","",06_Jugos_Desayuno_Rapido!J68)</f>
        <v>5</v>
      </c>
      <c r="L645" s="58" t="n">
        <f aca="false">IF(06_Jugos_Desayuno_Rapido!L68="","",06_Jugos_Desayuno_Rapido!L68)</f>
        <v>5.5</v>
      </c>
      <c r="M645" s="58" t="n">
        <f aca="false">IF(06_Jugos_Desayuno_Rapido!N68="","",06_Jugos_Desayuno_Rapido!N68)</f>
        <v>0.35</v>
      </c>
      <c r="N645" s="58" t="n">
        <f aca="false">IF(06_Jugos_Desayuno_Rapido!O68="","",06_Jugos_Desayuno_Rapido!O68)</f>
        <v>4.65</v>
      </c>
      <c r="O645" s="55" t="str">
        <f aca="false">IF(06_Jugos_Desayuno_Rapido!P68="","",06_Jugos_Desayuno_Rapido!P68)</f>
        <v>06:00-10:00</v>
      </c>
      <c r="P645" s="55" t="n">
        <f aca="false">IF(06_Jugos_Desayuno_Rapido!Q68="","",06_Jugos_Desayuno_Rapido!Q68)</f>
        <v>4</v>
      </c>
      <c r="Q645" s="55" t="str">
        <f aca="false">IF(06_Jugos_Desayuno_Rapido!R68="","",06_Jugos_Desayuno_Rapido!R68)</f>
        <v>Alto</v>
      </c>
      <c r="R645" s="55" t="str">
        <f aca="false">IF(06_Jugos_Desayuno_Rapido!S68="","",06_Jugos_Desayuno_Rapido!S68)</f>
        <v>Todo el año</v>
      </c>
      <c r="S645" s="55" t="str">
        <f aca="false">IF(06_Jugos_Desayuno_Rapido!T68="","",06_Jugos_Desayuno_Rapido!T68)</f>
        <v>Carretilla</v>
      </c>
      <c r="T645" s="56" t="str">
        <f aca="false">IF(06_Jugos_Desayuno_Rapido!U68="","",06_Jugos_Desayuno_Rapido!U68)</f>
        <v/>
      </c>
      <c r="U645" s="55" t="n">
        <v>68</v>
      </c>
      <c r="V645" s="55" t="n">
        <f aca="false">IF(AND(OR(LEN(13_Buscador!$C$5)=0,ISNUMBER(SEARCH(13_Buscador!$C$5,$C645&amp;" "&amp;$D645&amp;" "&amp;$E645&amp;" "&amp;$F645&amp;" "&amp;$S645))),OR(13_Buscador!$C$6="Todas las listas",LEN(13_Buscador!$C$6)=0,13_Buscador!$C$6=$B645)),1,0)</f>
        <v>0</v>
      </c>
      <c r="W645" s="55" t="str">
        <f aca="false">IF(V645=1,SUM($V$2:V645),"")</f>
        <v/>
      </c>
    </row>
    <row r="646" customFormat="false" ht="15" hidden="false" customHeight="true" outlineLevel="0" collapsed="false">
      <c r="A646" s="55" t="n">
        <v>645</v>
      </c>
      <c r="B646" s="55" t="s">
        <v>3332</v>
      </c>
      <c r="C646" s="55" t="str">
        <f aca="false">IF(06_Jugos_Desayuno_Rapido!B69="","",06_Jugos_Desayuno_Rapido!B69)</f>
        <v>Jugos de carretilla</v>
      </c>
      <c r="D646" s="56" t="str">
        <f aca="false">IF(06_Jugos_Desayuno_Rapido!C69="","",06_Jugos_Desayuno_Rapido!C69)</f>
        <v>Extracto de maca con algarrobina</v>
      </c>
      <c r="E646" s="56" t="str">
        <f aca="false">IF(06_Jugos_Desayuno_Rapido!D69="","",06_Jugos_Desayuno_Rapido!D69)</f>
        <v>Bebida energética</v>
      </c>
      <c r="F646" s="56" t="str">
        <f aca="false">IF(06_Jugos_Desayuno_Rapido!E69="","",06_Jugos_Desayuno_Rapido!E69)</f>
        <v>algarrobina, leche, huevo, azúcar</v>
      </c>
      <c r="G646" s="55" t="str">
        <f aca="false">IF(06_Jugos_Desayuno_Rapido!F69="","",06_Jugos_Desayuno_Rapido!F69)</f>
        <v>Vaso 500 ml</v>
      </c>
      <c r="H646" s="55" t="str">
        <f aca="false">IF(06_Jugos_Desayuno_Rapido!G69="","",06_Jugos_Desayuno_Rapido!G69)</f>
        <v>Económico</v>
      </c>
      <c r="I646" s="58" t="n">
        <f aca="false">IF(06_Jugos_Desayuno_Rapido!H69="","",06_Jugos_Desayuno_Rapido!H69)</f>
        <v>5</v>
      </c>
      <c r="J646" s="58" t="n">
        <f aca="false">IF(06_Jugos_Desayuno_Rapido!I69="","",06_Jugos_Desayuno_Rapido!I69)</f>
        <v>10</v>
      </c>
      <c r="K646" s="58" t="n">
        <f aca="false">IF(06_Jugos_Desayuno_Rapido!J69="","",06_Jugos_Desayuno_Rapido!J69)</f>
        <v>7.5</v>
      </c>
      <c r="L646" s="58" t="n">
        <f aca="false">IF(06_Jugos_Desayuno_Rapido!L69="","",06_Jugos_Desayuno_Rapido!L69)</f>
        <v>8</v>
      </c>
      <c r="M646" s="58" t="n">
        <f aca="false">IF(06_Jugos_Desayuno_Rapido!N69="","",06_Jugos_Desayuno_Rapido!N69)</f>
        <v>0.53</v>
      </c>
      <c r="N646" s="58" t="n">
        <f aca="false">IF(06_Jugos_Desayuno_Rapido!O69="","",06_Jugos_Desayuno_Rapido!O69)</f>
        <v>6.97</v>
      </c>
      <c r="O646" s="55" t="str">
        <f aca="false">IF(06_Jugos_Desayuno_Rapido!P69="","",06_Jugos_Desayuno_Rapido!P69)</f>
        <v>06:00-11:00</v>
      </c>
      <c r="P646" s="55" t="n">
        <f aca="false">IF(06_Jugos_Desayuno_Rapido!Q69="","",06_Jugos_Desayuno_Rapido!Q69)</f>
        <v>5</v>
      </c>
      <c r="Q646" s="55" t="str">
        <f aca="false">IF(06_Jugos_Desayuno_Rapido!R69="","",06_Jugos_Desayuno_Rapido!R69)</f>
        <v>Alto</v>
      </c>
      <c r="R646" s="55" t="str">
        <f aca="false">IF(06_Jugos_Desayuno_Rapido!S69="","",06_Jugos_Desayuno_Rapido!S69)</f>
        <v>Todo el año</v>
      </c>
      <c r="S646" s="55" t="str">
        <f aca="false">IF(06_Jugos_Desayuno_Rapido!T69="","",06_Jugos_Desayuno_Rapido!T69)</f>
        <v>Carretilla</v>
      </c>
      <c r="T646" s="56" t="str">
        <f aca="false">IF(06_Jugos_Desayuno_Rapido!U69="","",06_Jugos_Desayuno_Rapido!U69)</f>
        <v/>
      </c>
      <c r="U646" s="55" t="n">
        <v>69</v>
      </c>
      <c r="V646" s="55" t="n">
        <f aca="false">IF(AND(OR(LEN(13_Buscador!$C$5)=0,ISNUMBER(SEARCH(13_Buscador!$C$5,$C646&amp;" "&amp;$D646&amp;" "&amp;$E646&amp;" "&amp;$F646&amp;" "&amp;$S646))),OR(13_Buscador!$C$6="Todas las listas",LEN(13_Buscador!$C$6)=0,13_Buscador!$C$6=$B646)),1,0)</f>
        <v>0</v>
      </c>
      <c r="W646" s="55" t="str">
        <f aca="false">IF(V646=1,SUM($V$2:V646),"")</f>
        <v/>
      </c>
    </row>
    <row r="647" customFormat="false" ht="15" hidden="false" customHeight="true" outlineLevel="0" collapsed="false">
      <c r="A647" s="55" t="n">
        <v>646</v>
      </c>
      <c r="B647" s="55" t="s">
        <v>3332</v>
      </c>
      <c r="C647" s="55" t="str">
        <f aca="false">IF(06_Jugos_Desayuno_Rapido!B70="","",06_Jugos_Desayuno_Rapido!B70)</f>
        <v>Jugos de carretilla</v>
      </c>
      <c r="D647" s="56" t="str">
        <f aca="false">IF(06_Jugos_Desayuno_Rapido!C70="","",06_Jugos_Desayuno_Rapido!C70)</f>
        <v>Jugo de zanahoria con miel</v>
      </c>
      <c r="E647" s="56" t="str">
        <f aca="false">IF(06_Jugos_Desayuno_Rapido!D70="","",06_Jugos_Desayuno_Rapido!D70)</f>
        <v>Jugo dulce</v>
      </c>
      <c r="F647" s="56" t="str">
        <f aca="false">IF(06_Jugos_Desayuno_Rapido!E70="","",06_Jugos_Desayuno_Rapido!E70)</f>
        <v>zanahoria, naranja o miel, agua</v>
      </c>
      <c r="G647" s="55" t="str">
        <f aca="false">IF(06_Jugos_Desayuno_Rapido!F70="","",06_Jugos_Desayuno_Rapido!F70)</f>
        <v>Vaso 500 ml</v>
      </c>
      <c r="H647" s="55" t="str">
        <f aca="false">IF(06_Jugos_Desayuno_Rapido!G70="","",06_Jugos_Desayuno_Rapido!G70)</f>
        <v>Económico</v>
      </c>
      <c r="I647" s="58" t="n">
        <f aca="false">IF(06_Jugos_Desayuno_Rapido!H70="","",06_Jugos_Desayuno_Rapido!H70)</f>
        <v>3</v>
      </c>
      <c r="J647" s="58" t="n">
        <f aca="false">IF(06_Jugos_Desayuno_Rapido!I70="","",06_Jugos_Desayuno_Rapido!I70)</f>
        <v>7</v>
      </c>
      <c r="K647" s="58" t="n">
        <f aca="false">IF(06_Jugos_Desayuno_Rapido!J70="","",06_Jugos_Desayuno_Rapido!J70)</f>
        <v>5</v>
      </c>
      <c r="L647" s="58" t="n">
        <f aca="false">IF(06_Jugos_Desayuno_Rapido!L70="","",06_Jugos_Desayuno_Rapido!L70)</f>
        <v>5.5</v>
      </c>
      <c r="M647" s="58" t="n">
        <f aca="false">IF(06_Jugos_Desayuno_Rapido!N70="","",06_Jugos_Desayuno_Rapido!N70)</f>
        <v>0.35</v>
      </c>
      <c r="N647" s="58" t="n">
        <f aca="false">IF(06_Jugos_Desayuno_Rapido!O70="","",06_Jugos_Desayuno_Rapido!O70)</f>
        <v>4.65</v>
      </c>
      <c r="O647" s="55" t="str">
        <f aca="false">IF(06_Jugos_Desayuno_Rapido!P70="","",06_Jugos_Desayuno_Rapido!P70)</f>
        <v>06:00-11:00</v>
      </c>
      <c r="P647" s="55" t="n">
        <f aca="false">IF(06_Jugos_Desayuno_Rapido!Q70="","",06_Jugos_Desayuno_Rapido!Q70)</f>
        <v>3</v>
      </c>
      <c r="Q647" s="55" t="str">
        <f aca="false">IF(06_Jugos_Desayuno_Rapido!R70="","",06_Jugos_Desayuno_Rapido!R70)</f>
        <v>Alto</v>
      </c>
      <c r="R647" s="55" t="str">
        <f aca="false">IF(06_Jugos_Desayuno_Rapido!S70="","",06_Jugos_Desayuno_Rapido!S70)</f>
        <v>Todo el año</v>
      </c>
      <c r="S647" s="55" t="str">
        <f aca="false">IF(06_Jugos_Desayuno_Rapido!T70="","",06_Jugos_Desayuno_Rapido!T70)</f>
        <v>Carretilla</v>
      </c>
      <c r="T647" s="56" t="str">
        <f aca="false">IF(06_Jugos_Desayuno_Rapido!U70="","",06_Jugos_Desayuno_Rapido!U70)</f>
        <v/>
      </c>
      <c r="U647" s="55" t="n">
        <v>70</v>
      </c>
      <c r="V647" s="55" t="n">
        <f aca="false">IF(AND(OR(LEN(13_Buscador!$C$5)=0,ISNUMBER(SEARCH(13_Buscador!$C$5,$C647&amp;" "&amp;$D647&amp;" "&amp;$E647&amp;" "&amp;$F647&amp;" "&amp;$S647))),OR(13_Buscador!$C$6="Todas las listas",LEN(13_Buscador!$C$6)=0,13_Buscador!$C$6=$B647)),1,0)</f>
        <v>0</v>
      </c>
      <c r="W647" s="55" t="str">
        <f aca="false">IF(V647=1,SUM($V$2:V647),"")</f>
        <v/>
      </c>
    </row>
    <row r="648" customFormat="false" ht="15" hidden="false" customHeight="true" outlineLevel="0" collapsed="false">
      <c r="A648" s="55" t="n">
        <v>647</v>
      </c>
      <c r="B648" s="55" t="s">
        <v>3332</v>
      </c>
      <c r="C648" s="55" t="str">
        <f aca="false">IF(06_Jugos_Desayuno_Rapido!B71="","",06_Jugos_Desayuno_Rapido!B71)</f>
        <v>Jugos de carretilla</v>
      </c>
      <c r="D648" s="56" t="str">
        <f aca="false">IF(06_Jugos_Desayuno_Rapido!C71="","",06_Jugos_Desayuno_Rapido!C71)</f>
        <v>Jugo con cañihua</v>
      </c>
      <c r="E648" s="56" t="str">
        <f aca="false">IF(06_Jugos_Desayuno_Rapido!D71="","",06_Jugos_Desayuno_Rapido!D71)</f>
        <v>Con harina de cañihuaco</v>
      </c>
      <c r="F648" s="56" t="str">
        <f aca="false">IF(06_Jugos_Desayuno_Rapido!E71="","",06_Jugos_Desayuno_Rapido!E71)</f>
        <v>harina de cañihuaco, leche, azúcar, canela</v>
      </c>
      <c r="G648" s="55" t="str">
        <f aca="false">IF(06_Jugos_Desayuno_Rapido!F71="","",06_Jugos_Desayuno_Rapido!F71)</f>
        <v>Vaso 500 ml</v>
      </c>
      <c r="H648" s="55" t="str">
        <f aca="false">IF(06_Jugos_Desayuno_Rapido!G71="","",06_Jugos_Desayuno_Rapido!G71)</f>
        <v>Económico</v>
      </c>
      <c r="I648" s="58" t="n">
        <f aca="false">IF(06_Jugos_Desayuno_Rapido!H71="","",06_Jugos_Desayuno_Rapido!H71)</f>
        <v>4</v>
      </c>
      <c r="J648" s="58" t="n">
        <f aca="false">IF(06_Jugos_Desayuno_Rapido!I71="","",06_Jugos_Desayuno_Rapido!I71)</f>
        <v>9</v>
      </c>
      <c r="K648" s="58" t="n">
        <f aca="false">IF(06_Jugos_Desayuno_Rapido!J71="","",06_Jugos_Desayuno_Rapido!J71)</f>
        <v>6.5</v>
      </c>
      <c r="L648" s="58" t="n">
        <f aca="false">IF(06_Jugos_Desayuno_Rapido!L71="","",06_Jugos_Desayuno_Rapido!L71)</f>
        <v>7</v>
      </c>
      <c r="M648" s="58" t="n">
        <f aca="false">IF(06_Jugos_Desayuno_Rapido!N71="","",06_Jugos_Desayuno_Rapido!N71)</f>
        <v>0.46</v>
      </c>
      <c r="N648" s="58" t="n">
        <f aca="false">IF(06_Jugos_Desayuno_Rapido!O71="","",06_Jugos_Desayuno_Rapido!O71)</f>
        <v>6.04</v>
      </c>
      <c r="O648" s="55" t="str">
        <f aca="false">IF(06_Jugos_Desayuno_Rapido!P71="","",06_Jugos_Desayuno_Rapido!P71)</f>
        <v>06:00-11:00</v>
      </c>
      <c r="P648" s="55" t="n">
        <f aca="false">IF(06_Jugos_Desayuno_Rapido!Q71="","",06_Jugos_Desayuno_Rapido!Q71)</f>
        <v>4</v>
      </c>
      <c r="Q648" s="55" t="str">
        <f aca="false">IF(06_Jugos_Desayuno_Rapido!R71="","",06_Jugos_Desayuno_Rapido!R71)</f>
        <v>Alto</v>
      </c>
      <c r="R648" s="55" t="str">
        <f aca="false">IF(06_Jugos_Desayuno_Rapido!S71="","",06_Jugos_Desayuno_Rapido!S71)</f>
        <v>Todo el año</v>
      </c>
      <c r="S648" s="55" t="str">
        <f aca="false">IF(06_Jugos_Desayuno_Rapido!T71="","",06_Jugos_Desayuno_Rapido!T71)</f>
        <v>Carretilla, mercado</v>
      </c>
      <c r="T648" s="56" t="str">
        <f aca="false">IF(06_Jugos_Desayuno_Rapido!U71="","",06_Jugos_Desayuno_Rapido!U71)</f>
        <v>Insumo típico de Puno</v>
      </c>
      <c r="U648" s="55" t="n">
        <v>71</v>
      </c>
      <c r="V648" s="55" t="n">
        <f aca="false">IF(AND(OR(LEN(13_Buscador!$C$5)=0,ISNUMBER(SEARCH(13_Buscador!$C$5,$C648&amp;" "&amp;$D648&amp;" "&amp;$E648&amp;" "&amp;$F648&amp;" "&amp;$S648))),OR(13_Buscador!$C$6="Todas las listas",LEN(13_Buscador!$C$6)=0,13_Buscador!$C$6=$B648)),1,0)</f>
        <v>0</v>
      </c>
      <c r="W648" s="55" t="str">
        <f aca="false">IF(V648=1,SUM($V$2:V648),"")</f>
        <v/>
      </c>
    </row>
    <row r="649" customFormat="false" ht="15" hidden="false" customHeight="true" outlineLevel="0" collapsed="false">
      <c r="A649" s="55" t="n">
        <v>648</v>
      </c>
      <c r="B649" s="55" t="s">
        <v>3332</v>
      </c>
      <c r="C649" s="55" t="str">
        <f aca="false">IF(06_Jugos_Desayuno_Rapido!B72="","",06_Jugos_Desayuno_Rapido!B72)</f>
        <v>Jugos de carretilla</v>
      </c>
      <c r="D649" s="56" t="str">
        <f aca="false">IF(06_Jugos_Desayuno_Rapido!C72="","",06_Jugos_Desayuno_Rapido!C72)</f>
        <v>Jarra de jugo de carretilla 1 L</v>
      </c>
      <c r="E649" s="56" t="str">
        <f aca="false">IF(06_Jugos_Desayuno_Rapido!D72="","",06_Jugos_Desayuno_Rapido!D72)</f>
        <v>Para llevar a casa</v>
      </c>
      <c r="F649" s="56" t="str">
        <f aca="false">IF(06_Jugos_Desayuno_Rapido!E72="","",06_Jugos_Desayuno_Rapido!E72)</f>
        <v>fruta de estación, agua o leche, azúcar</v>
      </c>
      <c r="G649" s="55" t="str">
        <f aca="false">IF(06_Jugos_Desayuno_Rapido!F72="","",06_Jugos_Desayuno_Rapido!F72)</f>
        <v>Jarra 1 L</v>
      </c>
      <c r="H649" s="55" t="str">
        <f aca="false">IF(06_Jugos_Desayuno_Rapido!G72="","",06_Jugos_Desayuno_Rapido!G72)</f>
        <v>Económico</v>
      </c>
      <c r="I649" s="58" t="n">
        <f aca="false">IF(06_Jugos_Desayuno_Rapido!H72="","",06_Jugos_Desayuno_Rapido!H72)</f>
        <v>6</v>
      </c>
      <c r="J649" s="58" t="n">
        <f aca="false">IF(06_Jugos_Desayuno_Rapido!I72="","",06_Jugos_Desayuno_Rapido!I72)</f>
        <v>12</v>
      </c>
      <c r="K649" s="58" t="n">
        <f aca="false">IF(06_Jugos_Desayuno_Rapido!J72="","",06_Jugos_Desayuno_Rapido!J72)</f>
        <v>9</v>
      </c>
      <c r="L649" s="58" t="n">
        <f aca="false">IF(06_Jugos_Desayuno_Rapido!L72="","",06_Jugos_Desayuno_Rapido!L72)</f>
        <v>9.5</v>
      </c>
      <c r="M649" s="58" t="n">
        <f aca="false">IF(06_Jugos_Desayuno_Rapido!N72="","",06_Jugos_Desayuno_Rapido!N72)</f>
        <v>0.63</v>
      </c>
      <c r="N649" s="58" t="n">
        <f aca="false">IF(06_Jugos_Desayuno_Rapido!O72="","",06_Jugos_Desayuno_Rapido!O72)</f>
        <v>8.37</v>
      </c>
      <c r="O649" s="55" t="str">
        <f aca="false">IF(06_Jugos_Desayuno_Rapido!P72="","",06_Jugos_Desayuno_Rapido!P72)</f>
        <v>06:00-11:00</v>
      </c>
      <c r="P649" s="55" t="n">
        <f aca="false">IF(06_Jugos_Desayuno_Rapido!Q72="","",06_Jugos_Desayuno_Rapido!Q72)</f>
        <v>6</v>
      </c>
      <c r="Q649" s="55" t="str">
        <f aca="false">IF(06_Jugos_Desayuno_Rapido!R72="","",06_Jugos_Desayuno_Rapido!R72)</f>
        <v>Alto</v>
      </c>
      <c r="R649" s="55" t="str">
        <f aca="false">IF(06_Jugos_Desayuno_Rapido!S72="","",06_Jugos_Desayuno_Rapido!S72)</f>
        <v>Todo el año</v>
      </c>
      <c r="S649" s="55" t="str">
        <f aca="false">IF(06_Jugos_Desayuno_Rapido!T72="","",06_Jugos_Desayuno_Rapido!T72)</f>
        <v>Carretilla</v>
      </c>
      <c r="T649" s="56" t="str">
        <f aca="false">IF(06_Jugos_Desayuno_Rapido!U72="","",06_Jugos_Desayuno_Rapido!U72)</f>
        <v>Mejor opción de ticket en esta lista</v>
      </c>
      <c r="U649" s="55" t="n">
        <v>72</v>
      </c>
      <c r="V649" s="55" t="n">
        <f aca="false">IF(AND(OR(LEN(13_Buscador!$C$5)=0,ISNUMBER(SEARCH(13_Buscador!$C$5,$C649&amp;" "&amp;$D649&amp;" "&amp;$E649&amp;" "&amp;$F649&amp;" "&amp;$S649))),OR(13_Buscador!$C$6="Todas las listas",LEN(13_Buscador!$C$6)=0,13_Buscador!$C$6=$B649)),1,0)</f>
        <v>0</v>
      </c>
      <c r="W649" s="55" t="str">
        <f aca="false">IF(V649=1,SUM($V$2:V649),"")</f>
        <v/>
      </c>
    </row>
    <row r="650" customFormat="false" ht="15" hidden="false" customHeight="true" outlineLevel="0" collapsed="false">
      <c r="A650" s="55" t="n">
        <v>649</v>
      </c>
      <c r="B650" s="55" t="s">
        <v>3332</v>
      </c>
      <c r="C650" s="55" t="str">
        <f aca="false">IF(06_Jugos_Desayuno_Rapido!B73="","",06_Jugos_Desayuno_Rapido!B73)</f>
        <v>Panes y frituras de carretilla</v>
      </c>
      <c r="D650" s="56" t="str">
        <f aca="false">IF(06_Jugos_Desayuno_Rapido!C73="","",06_Jugos_Desayuno_Rapido!C73)</f>
        <v>Pan con relleno de pollo</v>
      </c>
      <c r="E650" s="56" t="str">
        <f aca="false">IF(06_Jugos_Desayuno_Rapido!D73="","",06_Jugos_Desayuno_Rapido!D73)</f>
        <v>Pan con pollo guisado</v>
      </c>
      <c r="F650" s="56" t="str">
        <f aca="false">IF(06_Jugos_Desayuno_Rapido!E73="","",06_Jugos_Desayuno_Rapido!E73)</f>
        <v>pan, pollo deshilachado, mayonesa, lechuga</v>
      </c>
      <c r="G650" s="55" t="str">
        <f aca="false">IF(06_Jugos_Desayuno_Rapido!F73="","",06_Jugos_Desayuno_Rapido!F73)</f>
        <v>1 unidad</v>
      </c>
      <c r="H650" s="55" t="str">
        <f aca="false">IF(06_Jugos_Desayuno_Rapido!G73="","",06_Jugos_Desayuno_Rapido!G73)</f>
        <v>Económico</v>
      </c>
      <c r="I650" s="58" t="n">
        <f aca="false">IF(06_Jugos_Desayuno_Rapido!H73="","",06_Jugos_Desayuno_Rapido!H73)</f>
        <v>3</v>
      </c>
      <c r="J650" s="58" t="n">
        <f aca="false">IF(06_Jugos_Desayuno_Rapido!I73="","",06_Jugos_Desayuno_Rapido!I73)</f>
        <v>7</v>
      </c>
      <c r="K650" s="58" t="n">
        <f aca="false">IF(06_Jugos_Desayuno_Rapido!J73="","",06_Jugos_Desayuno_Rapido!J73)</f>
        <v>5</v>
      </c>
      <c r="L650" s="58" t="n">
        <f aca="false">IF(06_Jugos_Desayuno_Rapido!L73="","",06_Jugos_Desayuno_Rapido!L73)</f>
        <v>5.5</v>
      </c>
      <c r="M650" s="58" t="n">
        <f aca="false">IF(06_Jugos_Desayuno_Rapido!N73="","",06_Jugos_Desayuno_Rapido!N73)</f>
        <v>0.35</v>
      </c>
      <c r="N650" s="58" t="n">
        <f aca="false">IF(06_Jugos_Desayuno_Rapido!O73="","",06_Jugos_Desayuno_Rapido!O73)</f>
        <v>4.65</v>
      </c>
      <c r="O650" s="55" t="str">
        <f aca="false">IF(06_Jugos_Desayuno_Rapido!P73="","",06_Jugos_Desayuno_Rapido!P73)</f>
        <v>06:00-11:00</v>
      </c>
      <c r="P650" s="55" t="n">
        <f aca="false">IF(06_Jugos_Desayuno_Rapido!Q73="","",06_Jugos_Desayuno_Rapido!Q73)</f>
        <v>3</v>
      </c>
      <c r="Q650" s="55" t="str">
        <f aca="false">IF(06_Jugos_Desayuno_Rapido!R73="","",06_Jugos_Desayuno_Rapido!R73)</f>
        <v>Alto</v>
      </c>
      <c r="R650" s="55" t="str">
        <f aca="false">IF(06_Jugos_Desayuno_Rapido!S73="","",06_Jugos_Desayuno_Rapido!S73)</f>
        <v>Todo el año</v>
      </c>
      <c r="S650" s="55" t="str">
        <f aca="false">IF(06_Jugos_Desayuno_Rapido!T73="","",06_Jugos_Desayuno_Rapido!T73)</f>
        <v>Carretilla</v>
      </c>
      <c r="T650" s="56" t="str">
        <f aca="false">IF(06_Jugos_Desayuno_Rapido!U73="","",06_Jugos_Desayuno_Rapido!U73)</f>
        <v/>
      </c>
      <c r="U650" s="55" t="n">
        <v>73</v>
      </c>
      <c r="V650" s="55" t="n">
        <f aca="false">IF(AND(OR(LEN(13_Buscador!$C$5)=0,ISNUMBER(SEARCH(13_Buscador!$C$5,$C650&amp;" "&amp;$D650&amp;" "&amp;$E650&amp;" "&amp;$F650&amp;" "&amp;$S650))),OR(13_Buscador!$C$6="Todas las listas",LEN(13_Buscador!$C$6)=0,13_Buscador!$C$6=$B650)),1,0)</f>
        <v>1</v>
      </c>
      <c r="W650" s="55" t="n">
        <f aca="false">IF(V650=1,SUM($V$2:V650),"")</f>
        <v>107</v>
      </c>
    </row>
    <row r="651" customFormat="false" ht="15" hidden="false" customHeight="true" outlineLevel="0" collapsed="false">
      <c r="A651" s="55" t="n">
        <v>650</v>
      </c>
      <c r="B651" s="55" t="s">
        <v>3332</v>
      </c>
      <c r="C651" s="55" t="str">
        <f aca="false">IF(06_Jugos_Desayuno_Rapido!B74="","",06_Jugos_Desayuno_Rapido!B74)</f>
        <v>Panes y frituras de carretilla</v>
      </c>
      <c r="D651" s="56" t="str">
        <f aca="false">IF(06_Jugos_Desayuno_Rapido!C74="","",06_Jugos_Desayuno_Rapido!C74)</f>
        <v>Pan con chorizo</v>
      </c>
      <c r="E651" s="56" t="str">
        <f aca="false">IF(06_Jugos_Desayuno_Rapido!D74="","",06_Jugos_Desayuno_Rapido!D74)</f>
        <v>Chorizo frito en pan</v>
      </c>
      <c r="F651" s="56" t="str">
        <f aca="false">IF(06_Jugos_Desayuno_Rapido!E74="","",06_Jugos_Desayuno_Rapido!E74)</f>
        <v>pan, salchicha o chorizo, papas al hilo, salsas</v>
      </c>
      <c r="G651" s="55" t="str">
        <f aca="false">IF(06_Jugos_Desayuno_Rapido!F74="","",06_Jugos_Desayuno_Rapido!F74)</f>
        <v>1 unidad</v>
      </c>
      <c r="H651" s="55" t="str">
        <f aca="false">IF(06_Jugos_Desayuno_Rapido!G74="","",06_Jugos_Desayuno_Rapido!G74)</f>
        <v>Económico</v>
      </c>
      <c r="I651" s="58" t="n">
        <f aca="false">IF(06_Jugos_Desayuno_Rapido!H74="","",06_Jugos_Desayuno_Rapido!H74)</f>
        <v>3</v>
      </c>
      <c r="J651" s="58" t="n">
        <f aca="false">IF(06_Jugos_Desayuno_Rapido!I74="","",06_Jugos_Desayuno_Rapido!I74)</f>
        <v>7</v>
      </c>
      <c r="K651" s="58" t="n">
        <f aca="false">IF(06_Jugos_Desayuno_Rapido!J74="","",06_Jugos_Desayuno_Rapido!J74)</f>
        <v>5</v>
      </c>
      <c r="L651" s="58" t="n">
        <f aca="false">IF(06_Jugos_Desayuno_Rapido!L74="","",06_Jugos_Desayuno_Rapido!L74)</f>
        <v>5.5</v>
      </c>
      <c r="M651" s="58" t="n">
        <f aca="false">IF(06_Jugos_Desayuno_Rapido!N74="","",06_Jugos_Desayuno_Rapido!N74)</f>
        <v>0.35</v>
      </c>
      <c r="N651" s="58" t="n">
        <f aca="false">IF(06_Jugos_Desayuno_Rapido!O74="","",06_Jugos_Desayuno_Rapido!O74)</f>
        <v>4.65</v>
      </c>
      <c r="O651" s="55" t="str">
        <f aca="false">IF(06_Jugos_Desayuno_Rapido!P74="","",06_Jugos_Desayuno_Rapido!P74)</f>
        <v>06:00-11:00</v>
      </c>
      <c r="P651" s="55" t="n">
        <f aca="false">IF(06_Jugos_Desayuno_Rapido!Q74="","",06_Jugos_Desayuno_Rapido!Q74)</f>
        <v>4</v>
      </c>
      <c r="Q651" s="55" t="str">
        <f aca="false">IF(06_Jugos_Desayuno_Rapido!R74="","",06_Jugos_Desayuno_Rapido!R74)</f>
        <v>Alto</v>
      </c>
      <c r="R651" s="55" t="str">
        <f aca="false">IF(06_Jugos_Desayuno_Rapido!S74="","",06_Jugos_Desayuno_Rapido!S74)</f>
        <v>Todo el año</v>
      </c>
      <c r="S651" s="55" t="str">
        <f aca="false">IF(06_Jugos_Desayuno_Rapido!T74="","",06_Jugos_Desayuno_Rapido!T74)</f>
        <v>Carretilla</v>
      </c>
      <c r="T651" s="56" t="str">
        <f aca="false">IF(06_Jugos_Desayuno_Rapido!U74="","",06_Jugos_Desayuno_Rapido!U74)</f>
        <v/>
      </c>
      <c r="U651" s="55" t="n">
        <v>74</v>
      </c>
      <c r="V651" s="55" t="n">
        <f aca="false">IF(AND(OR(LEN(13_Buscador!$C$5)=0,ISNUMBER(SEARCH(13_Buscador!$C$5,$C651&amp;" "&amp;$D651&amp;" "&amp;$E651&amp;" "&amp;$F651&amp;" "&amp;$S651))),OR(13_Buscador!$C$6="Todas las listas",LEN(13_Buscador!$C$6)=0,13_Buscador!$C$6=$B651)),1,0)</f>
        <v>0</v>
      </c>
      <c r="W651" s="55" t="str">
        <f aca="false">IF(V651=1,SUM($V$2:V651),"")</f>
        <v/>
      </c>
    </row>
    <row r="652" customFormat="false" ht="15" hidden="false" customHeight="true" outlineLevel="0" collapsed="false">
      <c r="A652" s="55" t="n">
        <v>651</v>
      </c>
      <c r="B652" s="55" t="s">
        <v>3332</v>
      </c>
      <c r="C652" s="55" t="str">
        <f aca="false">IF(06_Jugos_Desayuno_Rapido!B75="","",06_Jugos_Desayuno_Rapido!B75)</f>
        <v>Panes y frituras de carretilla</v>
      </c>
      <c r="D652" s="56" t="str">
        <f aca="false">IF(06_Jugos_Desayuno_Rapido!C75="","",06_Jugos_Desayuno_Rapido!C75)</f>
        <v>Pan con hot dog</v>
      </c>
      <c r="E652" s="56" t="str">
        <f aca="false">IF(06_Jugos_Desayuno_Rapido!D75="","",06_Jugos_Desayuno_Rapido!D75)</f>
        <v>Salchicha con papas al hilo</v>
      </c>
      <c r="F652" s="56" t="str">
        <f aca="false">IF(06_Jugos_Desayuno_Rapido!E75="","",06_Jugos_Desayuno_Rapido!E75)</f>
        <v>pan, salchicha o chorizo, papas al hilo, salsas</v>
      </c>
      <c r="G652" s="55" t="str">
        <f aca="false">IF(06_Jugos_Desayuno_Rapido!F75="","",06_Jugos_Desayuno_Rapido!F75)</f>
        <v>1 unidad</v>
      </c>
      <c r="H652" s="55" t="str">
        <f aca="false">IF(06_Jugos_Desayuno_Rapido!G75="","",06_Jugos_Desayuno_Rapido!G75)</f>
        <v>Económico</v>
      </c>
      <c r="I652" s="58" t="n">
        <f aca="false">IF(06_Jugos_Desayuno_Rapido!H75="","",06_Jugos_Desayuno_Rapido!H75)</f>
        <v>3</v>
      </c>
      <c r="J652" s="58" t="n">
        <f aca="false">IF(06_Jugos_Desayuno_Rapido!I75="","",06_Jugos_Desayuno_Rapido!I75)</f>
        <v>7</v>
      </c>
      <c r="K652" s="58" t="n">
        <f aca="false">IF(06_Jugos_Desayuno_Rapido!J75="","",06_Jugos_Desayuno_Rapido!J75)</f>
        <v>5</v>
      </c>
      <c r="L652" s="58" t="n">
        <f aca="false">IF(06_Jugos_Desayuno_Rapido!L75="","",06_Jugos_Desayuno_Rapido!L75)</f>
        <v>5.5</v>
      </c>
      <c r="M652" s="58" t="n">
        <f aca="false">IF(06_Jugos_Desayuno_Rapido!N75="","",06_Jugos_Desayuno_Rapido!N75)</f>
        <v>0.35</v>
      </c>
      <c r="N652" s="58" t="n">
        <f aca="false">IF(06_Jugos_Desayuno_Rapido!O75="","",06_Jugos_Desayuno_Rapido!O75)</f>
        <v>4.65</v>
      </c>
      <c r="O652" s="55" t="str">
        <f aca="false">IF(06_Jugos_Desayuno_Rapido!P75="","",06_Jugos_Desayuno_Rapido!P75)</f>
        <v>17:00-23:00</v>
      </c>
      <c r="P652" s="55" t="n">
        <f aca="false">IF(06_Jugos_Desayuno_Rapido!Q75="","",06_Jugos_Desayuno_Rapido!Q75)</f>
        <v>4</v>
      </c>
      <c r="Q652" s="55" t="str">
        <f aca="false">IF(06_Jugos_Desayuno_Rapido!R75="","",06_Jugos_Desayuno_Rapido!R75)</f>
        <v>Alto</v>
      </c>
      <c r="R652" s="55" t="str">
        <f aca="false">IF(06_Jugos_Desayuno_Rapido!S75="","",06_Jugos_Desayuno_Rapido!S75)</f>
        <v>Todo el año</v>
      </c>
      <c r="S652" s="55" t="str">
        <f aca="false">IF(06_Jugos_Desayuno_Rapido!T75="","",06_Jugos_Desayuno_Rapido!T75)</f>
        <v>Carretilla</v>
      </c>
      <c r="T652" s="56" t="str">
        <f aca="false">IF(06_Jugos_Desayuno_Rapido!U75="","",06_Jugos_Desayuno_Rapido!U75)</f>
        <v/>
      </c>
      <c r="U652" s="55" t="n">
        <v>75</v>
      </c>
      <c r="V652" s="55" t="n">
        <f aca="false">IF(AND(OR(LEN(13_Buscador!$C$5)=0,ISNUMBER(SEARCH(13_Buscador!$C$5,$C652&amp;" "&amp;$D652&amp;" "&amp;$E652&amp;" "&amp;$F652&amp;" "&amp;$S652))),OR(13_Buscador!$C$6="Todas las listas",LEN(13_Buscador!$C$6)=0,13_Buscador!$C$6=$B652)),1,0)</f>
        <v>0</v>
      </c>
      <c r="W652" s="55" t="str">
        <f aca="false">IF(V652=1,SUM($V$2:V652),"")</f>
        <v/>
      </c>
    </row>
    <row r="653" customFormat="false" ht="15" hidden="false" customHeight="true" outlineLevel="0" collapsed="false">
      <c r="A653" s="55" t="n">
        <v>652</v>
      </c>
      <c r="B653" s="55" t="s">
        <v>3332</v>
      </c>
      <c r="C653" s="55" t="str">
        <f aca="false">IF(06_Jugos_Desayuno_Rapido!B76="","",06_Jugos_Desayuno_Rapido!B76)</f>
        <v>Panes y frituras de carretilla</v>
      </c>
      <c r="D653" s="56" t="str">
        <f aca="false">IF(06_Jugos_Desayuno_Rapido!C76="","",06_Jugos_Desayuno_Rapido!C76)</f>
        <v>Sándwich de jamonada y queso</v>
      </c>
      <c r="E653" s="56" t="str">
        <f aca="false">IF(06_Jugos_Desayuno_Rapido!D76="","",06_Jugos_Desayuno_Rapido!D76)</f>
        <v>Sándwich simple</v>
      </c>
      <c r="F653" s="56" t="str">
        <f aca="false">IF(06_Jugos_Desayuno_Rapido!E76="","",06_Jugos_Desayuno_Rapido!E76)</f>
        <v>pan, relleno del sabor elegido, vegetales, salsas</v>
      </c>
      <c r="G653" s="55" t="str">
        <f aca="false">IF(06_Jugos_Desayuno_Rapido!F76="","",06_Jugos_Desayuno_Rapido!F76)</f>
        <v>1 unidad</v>
      </c>
      <c r="H653" s="55" t="str">
        <f aca="false">IF(06_Jugos_Desayuno_Rapido!G76="","",06_Jugos_Desayuno_Rapido!G76)</f>
        <v>Económico</v>
      </c>
      <c r="I653" s="58" t="n">
        <f aca="false">IF(06_Jugos_Desayuno_Rapido!H76="","",06_Jugos_Desayuno_Rapido!H76)</f>
        <v>3</v>
      </c>
      <c r="J653" s="58" t="n">
        <f aca="false">IF(06_Jugos_Desayuno_Rapido!I76="","",06_Jugos_Desayuno_Rapido!I76)</f>
        <v>7</v>
      </c>
      <c r="K653" s="58" t="n">
        <f aca="false">IF(06_Jugos_Desayuno_Rapido!J76="","",06_Jugos_Desayuno_Rapido!J76)</f>
        <v>5</v>
      </c>
      <c r="L653" s="58" t="n">
        <f aca="false">IF(06_Jugos_Desayuno_Rapido!L76="","",06_Jugos_Desayuno_Rapido!L76)</f>
        <v>5.5</v>
      </c>
      <c r="M653" s="58" t="n">
        <f aca="false">IF(06_Jugos_Desayuno_Rapido!N76="","",06_Jugos_Desayuno_Rapido!N76)</f>
        <v>0.35</v>
      </c>
      <c r="N653" s="58" t="n">
        <f aca="false">IF(06_Jugos_Desayuno_Rapido!O76="","",06_Jugos_Desayuno_Rapido!O76)</f>
        <v>4.65</v>
      </c>
      <c r="O653" s="55" t="str">
        <f aca="false">IF(06_Jugos_Desayuno_Rapido!P76="","",06_Jugos_Desayuno_Rapido!P76)</f>
        <v>06:00-11:00</v>
      </c>
      <c r="P653" s="55" t="n">
        <f aca="false">IF(06_Jugos_Desayuno_Rapido!Q76="","",06_Jugos_Desayuno_Rapido!Q76)</f>
        <v>3</v>
      </c>
      <c r="Q653" s="55" t="str">
        <f aca="false">IF(06_Jugos_Desayuno_Rapido!R76="","",06_Jugos_Desayuno_Rapido!R76)</f>
        <v>Alto</v>
      </c>
      <c r="R653" s="55" t="str">
        <f aca="false">IF(06_Jugos_Desayuno_Rapido!S76="","",06_Jugos_Desayuno_Rapido!S76)</f>
        <v>Todo el año</v>
      </c>
      <c r="S653" s="55" t="str">
        <f aca="false">IF(06_Jugos_Desayuno_Rapido!T76="","",06_Jugos_Desayuno_Rapido!T76)</f>
        <v>Carretilla</v>
      </c>
      <c r="T653" s="56" t="str">
        <f aca="false">IF(06_Jugos_Desayuno_Rapido!U76="","",06_Jugos_Desayuno_Rapido!U76)</f>
        <v/>
      </c>
      <c r="U653" s="55" t="n">
        <v>76</v>
      </c>
      <c r="V653" s="55" t="n">
        <f aca="false">IF(AND(OR(LEN(13_Buscador!$C$5)=0,ISNUMBER(SEARCH(13_Buscador!$C$5,$C653&amp;" "&amp;$D653&amp;" "&amp;$E653&amp;" "&amp;$F653&amp;" "&amp;$S653))),OR(13_Buscador!$C$6="Todas las listas",LEN(13_Buscador!$C$6)=0,13_Buscador!$C$6=$B653)),1,0)</f>
        <v>0</v>
      </c>
      <c r="W653" s="55" t="str">
        <f aca="false">IF(V653=1,SUM($V$2:V653),"")</f>
        <v/>
      </c>
    </row>
    <row r="654" customFormat="false" ht="15" hidden="false" customHeight="true" outlineLevel="0" collapsed="false">
      <c r="A654" s="55" t="n">
        <v>653</v>
      </c>
      <c r="B654" s="55" t="s">
        <v>3332</v>
      </c>
      <c r="C654" s="55" t="str">
        <f aca="false">IF(06_Jugos_Desayuno_Rapido!B77="","",06_Jugos_Desayuno_Rapido!B77)</f>
        <v>Panes y frituras de carretilla</v>
      </c>
      <c r="D654" s="56" t="str">
        <f aca="false">IF(06_Jugos_Desayuno_Rapido!C77="","",06_Jugos_Desayuno_Rapido!C77)</f>
        <v>Empanada de pollo</v>
      </c>
      <c r="E654" s="56" t="str">
        <f aca="false">IF(06_Jugos_Desayuno_Rapido!D77="","",06_Jugos_Desayuno_Rapido!D77)</f>
        <v>Empanada frita</v>
      </c>
      <c r="F654" s="56" t="str">
        <f aca="false">IF(06_Jugos_Desayuno_Rapido!E77="","",06_Jugos_Desayuno_Rapido!E77)</f>
        <v>masa de trigo, pollo, cebolla, huevo</v>
      </c>
      <c r="G654" s="55" t="str">
        <f aca="false">IF(06_Jugos_Desayuno_Rapido!F77="","",06_Jugos_Desayuno_Rapido!F77)</f>
        <v>Unidad</v>
      </c>
      <c r="H654" s="55" t="str">
        <f aca="false">IF(06_Jugos_Desayuno_Rapido!G77="","",06_Jugos_Desayuno_Rapido!G77)</f>
        <v>Económico</v>
      </c>
      <c r="I654" s="58" t="n">
        <f aca="false">IF(06_Jugos_Desayuno_Rapido!H77="","",06_Jugos_Desayuno_Rapido!H77)</f>
        <v>2</v>
      </c>
      <c r="J654" s="58" t="n">
        <f aca="false">IF(06_Jugos_Desayuno_Rapido!I77="","",06_Jugos_Desayuno_Rapido!I77)</f>
        <v>6</v>
      </c>
      <c r="K654" s="58" t="n">
        <f aca="false">IF(06_Jugos_Desayuno_Rapido!J77="","",06_Jugos_Desayuno_Rapido!J77)</f>
        <v>4</v>
      </c>
      <c r="L654" s="58" t="n">
        <f aca="false">IF(06_Jugos_Desayuno_Rapido!L77="","",06_Jugos_Desayuno_Rapido!L77)</f>
        <v>4.5</v>
      </c>
      <c r="M654" s="58" t="n">
        <f aca="false">IF(06_Jugos_Desayuno_Rapido!N77="","",06_Jugos_Desayuno_Rapido!N77)</f>
        <v>0.28</v>
      </c>
      <c r="N654" s="58" t="n">
        <f aca="false">IF(06_Jugos_Desayuno_Rapido!O77="","",06_Jugos_Desayuno_Rapido!O77)</f>
        <v>3.72</v>
      </c>
      <c r="O654" s="55" t="str">
        <f aca="false">IF(06_Jugos_Desayuno_Rapido!P77="","",06_Jugos_Desayuno_Rapido!P77)</f>
        <v>06:00-12:00</v>
      </c>
      <c r="P654" s="55" t="n">
        <f aca="false">IF(06_Jugos_Desayuno_Rapido!Q77="","",06_Jugos_Desayuno_Rapido!Q77)</f>
        <v>3</v>
      </c>
      <c r="Q654" s="55" t="str">
        <f aca="false">IF(06_Jugos_Desayuno_Rapido!R77="","",06_Jugos_Desayuno_Rapido!R77)</f>
        <v>Alto</v>
      </c>
      <c r="R654" s="55" t="str">
        <f aca="false">IF(06_Jugos_Desayuno_Rapido!S77="","",06_Jugos_Desayuno_Rapido!S77)</f>
        <v>Todo el año</v>
      </c>
      <c r="S654" s="55" t="str">
        <f aca="false">IF(06_Jugos_Desayuno_Rapido!T77="","",06_Jugos_Desayuno_Rapido!T77)</f>
        <v>Carretilla</v>
      </c>
      <c r="T654" s="56" t="str">
        <f aca="false">IF(06_Jugos_Desayuno_Rapido!U77="","",06_Jugos_Desayuno_Rapido!U77)</f>
        <v/>
      </c>
      <c r="U654" s="55" t="n">
        <v>77</v>
      </c>
      <c r="V654" s="55" t="n">
        <f aca="false">IF(AND(OR(LEN(13_Buscador!$C$5)=0,ISNUMBER(SEARCH(13_Buscador!$C$5,$C654&amp;" "&amp;$D654&amp;" "&amp;$E654&amp;" "&amp;$F654&amp;" "&amp;$S654))),OR(13_Buscador!$C$6="Todas las listas",LEN(13_Buscador!$C$6)=0,13_Buscador!$C$6=$B654)),1,0)</f>
        <v>1</v>
      </c>
      <c r="W654" s="55" t="n">
        <f aca="false">IF(V654=1,SUM($V$2:V654),"")</f>
        <v>108</v>
      </c>
    </row>
    <row r="655" customFormat="false" ht="15" hidden="false" customHeight="true" outlineLevel="0" collapsed="false">
      <c r="A655" s="55" t="n">
        <v>654</v>
      </c>
      <c r="B655" s="55" t="s">
        <v>3332</v>
      </c>
      <c r="C655" s="55" t="str">
        <f aca="false">IF(06_Jugos_Desayuno_Rapido!B78="","",06_Jugos_Desayuno_Rapido!B78)</f>
        <v>Panes y frituras de carretilla</v>
      </c>
      <c r="D655" s="56" t="str">
        <f aca="false">IF(06_Jugos_Desayuno_Rapido!C78="","",06_Jugos_Desayuno_Rapido!C78)</f>
        <v>Empanada de verdura</v>
      </c>
      <c r="E655" s="56" t="str">
        <f aca="false">IF(06_Jugos_Desayuno_Rapido!D78="","",06_Jugos_Desayuno_Rapido!D78)</f>
        <v>Empanada vegetariana</v>
      </c>
      <c r="F655" s="56" t="str">
        <f aca="false">IF(06_Jugos_Desayuno_Rapido!E78="","",06_Jugos_Desayuno_Rapido!E78)</f>
        <v>masa de trigo, acelga o espinaca, queso, cebolla</v>
      </c>
      <c r="G655" s="55" t="str">
        <f aca="false">IF(06_Jugos_Desayuno_Rapido!F78="","",06_Jugos_Desayuno_Rapido!F78)</f>
        <v>Unidad</v>
      </c>
      <c r="H655" s="55" t="str">
        <f aca="false">IF(06_Jugos_Desayuno_Rapido!G78="","",06_Jugos_Desayuno_Rapido!G78)</f>
        <v>Económico</v>
      </c>
      <c r="I655" s="58" t="n">
        <f aca="false">IF(06_Jugos_Desayuno_Rapido!H78="","",06_Jugos_Desayuno_Rapido!H78)</f>
        <v>2</v>
      </c>
      <c r="J655" s="58" t="n">
        <f aca="false">IF(06_Jugos_Desayuno_Rapido!I78="","",06_Jugos_Desayuno_Rapido!I78)</f>
        <v>6</v>
      </c>
      <c r="K655" s="58" t="n">
        <f aca="false">IF(06_Jugos_Desayuno_Rapido!J78="","",06_Jugos_Desayuno_Rapido!J78)</f>
        <v>4</v>
      </c>
      <c r="L655" s="58" t="n">
        <f aca="false">IF(06_Jugos_Desayuno_Rapido!L78="","",06_Jugos_Desayuno_Rapido!L78)</f>
        <v>4.5</v>
      </c>
      <c r="M655" s="58" t="n">
        <f aca="false">IF(06_Jugos_Desayuno_Rapido!N78="","",06_Jugos_Desayuno_Rapido!N78)</f>
        <v>0.28</v>
      </c>
      <c r="N655" s="58" t="n">
        <f aca="false">IF(06_Jugos_Desayuno_Rapido!O78="","",06_Jugos_Desayuno_Rapido!O78)</f>
        <v>3.72</v>
      </c>
      <c r="O655" s="55" t="str">
        <f aca="false">IF(06_Jugos_Desayuno_Rapido!P78="","",06_Jugos_Desayuno_Rapido!P78)</f>
        <v>06:00-12:00</v>
      </c>
      <c r="P655" s="55" t="n">
        <f aca="false">IF(06_Jugos_Desayuno_Rapido!Q78="","",06_Jugos_Desayuno_Rapido!Q78)</f>
        <v>3</v>
      </c>
      <c r="Q655" s="55" t="str">
        <f aca="false">IF(06_Jugos_Desayuno_Rapido!R78="","",06_Jugos_Desayuno_Rapido!R78)</f>
        <v>Alto</v>
      </c>
      <c r="R655" s="55" t="str">
        <f aca="false">IF(06_Jugos_Desayuno_Rapido!S78="","",06_Jugos_Desayuno_Rapido!S78)</f>
        <v>Todo el año</v>
      </c>
      <c r="S655" s="55" t="str">
        <f aca="false">IF(06_Jugos_Desayuno_Rapido!T78="","",06_Jugos_Desayuno_Rapido!T78)</f>
        <v>Carretilla</v>
      </c>
      <c r="T655" s="56" t="str">
        <f aca="false">IF(06_Jugos_Desayuno_Rapido!U78="","",06_Jugos_Desayuno_Rapido!U78)</f>
        <v/>
      </c>
      <c r="U655" s="55" t="n">
        <v>78</v>
      </c>
      <c r="V655" s="55" t="n">
        <f aca="false">IF(AND(OR(LEN(13_Buscador!$C$5)=0,ISNUMBER(SEARCH(13_Buscador!$C$5,$C655&amp;" "&amp;$D655&amp;" "&amp;$E655&amp;" "&amp;$F655&amp;" "&amp;$S655))),OR(13_Buscador!$C$6="Todas las listas",LEN(13_Buscador!$C$6)=0,13_Buscador!$C$6=$B655)),1,0)</f>
        <v>0</v>
      </c>
      <c r="W655" s="55" t="str">
        <f aca="false">IF(V655=1,SUM($V$2:V655),"")</f>
        <v/>
      </c>
    </row>
    <row r="656" customFormat="false" ht="23.25" hidden="false" customHeight="true" outlineLevel="0" collapsed="false">
      <c r="A656" s="55" t="n">
        <v>655</v>
      </c>
      <c r="B656" s="55" t="s">
        <v>3332</v>
      </c>
      <c r="C656" s="55" t="str">
        <f aca="false">IF(06_Jugos_Desayuno_Rapido!B79="","",06_Jugos_Desayuno_Rapido!B79)</f>
        <v>Panes y frituras de carretilla</v>
      </c>
      <c r="D656" s="56" t="str">
        <f aca="false">IF(06_Jugos_Desayuno_Rapido!C79="","",06_Jugos_Desayuno_Rapido!C79)</f>
        <v>Tamal de queso</v>
      </c>
      <c r="E656" s="56" t="str">
        <f aca="false">IF(06_Jugos_Desayuno_Rapido!D79="","",06_Jugos_Desayuno_Rapido!D79)</f>
        <v>Tamal vegetariano</v>
      </c>
      <c r="F656" s="56" t="str">
        <f aca="false">IF(06_Jugos_Desayuno_Rapido!E79="","",06_Jugos_Desayuno_Rapido!E79)</f>
        <v>maíz pelado, carne de cerdo o pollo, ají, manteca, hoja de plátano</v>
      </c>
      <c r="G656" s="55" t="str">
        <f aca="false">IF(06_Jugos_Desayuno_Rapido!F79="","",06_Jugos_Desayuno_Rapido!F79)</f>
        <v>Unidad</v>
      </c>
      <c r="H656" s="55" t="str">
        <f aca="false">IF(06_Jugos_Desayuno_Rapido!G79="","",06_Jugos_Desayuno_Rapido!G79)</f>
        <v>Económico</v>
      </c>
      <c r="I656" s="58" t="n">
        <f aca="false">IF(06_Jugos_Desayuno_Rapido!H79="","",06_Jugos_Desayuno_Rapido!H79)</f>
        <v>3</v>
      </c>
      <c r="J656" s="58" t="n">
        <f aca="false">IF(06_Jugos_Desayuno_Rapido!I79="","",06_Jugos_Desayuno_Rapido!I79)</f>
        <v>7</v>
      </c>
      <c r="K656" s="58" t="n">
        <f aca="false">IF(06_Jugos_Desayuno_Rapido!J79="","",06_Jugos_Desayuno_Rapido!J79)</f>
        <v>5</v>
      </c>
      <c r="L656" s="58" t="n">
        <f aca="false">IF(06_Jugos_Desayuno_Rapido!L79="","",06_Jugos_Desayuno_Rapido!L79)</f>
        <v>5.5</v>
      </c>
      <c r="M656" s="58" t="n">
        <f aca="false">IF(06_Jugos_Desayuno_Rapido!N79="","",06_Jugos_Desayuno_Rapido!N79)</f>
        <v>0.35</v>
      </c>
      <c r="N656" s="58" t="n">
        <f aca="false">IF(06_Jugos_Desayuno_Rapido!O79="","",06_Jugos_Desayuno_Rapido!O79)</f>
        <v>4.65</v>
      </c>
      <c r="O656" s="55" t="str">
        <f aca="false">IF(06_Jugos_Desayuno_Rapido!P79="","",06_Jugos_Desayuno_Rapido!P79)</f>
        <v>06:00-10:00</v>
      </c>
      <c r="P656" s="55" t="n">
        <f aca="false">IF(06_Jugos_Desayuno_Rapido!Q79="","",06_Jugos_Desayuno_Rapido!Q79)</f>
        <v>2</v>
      </c>
      <c r="Q656" s="55" t="str">
        <f aca="false">IF(06_Jugos_Desayuno_Rapido!R79="","",06_Jugos_Desayuno_Rapido!R79)</f>
        <v>Alto</v>
      </c>
      <c r="R656" s="55" t="str">
        <f aca="false">IF(06_Jugos_Desayuno_Rapido!S79="","",06_Jugos_Desayuno_Rapido!S79)</f>
        <v>Fin de semana</v>
      </c>
      <c r="S656" s="55" t="str">
        <f aca="false">IF(06_Jugos_Desayuno_Rapido!T79="","",06_Jugos_Desayuno_Rapido!T79)</f>
        <v>Carretilla, mercado</v>
      </c>
      <c r="T656" s="56" t="str">
        <f aca="false">IF(06_Jugos_Desayuno_Rapido!U79="","",06_Jugos_Desayuno_Rapido!U79)</f>
        <v/>
      </c>
      <c r="U656" s="55" t="n">
        <v>79</v>
      </c>
      <c r="V656" s="55" t="n">
        <f aca="false">IF(AND(OR(LEN(13_Buscador!$C$5)=0,ISNUMBER(SEARCH(13_Buscador!$C$5,$C656&amp;" "&amp;$D656&amp;" "&amp;$E656&amp;" "&amp;$F656&amp;" "&amp;$S656))),OR(13_Buscador!$C$6="Todas las listas",LEN(13_Buscador!$C$6)=0,13_Buscador!$C$6=$B656)),1,0)</f>
        <v>1</v>
      </c>
      <c r="W656" s="55" t="n">
        <f aca="false">IF(V656=1,SUM($V$2:V656),"")</f>
        <v>109</v>
      </c>
    </row>
    <row r="657" customFormat="false" ht="23.25" hidden="false" customHeight="true" outlineLevel="0" collapsed="false">
      <c r="A657" s="55" t="n">
        <v>656</v>
      </c>
      <c r="B657" s="55" t="s">
        <v>3332</v>
      </c>
      <c r="C657" s="55" t="str">
        <f aca="false">IF(06_Jugos_Desayuno_Rapido!B80="","",06_Jugos_Desayuno_Rapido!B80)</f>
        <v>Panes y frituras de carretilla</v>
      </c>
      <c r="D657" s="56" t="str">
        <f aca="false">IF(06_Jugos_Desayuno_Rapido!C80="","",06_Jugos_Desayuno_Rapido!C80)</f>
        <v>Humita salada</v>
      </c>
      <c r="E657" s="56" t="str">
        <f aca="false">IF(06_Jugos_Desayuno_Rapido!D80="","",06_Jugos_Desayuno_Rapido!D80)</f>
        <v>Pastel de choclo con queso</v>
      </c>
      <c r="F657" s="56" t="str">
        <f aca="false">IF(06_Jugos_Desayuno_Rapido!E80="","",06_Jugos_Desayuno_Rapido!E80)</f>
        <v>choclo molido, queso o azúcar, manteca, panca de maíz</v>
      </c>
      <c r="G657" s="55" t="str">
        <f aca="false">IF(06_Jugos_Desayuno_Rapido!F80="","",06_Jugos_Desayuno_Rapido!F80)</f>
        <v>Unidad</v>
      </c>
      <c r="H657" s="55" t="str">
        <f aca="false">IF(06_Jugos_Desayuno_Rapido!G80="","",06_Jugos_Desayuno_Rapido!G80)</f>
        <v>Económico</v>
      </c>
      <c r="I657" s="58" t="n">
        <f aca="false">IF(06_Jugos_Desayuno_Rapido!H80="","",06_Jugos_Desayuno_Rapido!H80)</f>
        <v>3</v>
      </c>
      <c r="J657" s="58" t="n">
        <f aca="false">IF(06_Jugos_Desayuno_Rapido!I80="","",06_Jugos_Desayuno_Rapido!I80)</f>
        <v>7</v>
      </c>
      <c r="K657" s="58" t="n">
        <f aca="false">IF(06_Jugos_Desayuno_Rapido!J80="","",06_Jugos_Desayuno_Rapido!J80)</f>
        <v>5</v>
      </c>
      <c r="L657" s="58" t="n">
        <f aca="false">IF(06_Jugos_Desayuno_Rapido!L80="","",06_Jugos_Desayuno_Rapido!L80)</f>
        <v>5.5</v>
      </c>
      <c r="M657" s="58" t="n">
        <f aca="false">IF(06_Jugos_Desayuno_Rapido!N80="","",06_Jugos_Desayuno_Rapido!N80)</f>
        <v>0.35</v>
      </c>
      <c r="N657" s="58" t="n">
        <f aca="false">IF(06_Jugos_Desayuno_Rapido!O80="","",06_Jugos_Desayuno_Rapido!O80)</f>
        <v>4.65</v>
      </c>
      <c r="O657" s="55" t="str">
        <f aca="false">IF(06_Jugos_Desayuno_Rapido!P80="","",06_Jugos_Desayuno_Rapido!P80)</f>
        <v>06:00-10:00</v>
      </c>
      <c r="P657" s="55" t="n">
        <f aca="false">IF(06_Jugos_Desayuno_Rapido!Q80="","",06_Jugos_Desayuno_Rapido!Q80)</f>
        <v>2</v>
      </c>
      <c r="Q657" s="55" t="str">
        <f aca="false">IF(06_Jugos_Desayuno_Rapido!R80="","",06_Jugos_Desayuno_Rapido!R80)</f>
        <v>Alto</v>
      </c>
      <c r="R657" s="55" t="str">
        <f aca="false">IF(06_Jugos_Desayuno_Rapido!S80="","",06_Jugos_Desayuno_Rapido!S80)</f>
        <v>Todo el año</v>
      </c>
      <c r="S657" s="55" t="str">
        <f aca="false">IF(06_Jugos_Desayuno_Rapido!T80="","",06_Jugos_Desayuno_Rapido!T80)</f>
        <v>Carretilla, mercado</v>
      </c>
      <c r="T657" s="56" t="str">
        <f aca="false">IF(06_Jugos_Desayuno_Rapido!U80="","",06_Jugos_Desayuno_Rapido!U80)</f>
        <v/>
      </c>
      <c r="U657" s="55" t="n">
        <v>80</v>
      </c>
      <c r="V657" s="55" t="n">
        <f aca="false">IF(AND(OR(LEN(13_Buscador!$C$5)=0,ISNUMBER(SEARCH(13_Buscador!$C$5,$C657&amp;" "&amp;$D657&amp;" "&amp;$E657&amp;" "&amp;$F657&amp;" "&amp;$S657))),OR(13_Buscador!$C$6="Todas las listas",LEN(13_Buscador!$C$6)=0,13_Buscador!$C$6=$B657)),1,0)</f>
        <v>0</v>
      </c>
      <c r="W657" s="55" t="str">
        <f aca="false">IF(V657=1,SUM($V$2:V657),"")</f>
        <v/>
      </c>
    </row>
    <row r="658" customFormat="false" ht="15" hidden="false" customHeight="true" outlineLevel="0" collapsed="false">
      <c r="A658" s="55" t="n">
        <v>657</v>
      </c>
      <c r="B658" s="55" t="s">
        <v>3332</v>
      </c>
      <c r="C658" s="55" t="str">
        <f aca="false">IF(06_Jugos_Desayuno_Rapido!B81="","",06_Jugos_Desayuno_Rapido!B81)</f>
        <v>Panes y frituras de carretilla</v>
      </c>
      <c r="D658" s="56" t="str">
        <f aca="false">IF(06_Jugos_Desayuno_Rapido!C81="","",06_Jugos_Desayuno_Rapido!C81)</f>
        <v>Torreja de quinua</v>
      </c>
      <c r="E658" s="56" t="str">
        <f aca="false">IF(06_Jugos_Desayuno_Rapido!D81="","",06_Jugos_Desayuno_Rapido!D81)</f>
        <v>Fritura de quinua</v>
      </c>
      <c r="F658" s="56" t="str">
        <f aca="false">IF(06_Jugos_Desayuno_Rapido!E81="","",06_Jugos_Desayuno_Rapido!E81)</f>
        <v>quinua, huevo, harina, cebolla, sal</v>
      </c>
      <c r="G658" s="55" t="str">
        <f aca="false">IF(06_Jugos_Desayuno_Rapido!F81="","",06_Jugos_Desayuno_Rapido!F81)</f>
        <v>Porción</v>
      </c>
      <c r="H658" s="55" t="str">
        <f aca="false">IF(06_Jugos_Desayuno_Rapido!G81="","",06_Jugos_Desayuno_Rapido!G81)</f>
        <v>Económico</v>
      </c>
      <c r="I658" s="58" t="n">
        <f aca="false">IF(06_Jugos_Desayuno_Rapido!H81="","",06_Jugos_Desayuno_Rapido!H81)</f>
        <v>3</v>
      </c>
      <c r="J658" s="58" t="n">
        <f aca="false">IF(06_Jugos_Desayuno_Rapido!I81="","",06_Jugos_Desayuno_Rapido!I81)</f>
        <v>7</v>
      </c>
      <c r="K658" s="58" t="n">
        <f aca="false">IF(06_Jugos_Desayuno_Rapido!J81="","",06_Jugos_Desayuno_Rapido!J81)</f>
        <v>5</v>
      </c>
      <c r="L658" s="58" t="n">
        <f aca="false">IF(06_Jugos_Desayuno_Rapido!L81="","",06_Jugos_Desayuno_Rapido!L81)</f>
        <v>5.5</v>
      </c>
      <c r="M658" s="58" t="n">
        <f aca="false">IF(06_Jugos_Desayuno_Rapido!N81="","",06_Jugos_Desayuno_Rapido!N81)</f>
        <v>0.35</v>
      </c>
      <c r="N658" s="58" t="n">
        <f aca="false">IF(06_Jugos_Desayuno_Rapido!O81="","",06_Jugos_Desayuno_Rapido!O81)</f>
        <v>4.65</v>
      </c>
      <c r="O658" s="55" t="str">
        <f aca="false">IF(06_Jugos_Desayuno_Rapido!P81="","",06_Jugos_Desayuno_Rapido!P81)</f>
        <v>06:00-11:00</v>
      </c>
      <c r="P658" s="55" t="n">
        <f aca="false">IF(06_Jugos_Desayuno_Rapido!Q81="","",06_Jugos_Desayuno_Rapido!Q81)</f>
        <v>4</v>
      </c>
      <c r="Q658" s="55" t="str">
        <f aca="false">IF(06_Jugos_Desayuno_Rapido!R81="","",06_Jugos_Desayuno_Rapido!R81)</f>
        <v>Alto</v>
      </c>
      <c r="R658" s="55" t="str">
        <f aca="false">IF(06_Jugos_Desayuno_Rapido!S81="","",06_Jugos_Desayuno_Rapido!S81)</f>
        <v>Todo el año</v>
      </c>
      <c r="S658" s="55" t="str">
        <f aca="false">IF(06_Jugos_Desayuno_Rapido!T81="","",06_Jugos_Desayuno_Rapido!T81)</f>
        <v>Carretilla, mercado</v>
      </c>
      <c r="T658" s="56" t="str">
        <f aca="false">IF(06_Jugos_Desayuno_Rapido!U81="","",06_Jugos_Desayuno_Rapido!U81)</f>
        <v/>
      </c>
      <c r="U658" s="55" t="n">
        <v>81</v>
      </c>
      <c r="V658" s="55" t="n">
        <f aca="false">IF(AND(OR(LEN(13_Buscador!$C$5)=0,ISNUMBER(SEARCH(13_Buscador!$C$5,$C658&amp;" "&amp;$D658&amp;" "&amp;$E658&amp;" "&amp;$F658&amp;" "&amp;$S658))),OR(13_Buscador!$C$6="Todas las listas",LEN(13_Buscador!$C$6)=0,13_Buscador!$C$6=$B658)),1,0)</f>
        <v>0</v>
      </c>
      <c r="W658" s="55" t="str">
        <f aca="false">IF(V658=1,SUM($V$2:V658),"")</f>
        <v/>
      </c>
    </row>
    <row r="659" customFormat="false" ht="15" hidden="false" customHeight="true" outlineLevel="0" collapsed="false">
      <c r="A659" s="55" t="n">
        <v>658</v>
      </c>
      <c r="B659" s="55" t="s">
        <v>3332</v>
      </c>
      <c r="C659" s="55" t="str">
        <f aca="false">IF(06_Jugos_Desayuno_Rapido!B82="","",06_Jugos_Desayuno_Rapido!B82)</f>
        <v>Panes y frituras de carretilla</v>
      </c>
      <c r="D659" s="56" t="str">
        <f aca="false">IF(06_Jugos_Desayuno_Rapido!C82="","",06_Jugos_Desayuno_Rapido!C82)</f>
        <v>Pastelito frito con azúcar</v>
      </c>
      <c r="E659" s="56" t="str">
        <f aca="false">IF(06_Jugos_Desayuno_Rapido!D82="","",06_Jugos_Desayuno_Rapido!D82)</f>
        <v>Masa frita dulce</v>
      </c>
      <c r="F659" s="56" t="str">
        <f aca="false">IF(06_Jugos_Desayuno_Rapido!E82="","",06_Jugos_Desayuno_Rapido!E82)</f>
        <v>harina, azúcar, aceite</v>
      </c>
      <c r="G659" s="55" t="str">
        <f aca="false">IF(06_Jugos_Desayuno_Rapido!F82="","",06_Jugos_Desayuno_Rapido!F82)</f>
        <v>Unidad</v>
      </c>
      <c r="H659" s="55" t="str">
        <f aca="false">IF(06_Jugos_Desayuno_Rapido!G82="","",06_Jugos_Desayuno_Rapido!G82)</f>
        <v>Económico</v>
      </c>
      <c r="I659" s="58" t="n">
        <f aca="false">IF(06_Jugos_Desayuno_Rapido!H82="","",06_Jugos_Desayuno_Rapido!H82)</f>
        <v>1.5</v>
      </c>
      <c r="J659" s="58" t="n">
        <f aca="false">IF(06_Jugos_Desayuno_Rapido!I82="","",06_Jugos_Desayuno_Rapido!I82)</f>
        <v>4</v>
      </c>
      <c r="K659" s="58" t="n">
        <f aca="false">IF(06_Jugos_Desayuno_Rapido!J82="","",06_Jugos_Desayuno_Rapido!J82)</f>
        <v>2.8</v>
      </c>
      <c r="L659" s="58" t="n">
        <f aca="false">IF(06_Jugos_Desayuno_Rapido!L82="","",06_Jugos_Desayuno_Rapido!L82)</f>
        <v>3.3</v>
      </c>
      <c r="M659" s="58" t="n">
        <f aca="false">IF(06_Jugos_Desayuno_Rapido!N82="","",06_Jugos_Desayuno_Rapido!N82)</f>
        <v>0.2</v>
      </c>
      <c r="N659" s="58" t="n">
        <f aca="false">IF(06_Jugos_Desayuno_Rapido!O82="","",06_Jugos_Desayuno_Rapido!O82)</f>
        <v>2.6</v>
      </c>
      <c r="O659" s="55" t="str">
        <f aca="false">IF(06_Jugos_Desayuno_Rapido!P82="","",06_Jugos_Desayuno_Rapido!P82)</f>
        <v>06:00-11:00</v>
      </c>
      <c r="P659" s="55" t="n">
        <f aca="false">IF(06_Jugos_Desayuno_Rapido!Q82="","",06_Jugos_Desayuno_Rapido!Q82)</f>
        <v>3</v>
      </c>
      <c r="Q659" s="55" t="str">
        <f aca="false">IF(06_Jugos_Desayuno_Rapido!R82="","",06_Jugos_Desayuno_Rapido!R82)</f>
        <v>Medio</v>
      </c>
      <c r="R659" s="55" t="str">
        <f aca="false">IF(06_Jugos_Desayuno_Rapido!S82="","",06_Jugos_Desayuno_Rapido!S82)</f>
        <v>Todo el año</v>
      </c>
      <c r="S659" s="55" t="str">
        <f aca="false">IF(06_Jugos_Desayuno_Rapido!T82="","",06_Jugos_Desayuno_Rapido!T82)</f>
        <v>Carretilla</v>
      </c>
      <c r="T659" s="56" t="str">
        <f aca="false">IF(06_Jugos_Desayuno_Rapido!U82="","",06_Jugos_Desayuno_Rapido!U82)</f>
        <v/>
      </c>
      <c r="U659" s="55" t="n">
        <v>82</v>
      </c>
      <c r="V659" s="55" t="n">
        <f aca="false">IF(AND(OR(LEN(13_Buscador!$C$5)=0,ISNUMBER(SEARCH(13_Buscador!$C$5,$C659&amp;" "&amp;$D659&amp;" "&amp;$E659&amp;" "&amp;$F659&amp;" "&amp;$S659))),OR(13_Buscador!$C$6="Todas las listas",LEN(13_Buscador!$C$6)=0,13_Buscador!$C$6=$B659)),1,0)</f>
        <v>0</v>
      </c>
      <c r="W659" s="55" t="str">
        <f aca="false">IF(V659=1,SUM($V$2:V659),"")</f>
        <v/>
      </c>
    </row>
    <row r="660" customFormat="false" ht="15" hidden="false" customHeight="true" outlineLevel="0" collapsed="false">
      <c r="A660" s="55" t="n">
        <v>659</v>
      </c>
      <c r="B660" s="55" t="s">
        <v>3332</v>
      </c>
      <c r="C660" s="55" t="str">
        <f aca="false">IF(06_Jugos_Desayuno_Rapido!B83="","",06_Jugos_Desayuno_Rapido!B83)</f>
        <v>Panes y frituras de carretilla</v>
      </c>
      <c r="D660" s="56" t="str">
        <f aca="false">IF(06_Jugos_Desayuno_Rapido!C83="","",06_Jugos_Desayuno_Rapido!C83)</f>
        <v>Yuca frita de carretilla</v>
      </c>
      <c r="E660" s="56" t="str">
        <f aca="false">IF(06_Jugos_Desayuno_Rapido!D83="","",06_Jugos_Desayuno_Rapido!D83)</f>
        <v>Porción con salsa</v>
      </c>
      <c r="F660" s="56" t="str">
        <f aca="false">IF(06_Jugos_Desayuno_Rapido!E83="","",06_Jugos_Desayuno_Rapido!E83)</f>
        <v>yuca, aceite, sal, queso</v>
      </c>
      <c r="G660" s="55" t="str">
        <f aca="false">IF(06_Jugos_Desayuno_Rapido!F83="","",06_Jugos_Desayuno_Rapido!F83)</f>
        <v>Porción</v>
      </c>
      <c r="H660" s="55" t="str">
        <f aca="false">IF(06_Jugos_Desayuno_Rapido!G83="","",06_Jugos_Desayuno_Rapido!G83)</f>
        <v>Económico</v>
      </c>
      <c r="I660" s="58" t="n">
        <f aca="false">IF(06_Jugos_Desayuno_Rapido!H83="","",06_Jugos_Desayuno_Rapido!H83)</f>
        <v>3</v>
      </c>
      <c r="J660" s="58" t="n">
        <f aca="false">IF(06_Jugos_Desayuno_Rapido!I83="","",06_Jugos_Desayuno_Rapido!I83)</f>
        <v>8</v>
      </c>
      <c r="K660" s="58" t="n">
        <f aca="false">IF(06_Jugos_Desayuno_Rapido!J83="","",06_Jugos_Desayuno_Rapido!J83)</f>
        <v>5.5</v>
      </c>
      <c r="L660" s="58" t="n">
        <f aca="false">IF(06_Jugos_Desayuno_Rapido!L83="","",06_Jugos_Desayuno_Rapido!L83)</f>
        <v>6</v>
      </c>
      <c r="M660" s="58" t="n">
        <f aca="false">IF(06_Jugos_Desayuno_Rapido!N83="","",06_Jugos_Desayuno_Rapido!N83)</f>
        <v>0.39</v>
      </c>
      <c r="N660" s="58" t="n">
        <f aca="false">IF(06_Jugos_Desayuno_Rapido!O83="","",06_Jugos_Desayuno_Rapido!O83)</f>
        <v>5.11</v>
      </c>
      <c r="O660" s="55" t="str">
        <f aca="false">IF(06_Jugos_Desayuno_Rapido!P83="","",06_Jugos_Desayuno_Rapido!P83)</f>
        <v>17:00-23:00</v>
      </c>
      <c r="P660" s="55" t="n">
        <f aca="false">IF(06_Jugos_Desayuno_Rapido!Q83="","",06_Jugos_Desayuno_Rapido!Q83)</f>
        <v>6</v>
      </c>
      <c r="Q660" s="55" t="str">
        <f aca="false">IF(06_Jugos_Desayuno_Rapido!R83="","",06_Jugos_Desayuno_Rapido!R83)</f>
        <v>Medio</v>
      </c>
      <c r="R660" s="55" t="str">
        <f aca="false">IF(06_Jugos_Desayuno_Rapido!S83="","",06_Jugos_Desayuno_Rapido!S83)</f>
        <v>Todo el año</v>
      </c>
      <c r="S660" s="55" t="str">
        <f aca="false">IF(06_Jugos_Desayuno_Rapido!T83="","",06_Jugos_Desayuno_Rapido!T83)</f>
        <v>Carretilla</v>
      </c>
      <c r="T660" s="56" t="str">
        <f aca="false">IF(06_Jugos_Desayuno_Rapido!U83="","",06_Jugos_Desayuno_Rapido!U83)</f>
        <v/>
      </c>
      <c r="U660" s="55" t="n">
        <v>83</v>
      </c>
      <c r="V660" s="55" t="n">
        <f aca="false">IF(AND(OR(LEN(13_Buscador!$C$5)=0,ISNUMBER(SEARCH(13_Buscador!$C$5,$C660&amp;" "&amp;$D660&amp;" "&amp;$E660&amp;" "&amp;$F660&amp;" "&amp;$S660))),OR(13_Buscador!$C$6="Todas las listas",LEN(13_Buscador!$C$6)=0,13_Buscador!$C$6=$B660)),1,0)</f>
        <v>0</v>
      </c>
      <c r="W660" s="55" t="str">
        <f aca="false">IF(V660=1,SUM($V$2:V660),"")</f>
        <v/>
      </c>
    </row>
    <row r="661" customFormat="false" ht="15" hidden="false" customHeight="true" outlineLevel="0" collapsed="false">
      <c r="A661" s="55" t="n">
        <v>660</v>
      </c>
      <c r="B661" s="55" t="s">
        <v>3332</v>
      </c>
      <c r="C661" s="55" t="str">
        <f aca="false">IF(06_Jugos_Desayuno_Rapido!B84="","",06_Jugos_Desayuno_Rapido!B84)</f>
        <v>Combos rápidos</v>
      </c>
      <c r="D661" s="56" t="str">
        <f aca="false">IF(06_Jugos_Desayuno_Rapido!C84="","",06_Jugos_Desayuno_Rapido!C84)</f>
        <v>Emoliente + pan con chicharrón</v>
      </c>
      <c r="E661" s="56" t="str">
        <f aca="false">IF(06_Jugos_Desayuno_Rapido!D84="","",06_Jugos_Desayuno_Rapido!D84)</f>
        <v>Combo de madrugada</v>
      </c>
      <c r="F661" s="56" t="str">
        <f aca="false">IF(06_Jugos_Desayuno_Rapido!E84="","",06_Jugos_Desayuno_Rapido!E84)</f>
        <v>cebada tostada, linaza, cola de caballo, limón, azúcar</v>
      </c>
      <c r="G661" s="55" t="str">
        <f aca="false">IF(06_Jugos_Desayuno_Rapido!F84="","",06_Jugos_Desayuno_Rapido!F84)</f>
        <v>Combo</v>
      </c>
      <c r="H661" s="55" t="str">
        <f aca="false">IF(06_Jugos_Desayuno_Rapido!G84="","",06_Jugos_Desayuno_Rapido!G84)</f>
        <v>Económico</v>
      </c>
      <c r="I661" s="58" t="n">
        <f aca="false">IF(06_Jugos_Desayuno_Rapido!H84="","",06_Jugos_Desayuno_Rapido!H84)</f>
        <v>6</v>
      </c>
      <c r="J661" s="58" t="n">
        <f aca="false">IF(06_Jugos_Desayuno_Rapido!I84="","",06_Jugos_Desayuno_Rapido!I84)</f>
        <v>12</v>
      </c>
      <c r="K661" s="58" t="n">
        <f aca="false">IF(06_Jugos_Desayuno_Rapido!J84="","",06_Jugos_Desayuno_Rapido!J84)</f>
        <v>9</v>
      </c>
      <c r="L661" s="58" t="n">
        <f aca="false">IF(06_Jugos_Desayuno_Rapido!L84="","",06_Jugos_Desayuno_Rapido!L84)</f>
        <v>9.5</v>
      </c>
      <c r="M661" s="58" t="n">
        <f aca="false">IF(06_Jugos_Desayuno_Rapido!N84="","",06_Jugos_Desayuno_Rapido!N84)</f>
        <v>0.63</v>
      </c>
      <c r="N661" s="58" t="n">
        <f aca="false">IF(06_Jugos_Desayuno_Rapido!O84="","",06_Jugos_Desayuno_Rapido!O84)</f>
        <v>8.37</v>
      </c>
      <c r="O661" s="55" t="str">
        <f aca="false">IF(06_Jugos_Desayuno_Rapido!P84="","",06_Jugos_Desayuno_Rapido!P84)</f>
        <v>05:00-09:00</v>
      </c>
      <c r="P661" s="55" t="n">
        <f aca="false">IF(06_Jugos_Desayuno_Rapido!Q84="","",06_Jugos_Desayuno_Rapido!Q84)</f>
        <v>4</v>
      </c>
      <c r="Q661" s="55" t="str">
        <f aca="false">IF(06_Jugos_Desayuno_Rapido!R84="","",06_Jugos_Desayuno_Rapido!R84)</f>
        <v>Medio</v>
      </c>
      <c r="R661" s="55" t="str">
        <f aca="false">IF(06_Jugos_Desayuno_Rapido!S84="","",06_Jugos_Desayuno_Rapido!S84)</f>
        <v>Mayor demanda en frío</v>
      </c>
      <c r="S661" s="55" t="str">
        <f aca="false">IF(06_Jugos_Desayuno_Rapido!T84="","",06_Jugos_Desayuno_Rapido!T84)</f>
        <v>Carretilla</v>
      </c>
      <c r="T661" s="56" t="str">
        <f aca="false">IF(06_Jugos_Desayuno_Rapido!U84="","",06_Jugos_Desayuno_Rapido!U84)</f>
        <v/>
      </c>
      <c r="U661" s="55" t="n">
        <v>84</v>
      </c>
      <c r="V661" s="55" t="n">
        <f aca="false">IF(AND(OR(LEN(13_Buscador!$C$5)=0,ISNUMBER(SEARCH(13_Buscador!$C$5,$C661&amp;" "&amp;$D661&amp;" "&amp;$E661&amp;" "&amp;$F661&amp;" "&amp;$S661))),OR(13_Buscador!$C$6="Todas las listas",LEN(13_Buscador!$C$6)=0,13_Buscador!$C$6=$B661)),1,0)</f>
        <v>0</v>
      </c>
      <c r="W661" s="55" t="str">
        <f aca="false">IF(V661=1,SUM($V$2:V661),"")</f>
        <v/>
      </c>
    </row>
    <row r="662" customFormat="false" ht="23.25" hidden="false" customHeight="true" outlineLevel="0" collapsed="false">
      <c r="A662" s="55" t="n">
        <v>661</v>
      </c>
      <c r="B662" s="55" t="s">
        <v>3332</v>
      </c>
      <c r="C662" s="55" t="str">
        <f aca="false">IF(06_Jugos_Desayuno_Rapido!B85="","",06_Jugos_Desayuno_Rapido!B85)</f>
        <v>Combos rápidos</v>
      </c>
      <c r="D662" s="56" t="str">
        <f aca="false">IF(06_Jugos_Desayuno_Rapido!C85="","",06_Jugos_Desayuno_Rapido!C85)</f>
        <v>Api + quispiño + café</v>
      </c>
      <c r="E662" s="56" t="str">
        <f aca="false">IF(06_Jugos_Desayuno_Rapido!D85="","",06_Jugos_Desayuno_Rapido!D85)</f>
        <v>Combo andino completo</v>
      </c>
      <c r="F662" s="56" t="str">
        <f aca="false">IF(06_Jugos_Desayuno_Rapido!E85="","",06_Jugos_Desayuno_Rapido!E85)</f>
        <v>maíz morado, canela, clavo de olor, azúcar, harina de maíz</v>
      </c>
      <c r="G662" s="55" t="str">
        <f aca="false">IF(06_Jugos_Desayuno_Rapido!F85="","",06_Jugos_Desayuno_Rapido!F85)</f>
        <v>Combo</v>
      </c>
      <c r="H662" s="55" t="str">
        <f aca="false">IF(06_Jugos_Desayuno_Rapido!G85="","",06_Jugos_Desayuno_Rapido!G85)</f>
        <v>Económico</v>
      </c>
      <c r="I662" s="58" t="n">
        <f aca="false">IF(06_Jugos_Desayuno_Rapido!H85="","",06_Jugos_Desayuno_Rapido!H85)</f>
        <v>6</v>
      </c>
      <c r="J662" s="58" t="n">
        <f aca="false">IF(06_Jugos_Desayuno_Rapido!I85="","",06_Jugos_Desayuno_Rapido!I85)</f>
        <v>12</v>
      </c>
      <c r="K662" s="58" t="n">
        <f aca="false">IF(06_Jugos_Desayuno_Rapido!J85="","",06_Jugos_Desayuno_Rapido!J85)</f>
        <v>9</v>
      </c>
      <c r="L662" s="58" t="n">
        <f aca="false">IF(06_Jugos_Desayuno_Rapido!L85="","",06_Jugos_Desayuno_Rapido!L85)</f>
        <v>9.5</v>
      </c>
      <c r="M662" s="58" t="n">
        <f aca="false">IF(06_Jugos_Desayuno_Rapido!N85="","",06_Jugos_Desayuno_Rapido!N85)</f>
        <v>0.63</v>
      </c>
      <c r="N662" s="58" t="n">
        <f aca="false">IF(06_Jugos_Desayuno_Rapido!O85="","",06_Jugos_Desayuno_Rapido!O85)</f>
        <v>8.37</v>
      </c>
      <c r="O662" s="55" t="str">
        <f aca="false">IF(06_Jugos_Desayuno_Rapido!P85="","",06_Jugos_Desayuno_Rapido!P85)</f>
        <v>05:00-09:00</v>
      </c>
      <c r="P662" s="55" t="n">
        <f aca="false">IF(06_Jugos_Desayuno_Rapido!Q85="","",06_Jugos_Desayuno_Rapido!Q85)</f>
        <v>4</v>
      </c>
      <c r="Q662" s="55" t="str">
        <f aca="false">IF(06_Jugos_Desayuno_Rapido!R85="","",06_Jugos_Desayuno_Rapido!R85)</f>
        <v>Medio</v>
      </c>
      <c r="R662" s="55" t="str">
        <f aca="false">IF(06_Jugos_Desayuno_Rapido!S85="","",06_Jugos_Desayuno_Rapido!S85)</f>
        <v>Todo el año</v>
      </c>
      <c r="S662" s="55" t="str">
        <f aca="false">IF(06_Jugos_Desayuno_Rapido!T85="","",06_Jugos_Desayuno_Rapido!T85)</f>
        <v>Carretilla</v>
      </c>
      <c r="T662" s="56" t="str">
        <f aca="false">IF(06_Jugos_Desayuno_Rapido!U85="","",06_Jugos_Desayuno_Rapido!U85)</f>
        <v>Combo con identidad local</v>
      </c>
      <c r="U662" s="55" t="n">
        <v>85</v>
      </c>
      <c r="V662" s="55" t="n">
        <f aca="false">IF(AND(OR(LEN(13_Buscador!$C$5)=0,ISNUMBER(SEARCH(13_Buscador!$C$5,$C662&amp;" "&amp;$D662&amp;" "&amp;$E662&amp;" "&amp;$F662&amp;" "&amp;$S662))),OR(13_Buscador!$C$6="Todas las listas",LEN(13_Buscador!$C$6)=0,13_Buscador!$C$6=$B662)),1,0)</f>
        <v>0</v>
      </c>
      <c r="W662" s="55" t="str">
        <f aca="false">IF(V662=1,SUM($V$2:V662),"")</f>
        <v/>
      </c>
    </row>
    <row r="663" customFormat="false" ht="15" hidden="false" customHeight="true" outlineLevel="0" collapsed="false">
      <c r="A663" s="55" t="n">
        <v>662</v>
      </c>
      <c r="B663" s="55" t="s">
        <v>3332</v>
      </c>
      <c r="C663" s="55" t="str">
        <f aca="false">IF(06_Jugos_Desayuno_Rapido!B86="","",06_Jugos_Desayuno_Rapido!B86)</f>
        <v>Combos rápidos</v>
      </c>
      <c r="D663" s="56" t="str">
        <f aca="false">IF(06_Jugos_Desayuno_Rapido!C86="","",06_Jugos_Desayuno_Rapido!C86)</f>
        <v>Jugo 1 L + 3 panes</v>
      </c>
      <c r="E663" s="56" t="str">
        <f aca="false">IF(06_Jugos_Desayuno_Rapido!D86="","",06_Jugos_Desayuno_Rapido!D86)</f>
        <v>Desayuno familiar de carretilla</v>
      </c>
      <c r="F663" s="56" t="str">
        <f aca="false">IF(06_Jugos_Desayuno_Rapido!E86="","",06_Jugos_Desayuno_Rapido!E86)</f>
        <v>fruta de estación, agua o leche, azúcar</v>
      </c>
      <c r="G663" s="55" t="str">
        <f aca="false">IF(06_Jugos_Desayuno_Rapido!F86="","",06_Jugos_Desayuno_Rapido!F86)</f>
        <v>Combo</v>
      </c>
      <c r="H663" s="55" t="str">
        <f aca="false">IF(06_Jugos_Desayuno_Rapido!G86="","",06_Jugos_Desayuno_Rapido!G86)</f>
        <v>Económico</v>
      </c>
      <c r="I663" s="58" t="n">
        <f aca="false">IF(06_Jugos_Desayuno_Rapido!H86="","",06_Jugos_Desayuno_Rapido!H86)</f>
        <v>9</v>
      </c>
      <c r="J663" s="58" t="n">
        <f aca="false">IF(06_Jugos_Desayuno_Rapido!I86="","",06_Jugos_Desayuno_Rapido!I86)</f>
        <v>18</v>
      </c>
      <c r="K663" s="58" t="n">
        <f aca="false">IF(06_Jugos_Desayuno_Rapido!J86="","",06_Jugos_Desayuno_Rapido!J86)</f>
        <v>13.5</v>
      </c>
      <c r="L663" s="58" t="n">
        <f aca="false">IF(06_Jugos_Desayuno_Rapido!L86="","",06_Jugos_Desayuno_Rapido!L86)</f>
        <v>14</v>
      </c>
      <c r="M663" s="58" t="n">
        <f aca="false">IF(06_Jugos_Desayuno_Rapido!N86="","",06_Jugos_Desayuno_Rapido!N86)</f>
        <v>0.95</v>
      </c>
      <c r="N663" s="58" t="n">
        <f aca="false">IF(06_Jugos_Desayuno_Rapido!O86="","",06_Jugos_Desayuno_Rapido!O86)</f>
        <v>12.55</v>
      </c>
      <c r="O663" s="55" t="str">
        <f aca="false">IF(06_Jugos_Desayuno_Rapido!P86="","",06_Jugos_Desayuno_Rapido!P86)</f>
        <v>06:00-11:00</v>
      </c>
      <c r="P663" s="55" t="n">
        <f aca="false">IF(06_Jugos_Desayuno_Rapido!Q86="","",06_Jugos_Desayuno_Rapido!Q86)</f>
        <v>7</v>
      </c>
      <c r="Q663" s="55" t="str">
        <f aca="false">IF(06_Jugos_Desayuno_Rapido!R86="","",06_Jugos_Desayuno_Rapido!R86)</f>
        <v>Alto</v>
      </c>
      <c r="R663" s="55" t="str">
        <f aca="false">IF(06_Jugos_Desayuno_Rapido!S86="","",06_Jugos_Desayuno_Rapido!S86)</f>
        <v>Todo el año</v>
      </c>
      <c r="S663" s="55" t="str">
        <f aca="false">IF(06_Jugos_Desayuno_Rapido!T86="","",06_Jugos_Desayuno_Rapido!T86)</f>
        <v>Carretilla</v>
      </c>
      <c r="T663" s="56" t="str">
        <f aca="false">IF(06_Jugos_Desayuno_Rapido!U86="","",06_Jugos_Desayuno_Rapido!U86)</f>
        <v>El de mejor margen de toda la lista</v>
      </c>
      <c r="U663" s="55" t="n">
        <v>86</v>
      </c>
      <c r="V663" s="55" t="n">
        <f aca="false">IF(AND(OR(LEN(13_Buscador!$C$5)=0,ISNUMBER(SEARCH(13_Buscador!$C$5,$C663&amp;" "&amp;$D663&amp;" "&amp;$E663&amp;" "&amp;$F663&amp;" "&amp;$S663))),OR(13_Buscador!$C$6="Todas las listas",LEN(13_Buscador!$C$6)=0,13_Buscador!$C$6=$B663)),1,0)</f>
        <v>0</v>
      </c>
      <c r="W663" s="55" t="str">
        <f aca="false">IF(V663=1,SUM($V$2:V663),"")</f>
        <v/>
      </c>
    </row>
    <row r="664" customFormat="false" ht="15" hidden="false" customHeight="true" outlineLevel="0" collapsed="false">
      <c r="A664" s="55" t="n">
        <v>663</v>
      </c>
      <c r="B664" s="55" t="s">
        <v>3332</v>
      </c>
      <c r="C664" s="55" t="str">
        <f aca="false">IF(06_Jugos_Desayuno_Rapido!B87="","",06_Jugos_Desayuno_Rapido!B87)</f>
        <v>Combos rápidos</v>
      </c>
      <c r="D664" s="56" t="str">
        <f aca="false">IF(06_Jugos_Desayuno_Rapido!C87="","",06_Jugos_Desayuno_Rapido!C87)</f>
        <v>Ponche + empanada</v>
      </c>
      <c r="E664" s="56" t="str">
        <f aca="false">IF(06_Jugos_Desayuno_Rapido!D87="","",06_Jugos_Desayuno_Rapido!D87)</f>
        <v>Combo de esquina</v>
      </c>
      <c r="F664" s="56" t="str">
        <f aca="false">IF(06_Jugos_Desayuno_Rapido!E87="","",06_Jugos_Desayuno_Rapido!E87)</f>
        <v>masa de trigo, relleno del sabor, aceite</v>
      </c>
      <c r="G664" s="55" t="str">
        <f aca="false">IF(06_Jugos_Desayuno_Rapido!F87="","",06_Jugos_Desayuno_Rapido!F87)</f>
        <v>Combo</v>
      </c>
      <c r="H664" s="55" t="str">
        <f aca="false">IF(06_Jugos_Desayuno_Rapido!G87="","",06_Jugos_Desayuno_Rapido!G87)</f>
        <v>Económico</v>
      </c>
      <c r="I664" s="58" t="n">
        <f aca="false">IF(06_Jugos_Desayuno_Rapido!H87="","",06_Jugos_Desayuno_Rapido!H87)</f>
        <v>4</v>
      </c>
      <c r="J664" s="58" t="n">
        <f aca="false">IF(06_Jugos_Desayuno_Rapido!I87="","",06_Jugos_Desayuno_Rapido!I87)</f>
        <v>10</v>
      </c>
      <c r="K664" s="58" t="n">
        <f aca="false">IF(06_Jugos_Desayuno_Rapido!J87="","",06_Jugos_Desayuno_Rapido!J87)</f>
        <v>7</v>
      </c>
      <c r="L664" s="58" t="n">
        <f aca="false">IF(06_Jugos_Desayuno_Rapido!L87="","",06_Jugos_Desayuno_Rapido!L87)</f>
        <v>7.5</v>
      </c>
      <c r="M664" s="58" t="n">
        <f aca="false">IF(06_Jugos_Desayuno_Rapido!N87="","",06_Jugos_Desayuno_Rapido!N87)</f>
        <v>0.49</v>
      </c>
      <c r="N664" s="58" t="n">
        <f aca="false">IF(06_Jugos_Desayuno_Rapido!O87="","",06_Jugos_Desayuno_Rapido!O87)</f>
        <v>6.51</v>
      </c>
      <c r="O664" s="55" t="str">
        <f aca="false">IF(06_Jugos_Desayuno_Rapido!P87="","",06_Jugos_Desayuno_Rapido!P87)</f>
        <v>05:00-09:00</v>
      </c>
      <c r="P664" s="55" t="n">
        <f aca="false">IF(06_Jugos_Desayuno_Rapido!Q87="","",06_Jugos_Desayuno_Rapido!Q87)</f>
        <v>3</v>
      </c>
      <c r="Q664" s="55" t="str">
        <f aca="false">IF(06_Jugos_Desayuno_Rapido!R87="","",06_Jugos_Desayuno_Rapido!R87)</f>
        <v>Medio</v>
      </c>
      <c r="R664" s="55" t="str">
        <f aca="false">IF(06_Jugos_Desayuno_Rapido!S87="","",06_Jugos_Desayuno_Rapido!S87)</f>
        <v>Mayor demanda en frío</v>
      </c>
      <c r="S664" s="55" t="str">
        <f aca="false">IF(06_Jugos_Desayuno_Rapido!T87="","",06_Jugos_Desayuno_Rapido!T87)</f>
        <v>Carretilla</v>
      </c>
      <c r="T664" s="56" t="str">
        <f aca="false">IF(06_Jugos_Desayuno_Rapido!U87="","",06_Jugos_Desayuno_Rapido!U87)</f>
        <v/>
      </c>
      <c r="U664" s="55" t="n">
        <v>87</v>
      </c>
      <c r="V664" s="55" t="n">
        <f aca="false">IF(AND(OR(LEN(13_Buscador!$C$5)=0,ISNUMBER(SEARCH(13_Buscador!$C$5,$C664&amp;" "&amp;$D664&amp;" "&amp;$E664&amp;" "&amp;$F664&amp;" "&amp;$S664))),OR(13_Buscador!$C$6="Todas las listas",LEN(13_Buscador!$C$6)=0,13_Buscador!$C$6=$B664)),1,0)</f>
        <v>0</v>
      </c>
      <c r="W664" s="55" t="str">
        <f aca="false">IF(V664=1,SUM($V$2:V664),"")</f>
        <v/>
      </c>
    </row>
    <row r="665" customFormat="false" ht="23.25" hidden="false" customHeight="true" outlineLevel="0" collapsed="false">
      <c r="A665" s="55" t="n">
        <v>664</v>
      </c>
      <c r="B665" s="55" t="s">
        <v>3332</v>
      </c>
      <c r="C665" s="55" t="str">
        <f aca="false">IF(06_Jugos_Desayuno_Rapido!B88="","",06_Jugos_Desayuno_Rapido!B88)</f>
        <v>Combos rápidos</v>
      </c>
      <c r="D665" s="56" t="str">
        <f aca="false">IF(06_Jugos_Desayuno_Rapido!C88="","",06_Jugos_Desayuno_Rapido!C88)</f>
        <v>Desayuno de mercado (caldo + pan + mate)</v>
      </c>
      <c r="E665" s="56" t="str">
        <f aca="false">IF(06_Jugos_Desayuno_Rapido!D88="","",06_Jugos_Desayuno_Rapido!D88)</f>
        <v>Combo completo de puesto</v>
      </c>
      <c r="F665" s="56" t="str">
        <f aca="false">IF(06_Jugos_Desayuno_Rapido!E88="","",06_Jugos_Desayuno_Rapido!E88)</f>
        <v>hierba aromática, agua caliente, azúcar</v>
      </c>
      <c r="G665" s="55" t="str">
        <f aca="false">IF(06_Jugos_Desayuno_Rapido!F88="","",06_Jugos_Desayuno_Rapido!F88)</f>
        <v>Combo</v>
      </c>
      <c r="H665" s="55" t="str">
        <f aca="false">IF(06_Jugos_Desayuno_Rapido!G88="","",06_Jugos_Desayuno_Rapido!G88)</f>
        <v>Económico</v>
      </c>
      <c r="I665" s="58" t="n">
        <f aca="false">IF(06_Jugos_Desayuno_Rapido!H88="","",06_Jugos_Desayuno_Rapido!H88)</f>
        <v>8</v>
      </c>
      <c r="J665" s="58" t="n">
        <f aca="false">IF(06_Jugos_Desayuno_Rapido!I88="","",06_Jugos_Desayuno_Rapido!I88)</f>
        <v>15</v>
      </c>
      <c r="K665" s="58" t="n">
        <f aca="false">IF(06_Jugos_Desayuno_Rapido!J88="","",06_Jugos_Desayuno_Rapido!J88)</f>
        <v>11.5</v>
      </c>
      <c r="L665" s="58" t="n">
        <f aca="false">IF(06_Jugos_Desayuno_Rapido!L88="","",06_Jugos_Desayuno_Rapido!L88)</f>
        <v>12</v>
      </c>
      <c r="M665" s="58" t="n">
        <f aca="false">IF(06_Jugos_Desayuno_Rapido!N88="","",06_Jugos_Desayuno_Rapido!N88)</f>
        <v>0.81</v>
      </c>
      <c r="N665" s="58" t="n">
        <f aca="false">IF(06_Jugos_Desayuno_Rapido!O88="","",06_Jugos_Desayuno_Rapido!O88)</f>
        <v>10.69</v>
      </c>
      <c r="O665" s="55" t="str">
        <f aca="false">IF(06_Jugos_Desayuno_Rapido!P88="","",06_Jugos_Desayuno_Rapido!P88)</f>
        <v>05:00-09:00</v>
      </c>
      <c r="P665" s="55" t="n">
        <f aca="false">IF(06_Jugos_Desayuno_Rapido!Q88="","",06_Jugos_Desayuno_Rapido!Q88)</f>
        <v>10</v>
      </c>
      <c r="Q665" s="55" t="str">
        <f aca="false">IF(06_Jugos_Desayuno_Rapido!R88="","",06_Jugos_Desayuno_Rapido!R88)</f>
        <v>Medio</v>
      </c>
      <c r="R665" s="55" t="str">
        <f aca="false">IF(06_Jugos_Desayuno_Rapido!S88="","",06_Jugos_Desayuno_Rapido!S88)</f>
        <v>Todo el año</v>
      </c>
      <c r="S665" s="55" t="str">
        <f aca="false">IF(06_Jugos_Desayuno_Rapido!T88="","",06_Jugos_Desayuno_Rapido!T88)</f>
        <v>Puesto de mercado</v>
      </c>
      <c r="T665" s="56" t="str">
        <f aca="false">IF(06_Jugos_Desayuno_Rapido!U88="","",06_Jugos_Desayuno_Rapido!U88)</f>
        <v/>
      </c>
      <c r="U665" s="55" t="n">
        <v>88</v>
      </c>
      <c r="V665" s="55" t="n">
        <f aca="false">IF(AND(OR(LEN(13_Buscador!$C$5)=0,ISNUMBER(SEARCH(13_Buscador!$C$5,$C665&amp;" "&amp;$D665&amp;" "&amp;$E665&amp;" "&amp;$F665&amp;" "&amp;$S665))),OR(13_Buscador!$C$6="Todas las listas",LEN(13_Buscador!$C$6)=0,13_Buscador!$C$6=$B665)),1,0)</f>
        <v>0</v>
      </c>
      <c r="W665" s="55" t="str">
        <f aca="false">IF(V665=1,SUM($V$2:V665),"")</f>
        <v/>
      </c>
    </row>
    <row r="666" customFormat="false" ht="15" hidden="false" customHeight="true" outlineLevel="0" collapsed="false">
      <c r="A666" s="55" t="n">
        <v>665</v>
      </c>
      <c r="B666" s="55" t="s">
        <v>3332</v>
      </c>
      <c r="C666" s="55" t="str">
        <f aca="false">IF(06_Jugos_Desayuno_Rapido!B89="","",06_Jugos_Desayuno_Rapido!B89)</f>
        <v>Combos rápidos</v>
      </c>
      <c r="D666" s="56" t="str">
        <f aca="false">IF(06_Jugos_Desayuno_Rapido!C89="","",06_Jugos_Desayuno_Rapido!C89)</f>
        <v>Combo colegio (jugo + empanada)</v>
      </c>
      <c r="E666" s="56" t="str">
        <f aca="false">IF(06_Jugos_Desayuno_Rapido!D89="","",06_Jugos_Desayuno_Rapido!D89)</f>
        <v>Refrigerio escolar</v>
      </c>
      <c r="F666" s="56" t="str">
        <f aca="false">IF(06_Jugos_Desayuno_Rapido!E89="","",06_Jugos_Desayuno_Rapido!E89)</f>
        <v>fruta de estación, agua o leche, azúcar</v>
      </c>
      <c r="G666" s="55" t="str">
        <f aca="false">IF(06_Jugos_Desayuno_Rapido!F89="","",06_Jugos_Desayuno_Rapido!F89)</f>
        <v>Combo</v>
      </c>
      <c r="H666" s="55" t="str">
        <f aca="false">IF(06_Jugos_Desayuno_Rapido!G89="","",06_Jugos_Desayuno_Rapido!G89)</f>
        <v>Económico</v>
      </c>
      <c r="I666" s="58" t="n">
        <f aca="false">IF(06_Jugos_Desayuno_Rapido!H89="","",06_Jugos_Desayuno_Rapido!H89)</f>
        <v>4</v>
      </c>
      <c r="J666" s="58" t="n">
        <f aca="false">IF(06_Jugos_Desayuno_Rapido!I89="","",06_Jugos_Desayuno_Rapido!I89)</f>
        <v>9</v>
      </c>
      <c r="K666" s="58" t="n">
        <f aca="false">IF(06_Jugos_Desayuno_Rapido!J89="","",06_Jugos_Desayuno_Rapido!J89)</f>
        <v>6.5</v>
      </c>
      <c r="L666" s="58" t="n">
        <f aca="false">IF(06_Jugos_Desayuno_Rapido!L89="","",06_Jugos_Desayuno_Rapido!L89)</f>
        <v>7</v>
      </c>
      <c r="M666" s="58" t="n">
        <f aca="false">IF(06_Jugos_Desayuno_Rapido!N89="","",06_Jugos_Desayuno_Rapido!N89)</f>
        <v>0.46</v>
      </c>
      <c r="N666" s="58" t="n">
        <f aca="false">IF(06_Jugos_Desayuno_Rapido!O89="","",06_Jugos_Desayuno_Rapido!O89)</f>
        <v>6.04</v>
      </c>
      <c r="O666" s="55" t="str">
        <f aca="false">IF(06_Jugos_Desayuno_Rapido!P89="","",06_Jugos_Desayuno_Rapido!P89)</f>
        <v>06:00-08:00</v>
      </c>
      <c r="P666" s="55" t="n">
        <f aca="false">IF(06_Jugos_Desayuno_Rapido!Q89="","",06_Jugos_Desayuno_Rapido!Q89)</f>
        <v>4</v>
      </c>
      <c r="Q666" s="55" t="str">
        <f aca="false">IF(06_Jugos_Desayuno_Rapido!R89="","",06_Jugos_Desayuno_Rapido!R89)</f>
        <v>Alto</v>
      </c>
      <c r="R666" s="55" t="str">
        <f aca="false">IF(06_Jugos_Desayuno_Rapido!S89="","",06_Jugos_Desayuno_Rapido!S89)</f>
        <v>Año escolar</v>
      </c>
      <c r="S666" s="55" t="str">
        <f aca="false">IF(06_Jugos_Desayuno_Rapido!T89="","",06_Jugos_Desayuno_Rapido!T89)</f>
        <v>Carretilla</v>
      </c>
      <c r="T666" s="56" t="str">
        <f aca="false">IF(06_Jugos_Desayuno_Rapido!U89="","",06_Jugos_Desayuno_Rapido!U89)</f>
        <v/>
      </c>
      <c r="U666" s="55" t="n">
        <v>89</v>
      </c>
      <c r="V666" s="55" t="n">
        <f aca="false">IF(AND(OR(LEN(13_Buscador!$C$5)=0,ISNUMBER(SEARCH(13_Buscador!$C$5,$C666&amp;" "&amp;$D666&amp;" "&amp;$E666&amp;" "&amp;$F666&amp;" "&amp;$S666))),OR(13_Buscador!$C$6="Todas las listas",LEN(13_Buscador!$C$6)=0,13_Buscador!$C$6=$B666)),1,0)</f>
        <v>0</v>
      </c>
      <c r="W666" s="55" t="str">
        <f aca="false">IF(V666=1,SUM($V$2:V666),"")</f>
        <v/>
      </c>
    </row>
    <row r="667" customFormat="false" ht="23.25" hidden="false" customHeight="true" outlineLevel="0" collapsed="false">
      <c r="A667" s="55" t="n">
        <v>666</v>
      </c>
      <c r="B667" s="55" t="s">
        <v>3332</v>
      </c>
      <c r="C667" s="55" t="str">
        <f aca="false">IF(06_Jugos_Desayuno_Rapido!B90="","",06_Jugos_Desayuno_Rapido!B90)</f>
        <v>Combos rápidos</v>
      </c>
      <c r="D667" s="56" t="str">
        <f aca="false">IF(06_Jugos_Desayuno_Rapido!C90="","",06_Jugos_Desayuno_Rapido!C90)</f>
        <v>Combo oficina (jugo + sándwich + fruta)</v>
      </c>
      <c r="E667" s="56" t="str">
        <f aca="false">IF(06_Jugos_Desayuno_Rapido!D90="","",06_Jugos_Desayuno_Rapido!D90)</f>
        <v>Desayuno para escritorio</v>
      </c>
      <c r="F667" s="56" t="str">
        <f aca="false">IF(06_Jugos_Desayuno_Rapido!E90="","",06_Jugos_Desayuno_Rapido!E90)</f>
        <v>fruta de estación, agua o leche, azúcar</v>
      </c>
      <c r="G667" s="55" t="str">
        <f aca="false">IF(06_Jugos_Desayuno_Rapido!F90="","",06_Jugos_Desayuno_Rapido!F90)</f>
        <v>Combo</v>
      </c>
      <c r="H667" s="55" t="str">
        <f aca="false">IF(06_Jugos_Desayuno_Rapido!G90="","",06_Jugos_Desayuno_Rapido!G90)</f>
        <v>Económico</v>
      </c>
      <c r="I667" s="58" t="n">
        <f aca="false">IF(06_Jugos_Desayuno_Rapido!H90="","",06_Jugos_Desayuno_Rapido!H90)</f>
        <v>8</v>
      </c>
      <c r="J667" s="58" t="n">
        <f aca="false">IF(06_Jugos_Desayuno_Rapido!I90="","",06_Jugos_Desayuno_Rapido!I90)</f>
        <v>15</v>
      </c>
      <c r="K667" s="58" t="n">
        <f aca="false">IF(06_Jugos_Desayuno_Rapido!J90="","",06_Jugos_Desayuno_Rapido!J90)</f>
        <v>11.5</v>
      </c>
      <c r="L667" s="58" t="n">
        <f aca="false">IF(06_Jugos_Desayuno_Rapido!L90="","",06_Jugos_Desayuno_Rapido!L90)</f>
        <v>12</v>
      </c>
      <c r="M667" s="58" t="n">
        <f aca="false">IF(06_Jugos_Desayuno_Rapido!N90="","",06_Jugos_Desayuno_Rapido!N90)</f>
        <v>0.81</v>
      </c>
      <c r="N667" s="58" t="n">
        <f aca="false">IF(06_Jugos_Desayuno_Rapido!O90="","",06_Jugos_Desayuno_Rapido!O90)</f>
        <v>10.69</v>
      </c>
      <c r="O667" s="55" t="str">
        <f aca="false">IF(06_Jugos_Desayuno_Rapido!P90="","",06_Jugos_Desayuno_Rapido!P90)</f>
        <v>07:00-10:00</v>
      </c>
      <c r="P667" s="55" t="n">
        <f aca="false">IF(06_Jugos_Desayuno_Rapido!Q90="","",06_Jugos_Desayuno_Rapido!Q90)</f>
        <v>6</v>
      </c>
      <c r="Q667" s="55" t="str">
        <f aca="false">IF(06_Jugos_Desayuno_Rapido!R90="","",06_Jugos_Desayuno_Rapido!R90)</f>
        <v>Alto</v>
      </c>
      <c r="R667" s="55" t="str">
        <f aca="false">IF(06_Jugos_Desayuno_Rapido!S90="","",06_Jugos_Desayuno_Rapido!S90)</f>
        <v>Todo el año</v>
      </c>
      <c r="S667" s="55" t="str">
        <f aca="false">IF(06_Jugos_Desayuno_Rapido!T90="","",06_Jugos_Desayuno_Rapido!T90)</f>
        <v>Carretilla, juguería</v>
      </c>
      <c r="T667" s="56" t="str">
        <f aca="false">IF(06_Jugos_Desayuno_Rapido!U90="","",06_Jugos_Desayuno_Rapido!U90)</f>
        <v>Cliente de oficina, pedido repetido</v>
      </c>
      <c r="U667" s="55" t="n">
        <v>90</v>
      </c>
      <c r="V667" s="55" t="n">
        <f aca="false">IF(AND(OR(LEN(13_Buscador!$C$5)=0,ISNUMBER(SEARCH(13_Buscador!$C$5,$C667&amp;" "&amp;$D667&amp;" "&amp;$E667&amp;" "&amp;$F667&amp;" "&amp;$S667))),OR(13_Buscador!$C$6="Todas las listas",LEN(13_Buscador!$C$6)=0,13_Buscador!$C$6=$B667)),1,0)</f>
        <v>0</v>
      </c>
      <c r="W667" s="55" t="str">
        <f aca="false">IF(V667=1,SUM($V$2:V667),"")</f>
        <v/>
      </c>
    </row>
    <row r="668" customFormat="false" ht="15" hidden="false" customHeight="true" outlineLevel="0" collapsed="false">
      <c r="A668" s="55" t="n">
        <v>667</v>
      </c>
      <c r="B668" s="55" t="s">
        <v>3332</v>
      </c>
      <c r="C668" s="55" t="str">
        <f aca="false">IF(06_Jugos_Desayuno_Rapido!B91="","",06_Jugos_Desayuno_Rapido!B91)</f>
        <v>Snacks de calle</v>
      </c>
      <c r="D668" s="56" t="str">
        <f aca="false">IF(06_Jugos_Desayuno_Rapido!C91="","",06_Jugos_Desayuno_Rapido!C91)</f>
        <v>Papa con huevo de codorniz</v>
      </c>
      <c r="E668" s="56" t="str">
        <f aca="false">IF(06_Jugos_Desayuno_Rapido!D91="","",06_Jugos_Desayuno_Rapido!D91)</f>
        <v>Snack de mercado</v>
      </c>
      <c r="F668" s="56" t="str">
        <f aca="false">IF(06_Jugos_Desayuno_Rapido!E91="","",06_Jugos_Desayuno_Rapido!E91)</f>
        <v>snack envasado de marca</v>
      </c>
      <c r="G668" s="55" t="str">
        <f aca="false">IF(06_Jugos_Desayuno_Rapido!F91="","",06_Jugos_Desayuno_Rapido!F91)</f>
        <v>Porción</v>
      </c>
      <c r="H668" s="55" t="str">
        <f aca="false">IF(06_Jugos_Desayuno_Rapido!G91="","",06_Jugos_Desayuno_Rapido!G91)</f>
        <v>Económico</v>
      </c>
      <c r="I668" s="58" t="n">
        <f aca="false">IF(06_Jugos_Desayuno_Rapido!H91="","",06_Jugos_Desayuno_Rapido!H91)</f>
        <v>2</v>
      </c>
      <c r="J668" s="58" t="n">
        <f aca="false">IF(06_Jugos_Desayuno_Rapido!I91="","",06_Jugos_Desayuno_Rapido!I91)</f>
        <v>6</v>
      </c>
      <c r="K668" s="58" t="n">
        <f aca="false">IF(06_Jugos_Desayuno_Rapido!J91="","",06_Jugos_Desayuno_Rapido!J91)</f>
        <v>4</v>
      </c>
      <c r="L668" s="58" t="n">
        <f aca="false">IF(06_Jugos_Desayuno_Rapido!L91="","",06_Jugos_Desayuno_Rapido!L91)</f>
        <v>4.5</v>
      </c>
      <c r="M668" s="58" t="n">
        <f aca="false">IF(06_Jugos_Desayuno_Rapido!N91="","",06_Jugos_Desayuno_Rapido!N91)</f>
        <v>0.28</v>
      </c>
      <c r="N668" s="58" t="n">
        <f aca="false">IF(06_Jugos_Desayuno_Rapido!O91="","",06_Jugos_Desayuno_Rapido!O91)</f>
        <v>3.72</v>
      </c>
      <c r="O668" s="55" t="str">
        <f aca="false">IF(06_Jugos_Desayuno_Rapido!P91="","",06_Jugos_Desayuno_Rapido!P91)</f>
        <v>Todo el día</v>
      </c>
      <c r="P668" s="55" t="n">
        <f aca="false">IF(06_Jugos_Desayuno_Rapido!Q91="","",06_Jugos_Desayuno_Rapido!Q91)</f>
        <v>3</v>
      </c>
      <c r="Q668" s="55" t="str">
        <f aca="false">IF(06_Jugos_Desayuno_Rapido!R91="","",06_Jugos_Desayuno_Rapido!R91)</f>
        <v>Alto</v>
      </c>
      <c r="R668" s="55" t="str">
        <f aca="false">IF(06_Jugos_Desayuno_Rapido!S91="","",06_Jugos_Desayuno_Rapido!S91)</f>
        <v>Todo el año</v>
      </c>
      <c r="S668" s="55" t="str">
        <f aca="false">IF(06_Jugos_Desayuno_Rapido!T91="","",06_Jugos_Desayuno_Rapido!T91)</f>
        <v>Carretilla</v>
      </c>
      <c r="T668" s="56" t="str">
        <f aca="false">IF(06_Jugos_Desayuno_Rapido!U91="","",06_Jugos_Desayuno_Rapido!U91)</f>
        <v/>
      </c>
      <c r="U668" s="55" t="n">
        <v>91</v>
      </c>
      <c r="V668" s="55" t="n">
        <f aca="false">IF(AND(OR(LEN(13_Buscador!$C$5)=0,ISNUMBER(SEARCH(13_Buscador!$C$5,$C668&amp;" "&amp;$D668&amp;" "&amp;$E668&amp;" "&amp;$F668&amp;" "&amp;$S668))),OR(13_Buscador!$C$6="Todas las listas",LEN(13_Buscador!$C$6)=0,13_Buscador!$C$6=$B668)),1,0)</f>
        <v>0</v>
      </c>
      <c r="W668" s="55" t="str">
        <f aca="false">IF(V668=1,SUM($V$2:V668),"")</f>
        <v/>
      </c>
    </row>
    <row r="669" customFormat="false" ht="15" hidden="false" customHeight="true" outlineLevel="0" collapsed="false">
      <c r="A669" s="55" t="n">
        <v>668</v>
      </c>
      <c r="B669" s="55" t="s">
        <v>3332</v>
      </c>
      <c r="C669" s="55" t="str">
        <f aca="false">IF(06_Jugos_Desayuno_Rapido!B92="","",06_Jugos_Desayuno_Rapido!B92)</f>
        <v>Snacks de calle</v>
      </c>
      <c r="D669" s="56" t="str">
        <f aca="false">IF(06_Jugos_Desayuno_Rapido!C92="","",06_Jugos_Desayuno_Rapido!C92)</f>
        <v>Chicharrón de habas</v>
      </c>
      <c r="E669" s="56" t="str">
        <f aca="false">IF(06_Jugos_Desayuno_Rapido!D92="","",06_Jugos_Desayuno_Rapido!D92)</f>
        <v>Habas fritas</v>
      </c>
      <c r="F669" s="56" t="str">
        <f aca="false">IF(06_Jugos_Desayuno_Rapido!E92="","",06_Jugos_Desayuno_Rapido!E92)</f>
        <v>ron de caña</v>
      </c>
      <c r="G669" s="55" t="str">
        <f aca="false">IF(06_Jugos_Desayuno_Rapido!F92="","",06_Jugos_Desayuno_Rapido!F92)</f>
        <v>Bolsa</v>
      </c>
      <c r="H669" s="55" t="str">
        <f aca="false">IF(06_Jugos_Desayuno_Rapido!G92="","",06_Jugos_Desayuno_Rapido!G92)</f>
        <v>Económico</v>
      </c>
      <c r="I669" s="58" t="n">
        <f aca="false">IF(06_Jugos_Desayuno_Rapido!H92="","",06_Jugos_Desayuno_Rapido!H92)</f>
        <v>2</v>
      </c>
      <c r="J669" s="58" t="n">
        <f aca="false">IF(06_Jugos_Desayuno_Rapido!I92="","",06_Jugos_Desayuno_Rapido!I92)</f>
        <v>5</v>
      </c>
      <c r="K669" s="58" t="n">
        <f aca="false">IF(06_Jugos_Desayuno_Rapido!J92="","",06_Jugos_Desayuno_Rapido!J92)</f>
        <v>3.5</v>
      </c>
      <c r="L669" s="58" t="n">
        <f aca="false">IF(06_Jugos_Desayuno_Rapido!L92="","",06_Jugos_Desayuno_Rapido!L92)</f>
        <v>4</v>
      </c>
      <c r="M669" s="58" t="n">
        <f aca="false">IF(06_Jugos_Desayuno_Rapido!N92="","",06_Jugos_Desayuno_Rapido!N92)</f>
        <v>0.25</v>
      </c>
      <c r="N669" s="58" t="n">
        <f aca="false">IF(06_Jugos_Desayuno_Rapido!O92="","",06_Jugos_Desayuno_Rapido!O92)</f>
        <v>3.25</v>
      </c>
      <c r="O669" s="55" t="str">
        <f aca="false">IF(06_Jugos_Desayuno_Rapido!P92="","",06_Jugos_Desayuno_Rapido!P92)</f>
        <v>Todo el día</v>
      </c>
      <c r="P669" s="55" t="n">
        <f aca="false">IF(06_Jugos_Desayuno_Rapido!Q92="","",06_Jugos_Desayuno_Rapido!Q92)</f>
        <v>2</v>
      </c>
      <c r="Q669" s="55" t="str">
        <f aca="false">IF(06_Jugos_Desayuno_Rapido!R92="","",06_Jugos_Desayuno_Rapido!R92)</f>
        <v>Alto</v>
      </c>
      <c r="R669" s="55" t="str">
        <f aca="false">IF(06_Jugos_Desayuno_Rapido!S92="","",06_Jugos_Desayuno_Rapido!S92)</f>
        <v>Todo el año</v>
      </c>
      <c r="S669" s="55" t="str">
        <f aca="false">IF(06_Jugos_Desayuno_Rapido!T92="","",06_Jugos_Desayuno_Rapido!T92)</f>
        <v>Carretilla, mercado</v>
      </c>
      <c r="T669" s="56" t="str">
        <f aca="false">IF(06_Jugos_Desayuno_Rapido!U92="","",06_Jugos_Desayuno_Rapido!U92)</f>
        <v/>
      </c>
      <c r="U669" s="55" t="n">
        <v>92</v>
      </c>
      <c r="V669" s="55" t="n">
        <f aca="false">IF(AND(OR(LEN(13_Buscador!$C$5)=0,ISNUMBER(SEARCH(13_Buscador!$C$5,$C669&amp;" "&amp;$D669&amp;" "&amp;$E669&amp;" "&amp;$F669&amp;" "&amp;$S669))),OR(13_Buscador!$C$6="Todas las listas",LEN(13_Buscador!$C$6)=0,13_Buscador!$C$6=$B669)),1,0)</f>
        <v>0</v>
      </c>
      <c r="W669" s="55" t="str">
        <f aca="false">IF(V669=1,SUM($V$2:V669),"")</f>
        <v/>
      </c>
    </row>
    <row r="670" customFormat="false" ht="15" hidden="false" customHeight="true" outlineLevel="0" collapsed="false">
      <c r="A670" s="55" t="n">
        <v>669</v>
      </c>
      <c r="B670" s="55" t="s">
        <v>3332</v>
      </c>
      <c r="C670" s="55" t="str">
        <f aca="false">IF(06_Jugos_Desayuno_Rapido!B93="","",06_Jugos_Desayuno_Rapido!B93)</f>
        <v>Snacks de calle</v>
      </c>
      <c r="D670" s="56" t="str">
        <f aca="false">IF(06_Jugos_Desayuno_Rapido!C93="","",06_Jugos_Desayuno_Rapido!C93)</f>
        <v>Maíz cancha con queso</v>
      </c>
      <c r="E670" s="56" t="str">
        <f aca="false">IF(06_Jugos_Desayuno_Rapido!D93="","",06_Jugos_Desayuno_Rapido!D93)</f>
        <v>Snack andino</v>
      </c>
      <c r="F670" s="56" t="str">
        <f aca="false">IF(06_Jugos_Desayuno_Rapido!E93="","",06_Jugos_Desayuno_Rapido!E93)</f>
        <v>maíz cancha, aceite, sal</v>
      </c>
      <c r="G670" s="55" t="str">
        <f aca="false">IF(06_Jugos_Desayuno_Rapido!F93="","",06_Jugos_Desayuno_Rapido!F93)</f>
        <v>Porción</v>
      </c>
      <c r="H670" s="55" t="str">
        <f aca="false">IF(06_Jugos_Desayuno_Rapido!G93="","",06_Jugos_Desayuno_Rapido!G93)</f>
        <v>Económico</v>
      </c>
      <c r="I670" s="58" t="n">
        <f aca="false">IF(06_Jugos_Desayuno_Rapido!H93="","",06_Jugos_Desayuno_Rapido!H93)</f>
        <v>2</v>
      </c>
      <c r="J670" s="58" t="n">
        <f aca="false">IF(06_Jugos_Desayuno_Rapido!I93="","",06_Jugos_Desayuno_Rapido!I93)</f>
        <v>6</v>
      </c>
      <c r="K670" s="58" t="n">
        <f aca="false">IF(06_Jugos_Desayuno_Rapido!J93="","",06_Jugos_Desayuno_Rapido!J93)</f>
        <v>4</v>
      </c>
      <c r="L670" s="58" t="n">
        <f aca="false">IF(06_Jugos_Desayuno_Rapido!L93="","",06_Jugos_Desayuno_Rapido!L93)</f>
        <v>4.5</v>
      </c>
      <c r="M670" s="58" t="n">
        <f aca="false">IF(06_Jugos_Desayuno_Rapido!N93="","",06_Jugos_Desayuno_Rapido!N93)</f>
        <v>0.28</v>
      </c>
      <c r="N670" s="58" t="n">
        <f aca="false">IF(06_Jugos_Desayuno_Rapido!O93="","",06_Jugos_Desayuno_Rapido!O93)</f>
        <v>3.72</v>
      </c>
      <c r="O670" s="55" t="str">
        <f aca="false">IF(06_Jugos_Desayuno_Rapido!P93="","",06_Jugos_Desayuno_Rapido!P93)</f>
        <v>Todo el día</v>
      </c>
      <c r="P670" s="55" t="n">
        <f aca="false">IF(06_Jugos_Desayuno_Rapido!Q93="","",06_Jugos_Desayuno_Rapido!Q93)</f>
        <v>2</v>
      </c>
      <c r="Q670" s="55" t="str">
        <f aca="false">IF(06_Jugos_Desayuno_Rapido!R93="","",06_Jugos_Desayuno_Rapido!R93)</f>
        <v>Alto</v>
      </c>
      <c r="R670" s="55" t="str">
        <f aca="false">IF(06_Jugos_Desayuno_Rapido!S93="","",06_Jugos_Desayuno_Rapido!S93)</f>
        <v>Todo el año</v>
      </c>
      <c r="S670" s="55" t="str">
        <f aca="false">IF(06_Jugos_Desayuno_Rapido!T93="","",06_Jugos_Desayuno_Rapido!T93)</f>
        <v>Carretilla</v>
      </c>
      <c r="T670" s="56" t="str">
        <f aca="false">IF(06_Jugos_Desayuno_Rapido!U93="","",06_Jugos_Desayuno_Rapido!U93)</f>
        <v/>
      </c>
      <c r="U670" s="55" t="n">
        <v>93</v>
      </c>
      <c r="V670" s="55" t="n">
        <f aca="false">IF(AND(OR(LEN(13_Buscador!$C$5)=0,ISNUMBER(SEARCH(13_Buscador!$C$5,$C670&amp;" "&amp;$D670&amp;" "&amp;$E670&amp;" "&amp;$F670&amp;" "&amp;$S670))),OR(13_Buscador!$C$6="Todas las listas",LEN(13_Buscador!$C$6)=0,13_Buscador!$C$6=$B670)),1,0)</f>
        <v>0</v>
      </c>
      <c r="W670" s="55" t="str">
        <f aca="false">IF(V670=1,SUM($V$2:V670),"")</f>
        <v/>
      </c>
    </row>
    <row r="671" customFormat="false" ht="15" hidden="false" customHeight="true" outlineLevel="0" collapsed="false">
      <c r="A671" s="55" t="n">
        <v>670</v>
      </c>
      <c r="B671" s="55" t="s">
        <v>3332</v>
      </c>
      <c r="C671" s="55" t="str">
        <f aca="false">IF(06_Jugos_Desayuno_Rapido!B94="","",06_Jugos_Desayuno_Rapido!B94)</f>
        <v>Snacks de calle</v>
      </c>
      <c r="D671" s="56" t="str">
        <f aca="false">IF(06_Jugos_Desayuno_Rapido!C94="","",06_Jugos_Desayuno_Rapido!C94)</f>
        <v>Algodón de azúcar</v>
      </c>
      <c r="E671" s="56" t="str">
        <f aca="false">IF(06_Jugos_Desayuno_Rapido!D94="","",06_Jugos_Desayuno_Rapido!D94)</f>
        <v>Golosina de feria</v>
      </c>
      <c r="F671" s="56" t="str">
        <f aca="false">IF(06_Jugos_Desayuno_Rapido!E94="","",06_Jugos_Desayuno_Rapido!E94)</f>
        <v>azúcar, colorante, fruta</v>
      </c>
      <c r="G671" s="55" t="str">
        <f aca="false">IF(06_Jugos_Desayuno_Rapido!F94="","",06_Jugos_Desayuno_Rapido!F94)</f>
        <v>Unidad</v>
      </c>
      <c r="H671" s="55" t="str">
        <f aca="false">IF(06_Jugos_Desayuno_Rapido!G94="","",06_Jugos_Desayuno_Rapido!G94)</f>
        <v>Económico</v>
      </c>
      <c r="I671" s="58" t="n">
        <f aca="false">IF(06_Jugos_Desayuno_Rapido!H94="","",06_Jugos_Desayuno_Rapido!H94)</f>
        <v>1.5</v>
      </c>
      <c r="J671" s="58" t="n">
        <f aca="false">IF(06_Jugos_Desayuno_Rapido!I94="","",06_Jugos_Desayuno_Rapido!I94)</f>
        <v>4</v>
      </c>
      <c r="K671" s="58" t="n">
        <f aca="false">IF(06_Jugos_Desayuno_Rapido!J94="","",06_Jugos_Desayuno_Rapido!J94)</f>
        <v>2.8</v>
      </c>
      <c r="L671" s="58" t="n">
        <f aca="false">IF(06_Jugos_Desayuno_Rapido!L94="","",06_Jugos_Desayuno_Rapido!L94)</f>
        <v>3.3</v>
      </c>
      <c r="M671" s="58" t="n">
        <f aca="false">IF(06_Jugos_Desayuno_Rapido!N94="","",06_Jugos_Desayuno_Rapido!N94)</f>
        <v>0.2</v>
      </c>
      <c r="N671" s="58" t="n">
        <f aca="false">IF(06_Jugos_Desayuno_Rapido!O94="","",06_Jugos_Desayuno_Rapido!O94)</f>
        <v>2.6</v>
      </c>
      <c r="O671" s="55" t="str">
        <f aca="false">IF(06_Jugos_Desayuno_Rapido!P94="","",06_Jugos_Desayuno_Rapido!P94)</f>
        <v>16:00-21:00</v>
      </c>
      <c r="P671" s="55" t="n">
        <f aca="false">IF(06_Jugos_Desayuno_Rapido!Q94="","",06_Jugos_Desayuno_Rapido!Q94)</f>
        <v>2</v>
      </c>
      <c r="Q671" s="55" t="str">
        <f aca="false">IF(06_Jugos_Desayuno_Rapido!R94="","",06_Jugos_Desayuno_Rapido!R94)</f>
        <v>Medio</v>
      </c>
      <c r="R671" s="55" t="str">
        <f aca="false">IF(06_Jugos_Desayuno_Rapido!S94="","",06_Jugos_Desayuno_Rapido!S94)</f>
        <v>Fiestas</v>
      </c>
      <c r="S671" s="55" t="str">
        <f aca="false">IF(06_Jugos_Desayuno_Rapido!T94="","",06_Jugos_Desayuno_Rapido!T94)</f>
        <v>Carretilla</v>
      </c>
      <c r="T671" s="56" t="str">
        <f aca="false">IF(06_Jugos_Desayuno_Rapido!U94="","",06_Jugos_Desayuno_Rapido!U94)</f>
        <v/>
      </c>
      <c r="U671" s="55" t="n">
        <v>94</v>
      </c>
      <c r="V671" s="55" t="n">
        <f aca="false">IF(AND(OR(LEN(13_Buscador!$C$5)=0,ISNUMBER(SEARCH(13_Buscador!$C$5,$C671&amp;" "&amp;$D671&amp;" "&amp;$E671&amp;" "&amp;$F671&amp;" "&amp;$S671))),OR(13_Buscador!$C$6="Todas las listas",LEN(13_Buscador!$C$6)=0,13_Buscador!$C$6=$B671)),1,0)</f>
        <v>0</v>
      </c>
      <c r="W671" s="55" t="str">
        <f aca="false">IF(V671=1,SUM($V$2:V671),"")</f>
        <v/>
      </c>
    </row>
    <row r="672" customFormat="false" ht="15" hidden="false" customHeight="true" outlineLevel="0" collapsed="false">
      <c r="A672" s="55" t="n">
        <v>671</v>
      </c>
      <c r="B672" s="55" t="s">
        <v>3332</v>
      </c>
      <c r="C672" s="55" t="str">
        <f aca="false">IF(06_Jugos_Desayuno_Rapido!B95="","",06_Jugos_Desayuno_Rapido!B95)</f>
        <v>Snacks de calle</v>
      </c>
      <c r="D672" s="56" t="str">
        <f aca="false">IF(06_Jugos_Desayuno_Rapido!C95="","",06_Jugos_Desayuno_Rapido!C95)</f>
        <v>Manzana con caramelo</v>
      </c>
      <c r="E672" s="56" t="str">
        <f aca="false">IF(06_Jugos_Desayuno_Rapido!D95="","",06_Jugos_Desayuno_Rapido!D95)</f>
        <v>Golosina de feria</v>
      </c>
      <c r="F672" s="56" t="str">
        <f aca="false">IF(06_Jugos_Desayuno_Rapido!E95="","",06_Jugos_Desayuno_Rapido!E95)</f>
        <v>manzana, azúcar, colorante</v>
      </c>
      <c r="G672" s="55" t="str">
        <f aca="false">IF(06_Jugos_Desayuno_Rapido!F95="","",06_Jugos_Desayuno_Rapido!F95)</f>
        <v>Unidad</v>
      </c>
      <c r="H672" s="55" t="str">
        <f aca="false">IF(06_Jugos_Desayuno_Rapido!G95="","",06_Jugos_Desayuno_Rapido!G95)</f>
        <v>Económico</v>
      </c>
      <c r="I672" s="58" t="n">
        <f aca="false">IF(06_Jugos_Desayuno_Rapido!H95="","",06_Jugos_Desayuno_Rapido!H95)</f>
        <v>2</v>
      </c>
      <c r="J672" s="58" t="n">
        <f aca="false">IF(06_Jugos_Desayuno_Rapido!I95="","",06_Jugos_Desayuno_Rapido!I95)</f>
        <v>6</v>
      </c>
      <c r="K672" s="58" t="n">
        <f aca="false">IF(06_Jugos_Desayuno_Rapido!J95="","",06_Jugos_Desayuno_Rapido!J95)</f>
        <v>4</v>
      </c>
      <c r="L672" s="58" t="n">
        <f aca="false">IF(06_Jugos_Desayuno_Rapido!L95="","",06_Jugos_Desayuno_Rapido!L95)</f>
        <v>4.5</v>
      </c>
      <c r="M672" s="58" t="n">
        <f aca="false">IF(06_Jugos_Desayuno_Rapido!N95="","",06_Jugos_Desayuno_Rapido!N95)</f>
        <v>0.28</v>
      </c>
      <c r="N672" s="58" t="n">
        <f aca="false">IF(06_Jugos_Desayuno_Rapido!O95="","",06_Jugos_Desayuno_Rapido!O95)</f>
        <v>3.72</v>
      </c>
      <c r="O672" s="55" t="str">
        <f aca="false">IF(06_Jugos_Desayuno_Rapido!P95="","",06_Jugos_Desayuno_Rapido!P95)</f>
        <v>16:00-21:00</v>
      </c>
      <c r="P672" s="55" t="n">
        <f aca="false">IF(06_Jugos_Desayuno_Rapido!Q95="","",06_Jugos_Desayuno_Rapido!Q95)</f>
        <v>3</v>
      </c>
      <c r="Q672" s="55" t="str">
        <f aca="false">IF(06_Jugos_Desayuno_Rapido!R95="","",06_Jugos_Desayuno_Rapido!R95)</f>
        <v>Alto</v>
      </c>
      <c r="R672" s="55" t="str">
        <f aca="false">IF(06_Jugos_Desayuno_Rapido!S95="","",06_Jugos_Desayuno_Rapido!S95)</f>
        <v>Fiestas</v>
      </c>
      <c r="S672" s="55" t="str">
        <f aca="false">IF(06_Jugos_Desayuno_Rapido!T95="","",06_Jugos_Desayuno_Rapido!T95)</f>
        <v>Carretilla</v>
      </c>
      <c r="T672" s="56" t="str">
        <f aca="false">IF(06_Jugos_Desayuno_Rapido!U95="","",06_Jugos_Desayuno_Rapido!U95)</f>
        <v/>
      </c>
      <c r="U672" s="55" t="n">
        <v>95</v>
      </c>
      <c r="V672" s="55" t="n">
        <f aca="false">IF(AND(OR(LEN(13_Buscador!$C$5)=0,ISNUMBER(SEARCH(13_Buscador!$C$5,$C672&amp;" "&amp;$D672&amp;" "&amp;$E672&amp;" "&amp;$F672&amp;" "&amp;$S672))),OR(13_Buscador!$C$6="Todas las listas",LEN(13_Buscador!$C$6)=0,13_Buscador!$C$6=$B672)),1,0)</f>
        <v>0</v>
      </c>
      <c r="W672" s="55" t="str">
        <f aca="false">IF(V672=1,SUM($V$2:V672),"")</f>
        <v/>
      </c>
    </row>
    <row r="673" customFormat="false" ht="15" hidden="false" customHeight="true" outlineLevel="0" collapsed="false">
      <c r="A673" s="55" t="n">
        <v>672</v>
      </c>
      <c r="B673" s="55" t="s">
        <v>3332</v>
      </c>
      <c r="C673" s="55" t="str">
        <f aca="false">IF(06_Jugos_Desayuno_Rapido!B96="","",06_Jugos_Desayuno_Rapido!B96)</f>
        <v>Snacks de calle</v>
      </c>
      <c r="D673" s="56" t="str">
        <f aca="false">IF(06_Jugos_Desayuno_Rapido!C96="","",06_Jugos_Desayuno_Rapido!C96)</f>
        <v>Vaso de fruta con yogurt</v>
      </c>
      <c r="E673" s="56" t="str">
        <f aca="false">IF(06_Jugos_Desayuno_Rapido!D96="","",06_Jugos_Desayuno_Rapido!D96)</f>
        <v>Fruta picada con yogurt</v>
      </c>
      <c r="F673" s="56" t="str">
        <f aca="false">IF(06_Jugos_Desayuno_Rapido!E96="","",06_Jugos_Desayuno_Rapido!E96)</f>
        <v>yogurt natural, granola, fruta de estación, miel</v>
      </c>
      <c r="G673" s="55" t="str">
        <f aca="false">IF(06_Jugos_Desayuno_Rapido!F96="","",06_Jugos_Desayuno_Rapido!F96)</f>
        <v>Vaso</v>
      </c>
      <c r="H673" s="55" t="str">
        <f aca="false">IF(06_Jugos_Desayuno_Rapido!G96="","",06_Jugos_Desayuno_Rapido!G96)</f>
        <v>Económico</v>
      </c>
      <c r="I673" s="58" t="n">
        <f aca="false">IF(06_Jugos_Desayuno_Rapido!H96="","",06_Jugos_Desayuno_Rapido!H96)</f>
        <v>3</v>
      </c>
      <c r="J673" s="58" t="n">
        <f aca="false">IF(06_Jugos_Desayuno_Rapido!I96="","",06_Jugos_Desayuno_Rapido!I96)</f>
        <v>8</v>
      </c>
      <c r="K673" s="58" t="n">
        <f aca="false">IF(06_Jugos_Desayuno_Rapido!J96="","",06_Jugos_Desayuno_Rapido!J96)</f>
        <v>5.5</v>
      </c>
      <c r="L673" s="58" t="n">
        <f aca="false">IF(06_Jugos_Desayuno_Rapido!L96="","",06_Jugos_Desayuno_Rapido!L96)</f>
        <v>6</v>
      </c>
      <c r="M673" s="58" t="n">
        <f aca="false">IF(06_Jugos_Desayuno_Rapido!N96="","",06_Jugos_Desayuno_Rapido!N96)</f>
        <v>0.39</v>
      </c>
      <c r="N673" s="58" t="n">
        <f aca="false">IF(06_Jugos_Desayuno_Rapido!O96="","",06_Jugos_Desayuno_Rapido!O96)</f>
        <v>5.11</v>
      </c>
      <c r="O673" s="55" t="str">
        <f aca="false">IF(06_Jugos_Desayuno_Rapido!P96="","",06_Jugos_Desayuno_Rapido!P96)</f>
        <v>06:00-16:00</v>
      </c>
      <c r="P673" s="55" t="n">
        <f aca="false">IF(06_Jugos_Desayuno_Rapido!Q96="","",06_Jugos_Desayuno_Rapido!Q96)</f>
        <v>4</v>
      </c>
      <c r="Q673" s="55" t="str">
        <f aca="false">IF(06_Jugos_Desayuno_Rapido!R96="","",06_Jugos_Desayuno_Rapido!R96)</f>
        <v>Alto</v>
      </c>
      <c r="R673" s="55" t="str">
        <f aca="false">IF(06_Jugos_Desayuno_Rapido!S96="","",06_Jugos_Desayuno_Rapido!S96)</f>
        <v>Todo el año</v>
      </c>
      <c r="S673" s="55" t="str">
        <f aca="false">IF(06_Jugos_Desayuno_Rapido!T96="","",06_Jugos_Desayuno_Rapido!T96)</f>
        <v>Carretilla</v>
      </c>
      <c r="T673" s="56" t="str">
        <f aca="false">IF(06_Jugos_Desayuno_Rapido!U96="","",06_Jugos_Desayuno_Rapido!U96)</f>
        <v/>
      </c>
      <c r="U673" s="55" t="n">
        <v>96</v>
      </c>
      <c r="V673" s="55" t="n">
        <f aca="false">IF(AND(OR(LEN(13_Buscador!$C$5)=0,ISNUMBER(SEARCH(13_Buscador!$C$5,$C673&amp;" "&amp;$D673&amp;" "&amp;$E673&amp;" "&amp;$F673&amp;" "&amp;$S673))),OR(13_Buscador!$C$6="Todas las listas",LEN(13_Buscador!$C$6)=0,13_Buscador!$C$6=$B673)),1,0)</f>
        <v>0</v>
      </c>
      <c r="W673" s="55" t="str">
        <f aca="false">IF(V673=1,SUM($V$2:V673),"")</f>
        <v/>
      </c>
    </row>
    <row r="674" customFormat="false" ht="15" hidden="false" customHeight="true" outlineLevel="0" collapsed="false">
      <c r="A674" s="55" t="n">
        <v>673</v>
      </c>
      <c r="B674" s="55" t="s">
        <v>3332</v>
      </c>
      <c r="C674" s="55" t="str">
        <f aca="false">IF(06_Jugos_Desayuno_Rapido!B97="","",06_Jugos_Desayuno_Rapido!B97)</f>
        <v>Snacks de calle</v>
      </c>
      <c r="D674" s="56" t="str">
        <f aca="false">IF(06_Jugos_Desayuno_Rapido!C97="","",06_Jugos_Desayuno_Rapido!C97)</f>
        <v>Gelatina con leche en vaso</v>
      </c>
      <c r="E674" s="56" t="str">
        <f aca="false">IF(06_Jugos_Desayuno_Rapido!D97="","",06_Jugos_Desayuno_Rapido!D97)</f>
        <v>Postre de mercado</v>
      </c>
      <c r="F674" s="56" t="str">
        <f aca="false">IF(06_Jugos_Desayuno_Rapido!E97="","",06_Jugos_Desayuno_Rapido!E97)</f>
        <v>gelatina, agua, azúcar, leche</v>
      </c>
      <c r="G674" s="55" t="str">
        <f aca="false">IF(06_Jugos_Desayuno_Rapido!F97="","",06_Jugos_Desayuno_Rapido!F97)</f>
        <v>Vaso</v>
      </c>
      <c r="H674" s="55" t="str">
        <f aca="false">IF(06_Jugos_Desayuno_Rapido!G97="","",06_Jugos_Desayuno_Rapido!G97)</f>
        <v>Económico</v>
      </c>
      <c r="I674" s="58" t="n">
        <f aca="false">IF(06_Jugos_Desayuno_Rapido!H97="","",06_Jugos_Desayuno_Rapido!H97)</f>
        <v>2</v>
      </c>
      <c r="J674" s="58" t="n">
        <f aca="false">IF(06_Jugos_Desayuno_Rapido!I97="","",06_Jugos_Desayuno_Rapido!I97)</f>
        <v>5</v>
      </c>
      <c r="K674" s="58" t="n">
        <f aca="false">IF(06_Jugos_Desayuno_Rapido!J97="","",06_Jugos_Desayuno_Rapido!J97)</f>
        <v>3.5</v>
      </c>
      <c r="L674" s="58" t="n">
        <f aca="false">IF(06_Jugos_Desayuno_Rapido!L97="","",06_Jugos_Desayuno_Rapido!L97)</f>
        <v>4</v>
      </c>
      <c r="M674" s="58" t="n">
        <f aca="false">IF(06_Jugos_Desayuno_Rapido!N97="","",06_Jugos_Desayuno_Rapido!N97)</f>
        <v>0.25</v>
      </c>
      <c r="N674" s="58" t="n">
        <f aca="false">IF(06_Jugos_Desayuno_Rapido!O97="","",06_Jugos_Desayuno_Rapido!O97)</f>
        <v>3.25</v>
      </c>
      <c r="O674" s="55" t="str">
        <f aca="false">IF(06_Jugos_Desayuno_Rapido!P97="","",06_Jugos_Desayuno_Rapido!P97)</f>
        <v>Todo el día</v>
      </c>
      <c r="P674" s="55" t="n">
        <f aca="false">IF(06_Jugos_Desayuno_Rapido!Q97="","",06_Jugos_Desayuno_Rapido!Q97)</f>
        <v>1</v>
      </c>
      <c r="Q674" s="55" t="str">
        <f aca="false">IF(06_Jugos_Desayuno_Rapido!R97="","",06_Jugos_Desayuno_Rapido!R97)</f>
        <v>Alto</v>
      </c>
      <c r="R674" s="55" t="str">
        <f aca="false">IF(06_Jugos_Desayuno_Rapido!S97="","",06_Jugos_Desayuno_Rapido!S97)</f>
        <v>Todo el año</v>
      </c>
      <c r="S674" s="55" t="str">
        <f aca="false">IF(06_Jugos_Desayuno_Rapido!T97="","",06_Jugos_Desayuno_Rapido!T97)</f>
        <v>Carretilla, mercado</v>
      </c>
      <c r="T674" s="56" t="str">
        <f aca="false">IF(06_Jugos_Desayuno_Rapido!U97="","",06_Jugos_Desayuno_Rapido!U97)</f>
        <v/>
      </c>
      <c r="U674" s="55" t="n">
        <v>97</v>
      </c>
      <c r="V674" s="55" t="n">
        <f aca="false">IF(AND(OR(LEN(13_Buscador!$C$5)=0,ISNUMBER(SEARCH(13_Buscador!$C$5,$C674&amp;" "&amp;$D674&amp;" "&amp;$E674&amp;" "&amp;$F674&amp;" "&amp;$S674))),OR(13_Buscador!$C$6="Todas las listas",LEN(13_Buscador!$C$6)=0,13_Buscador!$C$6=$B674)),1,0)</f>
        <v>0</v>
      </c>
      <c r="W674" s="55" t="str">
        <f aca="false">IF(V674=1,SUM($V$2:V674),"")</f>
        <v/>
      </c>
    </row>
    <row r="675" customFormat="false" ht="15" hidden="false" customHeight="true" outlineLevel="0" collapsed="false">
      <c r="A675" s="55" t="n">
        <v>674</v>
      </c>
      <c r="B675" s="55" t="s">
        <v>3332</v>
      </c>
      <c r="C675" s="55" t="str">
        <f aca="false">IF(06_Jugos_Desayuno_Rapido!B98="","",06_Jugos_Desayuno_Rapido!B98)</f>
        <v>Snacks de calle</v>
      </c>
      <c r="D675" s="56" t="str">
        <f aca="false">IF(06_Jugos_Desayuno_Rapido!C98="","",06_Jugos_Desayuno_Rapido!C98)</f>
        <v>Marciano / chupete de fruta</v>
      </c>
      <c r="E675" s="56" t="str">
        <f aca="false">IF(06_Jugos_Desayuno_Rapido!D98="","",06_Jugos_Desayuno_Rapido!D98)</f>
        <v>Helado casero en bolsa</v>
      </c>
      <c r="F675" s="56" t="str">
        <f aca="false">IF(06_Jugos_Desayuno_Rapido!E98="","",06_Jugos_Desayuno_Rapido!E98)</f>
        <v>leche o fruta, azúcar, hielo</v>
      </c>
      <c r="G675" s="55" t="str">
        <f aca="false">IF(06_Jugos_Desayuno_Rapido!F98="","",06_Jugos_Desayuno_Rapido!F98)</f>
        <v>Unidad</v>
      </c>
      <c r="H675" s="55" t="str">
        <f aca="false">IF(06_Jugos_Desayuno_Rapido!G98="","",06_Jugos_Desayuno_Rapido!G98)</f>
        <v>Económico</v>
      </c>
      <c r="I675" s="58" t="n">
        <f aca="false">IF(06_Jugos_Desayuno_Rapido!H98="","",06_Jugos_Desayuno_Rapido!H98)</f>
        <v>1</v>
      </c>
      <c r="J675" s="58" t="n">
        <f aca="false">IF(06_Jugos_Desayuno_Rapido!I98="","",06_Jugos_Desayuno_Rapido!I98)</f>
        <v>3</v>
      </c>
      <c r="K675" s="58" t="n">
        <f aca="false">IF(06_Jugos_Desayuno_Rapido!J98="","",06_Jugos_Desayuno_Rapido!J98)</f>
        <v>2</v>
      </c>
      <c r="L675" s="58" t="n">
        <f aca="false">IF(06_Jugos_Desayuno_Rapido!L98="","",06_Jugos_Desayuno_Rapido!L98)</f>
        <v>2.5</v>
      </c>
      <c r="M675" s="58" t="n">
        <f aca="false">IF(06_Jugos_Desayuno_Rapido!N98="","",06_Jugos_Desayuno_Rapido!N98)</f>
        <v>0.14</v>
      </c>
      <c r="N675" s="58" t="n">
        <f aca="false">IF(06_Jugos_Desayuno_Rapido!O98="","",06_Jugos_Desayuno_Rapido!O98)</f>
        <v>1.86</v>
      </c>
      <c r="O675" s="55" t="str">
        <f aca="false">IF(06_Jugos_Desayuno_Rapido!P98="","",06_Jugos_Desayuno_Rapido!P98)</f>
        <v>11:00-18:00</v>
      </c>
      <c r="P675" s="55" t="n">
        <f aca="false">IF(06_Jugos_Desayuno_Rapido!Q98="","",06_Jugos_Desayuno_Rapido!Q98)</f>
        <v>1</v>
      </c>
      <c r="Q675" s="55" t="str">
        <f aca="false">IF(06_Jugos_Desayuno_Rapido!R98="","",06_Jugos_Desayuno_Rapido!R98)</f>
        <v>Bajo</v>
      </c>
      <c r="R675" s="55" t="str">
        <f aca="false">IF(06_Jugos_Desayuno_Rapido!S98="","",06_Jugos_Desayuno_Rapido!S98)</f>
        <v>Mayor demanda en calor</v>
      </c>
      <c r="S675" s="55" t="str">
        <f aca="false">IF(06_Jugos_Desayuno_Rapido!T98="","",06_Jugos_Desayuno_Rapido!T98)</f>
        <v>Carretilla</v>
      </c>
      <c r="T675" s="56" t="str">
        <f aca="false">IF(06_Jugos_Desayuno_Rapido!U98="","",06_Jugos_Desayuno_Rapido!U98)</f>
        <v>Se derrite muy rápido</v>
      </c>
      <c r="U675" s="55" t="n">
        <v>98</v>
      </c>
      <c r="V675" s="55" t="n">
        <f aca="false">IF(AND(OR(LEN(13_Buscador!$C$5)=0,ISNUMBER(SEARCH(13_Buscador!$C$5,$C675&amp;" "&amp;$D675&amp;" "&amp;$E675&amp;" "&amp;$F675&amp;" "&amp;$S675))),OR(13_Buscador!$C$6="Todas las listas",LEN(13_Buscador!$C$6)=0,13_Buscador!$C$6=$B675)),1,0)</f>
        <v>0</v>
      </c>
      <c r="W675" s="55" t="str">
        <f aca="false">IF(V675=1,SUM($V$2:V675),"")</f>
        <v/>
      </c>
    </row>
    <row r="676" customFormat="false" ht="15" hidden="false" customHeight="true" outlineLevel="0" collapsed="false">
      <c r="A676" s="55" t="n">
        <v>675</v>
      </c>
      <c r="B676" s="55" t="s">
        <v>3332</v>
      </c>
      <c r="C676" s="55" t="str">
        <f aca="false">IF(06_Jugos_Desayuno_Rapido!B99="","",06_Jugos_Desayuno_Rapido!B99)</f>
        <v>Snacks de calle</v>
      </c>
      <c r="D676" s="56" t="str">
        <f aca="false">IF(06_Jugos_Desayuno_Rapido!C99="","",06_Jugos_Desayuno_Rapido!C99)</f>
        <v>Raspadilla</v>
      </c>
      <c r="E676" s="56" t="str">
        <f aca="false">IF(06_Jugos_Desayuno_Rapido!D99="","",06_Jugos_Desayuno_Rapido!D99)</f>
        <v>Hielo raspado con jarabe</v>
      </c>
      <c r="F676" s="56" t="str">
        <f aca="false">IF(06_Jugos_Desayuno_Rapido!E99="","",06_Jugos_Desayuno_Rapido!E99)</f>
        <v>leche o fruta, azúcar, hielo</v>
      </c>
      <c r="G676" s="55" t="str">
        <f aca="false">IF(06_Jugos_Desayuno_Rapido!F99="","",06_Jugos_Desayuno_Rapido!F99)</f>
        <v>Vaso</v>
      </c>
      <c r="H676" s="55" t="str">
        <f aca="false">IF(06_Jugos_Desayuno_Rapido!G99="","",06_Jugos_Desayuno_Rapido!G99)</f>
        <v>Económico</v>
      </c>
      <c r="I676" s="58" t="n">
        <f aca="false">IF(06_Jugos_Desayuno_Rapido!H99="","",06_Jugos_Desayuno_Rapido!H99)</f>
        <v>2</v>
      </c>
      <c r="J676" s="58" t="n">
        <f aca="false">IF(06_Jugos_Desayuno_Rapido!I99="","",06_Jugos_Desayuno_Rapido!I99)</f>
        <v>5</v>
      </c>
      <c r="K676" s="58" t="n">
        <f aca="false">IF(06_Jugos_Desayuno_Rapido!J99="","",06_Jugos_Desayuno_Rapido!J99)</f>
        <v>3.5</v>
      </c>
      <c r="L676" s="58" t="n">
        <f aca="false">IF(06_Jugos_Desayuno_Rapido!L99="","",06_Jugos_Desayuno_Rapido!L99)</f>
        <v>4</v>
      </c>
      <c r="M676" s="58" t="n">
        <f aca="false">IF(06_Jugos_Desayuno_Rapido!N99="","",06_Jugos_Desayuno_Rapido!N99)</f>
        <v>0.25</v>
      </c>
      <c r="N676" s="58" t="n">
        <f aca="false">IF(06_Jugos_Desayuno_Rapido!O99="","",06_Jugos_Desayuno_Rapido!O99)</f>
        <v>3.25</v>
      </c>
      <c r="O676" s="55" t="str">
        <f aca="false">IF(06_Jugos_Desayuno_Rapido!P99="","",06_Jugos_Desayuno_Rapido!P99)</f>
        <v>11:00-18:00</v>
      </c>
      <c r="P676" s="55" t="n">
        <f aca="false">IF(06_Jugos_Desayuno_Rapido!Q99="","",06_Jugos_Desayuno_Rapido!Q99)</f>
        <v>3</v>
      </c>
      <c r="Q676" s="55" t="str">
        <f aca="false">IF(06_Jugos_Desayuno_Rapido!R99="","",06_Jugos_Desayuno_Rapido!R99)</f>
        <v>Bajo</v>
      </c>
      <c r="R676" s="55" t="str">
        <f aca="false">IF(06_Jugos_Desayuno_Rapido!S99="","",06_Jugos_Desayuno_Rapido!S99)</f>
        <v>Mayor demanda en calor</v>
      </c>
      <c r="S676" s="55" t="str">
        <f aca="false">IF(06_Jugos_Desayuno_Rapido!T99="","",06_Jugos_Desayuno_Rapido!T99)</f>
        <v>Carretilla</v>
      </c>
      <c r="T676" s="56" t="str">
        <f aca="false">IF(06_Jugos_Desayuno_Rapido!U99="","",06_Jugos_Desayuno_Rapido!U99)</f>
        <v>No viable para delivery</v>
      </c>
      <c r="U676" s="55" t="n">
        <v>99</v>
      </c>
      <c r="V676" s="55" t="n">
        <f aca="false">IF(AND(OR(LEN(13_Buscador!$C$5)=0,ISNUMBER(SEARCH(13_Buscador!$C$5,$C676&amp;" "&amp;$D676&amp;" "&amp;$E676&amp;" "&amp;$F676&amp;" "&amp;$S676))),OR(13_Buscador!$C$6="Todas las listas",LEN(13_Buscador!$C$6)=0,13_Buscador!$C$6=$B676)),1,0)</f>
        <v>0</v>
      </c>
      <c r="W676" s="55" t="str">
        <f aca="false">IF(V676=1,SUM($V$2:V676),"")</f>
        <v/>
      </c>
    </row>
    <row r="677" customFormat="false" ht="15" hidden="false" customHeight="true" outlineLevel="0" collapsed="false">
      <c r="A677" s="55" t="n">
        <v>676</v>
      </c>
      <c r="B677" s="55" t="s">
        <v>3333</v>
      </c>
      <c r="C677" s="55" t="str">
        <f aca="false">IF(07_Licorerias!B2="","",07_Licorerias!B2)</f>
        <v>Cerveza</v>
      </c>
      <c r="D677" s="56" t="str">
        <f aca="false">IF(07_Licorerias!C2="","",07_Licorerias!C2)</f>
        <v>Cerveza Cusqueña 620 ml</v>
      </c>
      <c r="E677" s="56" t="str">
        <f aca="false">IF(07_Licorerias!D2="","",07_Licorerias!D2)</f>
        <v>Botella grande</v>
      </c>
      <c r="F677" s="56" t="str">
        <f aca="false">IF(07_Licorerias!E2="","",07_Licorerias!E2)</f>
        <v>cerveza embotellada o en lata</v>
      </c>
      <c r="G677" s="55" t="str">
        <f aca="false">IF(07_Licorerias!F2="","",07_Licorerias!F2)</f>
        <v>Botella</v>
      </c>
      <c r="H677" s="55" t="str">
        <f aca="false">IF(07_Licorerias!G2="","",07_Licorerias!G2)</f>
        <v>Económico</v>
      </c>
      <c r="I677" s="58" t="n">
        <f aca="false">IF(07_Licorerias!H2="","",07_Licorerias!H2)</f>
        <v>7</v>
      </c>
      <c r="J677" s="58" t="n">
        <f aca="false">IF(07_Licorerias!I2="","",07_Licorerias!I2)</f>
        <v>11</v>
      </c>
      <c r="K677" s="58" t="n">
        <f aca="false">IF(07_Licorerias!J2="","",07_Licorerias!J2)</f>
        <v>9</v>
      </c>
      <c r="L677" s="58" t="n">
        <f aca="false">IF(07_Licorerias!L2="","",07_Licorerias!L2)</f>
        <v>9.5</v>
      </c>
      <c r="M677" s="58" t="n">
        <f aca="false">IF(07_Licorerias!N2="","",07_Licorerias!N2)</f>
        <v>0.63</v>
      </c>
      <c r="N677" s="58" t="n">
        <f aca="false">IF(07_Licorerias!O2="","",07_Licorerias!O2)</f>
        <v>8.37</v>
      </c>
      <c r="O677" s="55" t="str">
        <f aca="false">IF(07_Licorerias!P2="","",07_Licorerias!P2)</f>
        <v>18:00-23:00</v>
      </c>
      <c r="P677" s="55" t="n">
        <f aca="false">IF(07_Licorerias!Q2="","",07_Licorerias!Q2)</f>
        <v>1</v>
      </c>
      <c r="Q677" s="55" t="str">
        <f aca="false">IF(07_Licorerias!R2="","",07_Licorerias!R2)</f>
        <v>Alto</v>
      </c>
      <c r="R677" s="55" t="str">
        <f aca="false">IF(07_Licorerias!S2="","",07_Licorerias!S2)</f>
        <v>Todo el año</v>
      </c>
      <c r="S677" s="55" t="str">
        <f aca="false">IF(07_Licorerias!T2="","",07_Licorerias!T2)</f>
        <v>Licorería, bodega</v>
      </c>
      <c r="T677" s="56" t="str">
        <f aca="false">IF(07_Licorerias!U2="","",07_Licorerias!U2)</f>
        <v>Marca de mayor presencia en el sur</v>
      </c>
      <c r="U677" s="55" t="n">
        <v>2</v>
      </c>
      <c r="V677" s="55" t="n">
        <f aca="false">IF(AND(OR(LEN(13_Buscador!$C$5)=0,ISNUMBER(SEARCH(13_Buscador!$C$5,$C677&amp;" "&amp;$D677&amp;" "&amp;$E677&amp;" "&amp;$F677&amp;" "&amp;$S677))),OR(13_Buscador!$C$6="Todas las listas",LEN(13_Buscador!$C$6)=0,13_Buscador!$C$6=$B677)),1,0)</f>
        <v>0</v>
      </c>
      <c r="W677" s="55" t="str">
        <f aca="false">IF(V677=1,SUM($V$2:V677),"")</f>
        <v/>
      </c>
    </row>
    <row r="678" customFormat="false" ht="15" hidden="false" customHeight="true" outlineLevel="0" collapsed="false">
      <c r="A678" s="55" t="n">
        <v>677</v>
      </c>
      <c r="B678" s="55" t="s">
        <v>3333</v>
      </c>
      <c r="C678" s="55" t="str">
        <f aca="false">IF(07_Licorerias!B3="","",07_Licorerias!B3)</f>
        <v>Cerveza</v>
      </c>
      <c r="D678" s="56" t="str">
        <f aca="false">IF(07_Licorerias!C3="","",07_Licorerias!C3)</f>
        <v>Cerveza Cristal 650 ml</v>
      </c>
      <c r="E678" s="56" t="str">
        <f aca="false">IF(07_Licorerias!D3="","",07_Licorerias!D3)</f>
        <v>Botella grande</v>
      </c>
      <c r="F678" s="56" t="str">
        <f aca="false">IF(07_Licorerias!E3="","",07_Licorerias!E3)</f>
        <v>cerveza embotellada o en lata</v>
      </c>
      <c r="G678" s="55" t="str">
        <f aca="false">IF(07_Licorerias!F3="","",07_Licorerias!F3)</f>
        <v>Botella</v>
      </c>
      <c r="H678" s="55" t="str">
        <f aca="false">IF(07_Licorerias!G3="","",07_Licorerias!G3)</f>
        <v>Económico</v>
      </c>
      <c r="I678" s="58" t="n">
        <f aca="false">IF(07_Licorerias!H3="","",07_Licorerias!H3)</f>
        <v>7</v>
      </c>
      <c r="J678" s="58" t="n">
        <f aca="false">IF(07_Licorerias!I3="","",07_Licorerias!I3)</f>
        <v>10</v>
      </c>
      <c r="K678" s="58" t="n">
        <f aca="false">IF(07_Licorerias!J3="","",07_Licorerias!J3)</f>
        <v>8.5</v>
      </c>
      <c r="L678" s="58" t="n">
        <f aca="false">IF(07_Licorerias!L3="","",07_Licorerias!L3)</f>
        <v>9</v>
      </c>
      <c r="M678" s="58" t="n">
        <f aca="false">IF(07_Licorerias!N3="","",07_Licorerias!N3)</f>
        <v>0.6</v>
      </c>
      <c r="N678" s="58" t="n">
        <f aca="false">IF(07_Licorerias!O3="","",07_Licorerias!O3)</f>
        <v>7.9</v>
      </c>
      <c r="O678" s="55" t="str">
        <f aca="false">IF(07_Licorerias!P3="","",07_Licorerias!P3)</f>
        <v>18:00-23:00</v>
      </c>
      <c r="P678" s="55" t="n">
        <f aca="false">IF(07_Licorerias!Q3="","",07_Licorerias!Q3)</f>
        <v>1</v>
      </c>
      <c r="Q678" s="55" t="str">
        <f aca="false">IF(07_Licorerias!R3="","",07_Licorerias!R3)</f>
        <v>Alto</v>
      </c>
      <c r="R678" s="55" t="str">
        <f aca="false">IF(07_Licorerias!S3="","",07_Licorerias!S3)</f>
        <v>Todo el año</v>
      </c>
      <c r="S678" s="55" t="str">
        <f aca="false">IF(07_Licorerias!T3="","",07_Licorerias!T3)</f>
        <v>Licorería, bodega</v>
      </c>
      <c r="T678" s="56" t="str">
        <f aca="false">IF(07_Licorerias!U3="","",07_Licorerias!U3)</f>
        <v/>
      </c>
      <c r="U678" s="55" t="n">
        <v>3</v>
      </c>
      <c r="V678" s="55" t="n">
        <f aca="false">IF(AND(OR(LEN(13_Buscador!$C$5)=0,ISNUMBER(SEARCH(13_Buscador!$C$5,$C678&amp;" "&amp;$D678&amp;" "&amp;$E678&amp;" "&amp;$F678&amp;" "&amp;$S678))),OR(13_Buscador!$C$6="Todas las listas",LEN(13_Buscador!$C$6)=0,13_Buscador!$C$6=$B678)),1,0)</f>
        <v>0</v>
      </c>
      <c r="W678" s="55" t="str">
        <f aca="false">IF(V678=1,SUM($V$2:V678),"")</f>
        <v/>
      </c>
    </row>
    <row r="679" customFormat="false" ht="15" hidden="false" customHeight="true" outlineLevel="0" collapsed="false">
      <c r="A679" s="55" t="n">
        <v>678</v>
      </c>
      <c r="B679" s="55" t="s">
        <v>3333</v>
      </c>
      <c r="C679" s="55" t="str">
        <f aca="false">IF(07_Licorerias!B4="","",07_Licorerias!B4)</f>
        <v>Cerveza</v>
      </c>
      <c r="D679" s="56" t="str">
        <f aca="false">IF(07_Licorerias!C4="","",07_Licorerias!C4)</f>
        <v>Cerveza Pilsen Callao 650 ml</v>
      </c>
      <c r="E679" s="56" t="str">
        <f aca="false">IF(07_Licorerias!D4="","",07_Licorerias!D4)</f>
        <v>Botella grande</v>
      </c>
      <c r="F679" s="56" t="str">
        <f aca="false">IF(07_Licorerias!E4="","",07_Licorerias!E4)</f>
        <v>cerveza embotellada o en lata</v>
      </c>
      <c r="G679" s="55" t="str">
        <f aca="false">IF(07_Licorerias!F4="","",07_Licorerias!F4)</f>
        <v>Botella</v>
      </c>
      <c r="H679" s="55" t="str">
        <f aca="false">IF(07_Licorerias!G4="","",07_Licorerias!G4)</f>
        <v>Económico</v>
      </c>
      <c r="I679" s="58" t="n">
        <f aca="false">IF(07_Licorerias!H4="","",07_Licorerias!H4)</f>
        <v>7</v>
      </c>
      <c r="J679" s="58" t="n">
        <f aca="false">IF(07_Licorerias!I4="","",07_Licorerias!I4)</f>
        <v>10</v>
      </c>
      <c r="K679" s="58" t="n">
        <f aca="false">IF(07_Licorerias!J4="","",07_Licorerias!J4)</f>
        <v>8.5</v>
      </c>
      <c r="L679" s="58" t="n">
        <f aca="false">IF(07_Licorerias!L4="","",07_Licorerias!L4)</f>
        <v>9</v>
      </c>
      <c r="M679" s="58" t="n">
        <f aca="false">IF(07_Licorerias!N4="","",07_Licorerias!N4)</f>
        <v>0.6</v>
      </c>
      <c r="N679" s="58" t="n">
        <f aca="false">IF(07_Licorerias!O4="","",07_Licorerias!O4)</f>
        <v>7.9</v>
      </c>
      <c r="O679" s="55" t="str">
        <f aca="false">IF(07_Licorerias!P4="","",07_Licorerias!P4)</f>
        <v>18:00-23:00</v>
      </c>
      <c r="P679" s="55" t="n">
        <f aca="false">IF(07_Licorerias!Q4="","",07_Licorerias!Q4)</f>
        <v>1</v>
      </c>
      <c r="Q679" s="55" t="str">
        <f aca="false">IF(07_Licorerias!R4="","",07_Licorerias!R4)</f>
        <v>Alto</v>
      </c>
      <c r="R679" s="55" t="str">
        <f aca="false">IF(07_Licorerias!S4="","",07_Licorerias!S4)</f>
        <v>Todo el año</v>
      </c>
      <c r="S679" s="55" t="str">
        <f aca="false">IF(07_Licorerias!T4="","",07_Licorerias!T4)</f>
        <v>Licorería, bodega</v>
      </c>
      <c r="T679" s="56" t="str">
        <f aca="false">IF(07_Licorerias!U4="","",07_Licorerias!U4)</f>
        <v/>
      </c>
      <c r="U679" s="55" t="n">
        <v>4</v>
      </c>
      <c r="V679" s="55" t="n">
        <f aca="false">IF(AND(OR(LEN(13_Buscador!$C$5)=0,ISNUMBER(SEARCH(13_Buscador!$C$5,$C679&amp;" "&amp;$D679&amp;" "&amp;$E679&amp;" "&amp;$F679&amp;" "&amp;$S679))),OR(13_Buscador!$C$6="Todas las listas",LEN(13_Buscador!$C$6)=0,13_Buscador!$C$6=$B679)),1,0)</f>
        <v>0</v>
      </c>
      <c r="W679" s="55" t="str">
        <f aca="false">IF(V679=1,SUM($V$2:V679),"")</f>
        <v/>
      </c>
    </row>
    <row r="680" customFormat="false" ht="15" hidden="false" customHeight="true" outlineLevel="0" collapsed="false">
      <c r="A680" s="55" t="n">
        <v>679</v>
      </c>
      <c r="B680" s="55" t="s">
        <v>3333</v>
      </c>
      <c r="C680" s="55" t="str">
        <f aca="false">IF(07_Licorerias!B5="","",07_Licorerias!B5)</f>
        <v>Cerveza</v>
      </c>
      <c r="D680" s="56" t="str">
        <f aca="false">IF(07_Licorerias!C5="","",07_Licorerias!C5)</f>
        <v>Cerveza Arequipeña 650 ml</v>
      </c>
      <c r="E680" s="56" t="str">
        <f aca="false">IF(07_Licorerias!D5="","",07_Licorerias!D5)</f>
        <v>Botella grande</v>
      </c>
      <c r="F680" s="56" t="str">
        <f aca="false">IF(07_Licorerias!E5="","",07_Licorerias!E5)</f>
        <v>cerveza embotellada o en lata</v>
      </c>
      <c r="G680" s="55" t="str">
        <f aca="false">IF(07_Licorerias!F5="","",07_Licorerias!F5)</f>
        <v>Botella</v>
      </c>
      <c r="H680" s="55" t="str">
        <f aca="false">IF(07_Licorerias!G5="","",07_Licorerias!G5)</f>
        <v>Económico</v>
      </c>
      <c r="I680" s="58" t="n">
        <f aca="false">IF(07_Licorerias!H5="","",07_Licorerias!H5)</f>
        <v>7</v>
      </c>
      <c r="J680" s="58" t="n">
        <f aca="false">IF(07_Licorerias!I5="","",07_Licorerias!I5)</f>
        <v>10</v>
      </c>
      <c r="K680" s="58" t="n">
        <f aca="false">IF(07_Licorerias!J5="","",07_Licorerias!J5)</f>
        <v>8.5</v>
      </c>
      <c r="L680" s="58" t="n">
        <f aca="false">IF(07_Licorerias!L5="","",07_Licorerias!L5)</f>
        <v>9</v>
      </c>
      <c r="M680" s="58" t="n">
        <f aca="false">IF(07_Licorerias!N5="","",07_Licorerias!N5)</f>
        <v>0.6</v>
      </c>
      <c r="N680" s="58" t="n">
        <f aca="false">IF(07_Licorerias!O5="","",07_Licorerias!O5)</f>
        <v>7.9</v>
      </c>
      <c r="O680" s="55" t="str">
        <f aca="false">IF(07_Licorerias!P5="","",07_Licorerias!P5)</f>
        <v>18:00-23:00</v>
      </c>
      <c r="P680" s="55" t="n">
        <f aca="false">IF(07_Licorerias!Q5="","",07_Licorerias!Q5)</f>
        <v>1</v>
      </c>
      <c r="Q680" s="55" t="str">
        <f aca="false">IF(07_Licorerias!R5="","",07_Licorerias!R5)</f>
        <v>Alto</v>
      </c>
      <c r="R680" s="55" t="str">
        <f aca="false">IF(07_Licorerias!S5="","",07_Licorerias!S5)</f>
        <v>Todo el año</v>
      </c>
      <c r="S680" s="55" t="str">
        <f aca="false">IF(07_Licorerias!T5="","",07_Licorerias!T5)</f>
        <v>Licorería, bodega</v>
      </c>
      <c r="T680" s="56" t="str">
        <f aca="false">IF(07_Licorerias!U5="","",07_Licorerias!U5)</f>
        <v>Fuerte arraigo en el sur andino</v>
      </c>
      <c r="U680" s="55" t="n">
        <v>5</v>
      </c>
      <c r="V680" s="55" t="n">
        <f aca="false">IF(AND(OR(LEN(13_Buscador!$C$5)=0,ISNUMBER(SEARCH(13_Buscador!$C$5,$C680&amp;" "&amp;$D680&amp;" "&amp;$E680&amp;" "&amp;$F680&amp;" "&amp;$S680))),OR(13_Buscador!$C$6="Todas las listas",LEN(13_Buscador!$C$6)=0,13_Buscador!$C$6=$B680)),1,0)</f>
        <v>0</v>
      </c>
      <c r="W680" s="55" t="str">
        <f aca="false">IF(V680=1,SUM($V$2:V680),"")</f>
        <v/>
      </c>
    </row>
    <row r="681" customFormat="false" ht="15" hidden="false" customHeight="true" outlineLevel="0" collapsed="false">
      <c r="A681" s="55" t="n">
        <v>680</v>
      </c>
      <c r="B681" s="55" t="s">
        <v>3333</v>
      </c>
      <c r="C681" s="55" t="str">
        <f aca="false">IF(07_Licorerias!B6="","",07_Licorerias!B6)</f>
        <v>Cerveza</v>
      </c>
      <c r="D681" s="56" t="str">
        <f aca="false">IF(07_Licorerias!C6="","",07_Licorerias!C6)</f>
        <v>Cerveza Pilsen Trujillo 650 ml</v>
      </c>
      <c r="E681" s="56" t="str">
        <f aca="false">IF(07_Licorerias!D6="","",07_Licorerias!D6)</f>
        <v>Botella grande</v>
      </c>
      <c r="F681" s="56" t="str">
        <f aca="false">IF(07_Licorerias!E6="","",07_Licorerias!E6)</f>
        <v>cerveza embotellada o en lata</v>
      </c>
      <c r="G681" s="55" t="str">
        <f aca="false">IF(07_Licorerias!F6="","",07_Licorerias!F6)</f>
        <v>Botella</v>
      </c>
      <c r="H681" s="55" t="str">
        <f aca="false">IF(07_Licorerias!G6="","",07_Licorerias!G6)</f>
        <v>Económico</v>
      </c>
      <c r="I681" s="58" t="n">
        <f aca="false">IF(07_Licorerias!H6="","",07_Licorerias!H6)</f>
        <v>7</v>
      </c>
      <c r="J681" s="58" t="n">
        <f aca="false">IF(07_Licorerias!I6="","",07_Licorerias!I6)</f>
        <v>10</v>
      </c>
      <c r="K681" s="58" t="n">
        <f aca="false">IF(07_Licorerias!J6="","",07_Licorerias!J6)</f>
        <v>8.5</v>
      </c>
      <c r="L681" s="58" t="n">
        <f aca="false">IF(07_Licorerias!L6="","",07_Licorerias!L6)</f>
        <v>9</v>
      </c>
      <c r="M681" s="58" t="n">
        <f aca="false">IF(07_Licorerias!N6="","",07_Licorerias!N6)</f>
        <v>0.6</v>
      </c>
      <c r="N681" s="58" t="n">
        <f aca="false">IF(07_Licorerias!O6="","",07_Licorerias!O6)</f>
        <v>7.9</v>
      </c>
      <c r="O681" s="55" t="str">
        <f aca="false">IF(07_Licorerias!P6="","",07_Licorerias!P6)</f>
        <v>18:00-23:00</v>
      </c>
      <c r="P681" s="55" t="n">
        <f aca="false">IF(07_Licorerias!Q6="","",07_Licorerias!Q6)</f>
        <v>1</v>
      </c>
      <c r="Q681" s="55" t="str">
        <f aca="false">IF(07_Licorerias!R6="","",07_Licorerias!R6)</f>
        <v>Alto</v>
      </c>
      <c r="R681" s="55" t="str">
        <f aca="false">IF(07_Licorerias!S6="","",07_Licorerias!S6)</f>
        <v>Todo el año</v>
      </c>
      <c r="S681" s="55" t="str">
        <f aca="false">IF(07_Licorerias!T6="","",07_Licorerias!T6)</f>
        <v>Licorería</v>
      </c>
      <c r="T681" s="56" t="str">
        <f aca="false">IF(07_Licorerias!U6="","",07_Licorerias!U6)</f>
        <v/>
      </c>
      <c r="U681" s="55" t="n">
        <v>6</v>
      </c>
      <c r="V681" s="55" t="n">
        <f aca="false">IF(AND(OR(LEN(13_Buscador!$C$5)=0,ISNUMBER(SEARCH(13_Buscador!$C$5,$C681&amp;" "&amp;$D681&amp;" "&amp;$E681&amp;" "&amp;$F681&amp;" "&amp;$S681))),OR(13_Buscador!$C$6="Todas las listas",LEN(13_Buscador!$C$6)=0,13_Buscador!$C$6=$B681)),1,0)</f>
        <v>0</v>
      </c>
      <c r="W681" s="55" t="str">
        <f aca="false">IF(V681=1,SUM($V$2:V681),"")</f>
        <v/>
      </c>
    </row>
    <row r="682" customFormat="false" ht="15" hidden="false" customHeight="true" outlineLevel="0" collapsed="false">
      <c r="A682" s="55" t="n">
        <v>681</v>
      </c>
      <c r="B682" s="55" t="s">
        <v>3333</v>
      </c>
      <c r="C682" s="55" t="str">
        <f aca="false">IF(07_Licorerias!B7="","",07_Licorerias!B7)</f>
        <v>Cerveza</v>
      </c>
      <c r="D682" s="56" t="str">
        <f aca="false">IF(07_Licorerias!C7="","",07_Licorerias!C7)</f>
        <v>Cerveza Brahma 630 ml</v>
      </c>
      <c r="E682" s="56" t="str">
        <f aca="false">IF(07_Licorerias!D7="","",07_Licorerias!D7)</f>
        <v>Botella grande</v>
      </c>
      <c r="F682" s="56" t="str">
        <f aca="false">IF(07_Licorerias!E7="","",07_Licorerias!E7)</f>
        <v>cerveza embotellada o en lata</v>
      </c>
      <c r="G682" s="55" t="str">
        <f aca="false">IF(07_Licorerias!F7="","",07_Licorerias!F7)</f>
        <v>Botella</v>
      </c>
      <c r="H682" s="55" t="str">
        <f aca="false">IF(07_Licorerias!G7="","",07_Licorerias!G7)</f>
        <v>Económico</v>
      </c>
      <c r="I682" s="58" t="n">
        <f aca="false">IF(07_Licorerias!H7="","",07_Licorerias!H7)</f>
        <v>6</v>
      </c>
      <c r="J682" s="58" t="n">
        <f aca="false">IF(07_Licorerias!I7="","",07_Licorerias!I7)</f>
        <v>9</v>
      </c>
      <c r="K682" s="58" t="n">
        <f aca="false">IF(07_Licorerias!J7="","",07_Licorerias!J7)</f>
        <v>7.5</v>
      </c>
      <c r="L682" s="58" t="n">
        <f aca="false">IF(07_Licorerias!L7="","",07_Licorerias!L7)</f>
        <v>8</v>
      </c>
      <c r="M682" s="58" t="n">
        <f aca="false">IF(07_Licorerias!N7="","",07_Licorerias!N7)</f>
        <v>0.53</v>
      </c>
      <c r="N682" s="58" t="n">
        <f aca="false">IF(07_Licorerias!O7="","",07_Licorerias!O7)</f>
        <v>6.97</v>
      </c>
      <c r="O682" s="55" t="str">
        <f aca="false">IF(07_Licorerias!P7="","",07_Licorerias!P7)</f>
        <v>18:00-23:00</v>
      </c>
      <c r="P682" s="55" t="n">
        <f aca="false">IF(07_Licorerias!Q7="","",07_Licorerias!Q7)</f>
        <v>1</v>
      </c>
      <c r="Q682" s="55" t="str">
        <f aca="false">IF(07_Licorerias!R7="","",07_Licorerias!R7)</f>
        <v>Alto</v>
      </c>
      <c r="R682" s="55" t="str">
        <f aca="false">IF(07_Licorerias!S7="","",07_Licorerias!S7)</f>
        <v>Todo el año</v>
      </c>
      <c r="S682" s="55" t="str">
        <f aca="false">IF(07_Licorerias!T7="","",07_Licorerias!T7)</f>
        <v>Licorería, bodega</v>
      </c>
      <c r="T682" s="56" t="str">
        <f aca="false">IF(07_Licorerias!U7="","",07_Licorerias!U7)</f>
        <v>Opción de menor precio</v>
      </c>
      <c r="U682" s="55" t="n">
        <v>7</v>
      </c>
      <c r="V682" s="55" t="n">
        <f aca="false">IF(AND(OR(LEN(13_Buscador!$C$5)=0,ISNUMBER(SEARCH(13_Buscador!$C$5,$C682&amp;" "&amp;$D682&amp;" "&amp;$E682&amp;" "&amp;$F682&amp;" "&amp;$S682))),OR(13_Buscador!$C$6="Todas las listas",LEN(13_Buscador!$C$6)=0,13_Buscador!$C$6=$B682)),1,0)</f>
        <v>0</v>
      </c>
      <c r="W682" s="55" t="str">
        <f aca="false">IF(V682=1,SUM($V$2:V682),"")</f>
        <v/>
      </c>
    </row>
    <row r="683" customFormat="false" ht="15" hidden="false" customHeight="true" outlineLevel="0" collapsed="false">
      <c r="A683" s="55" t="n">
        <v>682</v>
      </c>
      <c r="B683" s="55" t="s">
        <v>3333</v>
      </c>
      <c r="C683" s="55" t="str">
        <f aca="false">IF(07_Licorerias!B8="","",07_Licorerias!B8)</f>
        <v>Cerveza</v>
      </c>
      <c r="D683" s="56" t="str">
        <f aca="false">IF(07_Licorerias!C8="","",07_Licorerias!C8)</f>
        <v>Cerveza en lata 355 ml</v>
      </c>
      <c r="E683" s="56" t="str">
        <f aca="false">IF(07_Licorerias!D8="","",07_Licorerias!D8)</f>
        <v>Lata individual</v>
      </c>
      <c r="F683" s="56" t="str">
        <f aca="false">IF(07_Licorerias!E8="","",07_Licorerias!E8)</f>
        <v>cerveza embotellada o en lata</v>
      </c>
      <c r="G683" s="55" t="str">
        <f aca="false">IF(07_Licorerias!F8="","",07_Licorerias!F8)</f>
        <v>Lata</v>
      </c>
      <c r="H683" s="55" t="str">
        <f aca="false">IF(07_Licorerias!G8="","",07_Licorerias!G8)</f>
        <v>Económico</v>
      </c>
      <c r="I683" s="58" t="n">
        <f aca="false">IF(07_Licorerias!H8="","",07_Licorerias!H8)</f>
        <v>4</v>
      </c>
      <c r="J683" s="58" t="n">
        <f aca="false">IF(07_Licorerias!I8="","",07_Licorerias!I8)</f>
        <v>7</v>
      </c>
      <c r="K683" s="58" t="n">
        <f aca="false">IF(07_Licorerias!J8="","",07_Licorerias!J8)</f>
        <v>5.5</v>
      </c>
      <c r="L683" s="58" t="n">
        <f aca="false">IF(07_Licorerias!L8="","",07_Licorerias!L8)</f>
        <v>6</v>
      </c>
      <c r="M683" s="58" t="n">
        <f aca="false">IF(07_Licorerias!N8="","",07_Licorerias!N8)</f>
        <v>0.39</v>
      </c>
      <c r="N683" s="58" t="n">
        <f aca="false">IF(07_Licorerias!O8="","",07_Licorerias!O8)</f>
        <v>5.11</v>
      </c>
      <c r="O683" s="55" t="str">
        <f aca="false">IF(07_Licorerias!P8="","",07_Licorerias!P8)</f>
        <v>18:00-23:00</v>
      </c>
      <c r="P683" s="55" t="n">
        <f aca="false">IF(07_Licorerias!Q8="","",07_Licorerias!Q8)</f>
        <v>1</v>
      </c>
      <c r="Q683" s="55" t="str">
        <f aca="false">IF(07_Licorerias!R8="","",07_Licorerias!R8)</f>
        <v>Alto</v>
      </c>
      <c r="R683" s="55" t="str">
        <f aca="false">IF(07_Licorerias!S8="","",07_Licorerias!S8)</f>
        <v>Todo el año</v>
      </c>
      <c r="S683" s="55" t="str">
        <f aca="false">IF(07_Licorerias!T8="","",07_Licorerias!T8)</f>
        <v>Licorería, bodega</v>
      </c>
      <c r="T683" s="56" t="str">
        <f aca="false">IF(07_Licorerias!U8="","",07_Licorerias!U8)</f>
        <v/>
      </c>
      <c r="U683" s="55" t="n">
        <v>8</v>
      </c>
      <c r="V683" s="55" t="n">
        <f aca="false">IF(AND(OR(LEN(13_Buscador!$C$5)=0,ISNUMBER(SEARCH(13_Buscador!$C$5,$C683&amp;" "&amp;$D683&amp;" "&amp;$E683&amp;" "&amp;$F683&amp;" "&amp;$S683))),OR(13_Buscador!$C$6="Todas las listas",LEN(13_Buscador!$C$6)=0,13_Buscador!$C$6=$B683)),1,0)</f>
        <v>0</v>
      </c>
      <c r="W683" s="55" t="str">
        <f aca="false">IF(V683=1,SUM($V$2:V683),"")</f>
        <v/>
      </c>
    </row>
    <row r="684" customFormat="false" ht="15" hidden="false" customHeight="true" outlineLevel="0" collapsed="false">
      <c r="A684" s="55" t="n">
        <v>683</v>
      </c>
      <c r="B684" s="55" t="s">
        <v>3333</v>
      </c>
      <c r="C684" s="55" t="str">
        <f aca="false">IF(07_Licorerias!B9="","",07_Licorerias!B9)</f>
        <v>Cerveza</v>
      </c>
      <c r="D684" s="56" t="str">
        <f aca="false">IF(07_Licorerias!C9="","",07_Licorerias!C9)</f>
        <v>Six pack de latas</v>
      </c>
      <c r="E684" s="56" t="str">
        <f aca="false">IF(07_Licorerias!D9="","",07_Licorerias!D9)</f>
        <v>6 latas 355 ml</v>
      </c>
      <c r="F684" s="56" t="str">
        <f aca="false">IF(07_Licorerias!E9="","",07_Licorerias!E9)</f>
        <v>cerveza en lata</v>
      </c>
      <c r="G684" s="55" t="str">
        <f aca="false">IF(07_Licorerias!F9="","",07_Licorerias!F9)</f>
        <v>Pack</v>
      </c>
      <c r="H684" s="55" t="str">
        <f aca="false">IF(07_Licorerias!G9="","",07_Licorerias!G9)</f>
        <v>Estándar</v>
      </c>
      <c r="I684" s="58" t="n">
        <f aca="false">IF(07_Licorerias!H9="","",07_Licorerias!H9)</f>
        <v>22</v>
      </c>
      <c r="J684" s="58" t="n">
        <f aca="false">IF(07_Licorerias!I9="","",07_Licorerias!I9)</f>
        <v>38</v>
      </c>
      <c r="K684" s="58" t="n">
        <f aca="false">IF(07_Licorerias!J9="","",07_Licorerias!J9)</f>
        <v>30</v>
      </c>
      <c r="L684" s="58" t="n">
        <f aca="false">IF(07_Licorerias!L9="","",07_Licorerias!L9)</f>
        <v>30.5</v>
      </c>
      <c r="M684" s="58" t="n">
        <f aca="false">IF(07_Licorerias!N9="","",07_Licorerias!N9)</f>
        <v>2.7</v>
      </c>
      <c r="N684" s="58" t="n">
        <f aca="false">IF(07_Licorerias!O9="","",07_Licorerias!O9)</f>
        <v>27.3</v>
      </c>
      <c r="O684" s="55" t="str">
        <f aca="false">IF(07_Licorerias!P9="","",07_Licorerias!P9)</f>
        <v>18:00-23:00</v>
      </c>
      <c r="P684" s="55" t="n">
        <f aca="false">IF(07_Licorerias!Q9="","",07_Licorerias!Q9)</f>
        <v>2</v>
      </c>
      <c r="Q684" s="55" t="str">
        <f aca="false">IF(07_Licorerias!R9="","",07_Licorerias!R9)</f>
        <v>Alto</v>
      </c>
      <c r="R684" s="55" t="str">
        <f aca="false">IF(07_Licorerias!S9="","",07_Licorerias!S9)</f>
        <v>Fin de semana</v>
      </c>
      <c r="S684" s="55" t="str">
        <f aca="false">IF(07_Licorerias!T9="","",07_Licorerias!T9)</f>
        <v>Licorería</v>
      </c>
      <c r="T684" s="56" t="str">
        <f aca="false">IF(07_Licorerias!U9="","",07_Licorerias!U9)</f>
        <v>Ticket medio con buen margen</v>
      </c>
      <c r="U684" s="55" t="n">
        <v>9</v>
      </c>
      <c r="V684" s="55" t="n">
        <f aca="false">IF(AND(OR(LEN(13_Buscador!$C$5)=0,ISNUMBER(SEARCH(13_Buscador!$C$5,$C684&amp;" "&amp;$D684&amp;" "&amp;$E684&amp;" "&amp;$F684&amp;" "&amp;$S684))),OR(13_Buscador!$C$6="Todas las listas",LEN(13_Buscador!$C$6)=0,13_Buscador!$C$6=$B684)),1,0)</f>
        <v>0</v>
      </c>
      <c r="W684" s="55" t="str">
        <f aca="false">IF(V684=1,SUM($V$2:V684),"")</f>
        <v/>
      </c>
    </row>
    <row r="685" customFormat="false" ht="15" hidden="false" customHeight="true" outlineLevel="0" collapsed="false">
      <c r="A685" s="55" t="n">
        <v>684</v>
      </c>
      <c r="B685" s="55" t="s">
        <v>3333</v>
      </c>
      <c r="C685" s="55" t="str">
        <f aca="false">IF(07_Licorerias!B10="","",07_Licorerias!B10)</f>
        <v>Cerveza</v>
      </c>
      <c r="D685" s="56" t="str">
        <f aca="false">IF(07_Licorerias!C10="","",07_Licorerias!C10)</f>
        <v>Caja de cerveza (12 botellas)</v>
      </c>
      <c r="E685" s="56" t="str">
        <f aca="false">IF(07_Licorerias!D10="","",07_Licorerias!D10)</f>
        <v>Caja cerrada</v>
      </c>
      <c r="F685" s="56" t="str">
        <f aca="false">IF(07_Licorerias!E10="","",07_Licorerias!E10)</f>
        <v>cerveza embotellada o en lata</v>
      </c>
      <c r="G685" s="55" t="str">
        <f aca="false">IF(07_Licorerias!F10="","",07_Licorerias!F10)</f>
        <v>Caja</v>
      </c>
      <c r="H685" s="55" t="str">
        <f aca="false">IF(07_Licorerias!G10="","",07_Licorerias!G10)</f>
        <v>Medio</v>
      </c>
      <c r="I685" s="58" t="n">
        <f aca="false">IF(07_Licorerias!H10="","",07_Licorerias!H10)</f>
        <v>75</v>
      </c>
      <c r="J685" s="58" t="n">
        <f aca="false">IF(07_Licorerias!I10="","",07_Licorerias!I10)</f>
        <v>120</v>
      </c>
      <c r="K685" s="58" t="n">
        <f aca="false">IF(07_Licorerias!J10="","",07_Licorerias!J10)</f>
        <v>97.5</v>
      </c>
      <c r="L685" s="58" t="n">
        <f aca="false">IF(07_Licorerias!L10="","",07_Licorerias!L10)</f>
        <v>98</v>
      </c>
      <c r="M685" s="58" t="n">
        <f aca="false">IF(07_Licorerias!N10="","",07_Licorerias!N10)</f>
        <v>10.73</v>
      </c>
      <c r="N685" s="58" t="n">
        <f aca="false">IF(07_Licorerias!O10="","",07_Licorerias!O10)</f>
        <v>86.77</v>
      </c>
      <c r="O685" s="55" t="str">
        <f aca="false">IF(07_Licorerias!P10="","",07_Licorerias!P10)</f>
        <v>18:00-23:00</v>
      </c>
      <c r="P685" s="55" t="n">
        <f aca="false">IF(07_Licorerias!Q10="","",07_Licorerias!Q10)</f>
        <v>3</v>
      </c>
      <c r="Q685" s="55" t="str">
        <f aca="false">IF(07_Licorerias!R10="","",07_Licorerias!R10)</f>
        <v>Alto</v>
      </c>
      <c r="R685" s="55" t="str">
        <f aca="false">IF(07_Licorerias!S10="","",07_Licorerias!S10)</f>
        <v>Fin de semana</v>
      </c>
      <c r="S685" s="55" t="str">
        <f aca="false">IF(07_Licorerias!T10="","",07_Licorerias!T10)</f>
        <v>Distribuidora, licorería</v>
      </c>
      <c r="T685" s="56" t="str">
        <f aca="false">IF(07_Licorerias!U10="","",07_Licorerias!U10)</f>
        <v>TICKET ALTO: reuniones y fiestas</v>
      </c>
      <c r="U685" s="55" t="n">
        <v>10</v>
      </c>
      <c r="V685" s="55" t="n">
        <f aca="false">IF(AND(OR(LEN(13_Buscador!$C$5)=0,ISNUMBER(SEARCH(13_Buscador!$C$5,$C685&amp;" "&amp;$D685&amp;" "&amp;$E685&amp;" "&amp;$F685&amp;" "&amp;$S685))),OR(13_Buscador!$C$6="Todas las listas",LEN(13_Buscador!$C$6)=0,13_Buscador!$C$6=$B685)),1,0)</f>
        <v>0</v>
      </c>
      <c r="W685" s="55" t="str">
        <f aca="false">IF(V685=1,SUM($V$2:V685),"")</f>
        <v/>
      </c>
    </row>
    <row r="686" customFormat="false" ht="15" hidden="false" customHeight="true" outlineLevel="0" collapsed="false">
      <c r="A686" s="55" t="n">
        <v>685</v>
      </c>
      <c r="B686" s="55" t="s">
        <v>3333</v>
      </c>
      <c r="C686" s="55" t="str">
        <f aca="false">IF(07_Licorerias!B11="","",07_Licorerias!B11)</f>
        <v>Cerveza</v>
      </c>
      <c r="D686" s="56" t="str">
        <f aca="false">IF(07_Licorerias!C11="","",07_Licorerias!C11)</f>
        <v>Caja de cerveza (20 botellas)</v>
      </c>
      <c r="E686" s="56" t="str">
        <f aca="false">IF(07_Licorerias!D11="","",07_Licorerias!D11)</f>
        <v>Caja cerrada</v>
      </c>
      <c r="F686" s="56" t="str">
        <f aca="false">IF(07_Licorerias!E11="","",07_Licorerias!E11)</f>
        <v>cerveza embotellada o en lata</v>
      </c>
      <c r="G686" s="55" t="str">
        <f aca="false">IF(07_Licorerias!F11="","",07_Licorerias!F11)</f>
        <v>Caja</v>
      </c>
      <c r="H686" s="55" t="str">
        <f aca="false">IF(07_Licorerias!G11="","",07_Licorerias!G11)</f>
        <v>Premium</v>
      </c>
      <c r="I686" s="58" t="n">
        <f aca="false">IF(07_Licorerias!H11="","",07_Licorerias!H11)</f>
        <v>120</v>
      </c>
      <c r="J686" s="58" t="n">
        <f aca="false">IF(07_Licorerias!I11="","",07_Licorerias!I11)</f>
        <v>200</v>
      </c>
      <c r="K686" s="58" t="n">
        <f aca="false">IF(07_Licorerias!J11="","",07_Licorerias!J11)</f>
        <v>160</v>
      </c>
      <c r="L686" s="58" t="n">
        <f aca="false">IF(07_Licorerias!L11="","",07_Licorerias!L11)</f>
        <v>160.5</v>
      </c>
      <c r="M686" s="58" t="n">
        <f aca="false">IF(07_Licorerias!N11="","",07_Licorerias!N11)</f>
        <v>20.8</v>
      </c>
      <c r="N686" s="58" t="n">
        <f aca="false">IF(07_Licorerias!O11="","",07_Licorerias!O11)</f>
        <v>139.2</v>
      </c>
      <c r="O686" s="55" t="str">
        <f aca="false">IF(07_Licorerias!P11="","",07_Licorerias!P11)</f>
        <v>18:00-23:00</v>
      </c>
      <c r="P686" s="55" t="n">
        <f aca="false">IF(07_Licorerias!Q11="","",07_Licorerias!Q11)</f>
        <v>3</v>
      </c>
      <c r="Q686" s="55" t="str">
        <f aca="false">IF(07_Licorerias!R11="","",07_Licorerias!R11)</f>
        <v>Medio</v>
      </c>
      <c r="R686" s="55" t="str">
        <f aca="false">IF(07_Licorerias!S11="","",07_Licorerias!S11)</f>
        <v>Fin de semana</v>
      </c>
      <c r="S686" s="55" t="str">
        <f aca="false">IF(07_Licorerias!T11="","",07_Licorerias!T11)</f>
        <v>Distribuidora</v>
      </c>
      <c r="T686" s="56" t="str">
        <f aca="false">IF(07_Licorerias!U11="","",07_Licorerias!U11)</f>
        <v>Peso alto: requiere moto con parrilla o auto</v>
      </c>
      <c r="U686" s="55" t="n">
        <v>11</v>
      </c>
      <c r="V686" s="55" t="n">
        <f aca="false">IF(AND(OR(LEN(13_Buscador!$C$5)=0,ISNUMBER(SEARCH(13_Buscador!$C$5,$C686&amp;" "&amp;$D686&amp;" "&amp;$E686&amp;" "&amp;$F686&amp;" "&amp;$S686))),OR(13_Buscador!$C$6="Todas las listas",LEN(13_Buscador!$C$6)=0,13_Buscador!$C$6=$B686)),1,0)</f>
        <v>0</v>
      </c>
      <c r="W686" s="55" t="str">
        <f aca="false">IF(V686=1,SUM($V$2:V686),"")</f>
        <v/>
      </c>
    </row>
    <row r="687" customFormat="false" ht="15" hidden="false" customHeight="true" outlineLevel="0" collapsed="false">
      <c r="A687" s="55" t="n">
        <v>686</v>
      </c>
      <c r="B687" s="55" t="s">
        <v>3333</v>
      </c>
      <c r="C687" s="55" t="str">
        <f aca="false">IF(07_Licorerias!B12="","",07_Licorerias!B12)</f>
        <v>Cerveza</v>
      </c>
      <c r="D687" s="56" t="str">
        <f aca="false">IF(07_Licorerias!C12="","",07_Licorerias!C12)</f>
        <v>Cerveza artesanal</v>
      </c>
      <c r="E687" s="56" t="str">
        <f aca="false">IF(07_Licorerias!D12="","",07_Licorerias!D12)</f>
        <v>Botella de cervecería local</v>
      </c>
      <c r="F687" s="56" t="str">
        <f aca="false">IF(07_Licorerias!E12="","",07_Licorerias!E12)</f>
        <v>cerveza embotellada o en lata</v>
      </c>
      <c r="G687" s="55" t="str">
        <f aca="false">IF(07_Licorerias!F12="","",07_Licorerias!F12)</f>
        <v>Botella</v>
      </c>
      <c r="H687" s="55" t="str">
        <f aca="false">IF(07_Licorerias!G12="","",07_Licorerias!G12)</f>
        <v>Estándar</v>
      </c>
      <c r="I687" s="58" t="n">
        <f aca="false">IF(07_Licorerias!H12="","",07_Licorerias!H12)</f>
        <v>12</v>
      </c>
      <c r="J687" s="58" t="n">
        <f aca="false">IF(07_Licorerias!I12="","",07_Licorerias!I12)</f>
        <v>25</v>
      </c>
      <c r="K687" s="58" t="n">
        <f aca="false">IF(07_Licorerias!J12="","",07_Licorerias!J12)</f>
        <v>18.5</v>
      </c>
      <c r="L687" s="58" t="n">
        <f aca="false">IF(07_Licorerias!L12="","",07_Licorerias!L12)</f>
        <v>19</v>
      </c>
      <c r="M687" s="58" t="n">
        <f aca="false">IF(07_Licorerias!N12="","",07_Licorerias!N12)</f>
        <v>1.67</v>
      </c>
      <c r="N687" s="58" t="n">
        <f aca="false">IF(07_Licorerias!O12="","",07_Licorerias!O12)</f>
        <v>16.83</v>
      </c>
      <c r="O687" s="55" t="str">
        <f aca="false">IF(07_Licorerias!P12="","",07_Licorerias!P12)</f>
        <v>18:00-23:00</v>
      </c>
      <c r="P687" s="55" t="n">
        <f aca="false">IF(07_Licorerias!Q12="","",07_Licorerias!Q12)</f>
        <v>1</v>
      </c>
      <c r="Q687" s="55" t="str">
        <f aca="false">IF(07_Licorerias!R12="","",07_Licorerias!R12)</f>
        <v>Alto</v>
      </c>
      <c r="R687" s="55" t="str">
        <f aca="false">IF(07_Licorerias!S12="","",07_Licorerias!S12)</f>
        <v>Todo el año</v>
      </c>
      <c r="S687" s="55" t="str">
        <f aca="false">IF(07_Licorerias!T12="","",07_Licorerias!T12)</f>
        <v>Licorería, bar</v>
      </c>
      <c r="T687" s="56" t="str">
        <f aca="false">IF(07_Licorerias!U12="","",07_Licorerias!U12)</f>
        <v>Nicho turístico</v>
      </c>
      <c r="U687" s="55" t="n">
        <v>12</v>
      </c>
      <c r="V687" s="55" t="n">
        <f aca="false">IF(AND(OR(LEN(13_Buscador!$C$5)=0,ISNUMBER(SEARCH(13_Buscador!$C$5,$C687&amp;" "&amp;$D687&amp;" "&amp;$E687&amp;" "&amp;$F687&amp;" "&amp;$S687))),OR(13_Buscador!$C$6="Todas las listas",LEN(13_Buscador!$C$6)=0,13_Buscador!$C$6=$B687)),1,0)</f>
        <v>0</v>
      </c>
      <c r="W687" s="55" t="str">
        <f aca="false">IF(V687=1,SUM($V$2:V687),"")</f>
        <v/>
      </c>
    </row>
    <row r="688" customFormat="false" ht="15" hidden="false" customHeight="true" outlineLevel="0" collapsed="false">
      <c r="A688" s="55" t="n">
        <v>687</v>
      </c>
      <c r="B688" s="55" t="s">
        <v>3333</v>
      </c>
      <c r="C688" s="55" t="str">
        <f aca="false">IF(07_Licorerias!B13="","",07_Licorerias!B13)</f>
        <v>Pisco y destilados nacionales</v>
      </c>
      <c r="D688" s="56" t="str">
        <f aca="false">IF(07_Licorerias!C13="","",07_Licorerias!C13)</f>
        <v>Pisco acholado 750 ml</v>
      </c>
      <c r="E688" s="56" t="str">
        <f aca="false">IF(07_Licorerias!D13="","",07_Licorerias!D13)</f>
        <v>Botella</v>
      </c>
      <c r="F688" s="56" t="str">
        <f aca="false">IF(07_Licorerias!E13="","",07_Licorerias!E13)</f>
        <v>pisco de uva (quebranta, italia, acholado o torontel)</v>
      </c>
      <c r="G688" s="55" t="str">
        <f aca="false">IF(07_Licorerias!F13="","",07_Licorerias!F13)</f>
        <v>Botella</v>
      </c>
      <c r="H688" s="55" t="str">
        <f aca="false">IF(07_Licorerias!G13="","",07_Licorerias!G13)</f>
        <v>Estándar</v>
      </c>
      <c r="I688" s="58" t="n">
        <f aca="false">IF(07_Licorerias!H13="","",07_Licorerias!H13)</f>
        <v>25</v>
      </c>
      <c r="J688" s="58" t="n">
        <f aca="false">IF(07_Licorerias!I13="","",07_Licorerias!I13)</f>
        <v>60</v>
      </c>
      <c r="K688" s="58" t="n">
        <f aca="false">IF(07_Licorerias!J13="","",07_Licorerias!J13)</f>
        <v>42.5</v>
      </c>
      <c r="L688" s="58" t="n">
        <f aca="false">IF(07_Licorerias!L13="","",07_Licorerias!L13)</f>
        <v>43</v>
      </c>
      <c r="M688" s="58" t="n">
        <f aca="false">IF(07_Licorerias!N13="","",07_Licorerias!N13)</f>
        <v>3.83</v>
      </c>
      <c r="N688" s="58" t="n">
        <f aca="false">IF(07_Licorerias!O13="","",07_Licorerias!O13)</f>
        <v>38.67</v>
      </c>
      <c r="O688" s="55" t="str">
        <f aca="false">IF(07_Licorerias!P13="","",07_Licorerias!P13)</f>
        <v>18:00-23:00</v>
      </c>
      <c r="P688" s="55" t="n">
        <f aca="false">IF(07_Licorerias!Q13="","",07_Licorerias!Q13)</f>
        <v>1</v>
      </c>
      <c r="Q688" s="55" t="str">
        <f aca="false">IF(07_Licorerias!R13="","",07_Licorerias!R13)</f>
        <v>Alto</v>
      </c>
      <c r="R688" s="55" t="str">
        <f aca="false">IF(07_Licorerias!S13="","",07_Licorerias!S13)</f>
        <v>Todo el año</v>
      </c>
      <c r="S688" s="55" t="str">
        <f aca="false">IF(07_Licorerias!T13="","",07_Licorerias!T13)</f>
        <v>Licorería</v>
      </c>
      <c r="T688" s="56" t="str">
        <f aca="false">IF(07_Licorerias!U13="","",07_Licorerias!U13)</f>
        <v/>
      </c>
      <c r="U688" s="55" t="n">
        <v>13</v>
      </c>
      <c r="V688" s="55" t="n">
        <f aca="false">IF(AND(OR(LEN(13_Buscador!$C$5)=0,ISNUMBER(SEARCH(13_Buscador!$C$5,$C688&amp;" "&amp;$D688&amp;" "&amp;$E688&amp;" "&amp;$F688&amp;" "&amp;$S688))),OR(13_Buscador!$C$6="Todas las listas",LEN(13_Buscador!$C$6)=0,13_Buscador!$C$6=$B688)),1,0)</f>
        <v>0</v>
      </c>
      <c r="W688" s="55" t="str">
        <f aca="false">IF(V688=1,SUM($V$2:V688),"")</f>
        <v/>
      </c>
    </row>
    <row r="689" customFormat="false" ht="15" hidden="false" customHeight="true" outlineLevel="0" collapsed="false">
      <c r="A689" s="55" t="n">
        <v>688</v>
      </c>
      <c r="B689" s="55" t="s">
        <v>3333</v>
      </c>
      <c r="C689" s="55" t="str">
        <f aca="false">IF(07_Licorerias!B14="","",07_Licorerias!B14)</f>
        <v>Pisco y destilados nacionales</v>
      </c>
      <c r="D689" s="56" t="str">
        <f aca="false">IF(07_Licorerias!C14="","",07_Licorerias!C14)</f>
        <v>Pisco quebranta 750 ml</v>
      </c>
      <c r="E689" s="56" t="str">
        <f aca="false">IF(07_Licorerias!D14="","",07_Licorerias!D14)</f>
        <v>Botella</v>
      </c>
      <c r="F689" s="56" t="str">
        <f aca="false">IF(07_Licorerias!E14="","",07_Licorerias!E14)</f>
        <v>pisco de uva (quebranta, italia, acholado o torontel)</v>
      </c>
      <c r="G689" s="55" t="str">
        <f aca="false">IF(07_Licorerias!F14="","",07_Licorerias!F14)</f>
        <v>Botella</v>
      </c>
      <c r="H689" s="55" t="str">
        <f aca="false">IF(07_Licorerias!G14="","",07_Licorerias!G14)</f>
        <v>Estándar</v>
      </c>
      <c r="I689" s="58" t="n">
        <f aca="false">IF(07_Licorerias!H14="","",07_Licorerias!H14)</f>
        <v>30</v>
      </c>
      <c r="J689" s="58" t="n">
        <f aca="false">IF(07_Licorerias!I14="","",07_Licorerias!I14)</f>
        <v>70</v>
      </c>
      <c r="K689" s="58" t="n">
        <f aca="false">IF(07_Licorerias!J14="","",07_Licorerias!J14)</f>
        <v>50</v>
      </c>
      <c r="L689" s="58" t="n">
        <f aca="false">IF(07_Licorerias!L14="","",07_Licorerias!L14)</f>
        <v>50.5</v>
      </c>
      <c r="M689" s="58" t="n">
        <f aca="false">IF(07_Licorerias!N14="","",07_Licorerias!N14)</f>
        <v>4.5</v>
      </c>
      <c r="N689" s="58" t="n">
        <f aca="false">IF(07_Licorerias!O14="","",07_Licorerias!O14)</f>
        <v>45.5</v>
      </c>
      <c r="O689" s="55" t="str">
        <f aca="false">IF(07_Licorerias!P14="","",07_Licorerias!P14)</f>
        <v>18:00-23:00</v>
      </c>
      <c r="P689" s="55" t="n">
        <f aca="false">IF(07_Licorerias!Q14="","",07_Licorerias!Q14)</f>
        <v>1</v>
      </c>
      <c r="Q689" s="55" t="str">
        <f aca="false">IF(07_Licorerias!R14="","",07_Licorerias!R14)</f>
        <v>Alto</v>
      </c>
      <c r="R689" s="55" t="str">
        <f aca="false">IF(07_Licorerias!S14="","",07_Licorerias!S14)</f>
        <v>Todo el año</v>
      </c>
      <c r="S689" s="55" t="str">
        <f aca="false">IF(07_Licorerias!T14="","",07_Licorerias!T14)</f>
        <v>Licorería</v>
      </c>
      <c r="T689" s="56" t="str">
        <f aca="false">IF(07_Licorerias!U14="","",07_Licorerias!U14)</f>
        <v/>
      </c>
      <c r="U689" s="55" t="n">
        <v>14</v>
      </c>
      <c r="V689" s="55" t="n">
        <f aca="false">IF(AND(OR(LEN(13_Buscador!$C$5)=0,ISNUMBER(SEARCH(13_Buscador!$C$5,$C689&amp;" "&amp;$D689&amp;" "&amp;$E689&amp;" "&amp;$F689&amp;" "&amp;$S689))),OR(13_Buscador!$C$6="Todas las listas",LEN(13_Buscador!$C$6)=0,13_Buscador!$C$6=$B689)),1,0)</f>
        <v>0</v>
      </c>
      <c r="W689" s="55" t="str">
        <f aca="false">IF(V689=1,SUM($V$2:V689),"")</f>
        <v/>
      </c>
    </row>
    <row r="690" customFormat="false" ht="15" hidden="false" customHeight="true" outlineLevel="0" collapsed="false">
      <c r="A690" s="55" t="n">
        <v>689</v>
      </c>
      <c r="B690" s="55" t="s">
        <v>3333</v>
      </c>
      <c r="C690" s="55" t="str">
        <f aca="false">IF(07_Licorerias!B15="","",07_Licorerias!B15)</f>
        <v>Pisco y destilados nacionales</v>
      </c>
      <c r="D690" s="56" t="str">
        <f aca="false">IF(07_Licorerias!C15="","",07_Licorerias!C15)</f>
        <v>Pisco italia 750 ml</v>
      </c>
      <c r="E690" s="56" t="str">
        <f aca="false">IF(07_Licorerias!D15="","",07_Licorerias!D15)</f>
        <v>Botella</v>
      </c>
      <c r="F690" s="56" t="str">
        <f aca="false">IF(07_Licorerias!E15="","",07_Licorerias!E15)</f>
        <v>pisco de uva (quebranta, italia, acholado o torontel)</v>
      </c>
      <c r="G690" s="55" t="str">
        <f aca="false">IF(07_Licorerias!F15="","",07_Licorerias!F15)</f>
        <v>Botella</v>
      </c>
      <c r="H690" s="55" t="str">
        <f aca="false">IF(07_Licorerias!G15="","",07_Licorerias!G15)</f>
        <v>Medio</v>
      </c>
      <c r="I690" s="58" t="n">
        <f aca="false">IF(07_Licorerias!H15="","",07_Licorerias!H15)</f>
        <v>35</v>
      </c>
      <c r="J690" s="58" t="n">
        <f aca="false">IF(07_Licorerias!I15="","",07_Licorerias!I15)</f>
        <v>80</v>
      </c>
      <c r="K690" s="58" t="n">
        <f aca="false">IF(07_Licorerias!J15="","",07_Licorerias!J15)</f>
        <v>57.5</v>
      </c>
      <c r="L690" s="58" t="n">
        <f aca="false">IF(07_Licorerias!L15="","",07_Licorerias!L15)</f>
        <v>58</v>
      </c>
      <c r="M690" s="58" t="n">
        <f aca="false">IF(07_Licorerias!N15="","",07_Licorerias!N15)</f>
        <v>6.33</v>
      </c>
      <c r="N690" s="58" t="n">
        <f aca="false">IF(07_Licorerias!O15="","",07_Licorerias!O15)</f>
        <v>51.17</v>
      </c>
      <c r="O690" s="55" t="str">
        <f aca="false">IF(07_Licorerias!P15="","",07_Licorerias!P15)</f>
        <v>18:00-23:00</v>
      </c>
      <c r="P690" s="55" t="n">
        <f aca="false">IF(07_Licorerias!Q15="","",07_Licorerias!Q15)</f>
        <v>1</v>
      </c>
      <c r="Q690" s="55" t="str">
        <f aca="false">IF(07_Licorerias!R15="","",07_Licorerias!R15)</f>
        <v>Alto</v>
      </c>
      <c r="R690" s="55" t="str">
        <f aca="false">IF(07_Licorerias!S15="","",07_Licorerias!S15)</f>
        <v>Todo el año</v>
      </c>
      <c r="S690" s="55" t="str">
        <f aca="false">IF(07_Licorerias!T15="","",07_Licorerias!T15)</f>
        <v>Licorería</v>
      </c>
      <c r="T690" s="56" t="str">
        <f aca="false">IF(07_Licorerias!U15="","",07_Licorerias!U15)</f>
        <v/>
      </c>
      <c r="U690" s="55" t="n">
        <v>15</v>
      </c>
      <c r="V690" s="55" t="n">
        <f aca="false">IF(AND(OR(LEN(13_Buscador!$C$5)=0,ISNUMBER(SEARCH(13_Buscador!$C$5,$C690&amp;" "&amp;$D690&amp;" "&amp;$E690&amp;" "&amp;$F690&amp;" "&amp;$S690))),OR(13_Buscador!$C$6="Todas las listas",LEN(13_Buscador!$C$6)=0,13_Buscador!$C$6=$B690)),1,0)</f>
        <v>0</v>
      </c>
      <c r="W690" s="55" t="str">
        <f aca="false">IF(V690=1,SUM($V$2:V690),"")</f>
        <v/>
      </c>
    </row>
    <row r="691" customFormat="false" ht="15" hidden="false" customHeight="true" outlineLevel="0" collapsed="false">
      <c r="A691" s="55" t="n">
        <v>690</v>
      </c>
      <c r="B691" s="55" t="s">
        <v>3333</v>
      </c>
      <c r="C691" s="55" t="str">
        <f aca="false">IF(07_Licorerias!B16="","",07_Licorerias!B16)</f>
        <v>Pisco y destilados nacionales</v>
      </c>
      <c r="D691" s="56" t="str">
        <f aca="false">IF(07_Licorerias!C16="","",07_Licorerias!C16)</f>
        <v>Pisco premium 750 ml</v>
      </c>
      <c r="E691" s="56" t="str">
        <f aca="false">IF(07_Licorerias!D16="","",07_Licorerias!D16)</f>
        <v>Botella de marca reconocida</v>
      </c>
      <c r="F691" s="56" t="str">
        <f aca="false">IF(07_Licorerias!E16="","",07_Licorerias!E16)</f>
        <v>pisco de uva (quebranta, italia, acholado o torontel)</v>
      </c>
      <c r="G691" s="55" t="str">
        <f aca="false">IF(07_Licorerias!F16="","",07_Licorerias!F16)</f>
        <v>Botella</v>
      </c>
      <c r="H691" s="55" t="str">
        <f aca="false">IF(07_Licorerias!G16="","",07_Licorerias!G16)</f>
        <v>Premium</v>
      </c>
      <c r="I691" s="58" t="n">
        <f aca="false">IF(07_Licorerias!H16="","",07_Licorerias!H16)</f>
        <v>70</v>
      </c>
      <c r="J691" s="58" t="n">
        <f aca="false">IF(07_Licorerias!I16="","",07_Licorerias!I16)</f>
        <v>150</v>
      </c>
      <c r="K691" s="58" t="n">
        <f aca="false">IF(07_Licorerias!J16="","",07_Licorerias!J16)</f>
        <v>110</v>
      </c>
      <c r="L691" s="58" t="n">
        <f aca="false">IF(07_Licorerias!L16="","",07_Licorerias!L16)</f>
        <v>110.5</v>
      </c>
      <c r="M691" s="58" t="n">
        <f aca="false">IF(07_Licorerias!N16="","",07_Licorerias!N16)</f>
        <v>14.3</v>
      </c>
      <c r="N691" s="58" t="n">
        <f aca="false">IF(07_Licorerias!O16="","",07_Licorerias!O16)</f>
        <v>95.7</v>
      </c>
      <c r="O691" s="55" t="str">
        <f aca="false">IF(07_Licorerias!P16="","",07_Licorerias!P16)</f>
        <v>18:00-23:00</v>
      </c>
      <c r="P691" s="55" t="n">
        <f aca="false">IF(07_Licorerias!Q16="","",07_Licorerias!Q16)</f>
        <v>1</v>
      </c>
      <c r="Q691" s="55" t="str">
        <f aca="false">IF(07_Licorerias!R16="","",07_Licorerias!R16)</f>
        <v>Alto</v>
      </c>
      <c r="R691" s="55" t="str">
        <f aca="false">IF(07_Licorerias!S16="","",07_Licorerias!S16)</f>
        <v>Todo el año</v>
      </c>
      <c r="S691" s="55" t="str">
        <f aca="false">IF(07_Licorerias!T16="","",07_Licorerias!T16)</f>
        <v>Licorería</v>
      </c>
      <c r="T691" s="56" t="str">
        <f aca="false">IF(07_Licorerias!U16="","",07_Licorerias!U16)</f>
        <v/>
      </c>
      <c r="U691" s="55" t="n">
        <v>16</v>
      </c>
      <c r="V691" s="55" t="n">
        <f aca="false">IF(AND(OR(LEN(13_Buscador!$C$5)=0,ISNUMBER(SEARCH(13_Buscador!$C$5,$C691&amp;" "&amp;$D691&amp;" "&amp;$E691&amp;" "&amp;$F691&amp;" "&amp;$S691))),OR(13_Buscador!$C$6="Todas las listas",LEN(13_Buscador!$C$6)=0,13_Buscador!$C$6=$B691)),1,0)</f>
        <v>0</v>
      </c>
      <c r="W691" s="55" t="str">
        <f aca="false">IF(V691=1,SUM($V$2:V691),"")</f>
        <v/>
      </c>
    </row>
    <row r="692" customFormat="false" ht="15" hidden="false" customHeight="true" outlineLevel="0" collapsed="false">
      <c r="A692" s="55" t="n">
        <v>691</v>
      </c>
      <c r="B692" s="55" t="s">
        <v>3333</v>
      </c>
      <c r="C692" s="55" t="str">
        <f aca="false">IF(07_Licorerias!B17="","",07_Licorerias!B17)</f>
        <v>Pisco y destilados nacionales</v>
      </c>
      <c r="D692" s="56" t="str">
        <f aca="false">IF(07_Licorerias!C17="","",07_Licorerias!C17)</f>
        <v>Cañazo / aguardiente</v>
      </c>
      <c r="E692" s="56" t="str">
        <f aca="false">IF(07_Licorerias!D17="","",07_Licorerias!D17)</f>
        <v>Aguardiente de caña</v>
      </c>
      <c r="F692" s="56" t="str">
        <f aca="false">IF(07_Licorerias!E17="","",07_Licorerias!E17)</f>
        <v>aguardiente de caña</v>
      </c>
      <c r="G692" s="55" t="str">
        <f aca="false">IF(07_Licorerias!F17="","",07_Licorerias!F17)</f>
        <v>Botella</v>
      </c>
      <c r="H692" s="55" t="str">
        <f aca="false">IF(07_Licorerias!G17="","",07_Licorerias!G17)</f>
        <v>Económico</v>
      </c>
      <c r="I692" s="58" t="n">
        <f aca="false">IF(07_Licorerias!H17="","",07_Licorerias!H17)</f>
        <v>8</v>
      </c>
      <c r="J692" s="58" t="n">
        <f aca="false">IF(07_Licorerias!I17="","",07_Licorerias!I17)</f>
        <v>20</v>
      </c>
      <c r="K692" s="58" t="n">
        <f aca="false">IF(07_Licorerias!J17="","",07_Licorerias!J17)</f>
        <v>14</v>
      </c>
      <c r="L692" s="58" t="n">
        <f aca="false">IF(07_Licorerias!L17="","",07_Licorerias!L17)</f>
        <v>14.5</v>
      </c>
      <c r="M692" s="58" t="n">
        <f aca="false">IF(07_Licorerias!N17="","",07_Licorerias!N17)</f>
        <v>0.98</v>
      </c>
      <c r="N692" s="58" t="n">
        <f aca="false">IF(07_Licorerias!O17="","",07_Licorerias!O17)</f>
        <v>13.02</v>
      </c>
      <c r="O692" s="55" t="str">
        <f aca="false">IF(07_Licorerias!P17="","",07_Licorerias!P17)</f>
        <v>18:00-23:00</v>
      </c>
      <c r="P692" s="55" t="n">
        <f aca="false">IF(07_Licorerias!Q17="","",07_Licorerias!Q17)</f>
        <v>1</v>
      </c>
      <c r="Q692" s="55" t="str">
        <f aca="false">IF(07_Licorerias!R17="","",07_Licorerias!R17)</f>
        <v>Alto</v>
      </c>
      <c r="R692" s="55" t="str">
        <f aca="false">IF(07_Licorerias!S17="","",07_Licorerias!S17)</f>
        <v>Todo el año</v>
      </c>
      <c r="S692" s="55" t="str">
        <f aca="false">IF(07_Licorerias!T17="","",07_Licorerias!T17)</f>
        <v>Licorería, bodega</v>
      </c>
      <c r="T692" s="56" t="str">
        <f aca="false">IF(07_Licorerias!U17="","",07_Licorerias!U17)</f>
        <v>Consumo tradicional en zona rural y fiestas</v>
      </c>
      <c r="U692" s="55" t="n">
        <v>17</v>
      </c>
      <c r="V692" s="55" t="n">
        <f aca="false">IF(AND(OR(LEN(13_Buscador!$C$5)=0,ISNUMBER(SEARCH(13_Buscador!$C$5,$C692&amp;" "&amp;$D692&amp;" "&amp;$E692&amp;" "&amp;$F692&amp;" "&amp;$S692))),OR(13_Buscador!$C$6="Todas las listas",LEN(13_Buscador!$C$6)=0,13_Buscador!$C$6=$B692)),1,0)</f>
        <v>0</v>
      </c>
      <c r="W692" s="55" t="str">
        <f aca="false">IF(V692=1,SUM($V$2:V692),"")</f>
        <v/>
      </c>
    </row>
    <row r="693" customFormat="false" ht="15" hidden="false" customHeight="true" outlineLevel="0" collapsed="false">
      <c r="A693" s="55" t="n">
        <v>692</v>
      </c>
      <c r="B693" s="55" t="s">
        <v>3333</v>
      </c>
      <c r="C693" s="55" t="str">
        <f aca="false">IF(07_Licorerias!B18="","",07_Licorerias!B18)</f>
        <v>Pisco y destilados nacionales</v>
      </c>
      <c r="D693" s="56" t="str">
        <f aca="false">IF(07_Licorerias!C18="","",07_Licorerias!C18)</f>
        <v>Anisado</v>
      </c>
      <c r="E693" s="56" t="str">
        <f aca="false">IF(07_Licorerias!D18="","",07_Licorerias!D18)</f>
        <v>Licor de anís</v>
      </c>
      <c r="F693" s="56" t="str">
        <f aca="false">IF(07_Licorerias!E18="","",07_Licorerias!E18)</f>
        <v>hierba aromática, agua caliente, azúcar</v>
      </c>
      <c r="G693" s="55" t="str">
        <f aca="false">IF(07_Licorerias!F18="","",07_Licorerias!F18)</f>
        <v>Botella</v>
      </c>
      <c r="H693" s="55" t="str">
        <f aca="false">IF(07_Licorerias!G18="","",07_Licorerias!G18)</f>
        <v>Económico</v>
      </c>
      <c r="I693" s="58" t="n">
        <f aca="false">IF(07_Licorerias!H18="","",07_Licorerias!H18)</f>
        <v>10</v>
      </c>
      <c r="J693" s="58" t="n">
        <f aca="false">IF(07_Licorerias!I18="","",07_Licorerias!I18)</f>
        <v>25</v>
      </c>
      <c r="K693" s="58" t="n">
        <f aca="false">IF(07_Licorerias!J18="","",07_Licorerias!J18)</f>
        <v>17.5</v>
      </c>
      <c r="L693" s="58" t="n">
        <f aca="false">IF(07_Licorerias!L18="","",07_Licorerias!L18)</f>
        <v>18</v>
      </c>
      <c r="M693" s="58" t="n">
        <f aca="false">IF(07_Licorerias!N18="","",07_Licorerias!N18)</f>
        <v>1.23</v>
      </c>
      <c r="N693" s="58" t="n">
        <f aca="false">IF(07_Licorerias!O18="","",07_Licorerias!O18)</f>
        <v>16.27</v>
      </c>
      <c r="O693" s="55" t="str">
        <f aca="false">IF(07_Licorerias!P18="","",07_Licorerias!P18)</f>
        <v>18:00-23:00</v>
      </c>
      <c r="P693" s="55" t="n">
        <f aca="false">IF(07_Licorerias!Q18="","",07_Licorerias!Q18)</f>
        <v>1</v>
      </c>
      <c r="Q693" s="55" t="str">
        <f aca="false">IF(07_Licorerias!R18="","",07_Licorerias!R18)</f>
        <v>Alto</v>
      </c>
      <c r="R693" s="55" t="str">
        <f aca="false">IF(07_Licorerias!S18="","",07_Licorerias!S18)</f>
        <v>Todo el año</v>
      </c>
      <c r="S693" s="55" t="str">
        <f aca="false">IF(07_Licorerias!T18="","",07_Licorerias!T18)</f>
        <v>Licorería</v>
      </c>
      <c r="T693" s="56" t="str">
        <f aca="false">IF(07_Licorerias!U18="","",07_Licorerias!U18)</f>
        <v/>
      </c>
      <c r="U693" s="55" t="n">
        <v>18</v>
      </c>
      <c r="V693" s="55" t="n">
        <f aca="false">IF(AND(OR(LEN(13_Buscador!$C$5)=0,ISNUMBER(SEARCH(13_Buscador!$C$5,$C693&amp;" "&amp;$D693&amp;" "&amp;$E693&amp;" "&amp;$F693&amp;" "&amp;$S693))),OR(13_Buscador!$C$6="Todas las listas",LEN(13_Buscador!$C$6)=0,13_Buscador!$C$6=$B693)),1,0)</f>
        <v>0</v>
      </c>
      <c r="W693" s="55" t="str">
        <f aca="false">IF(V693=1,SUM($V$2:V693),"")</f>
        <v/>
      </c>
    </row>
    <row r="694" customFormat="false" ht="15" hidden="false" customHeight="true" outlineLevel="0" collapsed="false">
      <c r="A694" s="55" t="n">
        <v>693</v>
      </c>
      <c r="B694" s="55" t="s">
        <v>3333</v>
      </c>
      <c r="C694" s="55" t="str">
        <f aca="false">IF(07_Licorerias!B19="","",07_Licorerias!B19)</f>
        <v>Ron y vodka</v>
      </c>
      <c r="D694" s="56" t="str">
        <f aca="false">IF(07_Licorerias!C19="","",07_Licorerias!C19)</f>
        <v>Ron Cartavio Black 750 ml</v>
      </c>
      <c r="E694" s="56" t="str">
        <f aca="false">IF(07_Licorerias!D19="","",07_Licorerias!D19)</f>
        <v>Botella</v>
      </c>
      <c r="F694" s="56" t="str">
        <f aca="false">IF(07_Licorerias!E19="","",07_Licorerias!E19)</f>
        <v>ron de caña</v>
      </c>
      <c r="G694" s="55" t="str">
        <f aca="false">IF(07_Licorerias!F19="","",07_Licorerias!F19)</f>
        <v>Botella</v>
      </c>
      <c r="H694" s="55" t="str">
        <f aca="false">IF(07_Licorerias!G19="","",07_Licorerias!G19)</f>
        <v>Estándar</v>
      </c>
      <c r="I694" s="58" t="n">
        <f aca="false">IF(07_Licorerias!H19="","",07_Licorerias!H19)</f>
        <v>25</v>
      </c>
      <c r="J694" s="58" t="n">
        <f aca="false">IF(07_Licorerias!I19="","",07_Licorerias!I19)</f>
        <v>45</v>
      </c>
      <c r="K694" s="58" t="n">
        <f aca="false">IF(07_Licorerias!J19="","",07_Licorerias!J19)</f>
        <v>35</v>
      </c>
      <c r="L694" s="58" t="n">
        <f aca="false">IF(07_Licorerias!L19="","",07_Licorerias!L19)</f>
        <v>35.5</v>
      </c>
      <c r="M694" s="58" t="n">
        <f aca="false">IF(07_Licorerias!N19="","",07_Licorerias!N19)</f>
        <v>3.15</v>
      </c>
      <c r="N694" s="58" t="n">
        <f aca="false">IF(07_Licorerias!O19="","",07_Licorerias!O19)</f>
        <v>31.85</v>
      </c>
      <c r="O694" s="55" t="str">
        <f aca="false">IF(07_Licorerias!P19="","",07_Licorerias!P19)</f>
        <v>18:00-23:00</v>
      </c>
      <c r="P694" s="55" t="n">
        <f aca="false">IF(07_Licorerias!Q19="","",07_Licorerias!Q19)</f>
        <v>1</v>
      </c>
      <c r="Q694" s="55" t="str">
        <f aca="false">IF(07_Licorerias!R19="","",07_Licorerias!R19)</f>
        <v>Alto</v>
      </c>
      <c r="R694" s="55" t="str">
        <f aca="false">IF(07_Licorerias!S19="","",07_Licorerias!S19)</f>
        <v>Todo el año</v>
      </c>
      <c r="S694" s="55" t="str">
        <f aca="false">IF(07_Licorerias!T19="","",07_Licorerias!T19)</f>
        <v>Licorería</v>
      </c>
      <c r="T694" s="56" t="str">
        <f aca="false">IF(07_Licorerias!U19="","",07_Licorerias!U19)</f>
        <v/>
      </c>
      <c r="U694" s="55" t="n">
        <v>19</v>
      </c>
      <c r="V694" s="55" t="n">
        <f aca="false">IF(AND(OR(LEN(13_Buscador!$C$5)=0,ISNUMBER(SEARCH(13_Buscador!$C$5,$C694&amp;" "&amp;$D694&amp;" "&amp;$E694&amp;" "&amp;$F694&amp;" "&amp;$S694))),OR(13_Buscador!$C$6="Todas las listas",LEN(13_Buscador!$C$6)=0,13_Buscador!$C$6=$B694)),1,0)</f>
        <v>0</v>
      </c>
      <c r="W694" s="55" t="str">
        <f aca="false">IF(V694=1,SUM($V$2:V694),"")</f>
        <v/>
      </c>
    </row>
    <row r="695" customFormat="false" ht="15" hidden="false" customHeight="true" outlineLevel="0" collapsed="false">
      <c r="A695" s="55" t="n">
        <v>694</v>
      </c>
      <c r="B695" s="55" t="s">
        <v>3333</v>
      </c>
      <c r="C695" s="55" t="str">
        <f aca="false">IF(07_Licorerias!B20="","",07_Licorerias!B20)</f>
        <v>Ron y vodka</v>
      </c>
      <c r="D695" s="56" t="str">
        <f aca="false">IF(07_Licorerias!C20="","",07_Licorerias!C20)</f>
        <v>Ron Appleton / importado 750 ml</v>
      </c>
      <c r="E695" s="56" t="str">
        <f aca="false">IF(07_Licorerias!D20="","",07_Licorerias!D20)</f>
        <v>Botella</v>
      </c>
      <c r="F695" s="56" t="str">
        <f aca="false">IF(07_Licorerias!E20="","",07_Licorerias!E20)</f>
        <v>ron de caña</v>
      </c>
      <c r="G695" s="55" t="str">
        <f aca="false">IF(07_Licorerias!F20="","",07_Licorerias!F20)</f>
        <v>Botella</v>
      </c>
      <c r="H695" s="55" t="str">
        <f aca="false">IF(07_Licorerias!G20="","",07_Licorerias!G20)</f>
        <v>Medio</v>
      </c>
      <c r="I695" s="58" t="n">
        <f aca="false">IF(07_Licorerias!H20="","",07_Licorerias!H20)</f>
        <v>45</v>
      </c>
      <c r="J695" s="58" t="n">
        <f aca="false">IF(07_Licorerias!I20="","",07_Licorerias!I20)</f>
        <v>90</v>
      </c>
      <c r="K695" s="58" t="n">
        <f aca="false">IF(07_Licorerias!J20="","",07_Licorerias!J20)</f>
        <v>67.5</v>
      </c>
      <c r="L695" s="58" t="n">
        <f aca="false">IF(07_Licorerias!L20="","",07_Licorerias!L20)</f>
        <v>68</v>
      </c>
      <c r="M695" s="58" t="n">
        <f aca="false">IF(07_Licorerias!N20="","",07_Licorerias!N20)</f>
        <v>7.43</v>
      </c>
      <c r="N695" s="58" t="n">
        <f aca="false">IF(07_Licorerias!O20="","",07_Licorerias!O20)</f>
        <v>60.07</v>
      </c>
      <c r="O695" s="55" t="str">
        <f aca="false">IF(07_Licorerias!P20="","",07_Licorerias!P20)</f>
        <v>18:00-23:00</v>
      </c>
      <c r="P695" s="55" t="n">
        <f aca="false">IF(07_Licorerias!Q20="","",07_Licorerias!Q20)</f>
        <v>1</v>
      </c>
      <c r="Q695" s="55" t="str">
        <f aca="false">IF(07_Licorerias!R20="","",07_Licorerias!R20)</f>
        <v>Alto</v>
      </c>
      <c r="R695" s="55" t="str">
        <f aca="false">IF(07_Licorerias!S20="","",07_Licorerias!S20)</f>
        <v>Todo el año</v>
      </c>
      <c r="S695" s="55" t="str">
        <f aca="false">IF(07_Licorerias!T20="","",07_Licorerias!T20)</f>
        <v>Licorería</v>
      </c>
      <c r="T695" s="56" t="str">
        <f aca="false">IF(07_Licorerias!U20="","",07_Licorerias!U20)</f>
        <v/>
      </c>
      <c r="U695" s="55" t="n">
        <v>20</v>
      </c>
      <c r="V695" s="55" t="n">
        <f aca="false">IF(AND(OR(LEN(13_Buscador!$C$5)=0,ISNUMBER(SEARCH(13_Buscador!$C$5,$C695&amp;" "&amp;$D695&amp;" "&amp;$E695&amp;" "&amp;$F695&amp;" "&amp;$S695))),OR(13_Buscador!$C$6="Todas las listas",LEN(13_Buscador!$C$6)=0,13_Buscador!$C$6=$B695)),1,0)</f>
        <v>0</v>
      </c>
      <c r="W695" s="55" t="str">
        <f aca="false">IF(V695=1,SUM($V$2:V695),"")</f>
        <v/>
      </c>
    </row>
    <row r="696" customFormat="false" ht="15" hidden="false" customHeight="true" outlineLevel="0" collapsed="false">
      <c r="A696" s="55" t="n">
        <v>695</v>
      </c>
      <c r="B696" s="55" t="s">
        <v>3333</v>
      </c>
      <c r="C696" s="55" t="str">
        <f aca="false">IF(07_Licorerias!B21="","",07_Licorerias!B21)</f>
        <v>Ron y vodka</v>
      </c>
      <c r="D696" s="56" t="str">
        <f aca="false">IF(07_Licorerias!C21="","",07_Licorerias!C21)</f>
        <v>Ron Flor de Caña 750 ml</v>
      </c>
      <c r="E696" s="56" t="str">
        <f aca="false">IF(07_Licorerias!D21="","",07_Licorerias!D21)</f>
        <v>Botella</v>
      </c>
      <c r="F696" s="56" t="str">
        <f aca="false">IF(07_Licorerias!E21="","",07_Licorerias!E21)</f>
        <v>ron de caña</v>
      </c>
      <c r="G696" s="55" t="str">
        <f aca="false">IF(07_Licorerias!F21="","",07_Licorerias!F21)</f>
        <v>Botella</v>
      </c>
      <c r="H696" s="55" t="str">
        <f aca="false">IF(07_Licorerias!G21="","",07_Licorerias!G21)</f>
        <v>Medio</v>
      </c>
      <c r="I696" s="58" t="n">
        <f aca="false">IF(07_Licorerias!H21="","",07_Licorerias!H21)</f>
        <v>45</v>
      </c>
      <c r="J696" s="58" t="n">
        <f aca="false">IF(07_Licorerias!I21="","",07_Licorerias!I21)</f>
        <v>90</v>
      </c>
      <c r="K696" s="58" t="n">
        <f aca="false">IF(07_Licorerias!J21="","",07_Licorerias!J21)</f>
        <v>67.5</v>
      </c>
      <c r="L696" s="58" t="n">
        <f aca="false">IF(07_Licorerias!L21="","",07_Licorerias!L21)</f>
        <v>68</v>
      </c>
      <c r="M696" s="58" t="n">
        <f aca="false">IF(07_Licorerias!N21="","",07_Licorerias!N21)</f>
        <v>7.43</v>
      </c>
      <c r="N696" s="58" t="n">
        <f aca="false">IF(07_Licorerias!O21="","",07_Licorerias!O21)</f>
        <v>60.07</v>
      </c>
      <c r="O696" s="55" t="str">
        <f aca="false">IF(07_Licorerias!P21="","",07_Licorerias!P21)</f>
        <v>18:00-23:00</v>
      </c>
      <c r="P696" s="55" t="n">
        <f aca="false">IF(07_Licorerias!Q21="","",07_Licorerias!Q21)</f>
        <v>1</v>
      </c>
      <c r="Q696" s="55" t="str">
        <f aca="false">IF(07_Licorerias!R21="","",07_Licorerias!R21)</f>
        <v>Alto</v>
      </c>
      <c r="R696" s="55" t="str">
        <f aca="false">IF(07_Licorerias!S21="","",07_Licorerias!S21)</f>
        <v>Todo el año</v>
      </c>
      <c r="S696" s="55" t="str">
        <f aca="false">IF(07_Licorerias!T21="","",07_Licorerias!T21)</f>
        <v>Licorería</v>
      </c>
      <c r="T696" s="56" t="str">
        <f aca="false">IF(07_Licorerias!U21="","",07_Licorerias!U21)</f>
        <v/>
      </c>
      <c r="U696" s="55" t="n">
        <v>21</v>
      </c>
      <c r="V696" s="55" t="n">
        <f aca="false">IF(AND(OR(LEN(13_Buscador!$C$5)=0,ISNUMBER(SEARCH(13_Buscador!$C$5,$C696&amp;" "&amp;$D696&amp;" "&amp;$E696&amp;" "&amp;$F696&amp;" "&amp;$S696))),OR(13_Buscador!$C$6="Todas las listas",LEN(13_Buscador!$C$6)=0,13_Buscador!$C$6=$B696)),1,0)</f>
        <v>0</v>
      </c>
      <c r="W696" s="55" t="str">
        <f aca="false">IF(V696=1,SUM($V$2:V696),"")</f>
        <v/>
      </c>
    </row>
    <row r="697" customFormat="false" ht="15" hidden="false" customHeight="true" outlineLevel="0" collapsed="false">
      <c r="A697" s="55" t="n">
        <v>696</v>
      </c>
      <c r="B697" s="55" t="s">
        <v>3333</v>
      </c>
      <c r="C697" s="55" t="str">
        <f aca="false">IF(07_Licorerias!B22="","",07_Licorerias!B22)</f>
        <v>Ron y vodka</v>
      </c>
      <c r="D697" s="56" t="str">
        <f aca="false">IF(07_Licorerias!C22="","",07_Licorerias!C22)</f>
        <v>Vodka Russkaya 750 ml</v>
      </c>
      <c r="E697" s="56" t="str">
        <f aca="false">IF(07_Licorerias!D22="","",07_Licorerias!D22)</f>
        <v>Botella</v>
      </c>
      <c r="F697" s="56" t="str">
        <f aca="false">IF(07_Licorerias!E22="","",07_Licorerias!E22)</f>
        <v>vodka</v>
      </c>
      <c r="G697" s="55" t="str">
        <f aca="false">IF(07_Licorerias!F22="","",07_Licorerias!F22)</f>
        <v>Botella</v>
      </c>
      <c r="H697" s="55" t="str">
        <f aca="false">IF(07_Licorerias!G22="","",07_Licorerias!G22)</f>
        <v>Económico</v>
      </c>
      <c r="I697" s="58" t="n">
        <f aca="false">IF(07_Licorerias!H22="","",07_Licorerias!H22)</f>
        <v>18</v>
      </c>
      <c r="J697" s="58" t="n">
        <f aca="false">IF(07_Licorerias!I22="","",07_Licorerias!I22)</f>
        <v>35</v>
      </c>
      <c r="K697" s="58" t="n">
        <f aca="false">IF(07_Licorerias!J22="","",07_Licorerias!J22)</f>
        <v>26.5</v>
      </c>
      <c r="L697" s="58" t="n">
        <f aca="false">IF(07_Licorerias!L22="","",07_Licorerias!L22)</f>
        <v>27</v>
      </c>
      <c r="M697" s="58" t="n">
        <f aca="false">IF(07_Licorerias!N22="","",07_Licorerias!N22)</f>
        <v>1.86</v>
      </c>
      <c r="N697" s="58" t="n">
        <f aca="false">IF(07_Licorerias!O22="","",07_Licorerias!O22)</f>
        <v>24.64</v>
      </c>
      <c r="O697" s="55" t="str">
        <f aca="false">IF(07_Licorerias!P22="","",07_Licorerias!P22)</f>
        <v>18:00-23:00</v>
      </c>
      <c r="P697" s="55" t="n">
        <f aca="false">IF(07_Licorerias!Q22="","",07_Licorerias!Q22)</f>
        <v>1</v>
      </c>
      <c r="Q697" s="55" t="str">
        <f aca="false">IF(07_Licorerias!R22="","",07_Licorerias!R22)</f>
        <v>Alto</v>
      </c>
      <c r="R697" s="55" t="str">
        <f aca="false">IF(07_Licorerias!S22="","",07_Licorerias!S22)</f>
        <v>Todo el año</v>
      </c>
      <c r="S697" s="55" t="str">
        <f aca="false">IF(07_Licorerias!T22="","",07_Licorerias!T22)</f>
        <v>Licorería</v>
      </c>
      <c r="T697" s="56" t="str">
        <f aca="false">IF(07_Licorerias!U22="","",07_Licorerias!U22)</f>
        <v/>
      </c>
      <c r="U697" s="55" t="n">
        <v>22</v>
      </c>
      <c r="V697" s="55" t="n">
        <f aca="false">IF(AND(OR(LEN(13_Buscador!$C$5)=0,ISNUMBER(SEARCH(13_Buscador!$C$5,$C697&amp;" "&amp;$D697&amp;" "&amp;$E697&amp;" "&amp;$F697&amp;" "&amp;$S697))),OR(13_Buscador!$C$6="Todas las listas",LEN(13_Buscador!$C$6)=0,13_Buscador!$C$6=$B697)),1,0)</f>
        <v>0</v>
      </c>
      <c r="W697" s="55" t="str">
        <f aca="false">IF(V697=1,SUM($V$2:V697),"")</f>
        <v/>
      </c>
    </row>
    <row r="698" customFormat="false" ht="15" hidden="false" customHeight="true" outlineLevel="0" collapsed="false">
      <c r="A698" s="55" t="n">
        <v>697</v>
      </c>
      <c r="B698" s="55" t="s">
        <v>3333</v>
      </c>
      <c r="C698" s="55" t="str">
        <f aca="false">IF(07_Licorerias!B23="","",07_Licorerias!B23)</f>
        <v>Ron y vodka</v>
      </c>
      <c r="D698" s="56" t="str">
        <f aca="false">IF(07_Licorerias!C23="","",07_Licorerias!C23)</f>
        <v>Vodka Absolut 750 ml</v>
      </c>
      <c r="E698" s="56" t="str">
        <f aca="false">IF(07_Licorerias!D23="","",07_Licorerias!D23)</f>
        <v>Botella</v>
      </c>
      <c r="F698" s="56" t="str">
        <f aca="false">IF(07_Licorerias!E23="","",07_Licorerias!E23)</f>
        <v>vodka</v>
      </c>
      <c r="G698" s="55" t="str">
        <f aca="false">IF(07_Licorerias!F23="","",07_Licorerias!F23)</f>
        <v>Botella</v>
      </c>
      <c r="H698" s="55" t="str">
        <f aca="false">IF(07_Licorerias!G23="","",07_Licorerias!G23)</f>
        <v>Medio</v>
      </c>
      <c r="I698" s="58" t="n">
        <f aca="false">IF(07_Licorerias!H23="","",07_Licorerias!H23)</f>
        <v>60</v>
      </c>
      <c r="J698" s="58" t="n">
        <f aca="false">IF(07_Licorerias!I23="","",07_Licorerias!I23)</f>
        <v>110</v>
      </c>
      <c r="K698" s="58" t="n">
        <f aca="false">IF(07_Licorerias!J23="","",07_Licorerias!J23)</f>
        <v>85</v>
      </c>
      <c r="L698" s="58" t="n">
        <f aca="false">IF(07_Licorerias!L23="","",07_Licorerias!L23)</f>
        <v>85.5</v>
      </c>
      <c r="M698" s="58" t="n">
        <f aca="false">IF(07_Licorerias!N23="","",07_Licorerias!N23)</f>
        <v>9.35</v>
      </c>
      <c r="N698" s="58" t="n">
        <f aca="false">IF(07_Licorerias!O23="","",07_Licorerias!O23)</f>
        <v>75.65</v>
      </c>
      <c r="O698" s="55" t="str">
        <f aca="false">IF(07_Licorerias!P23="","",07_Licorerias!P23)</f>
        <v>18:00-23:00</v>
      </c>
      <c r="P698" s="55" t="n">
        <f aca="false">IF(07_Licorerias!Q23="","",07_Licorerias!Q23)</f>
        <v>1</v>
      </c>
      <c r="Q698" s="55" t="str">
        <f aca="false">IF(07_Licorerias!R23="","",07_Licorerias!R23)</f>
        <v>Alto</v>
      </c>
      <c r="R698" s="55" t="str">
        <f aca="false">IF(07_Licorerias!S23="","",07_Licorerias!S23)</f>
        <v>Todo el año</v>
      </c>
      <c r="S698" s="55" t="str">
        <f aca="false">IF(07_Licorerias!T23="","",07_Licorerias!T23)</f>
        <v>Licorería</v>
      </c>
      <c r="T698" s="56" t="str">
        <f aca="false">IF(07_Licorerias!U23="","",07_Licorerias!U23)</f>
        <v/>
      </c>
      <c r="U698" s="55" t="n">
        <v>23</v>
      </c>
      <c r="V698" s="55" t="n">
        <f aca="false">IF(AND(OR(LEN(13_Buscador!$C$5)=0,ISNUMBER(SEARCH(13_Buscador!$C$5,$C698&amp;" "&amp;$D698&amp;" "&amp;$E698&amp;" "&amp;$F698&amp;" "&amp;$S698))),OR(13_Buscador!$C$6="Todas las listas",LEN(13_Buscador!$C$6)=0,13_Buscador!$C$6=$B698)),1,0)</f>
        <v>0</v>
      </c>
      <c r="W698" s="55" t="str">
        <f aca="false">IF(V698=1,SUM($V$2:V698),"")</f>
        <v/>
      </c>
    </row>
    <row r="699" customFormat="false" ht="15" hidden="false" customHeight="true" outlineLevel="0" collapsed="false">
      <c r="A699" s="55" t="n">
        <v>698</v>
      </c>
      <c r="B699" s="55" t="s">
        <v>3333</v>
      </c>
      <c r="C699" s="55" t="str">
        <f aca="false">IF(07_Licorerias!B24="","",07_Licorerias!B24)</f>
        <v>Ron y vodka</v>
      </c>
      <c r="D699" s="56" t="str">
        <f aca="false">IF(07_Licorerias!C24="","",07_Licorerias!C24)</f>
        <v>Vodka Smirnoff 750 ml</v>
      </c>
      <c r="E699" s="56" t="str">
        <f aca="false">IF(07_Licorerias!D24="","",07_Licorerias!D24)</f>
        <v>Botella</v>
      </c>
      <c r="F699" s="56" t="str">
        <f aca="false">IF(07_Licorerias!E24="","",07_Licorerias!E24)</f>
        <v>vodka</v>
      </c>
      <c r="G699" s="55" t="str">
        <f aca="false">IF(07_Licorerias!F24="","",07_Licorerias!F24)</f>
        <v>Botella</v>
      </c>
      <c r="H699" s="55" t="str">
        <f aca="false">IF(07_Licorerias!G24="","",07_Licorerias!G24)</f>
        <v>Estándar</v>
      </c>
      <c r="I699" s="58" t="n">
        <f aca="false">IF(07_Licorerias!H24="","",07_Licorerias!H24)</f>
        <v>35</v>
      </c>
      <c r="J699" s="58" t="n">
        <f aca="false">IF(07_Licorerias!I24="","",07_Licorerias!I24)</f>
        <v>65</v>
      </c>
      <c r="K699" s="58" t="n">
        <f aca="false">IF(07_Licorerias!J24="","",07_Licorerias!J24)</f>
        <v>50</v>
      </c>
      <c r="L699" s="58" t="n">
        <f aca="false">IF(07_Licorerias!L24="","",07_Licorerias!L24)</f>
        <v>50.5</v>
      </c>
      <c r="M699" s="58" t="n">
        <f aca="false">IF(07_Licorerias!N24="","",07_Licorerias!N24)</f>
        <v>4.5</v>
      </c>
      <c r="N699" s="58" t="n">
        <f aca="false">IF(07_Licorerias!O24="","",07_Licorerias!O24)</f>
        <v>45.5</v>
      </c>
      <c r="O699" s="55" t="str">
        <f aca="false">IF(07_Licorerias!P24="","",07_Licorerias!P24)</f>
        <v>18:00-23:00</v>
      </c>
      <c r="P699" s="55" t="n">
        <f aca="false">IF(07_Licorerias!Q24="","",07_Licorerias!Q24)</f>
        <v>1</v>
      </c>
      <c r="Q699" s="55" t="str">
        <f aca="false">IF(07_Licorerias!R24="","",07_Licorerias!R24)</f>
        <v>Alto</v>
      </c>
      <c r="R699" s="55" t="str">
        <f aca="false">IF(07_Licorerias!S24="","",07_Licorerias!S24)</f>
        <v>Todo el año</v>
      </c>
      <c r="S699" s="55" t="str">
        <f aca="false">IF(07_Licorerias!T24="","",07_Licorerias!T24)</f>
        <v>Licorería</v>
      </c>
      <c r="T699" s="56" t="str">
        <f aca="false">IF(07_Licorerias!U24="","",07_Licorerias!U24)</f>
        <v/>
      </c>
      <c r="U699" s="55" t="n">
        <v>24</v>
      </c>
      <c r="V699" s="55" t="n">
        <f aca="false">IF(AND(OR(LEN(13_Buscador!$C$5)=0,ISNUMBER(SEARCH(13_Buscador!$C$5,$C699&amp;" "&amp;$D699&amp;" "&amp;$E699&amp;" "&amp;$F699&amp;" "&amp;$S699))),OR(13_Buscador!$C$6="Todas las listas",LEN(13_Buscador!$C$6)=0,13_Buscador!$C$6=$B699)),1,0)</f>
        <v>0</v>
      </c>
      <c r="W699" s="55" t="str">
        <f aca="false">IF(V699=1,SUM($V$2:V699),"")</f>
        <v/>
      </c>
    </row>
    <row r="700" customFormat="false" ht="15" hidden="false" customHeight="true" outlineLevel="0" collapsed="false">
      <c r="A700" s="55" t="n">
        <v>699</v>
      </c>
      <c r="B700" s="55" t="s">
        <v>3333</v>
      </c>
      <c r="C700" s="55" t="str">
        <f aca="false">IF(07_Licorerias!B25="","",07_Licorerias!B25)</f>
        <v>Whisky</v>
      </c>
      <c r="D700" s="56" t="str">
        <f aca="false">IF(07_Licorerias!C25="","",07_Licorerias!C25)</f>
        <v>Whisky Johnnie Walker Red 750 ml</v>
      </c>
      <c r="E700" s="56" t="str">
        <f aca="false">IF(07_Licorerias!D25="","",07_Licorerias!D25)</f>
        <v>Botella</v>
      </c>
      <c r="F700" s="56" t="str">
        <f aca="false">IF(07_Licorerias!E25="","",07_Licorerias!E25)</f>
        <v>whisky</v>
      </c>
      <c r="G700" s="55" t="str">
        <f aca="false">IF(07_Licorerias!F25="","",07_Licorerias!F25)</f>
        <v>Botella</v>
      </c>
      <c r="H700" s="55" t="str">
        <f aca="false">IF(07_Licorerias!G25="","",07_Licorerias!G25)</f>
        <v>Medio</v>
      </c>
      <c r="I700" s="58" t="n">
        <f aca="false">IF(07_Licorerias!H25="","",07_Licorerias!H25)</f>
        <v>60</v>
      </c>
      <c r="J700" s="58" t="n">
        <f aca="false">IF(07_Licorerias!I25="","",07_Licorerias!I25)</f>
        <v>110</v>
      </c>
      <c r="K700" s="58" t="n">
        <f aca="false">IF(07_Licorerias!J25="","",07_Licorerias!J25)</f>
        <v>85</v>
      </c>
      <c r="L700" s="58" t="n">
        <f aca="false">IF(07_Licorerias!L25="","",07_Licorerias!L25)</f>
        <v>85.5</v>
      </c>
      <c r="M700" s="58" t="n">
        <f aca="false">IF(07_Licorerias!N25="","",07_Licorerias!N25)</f>
        <v>9.35</v>
      </c>
      <c r="N700" s="58" t="n">
        <f aca="false">IF(07_Licorerias!O25="","",07_Licorerias!O25)</f>
        <v>75.65</v>
      </c>
      <c r="O700" s="55" t="str">
        <f aca="false">IF(07_Licorerias!P25="","",07_Licorerias!P25)</f>
        <v>18:00-23:00</v>
      </c>
      <c r="P700" s="55" t="n">
        <f aca="false">IF(07_Licorerias!Q25="","",07_Licorerias!Q25)</f>
        <v>1</v>
      </c>
      <c r="Q700" s="55" t="str">
        <f aca="false">IF(07_Licorerias!R25="","",07_Licorerias!R25)</f>
        <v>Alto</v>
      </c>
      <c r="R700" s="55" t="str">
        <f aca="false">IF(07_Licorerias!S25="","",07_Licorerias!S25)</f>
        <v>Todo el año</v>
      </c>
      <c r="S700" s="55" t="str">
        <f aca="false">IF(07_Licorerias!T25="","",07_Licorerias!T25)</f>
        <v>Licorería</v>
      </c>
      <c r="T700" s="56" t="str">
        <f aca="false">IF(07_Licorerias!U25="","",07_Licorerias!U25)</f>
        <v/>
      </c>
      <c r="U700" s="55" t="n">
        <v>25</v>
      </c>
      <c r="V700" s="55" t="n">
        <f aca="false">IF(AND(OR(LEN(13_Buscador!$C$5)=0,ISNUMBER(SEARCH(13_Buscador!$C$5,$C700&amp;" "&amp;$D700&amp;" "&amp;$E700&amp;" "&amp;$F700&amp;" "&amp;$S700))),OR(13_Buscador!$C$6="Todas las listas",LEN(13_Buscador!$C$6)=0,13_Buscador!$C$6=$B700)),1,0)</f>
        <v>0</v>
      </c>
      <c r="W700" s="55" t="str">
        <f aca="false">IF(V700=1,SUM($V$2:V700),"")</f>
        <v/>
      </c>
    </row>
    <row r="701" customFormat="false" ht="23.25" hidden="false" customHeight="true" outlineLevel="0" collapsed="false">
      <c r="A701" s="55" t="n">
        <v>700</v>
      </c>
      <c r="B701" s="55" t="s">
        <v>3333</v>
      </c>
      <c r="C701" s="55" t="str">
        <f aca="false">IF(07_Licorerias!B26="","",07_Licorerias!B26)</f>
        <v>Whisky</v>
      </c>
      <c r="D701" s="56" t="str">
        <f aca="false">IF(07_Licorerias!C26="","",07_Licorerias!C26)</f>
        <v>Whisky Johnnie Walker Black 750 ml</v>
      </c>
      <c r="E701" s="56" t="str">
        <f aca="false">IF(07_Licorerias!D26="","",07_Licorerias!D26)</f>
        <v>Botella</v>
      </c>
      <c r="F701" s="56" t="str">
        <f aca="false">IF(07_Licorerias!E26="","",07_Licorerias!E26)</f>
        <v>whisky</v>
      </c>
      <c r="G701" s="55" t="str">
        <f aca="false">IF(07_Licorerias!F26="","",07_Licorerias!F26)</f>
        <v>Botella</v>
      </c>
      <c r="H701" s="55" t="str">
        <f aca="false">IF(07_Licorerias!G26="","",07_Licorerias!G26)</f>
        <v>Premium</v>
      </c>
      <c r="I701" s="58" t="n">
        <f aca="false">IF(07_Licorerias!H26="","",07_Licorerias!H26)</f>
        <v>110</v>
      </c>
      <c r="J701" s="58" t="n">
        <f aca="false">IF(07_Licorerias!I26="","",07_Licorerias!I26)</f>
        <v>200</v>
      </c>
      <c r="K701" s="58" t="n">
        <f aca="false">IF(07_Licorerias!J26="","",07_Licorerias!J26)</f>
        <v>155</v>
      </c>
      <c r="L701" s="58" t="n">
        <f aca="false">IF(07_Licorerias!L26="","",07_Licorerias!L26)</f>
        <v>155.5</v>
      </c>
      <c r="M701" s="58" t="n">
        <f aca="false">IF(07_Licorerias!N26="","",07_Licorerias!N26)</f>
        <v>20.15</v>
      </c>
      <c r="N701" s="58" t="n">
        <f aca="false">IF(07_Licorerias!O26="","",07_Licorerias!O26)</f>
        <v>134.85</v>
      </c>
      <c r="O701" s="55" t="str">
        <f aca="false">IF(07_Licorerias!P26="","",07_Licorerias!P26)</f>
        <v>18:00-23:00</v>
      </c>
      <c r="P701" s="55" t="n">
        <f aca="false">IF(07_Licorerias!Q26="","",07_Licorerias!Q26)</f>
        <v>1</v>
      </c>
      <c r="Q701" s="55" t="str">
        <f aca="false">IF(07_Licorerias!R26="","",07_Licorerias!R26)</f>
        <v>Alto</v>
      </c>
      <c r="R701" s="55" t="str">
        <f aca="false">IF(07_Licorerias!S26="","",07_Licorerias!S26)</f>
        <v>Fin de semana</v>
      </c>
      <c r="S701" s="55" t="str">
        <f aca="false">IF(07_Licorerias!T26="","",07_Licorerias!T26)</f>
        <v>Licorería</v>
      </c>
      <c r="T701" s="56" t="str">
        <f aca="false">IF(07_Licorerias!U26="","",07_Licorerias!U26)</f>
        <v>Ticket alto</v>
      </c>
      <c r="U701" s="55" t="n">
        <v>26</v>
      </c>
      <c r="V701" s="55" t="n">
        <f aca="false">IF(AND(OR(LEN(13_Buscador!$C$5)=0,ISNUMBER(SEARCH(13_Buscador!$C$5,$C701&amp;" "&amp;$D701&amp;" "&amp;$E701&amp;" "&amp;$F701&amp;" "&amp;$S701))),OR(13_Buscador!$C$6="Todas las listas",LEN(13_Buscador!$C$6)=0,13_Buscador!$C$6=$B701)),1,0)</f>
        <v>0</v>
      </c>
      <c r="W701" s="55" t="str">
        <f aca="false">IF(V701=1,SUM($V$2:V701),"")</f>
        <v/>
      </c>
    </row>
    <row r="702" customFormat="false" ht="15" hidden="false" customHeight="true" outlineLevel="0" collapsed="false">
      <c r="A702" s="55" t="n">
        <v>701</v>
      </c>
      <c r="B702" s="55" t="s">
        <v>3333</v>
      </c>
      <c r="C702" s="55" t="str">
        <f aca="false">IF(07_Licorerias!B27="","",07_Licorerias!B27)</f>
        <v>Whisky</v>
      </c>
      <c r="D702" s="56" t="str">
        <f aca="false">IF(07_Licorerias!C27="","",07_Licorerias!C27)</f>
        <v>Whisky Something Special 750 ml</v>
      </c>
      <c r="E702" s="56" t="str">
        <f aca="false">IF(07_Licorerias!D27="","",07_Licorerias!D27)</f>
        <v>Botella</v>
      </c>
      <c r="F702" s="56" t="str">
        <f aca="false">IF(07_Licorerias!E27="","",07_Licorerias!E27)</f>
        <v>whisky</v>
      </c>
      <c r="G702" s="55" t="str">
        <f aca="false">IF(07_Licorerias!F27="","",07_Licorerias!F27)</f>
        <v>Botella</v>
      </c>
      <c r="H702" s="55" t="str">
        <f aca="false">IF(07_Licorerias!G27="","",07_Licorerias!G27)</f>
        <v>Medio</v>
      </c>
      <c r="I702" s="58" t="n">
        <f aca="false">IF(07_Licorerias!H27="","",07_Licorerias!H27)</f>
        <v>55</v>
      </c>
      <c r="J702" s="58" t="n">
        <f aca="false">IF(07_Licorerias!I27="","",07_Licorerias!I27)</f>
        <v>100</v>
      </c>
      <c r="K702" s="58" t="n">
        <f aca="false">IF(07_Licorerias!J27="","",07_Licorerias!J27)</f>
        <v>77.5</v>
      </c>
      <c r="L702" s="58" t="n">
        <f aca="false">IF(07_Licorerias!L27="","",07_Licorerias!L27)</f>
        <v>78</v>
      </c>
      <c r="M702" s="58" t="n">
        <f aca="false">IF(07_Licorerias!N27="","",07_Licorerias!N27)</f>
        <v>8.53</v>
      </c>
      <c r="N702" s="58" t="n">
        <f aca="false">IF(07_Licorerias!O27="","",07_Licorerias!O27)</f>
        <v>68.97</v>
      </c>
      <c r="O702" s="55" t="str">
        <f aca="false">IF(07_Licorerias!P27="","",07_Licorerias!P27)</f>
        <v>18:00-23:00</v>
      </c>
      <c r="P702" s="55" t="n">
        <f aca="false">IF(07_Licorerias!Q27="","",07_Licorerias!Q27)</f>
        <v>1</v>
      </c>
      <c r="Q702" s="55" t="str">
        <f aca="false">IF(07_Licorerias!R27="","",07_Licorerias!R27)</f>
        <v>Alto</v>
      </c>
      <c r="R702" s="55" t="str">
        <f aca="false">IF(07_Licorerias!S27="","",07_Licorerias!S27)</f>
        <v>Todo el año</v>
      </c>
      <c r="S702" s="55" t="str">
        <f aca="false">IF(07_Licorerias!T27="","",07_Licorerias!T27)</f>
        <v>Licorería</v>
      </c>
      <c r="T702" s="56" t="str">
        <f aca="false">IF(07_Licorerias!U27="","",07_Licorerias!U27)</f>
        <v/>
      </c>
      <c r="U702" s="55" t="n">
        <v>27</v>
      </c>
      <c r="V702" s="55" t="n">
        <f aca="false">IF(AND(OR(LEN(13_Buscador!$C$5)=0,ISNUMBER(SEARCH(13_Buscador!$C$5,$C702&amp;" "&amp;$D702&amp;" "&amp;$E702&amp;" "&amp;$F702&amp;" "&amp;$S702))),OR(13_Buscador!$C$6="Todas las listas",LEN(13_Buscador!$C$6)=0,13_Buscador!$C$6=$B702)),1,0)</f>
        <v>0</v>
      </c>
      <c r="W702" s="55" t="str">
        <f aca="false">IF(V702=1,SUM($V$2:V702),"")</f>
        <v/>
      </c>
    </row>
    <row r="703" customFormat="false" ht="15" hidden="false" customHeight="true" outlineLevel="0" collapsed="false">
      <c r="A703" s="55" t="n">
        <v>702</v>
      </c>
      <c r="B703" s="55" t="s">
        <v>3333</v>
      </c>
      <c r="C703" s="55" t="str">
        <f aca="false">IF(07_Licorerias!B28="","",07_Licorerias!B28)</f>
        <v>Whisky</v>
      </c>
      <c r="D703" s="56" t="str">
        <f aca="false">IF(07_Licorerias!C28="","",07_Licorerias!C28)</f>
        <v>Whisky nacional / económico</v>
      </c>
      <c r="E703" s="56" t="str">
        <f aca="false">IF(07_Licorerias!D28="","",07_Licorerias!D28)</f>
        <v>Botella</v>
      </c>
      <c r="F703" s="56" t="str">
        <f aca="false">IF(07_Licorerias!E28="","",07_Licorerias!E28)</f>
        <v>whisky</v>
      </c>
      <c r="G703" s="55" t="str">
        <f aca="false">IF(07_Licorerias!F28="","",07_Licorerias!F28)</f>
        <v>Botella</v>
      </c>
      <c r="H703" s="55" t="str">
        <f aca="false">IF(07_Licorerias!G28="","",07_Licorerias!G28)</f>
        <v>Estándar</v>
      </c>
      <c r="I703" s="58" t="n">
        <f aca="false">IF(07_Licorerias!H28="","",07_Licorerias!H28)</f>
        <v>25</v>
      </c>
      <c r="J703" s="58" t="n">
        <f aca="false">IF(07_Licorerias!I28="","",07_Licorerias!I28)</f>
        <v>50</v>
      </c>
      <c r="K703" s="58" t="n">
        <f aca="false">IF(07_Licorerias!J28="","",07_Licorerias!J28)</f>
        <v>37.5</v>
      </c>
      <c r="L703" s="58" t="n">
        <f aca="false">IF(07_Licorerias!L28="","",07_Licorerias!L28)</f>
        <v>38</v>
      </c>
      <c r="M703" s="58" t="n">
        <f aca="false">IF(07_Licorerias!N28="","",07_Licorerias!N28)</f>
        <v>3.38</v>
      </c>
      <c r="N703" s="58" t="n">
        <f aca="false">IF(07_Licorerias!O28="","",07_Licorerias!O28)</f>
        <v>34.12</v>
      </c>
      <c r="O703" s="55" t="str">
        <f aca="false">IF(07_Licorerias!P28="","",07_Licorerias!P28)</f>
        <v>18:00-23:00</v>
      </c>
      <c r="P703" s="55" t="n">
        <f aca="false">IF(07_Licorerias!Q28="","",07_Licorerias!Q28)</f>
        <v>1</v>
      </c>
      <c r="Q703" s="55" t="str">
        <f aca="false">IF(07_Licorerias!R28="","",07_Licorerias!R28)</f>
        <v>Alto</v>
      </c>
      <c r="R703" s="55" t="str">
        <f aca="false">IF(07_Licorerias!S28="","",07_Licorerias!S28)</f>
        <v>Todo el año</v>
      </c>
      <c r="S703" s="55" t="str">
        <f aca="false">IF(07_Licorerias!T28="","",07_Licorerias!T28)</f>
        <v>Licorería</v>
      </c>
      <c r="T703" s="56" t="str">
        <f aca="false">IF(07_Licorerias!U28="","",07_Licorerias!U28)</f>
        <v/>
      </c>
      <c r="U703" s="55" t="n">
        <v>28</v>
      </c>
      <c r="V703" s="55" t="n">
        <f aca="false">IF(AND(OR(LEN(13_Buscador!$C$5)=0,ISNUMBER(SEARCH(13_Buscador!$C$5,$C703&amp;" "&amp;$D703&amp;" "&amp;$E703&amp;" "&amp;$F703&amp;" "&amp;$S703))),OR(13_Buscador!$C$6="Todas las listas",LEN(13_Buscador!$C$6)=0,13_Buscador!$C$6=$B703)),1,0)</f>
        <v>0</v>
      </c>
      <c r="W703" s="55" t="str">
        <f aca="false">IF(V703=1,SUM($V$2:V703),"")</f>
        <v/>
      </c>
    </row>
    <row r="704" customFormat="false" ht="15" hidden="false" customHeight="true" outlineLevel="0" collapsed="false">
      <c r="A704" s="55" t="n">
        <v>703</v>
      </c>
      <c r="B704" s="55" t="s">
        <v>3333</v>
      </c>
      <c r="C704" s="55" t="str">
        <f aca="false">IF(07_Licorerias!B29="","",07_Licorerias!B29)</f>
        <v>Vinos</v>
      </c>
      <c r="D704" s="56" t="str">
        <f aca="false">IF(07_Licorerias!C29="","",07_Licorerias!C29)</f>
        <v>Vino Tabernero 750 ml</v>
      </c>
      <c r="E704" s="56" t="str">
        <f aca="false">IF(07_Licorerias!D29="","",07_Licorerias!D29)</f>
        <v>Tinto o borgoña</v>
      </c>
      <c r="F704" s="56" t="str">
        <f aca="false">IF(07_Licorerias!E29="","",07_Licorerias!E29)</f>
        <v>vino de uva</v>
      </c>
      <c r="G704" s="55" t="str">
        <f aca="false">IF(07_Licorerias!F29="","",07_Licorerias!F29)</f>
        <v>Botella</v>
      </c>
      <c r="H704" s="55" t="str">
        <f aca="false">IF(07_Licorerias!G29="","",07_Licorerias!G29)</f>
        <v>Económico</v>
      </c>
      <c r="I704" s="58" t="n">
        <f aca="false">IF(07_Licorerias!H29="","",07_Licorerias!H29)</f>
        <v>15</v>
      </c>
      <c r="J704" s="58" t="n">
        <f aca="false">IF(07_Licorerias!I29="","",07_Licorerias!I29)</f>
        <v>30</v>
      </c>
      <c r="K704" s="58" t="n">
        <f aca="false">IF(07_Licorerias!J29="","",07_Licorerias!J29)</f>
        <v>22.5</v>
      </c>
      <c r="L704" s="58" t="n">
        <f aca="false">IF(07_Licorerias!L29="","",07_Licorerias!L29)</f>
        <v>23</v>
      </c>
      <c r="M704" s="58" t="n">
        <f aca="false">IF(07_Licorerias!N29="","",07_Licorerias!N29)</f>
        <v>1.58</v>
      </c>
      <c r="N704" s="58" t="n">
        <f aca="false">IF(07_Licorerias!O29="","",07_Licorerias!O29)</f>
        <v>20.92</v>
      </c>
      <c r="O704" s="55" t="str">
        <f aca="false">IF(07_Licorerias!P29="","",07_Licorerias!P29)</f>
        <v>18:00-23:00</v>
      </c>
      <c r="P704" s="55" t="n">
        <f aca="false">IF(07_Licorerias!Q29="","",07_Licorerias!Q29)</f>
        <v>1</v>
      </c>
      <c r="Q704" s="55" t="str">
        <f aca="false">IF(07_Licorerias!R29="","",07_Licorerias!R29)</f>
        <v>Alto</v>
      </c>
      <c r="R704" s="55" t="str">
        <f aca="false">IF(07_Licorerias!S29="","",07_Licorerias!S29)</f>
        <v>Todo el año</v>
      </c>
      <c r="S704" s="55" t="str">
        <f aca="false">IF(07_Licorerias!T29="","",07_Licorerias!T29)</f>
        <v>Licorería, bodega</v>
      </c>
      <c r="T704" s="56" t="str">
        <f aca="false">IF(07_Licorerias!U29="","",07_Licorerias!U29)</f>
        <v/>
      </c>
      <c r="U704" s="55" t="n">
        <v>29</v>
      </c>
      <c r="V704" s="55" t="n">
        <f aca="false">IF(AND(OR(LEN(13_Buscador!$C$5)=0,ISNUMBER(SEARCH(13_Buscador!$C$5,$C704&amp;" "&amp;$D704&amp;" "&amp;$E704&amp;" "&amp;$F704&amp;" "&amp;$S704))),OR(13_Buscador!$C$6="Todas las listas",LEN(13_Buscador!$C$6)=0,13_Buscador!$C$6=$B704)),1,0)</f>
        <v>0</v>
      </c>
      <c r="W704" s="55" t="str">
        <f aca="false">IF(V704=1,SUM($V$2:V704),"")</f>
        <v/>
      </c>
    </row>
    <row r="705" customFormat="false" ht="15" hidden="false" customHeight="true" outlineLevel="0" collapsed="false">
      <c r="A705" s="55" t="n">
        <v>704</v>
      </c>
      <c r="B705" s="55" t="s">
        <v>3333</v>
      </c>
      <c r="C705" s="55" t="str">
        <f aca="false">IF(07_Licorerias!B30="","",07_Licorerias!B30)</f>
        <v>Vinos</v>
      </c>
      <c r="D705" s="56" t="str">
        <f aca="false">IF(07_Licorerias!C30="","",07_Licorerias!C30)</f>
        <v>Vino Santiago Queirolo 750 ml</v>
      </c>
      <c r="E705" s="56" t="str">
        <f aca="false">IF(07_Licorerias!D30="","",07_Licorerias!D30)</f>
        <v>Tinto o borgoña</v>
      </c>
      <c r="F705" s="56" t="str">
        <f aca="false">IF(07_Licorerias!E30="","",07_Licorerias!E30)</f>
        <v>vino de uva</v>
      </c>
      <c r="G705" s="55" t="str">
        <f aca="false">IF(07_Licorerias!F30="","",07_Licorerias!F30)</f>
        <v>Botella</v>
      </c>
      <c r="H705" s="55" t="str">
        <f aca="false">IF(07_Licorerias!G30="","",07_Licorerias!G30)</f>
        <v>Económico</v>
      </c>
      <c r="I705" s="58" t="n">
        <f aca="false">IF(07_Licorerias!H30="","",07_Licorerias!H30)</f>
        <v>15</v>
      </c>
      <c r="J705" s="58" t="n">
        <f aca="false">IF(07_Licorerias!I30="","",07_Licorerias!I30)</f>
        <v>30</v>
      </c>
      <c r="K705" s="58" t="n">
        <f aca="false">IF(07_Licorerias!J30="","",07_Licorerias!J30)</f>
        <v>22.5</v>
      </c>
      <c r="L705" s="58" t="n">
        <f aca="false">IF(07_Licorerias!L30="","",07_Licorerias!L30)</f>
        <v>23</v>
      </c>
      <c r="M705" s="58" t="n">
        <f aca="false">IF(07_Licorerias!N30="","",07_Licorerias!N30)</f>
        <v>1.58</v>
      </c>
      <c r="N705" s="58" t="n">
        <f aca="false">IF(07_Licorerias!O30="","",07_Licorerias!O30)</f>
        <v>20.92</v>
      </c>
      <c r="O705" s="55" t="str">
        <f aca="false">IF(07_Licorerias!P30="","",07_Licorerias!P30)</f>
        <v>18:00-23:00</v>
      </c>
      <c r="P705" s="55" t="n">
        <f aca="false">IF(07_Licorerias!Q30="","",07_Licorerias!Q30)</f>
        <v>1</v>
      </c>
      <c r="Q705" s="55" t="str">
        <f aca="false">IF(07_Licorerias!R30="","",07_Licorerias!R30)</f>
        <v>Alto</v>
      </c>
      <c r="R705" s="55" t="str">
        <f aca="false">IF(07_Licorerias!S30="","",07_Licorerias!S30)</f>
        <v>Todo el año</v>
      </c>
      <c r="S705" s="55" t="str">
        <f aca="false">IF(07_Licorerias!T30="","",07_Licorerias!T30)</f>
        <v>Licorería, bodega</v>
      </c>
      <c r="T705" s="56" t="str">
        <f aca="false">IF(07_Licorerias!U30="","",07_Licorerias!U30)</f>
        <v/>
      </c>
      <c r="U705" s="55" t="n">
        <v>30</v>
      </c>
      <c r="V705" s="55" t="n">
        <f aca="false">IF(AND(OR(LEN(13_Buscador!$C$5)=0,ISNUMBER(SEARCH(13_Buscador!$C$5,$C705&amp;" "&amp;$D705&amp;" "&amp;$E705&amp;" "&amp;$F705&amp;" "&amp;$S705))),OR(13_Buscador!$C$6="Todas las listas",LEN(13_Buscador!$C$6)=0,13_Buscador!$C$6=$B705)),1,0)</f>
        <v>0</v>
      </c>
      <c r="W705" s="55" t="str">
        <f aca="false">IF(V705=1,SUM($V$2:V705),"")</f>
        <v/>
      </c>
    </row>
    <row r="706" customFormat="false" ht="15" hidden="false" customHeight="true" outlineLevel="0" collapsed="false">
      <c r="A706" s="55" t="n">
        <v>705</v>
      </c>
      <c r="B706" s="55" t="s">
        <v>3333</v>
      </c>
      <c r="C706" s="55" t="str">
        <f aca="false">IF(07_Licorerias!B31="","",07_Licorerias!B31)</f>
        <v>Vinos</v>
      </c>
      <c r="D706" s="56" t="str">
        <f aca="false">IF(07_Licorerias!C31="","",07_Licorerias!C31)</f>
        <v>Vino Gato Negro / importado 750 ml</v>
      </c>
      <c r="E706" s="56" t="str">
        <f aca="false">IF(07_Licorerias!D31="","",07_Licorerias!D31)</f>
        <v>Tinto chileno o argentino</v>
      </c>
      <c r="F706" s="56" t="str">
        <f aca="false">IF(07_Licorerias!E31="","",07_Licorerias!E31)</f>
        <v>vino de uva</v>
      </c>
      <c r="G706" s="55" t="str">
        <f aca="false">IF(07_Licorerias!F31="","",07_Licorerias!F31)</f>
        <v>Botella</v>
      </c>
      <c r="H706" s="55" t="str">
        <f aca="false">IF(07_Licorerias!G31="","",07_Licorerias!G31)</f>
        <v>Estándar</v>
      </c>
      <c r="I706" s="58" t="n">
        <f aca="false">IF(07_Licorerias!H31="","",07_Licorerias!H31)</f>
        <v>25</v>
      </c>
      <c r="J706" s="58" t="n">
        <f aca="false">IF(07_Licorerias!I31="","",07_Licorerias!I31)</f>
        <v>55</v>
      </c>
      <c r="K706" s="58" t="n">
        <f aca="false">IF(07_Licorerias!J31="","",07_Licorerias!J31)</f>
        <v>40</v>
      </c>
      <c r="L706" s="58" t="n">
        <f aca="false">IF(07_Licorerias!L31="","",07_Licorerias!L31)</f>
        <v>40.5</v>
      </c>
      <c r="M706" s="58" t="n">
        <f aca="false">IF(07_Licorerias!N31="","",07_Licorerias!N31)</f>
        <v>3.6</v>
      </c>
      <c r="N706" s="58" t="n">
        <f aca="false">IF(07_Licorerias!O31="","",07_Licorerias!O31)</f>
        <v>36.4</v>
      </c>
      <c r="O706" s="55" t="str">
        <f aca="false">IF(07_Licorerias!P31="","",07_Licorerias!P31)</f>
        <v>18:00-23:00</v>
      </c>
      <c r="P706" s="55" t="n">
        <f aca="false">IF(07_Licorerias!Q31="","",07_Licorerias!Q31)</f>
        <v>1</v>
      </c>
      <c r="Q706" s="55" t="str">
        <f aca="false">IF(07_Licorerias!R31="","",07_Licorerias!R31)</f>
        <v>Alto</v>
      </c>
      <c r="R706" s="55" t="str">
        <f aca="false">IF(07_Licorerias!S31="","",07_Licorerias!S31)</f>
        <v>Todo el año</v>
      </c>
      <c r="S706" s="55" t="str">
        <f aca="false">IF(07_Licorerias!T31="","",07_Licorerias!T31)</f>
        <v>Licorería</v>
      </c>
      <c r="T706" s="56" t="str">
        <f aca="false">IF(07_Licorerias!U31="","",07_Licorerias!U31)</f>
        <v/>
      </c>
      <c r="U706" s="55" t="n">
        <v>31</v>
      </c>
      <c r="V706" s="55" t="n">
        <f aca="false">IF(AND(OR(LEN(13_Buscador!$C$5)=0,ISNUMBER(SEARCH(13_Buscador!$C$5,$C706&amp;" "&amp;$D706&amp;" "&amp;$E706&amp;" "&amp;$F706&amp;" "&amp;$S706))),OR(13_Buscador!$C$6="Todas las listas",LEN(13_Buscador!$C$6)=0,13_Buscador!$C$6=$B706)),1,0)</f>
        <v>0</v>
      </c>
      <c r="W706" s="55" t="str">
        <f aca="false">IF(V706=1,SUM($V$2:V706),"")</f>
        <v/>
      </c>
    </row>
    <row r="707" customFormat="false" ht="15" hidden="false" customHeight="true" outlineLevel="0" collapsed="false">
      <c r="A707" s="55" t="n">
        <v>706</v>
      </c>
      <c r="B707" s="55" t="s">
        <v>3333</v>
      </c>
      <c r="C707" s="55" t="str">
        <f aca="false">IF(07_Licorerias!B32="","",07_Licorerias!B32)</f>
        <v>Vinos</v>
      </c>
      <c r="D707" s="56" t="str">
        <f aca="false">IF(07_Licorerias!C32="","",07_Licorerias!C32)</f>
        <v>Vino espumante / champagne</v>
      </c>
      <c r="E707" s="56" t="str">
        <f aca="false">IF(07_Licorerias!D32="","",07_Licorerias!D32)</f>
        <v>Botella</v>
      </c>
      <c r="F707" s="56" t="str">
        <f aca="false">IF(07_Licorerias!E32="","",07_Licorerias!E32)</f>
        <v>vino de uva</v>
      </c>
      <c r="G707" s="55" t="str">
        <f aca="false">IF(07_Licorerias!F32="","",07_Licorerias!F32)</f>
        <v>Botella</v>
      </c>
      <c r="H707" s="55" t="str">
        <f aca="false">IF(07_Licorerias!G32="","",07_Licorerias!G32)</f>
        <v>Medio</v>
      </c>
      <c r="I707" s="58" t="n">
        <f aca="false">IF(07_Licorerias!H32="","",07_Licorerias!H32)</f>
        <v>30</v>
      </c>
      <c r="J707" s="58" t="n">
        <f aca="false">IF(07_Licorerias!I32="","",07_Licorerias!I32)</f>
        <v>90</v>
      </c>
      <c r="K707" s="58" t="n">
        <f aca="false">IF(07_Licorerias!J32="","",07_Licorerias!J32)</f>
        <v>60</v>
      </c>
      <c r="L707" s="58" t="n">
        <f aca="false">IF(07_Licorerias!L32="","",07_Licorerias!L32)</f>
        <v>60.5</v>
      </c>
      <c r="M707" s="58" t="n">
        <f aca="false">IF(07_Licorerias!N32="","",07_Licorerias!N32)</f>
        <v>6.6</v>
      </c>
      <c r="N707" s="58" t="n">
        <f aca="false">IF(07_Licorerias!O32="","",07_Licorerias!O32)</f>
        <v>53.4</v>
      </c>
      <c r="O707" s="55" t="str">
        <f aca="false">IF(07_Licorerias!P32="","",07_Licorerias!P32)</f>
        <v>18:00-23:00</v>
      </c>
      <c r="P707" s="55" t="n">
        <f aca="false">IF(07_Licorerias!Q32="","",07_Licorerias!Q32)</f>
        <v>1</v>
      </c>
      <c r="Q707" s="55" t="str">
        <f aca="false">IF(07_Licorerias!R32="","",07_Licorerias!R32)</f>
        <v>Alto</v>
      </c>
      <c r="R707" s="55" t="str">
        <f aca="false">IF(07_Licorerias!S32="","",07_Licorerias!S32)</f>
        <v>Fiestas y fin de año</v>
      </c>
      <c r="S707" s="55" t="str">
        <f aca="false">IF(07_Licorerias!T32="","",07_Licorerias!T32)</f>
        <v>Licorería</v>
      </c>
      <c r="T707" s="56" t="str">
        <f aca="false">IF(07_Licorerias!U32="","",07_Licorerias!U32)</f>
        <v>Pico en diciembre</v>
      </c>
      <c r="U707" s="55" t="n">
        <v>32</v>
      </c>
      <c r="V707" s="55" t="n">
        <f aca="false">IF(AND(OR(LEN(13_Buscador!$C$5)=0,ISNUMBER(SEARCH(13_Buscador!$C$5,$C707&amp;" "&amp;$D707&amp;" "&amp;$E707&amp;" "&amp;$F707&amp;" "&amp;$S707))),OR(13_Buscador!$C$6="Todas las listas",LEN(13_Buscador!$C$6)=0,13_Buscador!$C$6=$B707)),1,0)</f>
        <v>0</v>
      </c>
      <c r="W707" s="55" t="str">
        <f aca="false">IF(V707=1,SUM($V$2:V707),"")</f>
        <v/>
      </c>
    </row>
    <row r="708" customFormat="false" ht="15" hidden="false" customHeight="true" outlineLevel="0" collapsed="false">
      <c r="A708" s="55" t="n">
        <v>707</v>
      </c>
      <c r="B708" s="55" t="s">
        <v>3333</v>
      </c>
      <c r="C708" s="55" t="str">
        <f aca="false">IF(07_Licorerias!B33="","",07_Licorerias!B33)</f>
        <v>Vinos</v>
      </c>
      <c r="D708" s="56" t="str">
        <f aca="false">IF(07_Licorerias!C33="","",07_Licorerias!C33)</f>
        <v>Vino de fruta artesanal</v>
      </c>
      <c r="E708" s="56" t="str">
        <f aca="false">IF(07_Licorerias!D33="","",07_Licorerias!D33)</f>
        <v>Producción local</v>
      </c>
      <c r="F708" s="56" t="str">
        <f aca="false">IF(07_Licorerias!E33="","",07_Licorerias!E33)</f>
        <v>vino de uva</v>
      </c>
      <c r="G708" s="55" t="str">
        <f aca="false">IF(07_Licorerias!F33="","",07_Licorerias!F33)</f>
        <v>Botella</v>
      </c>
      <c r="H708" s="55" t="str">
        <f aca="false">IF(07_Licorerias!G33="","",07_Licorerias!G33)</f>
        <v>Económico</v>
      </c>
      <c r="I708" s="58" t="n">
        <f aca="false">IF(07_Licorerias!H33="","",07_Licorerias!H33)</f>
        <v>12</v>
      </c>
      <c r="J708" s="58" t="n">
        <f aca="false">IF(07_Licorerias!I33="","",07_Licorerias!I33)</f>
        <v>30</v>
      </c>
      <c r="K708" s="58" t="n">
        <f aca="false">IF(07_Licorerias!J33="","",07_Licorerias!J33)</f>
        <v>21</v>
      </c>
      <c r="L708" s="58" t="n">
        <f aca="false">IF(07_Licorerias!L33="","",07_Licorerias!L33)</f>
        <v>21.5</v>
      </c>
      <c r="M708" s="58" t="n">
        <f aca="false">IF(07_Licorerias!N33="","",07_Licorerias!N33)</f>
        <v>1.47</v>
      </c>
      <c r="N708" s="58" t="n">
        <f aca="false">IF(07_Licorerias!O33="","",07_Licorerias!O33)</f>
        <v>19.53</v>
      </c>
      <c r="O708" s="55" t="str">
        <f aca="false">IF(07_Licorerias!P33="","",07_Licorerias!P33)</f>
        <v>18:00-23:00</v>
      </c>
      <c r="P708" s="55" t="n">
        <f aca="false">IF(07_Licorerias!Q33="","",07_Licorerias!Q33)</f>
        <v>1</v>
      </c>
      <c r="Q708" s="55" t="str">
        <f aca="false">IF(07_Licorerias!R33="","",07_Licorerias!R33)</f>
        <v>Alto</v>
      </c>
      <c r="R708" s="55" t="str">
        <f aca="false">IF(07_Licorerias!S33="","",07_Licorerias!S33)</f>
        <v>Todo el año</v>
      </c>
      <c r="S708" s="55" t="str">
        <f aca="false">IF(07_Licorerias!T33="","",07_Licorerias!T33)</f>
        <v>Licorería, feria</v>
      </c>
      <c r="T708" s="56" t="str">
        <f aca="false">IF(07_Licorerias!U33="","",07_Licorerias!U33)</f>
        <v/>
      </c>
      <c r="U708" s="55" t="n">
        <v>33</v>
      </c>
      <c r="V708" s="55" t="n">
        <f aca="false">IF(AND(OR(LEN(13_Buscador!$C$5)=0,ISNUMBER(SEARCH(13_Buscador!$C$5,$C708&amp;" "&amp;$D708&amp;" "&amp;$E708&amp;" "&amp;$F708&amp;" "&amp;$S708))),OR(13_Buscador!$C$6="Todas las listas",LEN(13_Buscador!$C$6)=0,13_Buscador!$C$6=$B708)),1,0)</f>
        <v>0</v>
      </c>
      <c r="W708" s="55" t="str">
        <f aca="false">IF(V708=1,SUM($V$2:V708),"")</f>
        <v/>
      </c>
    </row>
    <row r="709" customFormat="false" ht="15" hidden="false" customHeight="true" outlineLevel="0" collapsed="false">
      <c r="A709" s="55" t="n">
        <v>708</v>
      </c>
      <c r="B709" s="55" t="s">
        <v>3333</v>
      </c>
      <c r="C709" s="55" t="str">
        <f aca="false">IF(07_Licorerias!B34="","",07_Licorerias!B34)</f>
        <v>Licores y cremas</v>
      </c>
      <c r="D709" s="56" t="str">
        <f aca="false">IF(07_Licorerias!C34="","",07_Licorerias!C34)</f>
        <v>Crema de whisky Baileys 750 ml</v>
      </c>
      <c r="E709" s="56" t="str">
        <f aca="false">IF(07_Licorerias!D34="","",07_Licorerias!D34)</f>
        <v>Botella</v>
      </c>
      <c r="F709" s="56" t="str">
        <f aca="false">IF(07_Licorerias!E34="","",07_Licorerias!E34)</f>
        <v>whisky</v>
      </c>
      <c r="G709" s="55" t="str">
        <f aca="false">IF(07_Licorerias!F34="","",07_Licorerias!F34)</f>
        <v>Botella</v>
      </c>
      <c r="H709" s="55" t="str">
        <f aca="false">IF(07_Licorerias!G34="","",07_Licorerias!G34)</f>
        <v>Medio</v>
      </c>
      <c r="I709" s="58" t="n">
        <f aca="false">IF(07_Licorerias!H34="","",07_Licorerias!H34)</f>
        <v>50</v>
      </c>
      <c r="J709" s="58" t="n">
        <f aca="false">IF(07_Licorerias!I34="","",07_Licorerias!I34)</f>
        <v>100</v>
      </c>
      <c r="K709" s="58" t="n">
        <f aca="false">IF(07_Licorerias!J34="","",07_Licorerias!J34)</f>
        <v>75</v>
      </c>
      <c r="L709" s="58" t="n">
        <f aca="false">IF(07_Licorerias!L34="","",07_Licorerias!L34)</f>
        <v>75.5</v>
      </c>
      <c r="M709" s="58" t="n">
        <f aca="false">IF(07_Licorerias!N34="","",07_Licorerias!N34)</f>
        <v>8.25</v>
      </c>
      <c r="N709" s="58" t="n">
        <f aca="false">IF(07_Licorerias!O34="","",07_Licorerias!O34)</f>
        <v>66.75</v>
      </c>
      <c r="O709" s="55" t="str">
        <f aca="false">IF(07_Licorerias!P34="","",07_Licorerias!P34)</f>
        <v>18:00-23:00</v>
      </c>
      <c r="P709" s="55" t="n">
        <f aca="false">IF(07_Licorerias!Q34="","",07_Licorerias!Q34)</f>
        <v>1</v>
      </c>
      <c r="Q709" s="55" t="str">
        <f aca="false">IF(07_Licorerias!R34="","",07_Licorerias!R34)</f>
        <v>Alto</v>
      </c>
      <c r="R709" s="55" t="str">
        <f aca="false">IF(07_Licorerias!S34="","",07_Licorerias!S34)</f>
        <v>Todo el año</v>
      </c>
      <c r="S709" s="55" t="str">
        <f aca="false">IF(07_Licorerias!T34="","",07_Licorerias!T34)</f>
        <v>Licorería</v>
      </c>
      <c r="T709" s="56" t="str">
        <f aca="false">IF(07_Licorerias!U34="","",07_Licorerias!U34)</f>
        <v/>
      </c>
      <c r="U709" s="55" t="n">
        <v>34</v>
      </c>
      <c r="V709" s="55" t="n">
        <f aca="false">IF(AND(OR(LEN(13_Buscador!$C$5)=0,ISNUMBER(SEARCH(13_Buscador!$C$5,$C709&amp;" "&amp;$D709&amp;" "&amp;$E709&amp;" "&amp;$F709&amp;" "&amp;$S709))),OR(13_Buscador!$C$6="Todas las listas",LEN(13_Buscador!$C$6)=0,13_Buscador!$C$6=$B709)),1,0)</f>
        <v>0</v>
      </c>
      <c r="W709" s="55" t="str">
        <f aca="false">IF(V709=1,SUM($V$2:V709),"")</f>
        <v/>
      </c>
    </row>
    <row r="710" customFormat="false" ht="15" hidden="false" customHeight="true" outlineLevel="0" collapsed="false">
      <c r="A710" s="55" t="n">
        <v>709</v>
      </c>
      <c r="B710" s="55" t="s">
        <v>3333</v>
      </c>
      <c r="C710" s="55" t="str">
        <f aca="false">IF(07_Licorerias!B35="","",07_Licorerias!B35)</f>
        <v>Licores y cremas</v>
      </c>
      <c r="D710" s="56" t="str">
        <f aca="false">IF(07_Licorerias!C35="","",07_Licorerias!C35)</f>
        <v>Licor de café</v>
      </c>
      <c r="E710" s="56" t="str">
        <f aca="false">IF(07_Licorerias!D35="","",07_Licorerias!D35)</f>
        <v>Botella</v>
      </c>
      <c r="F710" s="56" t="str">
        <f aca="false">IF(07_Licorerias!E35="","",07_Licorerias!E35)</f>
        <v>café molido, agua caliente</v>
      </c>
      <c r="G710" s="55" t="str">
        <f aca="false">IF(07_Licorerias!F35="","",07_Licorerias!F35)</f>
        <v>Botella</v>
      </c>
      <c r="H710" s="55" t="str">
        <f aca="false">IF(07_Licorerias!G35="","",07_Licorerias!G35)</f>
        <v>Estándar</v>
      </c>
      <c r="I710" s="58" t="n">
        <f aca="false">IF(07_Licorerias!H35="","",07_Licorerias!H35)</f>
        <v>25</v>
      </c>
      <c r="J710" s="58" t="n">
        <f aca="false">IF(07_Licorerias!I35="","",07_Licorerias!I35)</f>
        <v>55</v>
      </c>
      <c r="K710" s="58" t="n">
        <f aca="false">IF(07_Licorerias!J35="","",07_Licorerias!J35)</f>
        <v>40</v>
      </c>
      <c r="L710" s="58" t="n">
        <f aca="false">IF(07_Licorerias!L35="","",07_Licorerias!L35)</f>
        <v>40.5</v>
      </c>
      <c r="M710" s="58" t="n">
        <f aca="false">IF(07_Licorerias!N35="","",07_Licorerias!N35)</f>
        <v>3.6</v>
      </c>
      <c r="N710" s="58" t="n">
        <f aca="false">IF(07_Licorerias!O35="","",07_Licorerias!O35)</f>
        <v>36.4</v>
      </c>
      <c r="O710" s="55" t="str">
        <f aca="false">IF(07_Licorerias!P35="","",07_Licorerias!P35)</f>
        <v>18:00-23:00</v>
      </c>
      <c r="P710" s="55" t="n">
        <f aca="false">IF(07_Licorerias!Q35="","",07_Licorerias!Q35)</f>
        <v>1</v>
      </c>
      <c r="Q710" s="55" t="str">
        <f aca="false">IF(07_Licorerias!R35="","",07_Licorerias!R35)</f>
        <v>Alto</v>
      </c>
      <c r="R710" s="55" t="str">
        <f aca="false">IF(07_Licorerias!S35="","",07_Licorerias!S35)</f>
        <v>Todo el año</v>
      </c>
      <c r="S710" s="55" t="str">
        <f aca="false">IF(07_Licorerias!T35="","",07_Licorerias!T35)</f>
        <v>Licorería</v>
      </c>
      <c r="T710" s="56" t="str">
        <f aca="false">IF(07_Licorerias!U35="","",07_Licorerias!U35)</f>
        <v/>
      </c>
      <c r="U710" s="55" t="n">
        <v>35</v>
      </c>
      <c r="V710" s="55" t="n">
        <f aca="false">IF(AND(OR(LEN(13_Buscador!$C$5)=0,ISNUMBER(SEARCH(13_Buscador!$C$5,$C710&amp;" "&amp;$D710&amp;" "&amp;$E710&amp;" "&amp;$F710&amp;" "&amp;$S710))),OR(13_Buscador!$C$6="Todas las listas",LEN(13_Buscador!$C$6)=0,13_Buscador!$C$6=$B710)),1,0)</f>
        <v>0</v>
      </c>
      <c r="W710" s="55" t="str">
        <f aca="false">IF(V710=1,SUM($V$2:V710),"")</f>
        <v/>
      </c>
    </row>
    <row r="711" customFormat="false" ht="15" hidden="false" customHeight="true" outlineLevel="0" collapsed="false">
      <c r="A711" s="55" t="n">
        <v>710</v>
      </c>
      <c r="B711" s="55" t="s">
        <v>3333</v>
      </c>
      <c r="C711" s="55" t="str">
        <f aca="false">IF(07_Licorerias!B36="","",07_Licorerias!B36)</f>
        <v>Licores y cremas</v>
      </c>
      <c r="D711" s="56" t="str">
        <f aca="false">IF(07_Licorerias!C36="","",07_Licorerias!C36)</f>
        <v>Crema de maracuyá / coco</v>
      </c>
      <c r="E711" s="56" t="str">
        <f aca="false">IF(07_Licorerias!D36="","",07_Licorerias!D36)</f>
        <v>Licor dulce</v>
      </c>
      <c r="F711" s="56" t="str">
        <f aca="false">IF(07_Licorerias!E36="","",07_Licorerias!E36)</f>
        <v>ají, mayonesa, huacatay u otras salsas de la casa</v>
      </c>
      <c r="G711" s="55" t="str">
        <f aca="false">IF(07_Licorerias!F36="","",07_Licorerias!F36)</f>
        <v>Botella</v>
      </c>
      <c r="H711" s="55" t="str">
        <f aca="false">IF(07_Licorerias!G36="","",07_Licorerias!G36)</f>
        <v>Estándar</v>
      </c>
      <c r="I711" s="58" t="n">
        <f aca="false">IF(07_Licorerias!H36="","",07_Licorerias!H36)</f>
        <v>20</v>
      </c>
      <c r="J711" s="58" t="n">
        <f aca="false">IF(07_Licorerias!I36="","",07_Licorerias!I36)</f>
        <v>45</v>
      </c>
      <c r="K711" s="58" t="n">
        <f aca="false">IF(07_Licorerias!J36="","",07_Licorerias!J36)</f>
        <v>32.5</v>
      </c>
      <c r="L711" s="58" t="n">
        <f aca="false">IF(07_Licorerias!L36="","",07_Licorerias!L36)</f>
        <v>33</v>
      </c>
      <c r="M711" s="58" t="n">
        <f aca="false">IF(07_Licorerias!N36="","",07_Licorerias!N36)</f>
        <v>2.93</v>
      </c>
      <c r="N711" s="58" t="n">
        <f aca="false">IF(07_Licorerias!O36="","",07_Licorerias!O36)</f>
        <v>29.57</v>
      </c>
      <c r="O711" s="55" t="str">
        <f aca="false">IF(07_Licorerias!P36="","",07_Licorerias!P36)</f>
        <v>18:00-23:00</v>
      </c>
      <c r="P711" s="55" t="n">
        <f aca="false">IF(07_Licorerias!Q36="","",07_Licorerias!Q36)</f>
        <v>1</v>
      </c>
      <c r="Q711" s="55" t="str">
        <f aca="false">IF(07_Licorerias!R36="","",07_Licorerias!R36)</f>
        <v>Alto</v>
      </c>
      <c r="R711" s="55" t="str">
        <f aca="false">IF(07_Licorerias!S36="","",07_Licorerias!S36)</f>
        <v>Todo el año</v>
      </c>
      <c r="S711" s="55" t="str">
        <f aca="false">IF(07_Licorerias!T36="","",07_Licorerias!T36)</f>
        <v>Licorería</v>
      </c>
      <c r="T711" s="56" t="str">
        <f aca="false">IF(07_Licorerias!U36="","",07_Licorerias!U36)</f>
        <v/>
      </c>
      <c r="U711" s="55" t="n">
        <v>36</v>
      </c>
      <c r="V711" s="55" t="n">
        <f aca="false">IF(AND(OR(LEN(13_Buscador!$C$5)=0,ISNUMBER(SEARCH(13_Buscador!$C$5,$C711&amp;" "&amp;$D711&amp;" "&amp;$E711&amp;" "&amp;$F711&amp;" "&amp;$S711))),OR(13_Buscador!$C$6="Todas las listas",LEN(13_Buscador!$C$6)=0,13_Buscador!$C$6=$B711)),1,0)</f>
        <v>0</v>
      </c>
      <c r="W711" s="55" t="str">
        <f aca="false">IF(V711=1,SUM($V$2:V711),"")</f>
        <v/>
      </c>
    </row>
    <row r="712" customFormat="false" ht="15" hidden="false" customHeight="true" outlineLevel="0" collapsed="false">
      <c r="A712" s="55" t="n">
        <v>711</v>
      </c>
      <c r="B712" s="55" t="s">
        <v>3333</v>
      </c>
      <c r="C712" s="55" t="str">
        <f aca="false">IF(07_Licorerias!B37="","",07_Licorerias!B37)</f>
        <v>Licores y cremas</v>
      </c>
      <c r="D712" s="56" t="str">
        <f aca="false">IF(07_Licorerias!C37="","",07_Licorerias!C37)</f>
        <v>Licor de muña / coca</v>
      </c>
      <c r="E712" s="56" t="str">
        <f aca="false">IF(07_Licorerias!D37="","",07_Licorerias!D37)</f>
        <v>Licor regional</v>
      </c>
      <c r="F712" s="56" t="str">
        <f aca="false">IF(07_Licorerias!E37="","",07_Licorerias!E37)</f>
        <v>alcohol base, fruta o insumo aromático, azúcar</v>
      </c>
      <c r="G712" s="55" t="str">
        <f aca="false">IF(07_Licorerias!F37="","",07_Licorerias!F37)</f>
        <v>Botella</v>
      </c>
      <c r="H712" s="55" t="str">
        <f aca="false">IF(07_Licorerias!G37="","",07_Licorerias!G37)</f>
        <v>Estándar</v>
      </c>
      <c r="I712" s="58" t="n">
        <f aca="false">IF(07_Licorerias!H37="","",07_Licorerias!H37)</f>
        <v>20</v>
      </c>
      <c r="J712" s="58" t="n">
        <f aca="false">IF(07_Licorerias!I37="","",07_Licorerias!I37)</f>
        <v>50</v>
      </c>
      <c r="K712" s="58" t="n">
        <f aca="false">IF(07_Licorerias!J37="","",07_Licorerias!J37)</f>
        <v>35</v>
      </c>
      <c r="L712" s="58" t="n">
        <f aca="false">IF(07_Licorerias!L37="","",07_Licorerias!L37)</f>
        <v>35.5</v>
      </c>
      <c r="M712" s="58" t="n">
        <f aca="false">IF(07_Licorerias!N37="","",07_Licorerias!N37)</f>
        <v>3.15</v>
      </c>
      <c r="N712" s="58" t="n">
        <f aca="false">IF(07_Licorerias!O37="","",07_Licorerias!O37)</f>
        <v>31.85</v>
      </c>
      <c r="O712" s="55" t="str">
        <f aca="false">IF(07_Licorerias!P37="","",07_Licorerias!P37)</f>
        <v>18:00-23:00</v>
      </c>
      <c r="P712" s="55" t="n">
        <f aca="false">IF(07_Licorerias!Q37="","",07_Licorerias!Q37)</f>
        <v>1</v>
      </c>
      <c r="Q712" s="55" t="str">
        <f aca="false">IF(07_Licorerias!R37="","",07_Licorerias!R37)</f>
        <v>Alto</v>
      </c>
      <c r="R712" s="55" t="str">
        <f aca="false">IF(07_Licorerias!S37="","",07_Licorerias!S37)</f>
        <v>Todo el año</v>
      </c>
      <c r="S712" s="55" t="str">
        <f aca="false">IF(07_Licorerias!T37="","",07_Licorerias!T37)</f>
        <v>Licorería, souvenir</v>
      </c>
      <c r="T712" s="56" t="str">
        <f aca="false">IF(07_Licorerias!U37="","",07_Licorerias!U37)</f>
        <v>Producto con identidad puneña, interés turístico</v>
      </c>
      <c r="U712" s="55" t="n">
        <v>37</v>
      </c>
      <c r="V712" s="55" t="n">
        <f aca="false">IF(AND(OR(LEN(13_Buscador!$C$5)=0,ISNUMBER(SEARCH(13_Buscador!$C$5,$C712&amp;" "&amp;$D712&amp;" "&amp;$E712&amp;" "&amp;$F712&amp;" "&amp;$S712))),OR(13_Buscador!$C$6="Todas las listas",LEN(13_Buscador!$C$6)=0,13_Buscador!$C$6=$B712)),1,0)</f>
        <v>0</v>
      </c>
      <c r="W712" s="55" t="str">
        <f aca="false">IF(V712=1,SUM($V$2:V712),"")</f>
        <v/>
      </c>
    </row>
    <row r="713" customFormat="false" ht="15" hidden="false" customHeight="true" outlineLevel="0" collapsed="false">
      <c r="A713" s="55" t="n">
        <v>712</v>
      </c>
      <c r="B713" s="55" t="s">
        <v>3333</v>
      </c>
      <c r="C713" s="55" t="str">
        <f aca="false">IF(07_Licorerias!B38="","",07_Licorerias!B38)</f>
        <v>Licores y cremas</v>
      </c>
      <c r="D713" s="56" t="str">
        <f aca="false">IF(07_Licorerias!C38="","",07_Licorerias!C38)</f>
        <v>Tequila José Cuervo 750 ml</v>
      </c>
      <c r="E713" s="56" t="str">
        <f aca="false">IF(07_Licorerias!D38="","",07_Licorerias!D38)</f>
        <v>Botella</v>
      </c>
      <c r="F713" s="56" t="str">
        <f aca="false">IF(07_Licorerias!E38="","",07_Licorerias!E38)</f>
        <v>tequila de agave</v>
      </c>
      <c r="G713" s="55" t="str">
        <f aca="false">IF(07_Licorerias!F38="","",07_Licorerias!F38)</f>
        <v>Botella</v>
      </c>
      <c r="H713" s="55" t="str">
        <f aca="false">IF(07_Licorerias!G38="","",07_Licorerias!G38)</f>
        <v>Medio</v>
      </c>
      <c r="I713" s="58" t="n">
        <f aca="false">IF(07_Licorerias!H38="","",07_Licorerias!H38)</f>
        <v>60</v>
      </c>
      <c r="J713" s="58" t="n">
        <f aca="false">IF(07_Licorerias!I38="","",07_Licorerias!I38)</f>
        <v>120</v>
      </c>
      <c r="K713" s="58" t="n">
        <f aca="false">IF(07_Licorerias!J38="","",07_Licorerias!J38)</f>
        <v>90</v>
      </c>
      <c r="L713" s="58" t="n">
        <f aca="false">IF(07_Licorerias!L38="","",07_Licorerias!L38)</f>
        <v>90.5</v>
      </c>
      <c r="M713" s="58" t="n">
        <f aca="false">IF(07_Licorerias!N38="","",07_Licorerias!N38)</f>
        <v>9.9</v>
      </c>
      <c r="N713" s="58" t="n">
        <f aca="false">IF(07_Licorerias!O38="","",07_Licorerias!O38)</f>
        <v>80.1</v>
      </c>
      <c r="O713" s="55" t="str">
        <f aca="false">IF(07_Licorerias!P38="","",07_Licorerias!P38)</f>
        <v>18:00-23:00</v>
      </c>
      <c r="P713" s="55" t="n">
        <f aca="false">IF(07_Licorerias!Q38="","",07_Licorerias!Q38)</f>
        <v>1</v>
      </c>
      <c r="Q713" s="55" t="str">
        <f aca="false">IF(07_Licorerias!R38="","",07_Licorerias!R38)</f>
        <v>Alto</v>
      </c>
      <c r="R713" s="55" t="str">
        <f aca="false">IF(07_Licorerias!S38="","",07_Licorerias!S38)</f>
        <v>Fin de semana</v>
      </c>
      <c r="S713" s="55" t="str">
        <f aca="false">IF(07_Licorerias!T38="","",07_Licorerias!T38)</f>
        <v>Licorería</v>
      </c>
      <c r="T713" s="56" t="str">
        <f aca="false">IF(07_Licorerias!U38="","",07_Licorerias!U38)</f>
        <v/>
      </c>
      <c r="U713" s="55" t="n">
        <v>38</v>
      </c>
      <c r="V713" s="55" t="n">
        <f aca="false">IF(AND(OR(LEN(13_Buscador!$C$5)=0,ISNUMBER(SEARCH(13_Buscador!$C$5,$C713&amp;" "&amp;$D713&amp;" "&amp;$E713&amp;" "&amp;$F713&amp;" "&amp;$S713))),OR(13_Buscador!$C$6="Todas las listas",LEN(13_Buscador!$C$6)=0,13_Buscador!$C$6=$B713)),1,0)</f>
        <v>0</v>
      </c>
      <c r="W713" s="55" t="str">
        <f aca="false">IF(V713=1,SUM($V$2:V713),"")</f>
        <v/>
      </c>
    </row>
    <row r="714" customFormat="false" ht="23.25" hidden="false" customHeight="true" outlineLevel="0" collapsed="false">
      <c r="A714" s="55" t="n">
        <v>713</v>
      </c>
      <c r="B714" s="55" t="s">
        <v>3333</v>
      </c>
      <c r="C714" s="55" t="str">
        <f aca="false">IF(07_Licorerias!B39="","",07_Licorerias!B39)</f>
        <v>Combos y preparados</v>
      </c>
      <c r="D714" s="56" t="str">
        <f aca="false">IF(07_Licorerias!C39="","",07_Licorerias!C39)</f>
        <v>Combo pisco sour (pisco + insumos)</v>
      </c>
      <c r="E714" s="56" t="str">
        <f aca="false">IF(07_Licorerias!D39="","",07_Licorerias!D39)</f>
        <v>Pisco, limón, jarabe</v>
      </c>
      <c r="F714" s="56" t="str">
        <f aca="false">IF(07_Licorerias!E39="","",07_Licorerias!E39)</f>
        <v>pisco de uva (quebranta, italia, acholado o torontel)</v>
      </c>
      <c r="G714" s="55" t="str">
        <f aca="false">IF(07_Licorerias!F39="","",07_Licorerias!F39)</f>
        <v>Combo</v>
      </c>
      <c r="H714" s="55" t="str">
        <f aca="false">IF(07_Licorerias!G39="","",07_Licorerias!G39)</f>
        <v>Medio</v>
      </c>
      <c r="I714" s="58" t="n">
        <f aca="false">IF(07_Licorerias!H39="","",07_Licorerias!H39)</f>
        <v>40</v>
      </c>
      <c r="J714" s="58" t="n">
        <f aca="false">IF(07_Licorerias!I39="","",07_Licorerias!I39)</f>
        <v>80</v>
      </c>
      <c r="K714" s="58" t="n">
        <f aca="false">IF(07_Licorerias!J39="","",07_Licorerias!J39)</f>
        <v>60</v>
      </c>
      <c r="L714" s="58" t="n">
        <f aca="false">IF(07_Licorerias!L39="","",07_Licorerias!L39)</f>
        <v>60.5</v>
      </c>
      <c r="M714" s="58" t="n">
        <f aca="false">IF(07_Licorerias!N39="","",07_Licorerias!N39)</f>
        <v>6.6</v>
      </c>
      <c r="N714" s="58" t="n">
        <f aca="false">IF(07_Licorerias!O39="","",07_Licorerias!O39)</f>
        <v>53.4</v>
      </c>
      <c r="O714" s="55" t="str">
        <f aca="false">IF(07_Licorerias!P39="","",07_Licorerias!P39)</f>
        <v>18:00-23:00</v>
      </c>
      <c r="P714" s="55" t="n">
        <f aca="false">IF(07_Licorerias!Q39="","",07_Licorerias!Q39)</f>
        <v>5</v>
      </c>
      <c r="Q714" s="55" t="str">
        <f aca="false">IF(07_Licorerias!R39="","",07_Licorerias!R39)</f>
        <v>Alto</v>
      </c>
      <c r="R714" s="55" t="str">
        <f aca="false">IF(07_Licorerias!S39="","",07_Licorerias!S39)</f>
        <v>Todo el año</v>
      </c>
      <c r="S714" s="55" t="str">
        <f aca="false">IF(07_Licorerias!T39="","",07_Licorerias!T39)</f>
        <v>Licorería</v>
      </c>
      <c r="T714" s="56" t="str">
        <f aca="false">IF(07_Licorerias!U39="","",07_Licorerias!U39)</f>
        <v>Combo de alto margen, diferenciador para ComeYa</v>
      </c>
      <c r="U714" s="55" t="n">
        <v>39</v>
      </c>
      <c r="V714" s="55" t="n">
        <f aca="false">IF(AND(OR(LEN(13_Buscador!$C$5)=0,ISNUMBER(SEARCH(13_Buscador!$C$5,$C714&amp;" "&amp;$D714&amp;" "&amp;$E714&amp;" "&amp;$F714&amp;" "&amp;$S714))),OR(13_Buscador!$C$6="Todas las listas",LEN(13_Buscador!$C$6)=0,13_Buscador!$C$6=$B714)),1,0)</f>
        <v>0</v>
      </c>
      <c r="W714" s="55" t="str">
        <f aca="false">IF(V714=1,SUM($V$2:V714),"")</f>
        <v/>
      </c>
    </row>
    <row r="715" customFormat="false" ht="23.25" hidden="false" customHeight="true" outlineLevel="0" collapsed="false">
      <c r="A715" s="55" t="n">
        <v>714</v>
      </c>
      <c r="B715" s="55" t="s">
        <v>3333</v>
      </c>
      <c r="C715" s="55" t="str">
        <f aca="false">IF(07_Licorerias!B40="","",07_Licorerias!B40)</f>
        <v>Combos y preparados</v>
      </c>
      <c r="D715" s="56" t="str">
        <f aca="false">IF(07_Licorerias!C40="","",07_Licorerias!C40)</f>
        <v>Combo cuba libre (ron + gaseosa + hielo)</v>
      </c>
      <c r="E715" s="56" t="str">
        <f aca="false">IF(07_Licorerias!D40="","",07_Licorerias!D40)</f>
        <v>Ron, gaseosa, hielo</v>
      </c>
      <c r="F715" s="56" t="str">
        <f aca="false">IF(07_Licorerias!E40="","",07_Licorerias!E40)</f>
        <v>producto embotellado de marca</v>
      </c>
      <c r="G715" s="55" t="str">
        <f aca="false">IF(07_Licorerias!F40="","",07_Licorerias!F40)</f>
        <v>Combo</v>
      </c>
      <c r="H715" s="55" t="str">
        <f aca="false">IF(07_Licorerias!G40="","",07_Licorerias!G40)</f>
        <v>Estándar</v>
      </c>
      <c r="I715" s="58" t="n">
        <f aca="false">IF(07_Licorerias!H40="","",07_Licorerias!H40)</f>
        <v>35</v>
      </c>
      <c r="J715" s="58" t="n">
        <f aca="false">IF(07_Licorerias!I40="","",07_Licorerias!I40)</f>
        <v>70</v>
      </c>
      <c r="K715" s="58" t="n">
        <f aca="false">IF(07_Licorerias!J40="","",07_Licorerias!J40)</f>
        <v>52.5</v>
      </c>
      <c r="L715" s="58" t="n">
        <f aca="false">IF(07_Licorerias!L40="","",07_Licorerias!L40)</f>
        <v>53</v>
      </c>
      <c r="M715" s="58" t="n">
        <f aca="false">IF(07_Licorerias!N40="","",07_Licorerias!N40)</f>
        <v>4.73</v>
      </c>
      <c r="N715" s="58" t="n">
        <f aca="false">IF(07_Licorerias!O40="","",07_Licorerias!O40)</f>
        <v>47.77</v>
      </c>
      <c r="O715" s="55" t="str">
        <f aca="false">IF(07_Licorerias!P40="","",07_Licorerias!P40)</f>
        <v>18:00-23:00</v>
      </c>
      <c r="P715" s="55" t="n">
        <f aca="false">IF(07_Licorerias!Q40="","",07_Licorerias!Q40)</f>
        <v>5</v>
      </c>
      <c r="Q715" s="55" t="str">
        <f aca="false">IF(07_Licorerias!R40="","",07_Licorerias!R40)</f>
        <v>Alto</v>
      </c>
      <c r="R715" s="55" t="str">
        <f aca="false">IF(07_Licorerias!S40="","",07_Licorerias!S40)</f>
        <v>Fin de semana</v>
      </c>
      <c r="S715" s="55" t="str">
        <f aca="false">IF(07_Licorerias!T40="","",07_Licorerias!T40)</f>
        <v>Licorería</v>
      </c>
      <c r="T715" s="56" t="str">
        <f aca="false">IF(07_Licorerias!U40="","",07_Licorerias!U40)</f>
        <v>Muy pedido en la noche</v>
      </c>
      <c r="U715" s="55" t="n">
        <v>40</v>
      </c>
      <c r="V715" s="55" t="n">
        <f aca="false">IF(AND(OR(LEN(13_Buscador!$C$5)=0,ISNUMBER(SEARCH(13_Buscador!$C$5,$C715&amp;" "&amp;$D715&amp;" "&amp;$E715&amp;" "&amp;$F715&amp;" "&amp;$S715))),OR(13_Buscador!$C$6="Todas las listas",LEN(13_Buscador!$C$6)=0,13_Buscador!$C$6=$B715)),1,0)</f>
        <v>0</v>
      </c>
      <c r="W715" s="55" t="str">
        <f aca="false">IF(V715=1,SUM($V$2:V715),"")</f>
        <v/>
      </c>
    </row>
    <row r="716" customFormat="false" ht="23.25" hidden="false" customHeight="true" outlineLevel="0" collapsed="false">
      <c r="A716" s="55" t="n">
        <v>715</v>
      </c>
      <c r="B716" s="55" t="s">
        <v>3333</v>
      </c>
      <c r="C716" s="55" t="str">
        <f aca="false">IF(07_Licorerias!B41="","",07_Licorerias!B41)</f>
        <v>Combos y preparados</v>
      </c>
      <c r="D716" s="56" t="str">
        <f aca="false">IF(07_Licorerias!C41="","",07_Licorerias!C41)</f>
        <v>Combo fiesta (caja cerveza + hielo + snacks)</v>
      </c>
      <c r="E716" s="56" t="str">
        <f aca="false">IF(07_Licorerias!D41="","",07_Licorerias!D41)</f>
        <v>Caja, hielo, piqueos</v>
      </c>
      <c r="F716" s="56" t="str">
        <f aca="false">IF(07_Licorerias!E41="","",07_Licorerias!E41)</f>
        <v>cerveza embotellada o en lata</v>
      </c>
      <c r="G716" s="55" t="str">
        <f aca="false">IF(07_Licorerias!F41="","",07_Licorerias!F41)</f>
        <v>Combo</v>
      </c>
      <c r="H716" s="55" t="str">
        <f aca="false">IF(07_Licorerias!G41="","",07_Licorerias!G41)</f>
        <v>Premium</v>
      </c>
      <c r="I716" s="58" t="n">
        <f aca="false">IF(07_Licorerias!H41="","",07_Licorerias!H41)</f>
        <v>100</v>
      </c>
      <c r="J716" s="58" t="n">
        <f aca="false">IF(07_Licorerias!I41="","",07_Licorerias!I41)</f>
        <v>180</v>
      </c>
      <c r="K716" s="58" t="n">
        <f aca="false">IF(07_Licorerias!J41="","",07_Licorerias!J41)</f>
        <v>140</v>
      </c>
      <c r="L716" s="58" t="n">
        <f aca="false">IF(07_Licorerias!L41="","",07_Licorerias!L41)</f>
        <v>140.5</v>
      </c>
      <c r="M716" s="58" t="n">
        <f aca="false">IF(07_Licorerias!N41="","",07_Licorerias!N41)</f>
        <v>18.2</v>
      </c>
      <c r="N716" s="58" t="n">
        <f aca="false">IF(07_Licorerias!O41="","",07_Licorerias!O41)</f>
        <v>121.8</v>
      </c>
      <c r="O716" s="55" t="str">
        <f aca="false">IF(07_Licorerias!P41="","",07_Licorerias!P41)</f>
        <v>18:00-23:00</v>
      </c>
      <c r="P716" s="55" t="n">
        <f aca="false">IF(07_Licorerias!Q41="","",07_Licorerias!Q41)</f>
        <v>8</v>
      </c>
      <c r="Q716" s="55" t="str">
        <f aca="false">IF(07_Licorerias!R41="","",07_Licorerias!R41)</f>
        <v>Medio</v>
      </c>
      <c r="R716" s="55" t="str">
        <f aca="false">IF(07_Licorerias!S41="","",07_Licorerias!S41)</f>
        <v>Fin de semana</v>
      </c>
      <c r="S716" s="55" t="str">
        <f aca="false">IF(07_Licorerias!T41="","",07_Licorerias!T41)</f>
        <v>Licorería</v>
      </c>
      <c r="T716" s="56" t="str">
        <f aca="false">IF(07_Licorerias!U41="","",07_Licorerias!U41)</f>
        <v>TICKET MÁS ALTO de la categoría</v>
      </c>
      <c r="U716" s="55" t="n">
        <v>41</v>
      </c>
      <c r="V716" s="55" t="n">
        <f aca="false">IF(AND(OR(LEN(13_Buscador!$C$5)=0,ISNUMBER(SEARCH(13_Buscador!$C$5,$C716&amp;" "&amp;$D716&amp;" "&amp;$E716&amp;" "&amp;$F716&amp;" "&amp;$S716))),OR(13_Buscador!$C$6="Todas las listas",LEN(13_Buscador!$C$6)=0,13_Buscador!$C$6=$B716)),1,0)</f>
        <v>0</v>
      </c>
      <c r="W716" s="55" t="str">
        <f aca="false">IF(V716=1,SUM($V$2:V716),"")</f>
        <v/>
      </c>
    </row>
    <row r="717" customFormat="false" ht="23.25" hidden="false" customHeight="true" outlineLevel="0" collapsed="false">
      <c r="A717" s="55" t="n">
        <v>716</v>
      </c>
      <c r="B717" s="55" t="s">
        <v>3333</v>
      </c>
      <c r="C717" s="55" t="str">
        <f aca="false">IF(07_Licorerias!B42="","",07_Licorerias!B42)</f>
        <v>Combos y preparados</v>
      </c>
      <c r="D717" s="56" t="str">
        <f aca="false">IF(07_Licorerias!C42="","",07_Licorerias!C42)</f>
        <v>Combo cumpleaños (espumante + torta)</v>
      </c>
      <c r="E717" s="56" t="str">
        <f aca="false">IF(07_Licorerias!D42="","",07_Licorerias!D42)</f>
        <v>Espumante y torta</v>
      </c>
      <c r="F717" s="56" t="str">
        <f aca="false">IF(07_Licorerias!E42="","",07_Licorerias!E42)</f>
        <v>vino de uva</v>
      </c>
      <c r="G717" s="55" t="str">
        <f aca="false">IF(07_Licorerias!F42="","",07_Licorerias!F42)</f>
        <v>Combo</v>
      </c>
      <c r="H717" s="55" t="str">
        <f aca="false">IF(07_Licorerias!G42="","",07_Licorerias!G42)</f>
        <v>Premium</v>
      </c>
      <c r="I717" s="58" t="n">
        <f aca="false">IF(07_Licorerias!H42="","",07_Licorerias!H42)</f>
        <v>70</v>
      </c>
      <c r="J717" s="58" t="n">
        <f aca="false">IF(07_Licorerias!I42="","",07_Licorerias!I42)</f>
        <v>150</v>
      </c>
      <c r="K717" s="58" t="n">
        <f aca="false">IF(07_Licorerias!J42="","",07_Licorerias!J42)</f>
        <v>110</v>
      </c>
      <c r="L717" s="58" t="n">
        <f aca="false">IF(07_Licorerias!L42="","",07_Licorerias!L42)</f>
        <v>110.5</v>
      </c>
      <c r="M717" s="58" t="n">
        <f aca="false">IF(07_Licorerias!N42="","",07_Licorerias!N42)</f>
        <v>14.3</v>
      </c>
      <c r="N717" s="58" t="n">
        <f aca="false">IF(07_Licorerias!O42="","",07_Licorerias!O42)</f>
        <v>95.7</v>
      </c>
      <c r="O717" s="55" t="str">
        <f aca="false">IF(07_Licorerias!P42="","",07_Licorerias!P42)</f>
        <v>Todo el día</v>
      </c>
      <c r="P717" s="55" t="n">
        <f aca="false">IF(07_Licorerias!Q42="","",07_Licorerias!Q42)</f>
        <v>15</v>
      </c>
      <c r="Q717" s="55" t="str">
        <f aca="false">IF(07_Licorerias!R42="","",07_Licorerias!R42)</f>
        <v>Medio</v>
      </c>
      <c r="R717" s="55" t="str">
        <f aca="false">IF(07_Licorerias!S42="","",07_Licorerias!S42)</f>
        <v>Todo el año</v>
      </c>
      <c r="S717" s="55" t="str">
        <f aca="false">IF(07_Licorerias!T42="","",07_Licorerias!T42)</f>
        <v>Licorería + pastelería</v>
      </c>
      <c r="T717" s="56" t="str">
        <f aca="false">IF(07_Licorerias!U42="","",07_Licorerias!U42)</f>
        <v>Requiere alianza entre dos locales</v>
      </c>
      <c r="U717" s="55" t="n">
        <v>42</v>
      </c>
      <c r="V717" s="55" t="n">
        <f aca="false">IF(AND(OR(LEN(13_Buscador!$C$5)=0,ISNUMBER(SEARCH(13_Buscador!$C$5,$C717&amp;" "&amp;$D717&amp;" "&amp;$E717&amp;" "&amp;$F717&amp;" "&amp;$S717))),OR(13_Buscador!$C$6="Todas las listas",LEN(13_Buscador!$C$6)=0,13_Buscador!$C$6=$B717)),1,0)</f>
        <v>0</v>
      </c>
      <c r="W717" s="55" t="str">
        <f aca="false">IF(V717=1,SUM($V$2:V717),"")</f>
        <v/>
      </c>
    </row>
    <row r="718" customFormat="false" ht="15" hidden="false" customHeight="true" outlineLevel="0" collapsed="false">
      <c r="A718" s="55" t="n">
        <v>717</v>
      </c>
      <c r="B718" s="55" t="s">
        <v>3333</v>
      </c>
      <c r="C718" s="55" t="str">
        <f aca="false">IF(07_Licorerias!B43="","",07_Licorerias!B43)</f>
        <v>Combos y preparados</v>
      </c>
      <c r="D718" s="56" t="str">
        <f aca="false">IF(07_Licorerias!C43="","",07_Licorerias!C43)</f>
        <v>Jarra de pisco sour preparado</v>
      </c>
      <c r="E718" s="56" t="str">
        <f aca="false">IF(07_Licorerias!D43="","",07_Licorerias!D43)</f>
        <v>Preparado listo 1 L</v>
      </c>
      <c r="F718" s="56" t="str">
        <f aca="false">IF(07_Licorerias!E43="","",07_Licorerias!E43)</f>
        <v>pisco de uva (quebranta, italia, acholado o torontel)</v>
      </c>
      <c r="G718" s="55" t="str">
        <f aca="false">IF(07_Licorerias!F43="","",07_Licorerias!F43)</f>
        <v>Jarra</v>
      </c>
      <c r="H718" s="55" t="str">
        <f aca="false">IF(07_Licorerias!G43="","",07_Licorerias!G43)</f>
        <v>Medio</v>
      </c>
      <c r="I718" s="58" t="n">
        <f aca="false">IF(07_Licorerias!H43="","",07_Licorerias!H43)</f>
        <v>35</v>
      </c>
      <c r="J718" s="58" t="n">
        <f aca="false">IF(07_Licorerias!I43="","",07_Licorerias!I43)</f>
        <v>70</v>
      </c>
      <c r="K718" s="58" t="n">
        <f aca="false">IF(07_Licorerias!J43="","",07_Licorerias!J43)</f>
        <v>52.5</v>
      </c>
      <c r="L718" s="58" t="n">
        <f aca="false">IF(07_Licorerias!L43="","",07_Licorerias!L43)</f>
        <v>53</v>
      </c>
      <c r="M718" s="58" t="n">
        <f aca="false">IF(07_Licorerias!N43="","",07_Licorerias!N43)</f>
        <v>5.78</v>
      </c>
      <c r="N718" s="58" t="n">
        <f aca="false">IF(07_Licorerias!O43="","",07_Licorerias!O43)</f>
        <v>46.72</v>
      </c>
      <c r="O718" s="55" t="str">
        <f aca="false">IF(07_Licorerias!P43="","",07_Licorerias!P43)</f>
        <v>18:00-23:00</v>
      </c>
      <c r="P718" s="55" t="n">
        <f aca="false">IF(07_Licorerias!Q43="","",07_Licorerias!Q43)</f>
        <v>10</v>
      </c>
      <c r="Q718" s="55" t="str">
        <f aca="false">IF(07_Licorerias!R43="","",07_Licorerias!R43)</f>
        <v>Medio</v>
      </c>
      <c r="R718" s="55" t="str">
        <f aca="false">IF(07_Licorerias!S43="","",07_Licorerias!S43)</f>
        <v>Fin de semana</v>
      </c>
      <c r="S718" s="55" t="str">
        <f aca="false">IF(07_Licorerias!T43="","",07_Licorerias!T43)</f>
        <v>Bar</v>
      </c>
      <c r="T718" s="56" t="str">
        <f aca="false">IF(07_Licorerias!U43="","",07_Licorerias!U43)</f>
        <v>Verificar normativa de venta de preparados</v>
      </c>
      <c r="U718" s="55" t="n">
        <v>43</v>
      </c>
      <c r="V718" s="55" t="n">
        <f aca="false">IF(AND(OR(LEN(13_Buscador!$C$5)=0,ISNUMBER(SEARCH(13_Buscador!$C$5,$C718&amp;" "&amp;$D718&amp;" "&amp;$E718&amp;" "&amp;$F718&amp;" "&amp;$S718))),OR(13_Buscador!$C$6="Todas las listas",LEN(13_Buscador!$C$6)=0,13_Buscador!$C$6=$B718)),1,0)</f>
        <v>0</v>
      </c>
      <c r="W718" s="55" t="str">
        <f aca="false">IF(V718=1,SUM($V$2:V718),"")</f>
        <v/>
      </c>
    </row>
    <row r="719" customFormat="false" ht="15" hidden="false" customHeight="true" outlineLevel="0" collapsed="false">
      <c r="A719" s="55" t="n">
        <v>718</v>
      </c>
      <c r="B719" s="55" t="s">
        <v>3333</v>
      </c>
      <c r="C719" s="55" t="str">
        <f aca="false">IF(07_Licorerias!B44="","",07_Licorerias!B44)</f>
        <v>Complementos</v>
      </c>
      <c r="D719" s="56" t="str">
        <f aca="false">IF(07_Licorerias!C44="","",07_Licorerias!C44)</f>
        <v>Hielo en bolsa 2 kg</v>
      </c>
      <c r="E719" s="56" t="str">
        <f aca="false">IF(07_Licorerias!D44="","",07_Licorerias!D44)</f>
        <v>Bolsa de hielo</v>
      </c>
      <c r="F719" s="56" t="str">
        <f aca="false">IF(07_Licorerias!E44="","",07_Licorerias!E44)</f>
        <v>agua congelada</v>
      </c>
      <c r="G719" s="55" t="str">
        <f aca="false">IF(07_Licorerias!F44="","",07_Licorerias!F44)</f>
        <v>Bolsa</v>
      </c>
      <c r="H719" s="55" t="str">
        <f aca="false">IF(07_Licorerias!G44="","",07_Licorerias!G44)</f>
        <v>Económico</v>
      </c>
      <c r="I719" s="58" t="n">
        <f aca="false">IF(07_Licorerias!H44="","",07_Licorerias!H44)</f>
        <v>3</v>
      </c>
      <c r="J719" s="58" t="n">
        <f aca="false">IF(07_Licorerias!I44="","",07_Licorerias!I44)</f>
        <v>8</v>
      </c>
      <c r="K719" s="58" t="n">
        <f aca="false">IF(07_Licorerias!J44="","",07_Licorerias!J44)</f>
        <v>5.5</v>
      </c>
      <c r="L719" s="58" t="n">
        <f aca="false">IF(07_Licorerias!L44="","",07_Licorerias!L44)</f>
        <v>6</v>
      </c>
      <c r="M719" s="58" t="n">
        <f aca="false">IF(07_Licorerias!N44="","",07_Licorerias!N44)</f>
        <v>0.39</v>
      </c>
      <c r="N719" s="58" t="n">
        <f aca="false">IF(07_Licorerias!O44="","",07_Licorerias!O44)</f>
        <v>5.11</v>
      </c>
      <c r="O719" s="55" t="str">
        <f aca="false">IF(07_Licorerias!P44="","",07_Licorerias!P44)</f>
        <v>18:00-23:00</v>
      </c>
      <c r="P719" s="55" t="n">
        <f aca="false">IF(07_Licorerias!Q44="","",07_Licorerias!Q44)</f>
        <v>1</v>
      </c>
      <c r="Q719" s="55" t="str">
        <f aca="false">IF(07_Licorerias!R44="","",07_Licorerias!R44)</f>
        <v>Bajo</v>
      </c>
      <c r="R719" s="55" t="str">
        <f aca="false">IF(07_Licorerias!S44="","",07_Licorerias!S44)</f>
        <v>Mayor demanda en calor</v>
      </c>
      <c r="S719" s="55" t="str">
        <f aca="false">IF(07_Licorerias!T44="","",07_Licorerias!T44)</f>
        <v>Licorería, bodega</v>
      </c>
      <c r="T719" s="56" t="str">
        <f aca="false">IF(07_Licorerias!U44="","",07_Licorerias!U44)</f>
        <v>Se derrite: entrega máxima 25 minutos</v>
      </c>
      <c r="U719" s="55" t="n">
        <v>44</v>
      </c>
      <c r="V719" s="55" t="n">
        <f aca="false">IF(AND(OR(LEN(13_Buscador!$C$5)=0,ISNUMBER(SEARCH(13_Buscador!$C$5,$C719&amp;" "&amp;$D719&amp;" "&amp;$E719&amp;" "&amp;$F719&amp;" "&amp;$S719))),OR(13_Buscador!$C$6="Todas las listas",LEN(13_Buscador!$C$6)=0,13_Buscador!$C$6=$B719)),1,0)</f>
        <v>0</v>
      </c>
      <c r="W719" s="55" t="str">
        <f aca="false">IF(V719=1,SUM($V$2:V719),"")</f>
        <v/>
      </c>
    </row>
    <row r="720" customFormat="false" ht="15" hidden="false" customHeight="true" outlineLevel="0" collapsed="false">
      <c r="A720" s="55" t="n">
        <v>719</v>
      </c>
      <c r="B720" s="55" t="s">
        <v>3333</v>
      </c>
      <c r="C720" s="55" t="str">
        <f aca="false">IF(07_Licorerias!B45="","",07_Licorerias!B45)</f>
        <v>Complementos</v>
      </c>
      <c r="D720" s="56" t="str">
        <f aca="false">IF(07_Licorerias!C45="","",07_Licorerias!C45)</f>
        <v>Gaseosa 1.5 L para mezclar</v>
      </c>
      <c r="E720" s="56" t="str">
        <f aca="false">IF(07_Licorerias!D45="","",07_Licorerias!D45)</f>
        <v>Botella</v>
      </c>
      <c r="F720" s="56" t="str">
        <f aca="false">IF(07_Licorerias!E45="","",07_Licorerias!E45)</f>
        <v>producto embotellado de marca</v>
      </c>
      <c r="G720" s="55" t="str">
        <f aca="false">IF(07_Licorerias!F45="","",07_Licorerias!F45)</f>
        <v>Botella</v>
      </c>
      <c r="H720" s="55" t="str">
        <f aca="false">IF(07_Licorerias!G45="","",07_Licorerias!G45)</f>
        <v>Económico</v>
      </c>
      <c r="I720" s="58" t="n">
        <f aca="false">IF(07_Licorerias!H45="","",07_Licorerias!H45)</f>
        <v>7</v>
      </c>
      <c r="J720" s="58" t="n">
        <f aca="false">IF(07_Licorerias!I45="","",07_Licorerias!I45)</f>
        <v>10</v>
      </c>
      <c r="K720" s="58" t="n">
        <f aca="false">IF(07_Licorerias!J45="","",07_Licorerias!J45)</f>
        <v>8.5</v>
      </c>
      <c r="L720" s="58" t="n">
        <f aca="false">IF(07_Licorerias!L45="","",07_Licorerias!L45)</f>
        <v>9</v>
      </c>
      <c r="M720" s="58" t="n">
        <f aca="false">IF(07_Licorerias!N45="","",07_Licorerias!N45)</f>
        <v>0.6</v>
      </c>
      <c r="N720" s="58" t="n">
        <f aca="false">IF(07_Licorerias!O45="","",07_Licorerias!O45)</f>
        <v>7.9</v>
      </c>
      <c r="O720" s="55" t="str">
        <f aca="false">IF(07_Licorerias!P45="","",07_Licorerias!P45)</f>
        <v>18:00-23:00</v>
      </c>
      <c r="P720" s="55" t="n">
        <f aca="false">IF(07_Licorerias!Q45="","",07_Licorerias!Q45)</f>
        <v>1</v>
      </c>
      <c r="Q720" s="55" t="str">
        <f aca="false">IF(07_Licorerias!R45="","",07_Licorerias!R45)</f>
        <v>Alto</v>
      </c>
      <c r="R720" s="55" t="str">
        <f aca="false">IF(07_Licorerias!S45="","",07_Licorerias!S45)</f>
        <v>Todo el año</v>
      </c>
      <c r="S720" s="55" t="str">
        <f aca="false">IF(07_Licorerias!T45="","",07_Licorerias!T45)</f>
        <v>Licorería, bodega</v>
      </c>
      <c r="T720" s="56" t="str">
        <f aca="false">IF(07_Licorerias!U45="","",07_Licorerias!U45)</f>
        <v>Acompañante obligado del combo</v>
      </c>
      <c r="U720" s="55" t="n">
        <v>45</v>
      </c>
      <c r="V720" s="55" t="n">
        <f aca="false">IF(AND(OR(LEN(13_Buscador!$C$5)=0,ISNUMBER(SEARCH(13_Buscador!$C$5,$C720&amp;" "&amp;$D720&amp;" "&amp;$E720&amp;" "&amp;$F720&amp;" "&amp;$S720))),OR(13_Buscador!$C$6="Todas las listas",LEN(13_Buscador!$C$6)=0,13_Buscador!$C$6=$B720)),1,0)</f>
        <v>0</v>
      </c>
      <c r="W720" s="55" t="str">
        <f aca="false">IF(V720=1,SUM($V$2:V720),"")</f>
        <v/>
      </c>
    </row>
    <row r="721" customFormat="false" ht="15" hidden="false" customHeight="true" outlineLevel="0" collapsed="false">
      <c r="A721" s="55" t="n">
        <v>720</v>
      </c>
      <c r="B721" s="55" t="s">
        <v>3333</v>
      </c>
      <c r="C721" s="55" t="str">
        <f aca="false">IF(07_Licorerias!B46="","",07_Licorerias!B46)</f>
        <v>Complementos</v>
      </c>
      <c r="D721" s="56" t="str">
        <f aca="false">IF(07_Licorerias!C46="","",07_Licorerias!C46)</f>
        <v>Gaseosa 3 L</v>
      </c>
      <c r="E721" s="56" t="str">
        <f aca="false">IF(07_Licorerias!D46="","",07_Licorerias!D46)</f>
        <v>Botella familiar</v>
      </c>
      <c r="F721" s="56" t="str">
        <f aca="false">IF(07_Licorerias!E46="","",07_Licorerias!E46)</f>
        <v>producto embotellado de marca</v>
      </c>
      <c r="G721" s="55" t="str">
        <f aca="false">IF(07_Licorerias!F46="","",07_Licorerias!F46)</f>
        <v>Botella</v>
      </c>
      <c r="H721" s="55" t="str">
        <f aca="false">IF(07_Licorerias!G46="","",07_Licorerias!G46)</f>
        <v>Económico</v>
      </c>
      <c r="I721" s="58" t="n">
        <f aca="false">IF(07_Licorerias!H46="","",07_Licorerias!H46)</f>
        <v>10</v>
      </c>
      <c r="J721" s="58" t="n">
        <f aca="false">IF(07_Licorerias!I46="","",07_Licorerias!I46)</f>
        <v>15</v>
      </c>
      <c r="K721" s="58" t="n">
        <f aca="false">IF(07_Licorerias!J46="","",07_Licorerias!J46)</f>
        <v>12.5</v>
      </c>
      <c r="L721" s="58" t="n">
        <f aca="false">IF(07_Licorerias!L46="","",07_Licorerias!L46)</f>
        <v>13</v>
      </c>
      <c r="M721" s="58" t="n">
        <f aca="false">IF(07_Licorerias!N46="","",07_Licorerias!N46)</f>
        <v>0.88</v>
      </c>
      <c r="N721" s="58" t="n">
        <f aca="false">IF(07_Licorerias!O46="","",07_Licorerias!O46)</f>
        <v>11.62</v>
      </c>
      <c r="O721" s="55" t="str">
        <f aca="false">IF(07_Licorerias!P46="","",07_Licorerias!P46)</f>
        <v>18:00-23:00</v>
      </c>
      <c r="P721" s="55" t="n">
        <f aca="false">IF(07_Licorerias!Q46="","",07_Licorerias!Q46)</f>
        <v>1</v>
      </c>
      <c r="Q721" s="55" t="str">
        <f aca="false">IF(07_Licorerias!R46="","",07_Licorerias!R46)</f>
        <v>Alto</v>
      </c>
      <c r="R721" s="55" t="str">
        <f aca="false">IF(07_Licorerias!S46="","",07_Licorerias!S46)</f>
        <v>Fin de semana</v>
      </c>
      <c r="S721" s="55" t="str">
        <f aca="false">IF(07_Licorerias!T46="","",07_Licorerias!T46)</f>
        <v>Licorería</v>
      </c>
      <c r="T721" s="56" t="str">
        <f aca="false">IF(07_Licorerias!U46="","",07_Licorerias!U46)</f>
        <v/>
      </c>
      <c r="U721" s="55" t="n">
        <v>46</v>
      </c>
      <c r="V721" s="55" t="n">
        <f aca="false">IF(AND(OR(LEN(13_Buscador!$C$5)=0,ISNUMBER(SEARCH(13_Buscador!$C$5,$C721&amp;" "&amp;$D721&amp;" "&amp;$E721&amp;" "&amp;$F721&amp;" "&amp;$S721))),OR(13_Buscador!$C$6="Todas las listas",LEN(13_Buscador!$C$6)=0,13_Buscador!$C$6=$B721)),1,0)</f>
        <v>0</v>
      </c>
      <c r="W721" s="55" t="str">
        <f aca="false">IF(V721=1,SUM($V$2:V721),"")</f>
        <v/>
      </c>
    </row>
    <row r="722" customFormat="false" ht="15" hidden="false" customHeight="true" outlineLevel="0" collapsed="false">
      <c r="A722" s="55" t="n">
        <v>721</v>
      </c>
      <c r="B722" s="55" t="s">
        <v>3333</v>
      </c>
      <c r="C722" s="55" t="str">
        <f aca="false">IF(07_Licorerias!B47="","",07_Licorerias!B47)</f>
        <v>Complementos</v>
      </c>
      <c r="D722" s="56" t="str">
        <f aca="false">IF(07_Licorerias!C47="","",07_Licorerias!C47)</f>
        <v>Agua tónica / ginger</v>
      </c>
      <c r="E722" s="56" t="str">
        <f aca="false">IF(07_Licorerias!D47="","",07_Licorerias!D47)</f>
        <v>Botella mixer</v>
      </c>
      <c r="F722" s="56" t="str">
        <f aca="false">IF(07_Licorerias!E47="","",07_Licorerias!E47)</f>
        <v>producto embotellado de marca</v>
      </c>
      <c r="G722" s="55" t="str">
        <f aca="false">IF(07_Licorerias!F47="","",07_Licorerias!F47)</f>
        <v>Botella</v>
      </c>
      <c r="H722" s="55" t="str">
        <f aca="false">IF(07_Licorerias!G47="","",07_Licorerias!G47)</f>
        <v>Económico</v>
      </c>
      <c r="I722" s="58" t="n">
        <f aca="false">IF(07_Licorerias!H47="","",07_Licorerias!H47)</f>
        <v>4</v>
      </c>
      <c r="J722" s="58" t="n">
        <f aca="false">IF(07_Licorerias!I47="","",07_Licorerias!I47)</f>
        <v>8</v>
      </c>
      <c r="K722" s="58" t="n">
        <f aca="false">IF(07_Licorerias!J47="","",07_Licorerias!J47)</f>
        <v>6</v>
      </c>
      <c r="L722" s="58" t="n">
        <f aca="false">IF(07_Licorerias!L47="","",07_Licorerias!L47)</f>
        <v>6.5</v>
      </c>
      <c r="M722" s="58" t="n">
        <f aca="false">IF(07_Licorerias!N47="","",07_Licorerias!N47)</f>
        <v>0.42</v>
      </c>
      <c r="N722" s="58" t="n">
        <f aca="false">IF(07_Licorerias!O47="","",07_Licorerias!O47)</f>
        <v>5.58</v>
      </c>
      <c r="O722" s="55" t="str">
        <f aca="false">IF(07_Licorerias!P47="","",07_Licorerias!P47)</f>
        <v>18:00-23:00</v>
      </c>
      <c r="P722" s="55" t="n">
        <f aca="false">IF(07_Licorerias!Q47="","",07_Licorerias!Q47)</f>
        <v>1</v>
      </c>
      <c r="Q722" s="55" t="str">
        <f aca="false">IF(07_Licorerias!R47="","",07_Licorerias!R47)</f>
        <v>Alto</v>
      </c>
      <c r="R722" s="55" t="str">
        <f aca="false">IF(07_Licorerias!S47="","",07_Licorerias!S47)</f>
        <v>Todo el año</v>
      </c>
      <c r="S722" s="55" t="str">
        <f aca="false">IF(07_Licorerias!T47="","",07_Licorerias!T47)</f>
        <v>Licorería</v>
      </c>
      <c r="T722" s="56" t="str">
        <f aca="false">IF(07_Licorerias!U47="","",07_Licorerias!U47)</f>
        <v/>
      </c>
      <c r="U722" s="55" t="n">
        <v>47</v>
      </c>
      <c r="V722" s="55" t="n">
        <f aca="false">IF(AND(OR(LEN(13_Buscador!$C$5)=0,ISNUMBER(SEARCH(13_Buscador!$C$5,$C722&amp;" "&amp;$D722&amp;" "&amp;$E722&amp;" "&amp;$F722&amp;" "&amp;$S722))),OR(13_Buscador!$C$6="Todas las listas",LEN(13_Buscador!$C$6)=0,13_Buscador!$C$6=$B722)),1,0)</f>
        <v>0</v>
      </c>
      <c r="W722" s="55" t="str">
        <f aca="false">IF(V722=1,SUM($V$2:V722),"")</f>
        <v/>
      </c>
    </row>
    <row r="723" customFormat="false" ht="15" hidden="false" customHeight="true" outlineLevel="0" collapsed="false">
      <c r="A723" s="55" t="n">
        <v>722</v>
      </c>
      <c r="B723" s="55" t="s">
        <v>3333</v>
      </c>
      <c r="C723" s="55" t="str">
        <f aca="false">IF(07_Licorerias!B48="","",07_Licorerias!B48)</f>
        <v>Complementos</v>
      </c>
      <c r="D723" s="56" t="str">
        <f aca="false">IF(07_Licorerias!C48="","",07_Licorerias!C48)</f>
        <v>Jugo de limón / insumo cóctel</v>
      </c>
      <c r="E723" s="56" t="str">
        <f aca="false">IF(07_Licorerias!D48="","",07_Licorerias!D48)</f>
        <v>Insumo preparado</v>
      </c>
      <c r="F723" s="56" t="str">
        <f aca="false">IF(07_Licorerias!E48="","",07_Licorerias!E48)</f>
        <v>limón, agua, azúcar</v>
      </c>
      <c r="G723" s="55" t="str">
        <f aca="false">IF(07_Licorerias!F48="","",07_Licorerias!F48)</f>
        <v>Botella</v>
      </c>
      <c r="H723" s="55" t="str">
        <f aca="false">IF(07_Licorerias!G48="","",07_Licorerias!G48)</f>
        <v>Económico</v>
      </c>
      <c r="I723" s="58" t="n">
        <f aca="false">IF(07_Licorerias!H48="","",07_Licorerias!H48)</f>
        <v>5</v>
      </c>
      <c r="J723" s="58" t="n">
        <f aca="false">IF(07_Licorerias!I48="","",07_Licorerias!I48)</f>
        <v>12</v>
      </c>
      <c r="K723" s="58" t="n">
        <f aca="false">IF(07_Licorerias!J48="","",07_Licorerias!J48)</f>
        <v>8.5</v>
      </c>
      <c r="L723" s="58" t="n">
        <f aca="false">IF(07_Licorerias!L48="","",07_Licorerias!L48)</f>
        <v>9</v>
      </c>
      <c r="M723" s="58" t="n">
        <f aca="false">IF(07_Licorerias!N48="","",07_Licorerias!N48)</f>
        <v>0.6</v>
      </c>
      <c r="N723" s="58" t="n">
        <f aca="false">IF(07_Licorerias!O48="","",07_Licorerias!O48)</f>
        <v>7.9</v>
      </c>
      <c r="O723" s="55" t="str">
        <f aca="false">IF(07_Licorerias!P48="","",07_Licorerias!P48)</f>
        <v>18:00-23:00</v>
      </c>
      <c r="P723" s="55" t="n">
        <f aca="false">IF(07_Licorerias!Q48="","",07_Licorerias!Q48)</f>
        <v>3</v>
      </c>
      <c r="Q723" s="55" t="str">
        <f aca="false">IF(07_Licorerias!R48="","",07_Licorerias!R48)</f>
        <v>Alto</v>
      </c>
      <c r="R723" s="55" t="str">
        <f aca="false">IF(07_Licorerias!S48="","",07_Licorerias!S48)</f>
        <v>Todo el año</v>
      </c>
      <c r="S723" s="55" t="str">
        <f aca="false">IF(07_Licorerias!T48="","",07_Licorerias!T48)</f>
        <v>Licorería</v>
      </c>
      <c r="T723" s="56" t="str">
        <f aca="false">IF(07_Licorerias!U48="","",07_Licorerias!U48)</f>
        <v/>
      </c>
      <c r="U723" s="55" t="n">
        <v>48</v>
      </c>
      <c r="V723" s="55" t="n">
        <f aca="false">IF(AND(OR(LEN(13_Buscador!$C$5)=0,ISNUMBER(SEARCH(13_Buscador!$C$5,$C723&amp;" "&amp;$D723&amp;" "&amp;$E723&amp;" "&amp;$F723&amp;" "&amp;$S723))),OR(13_Buscador!$C$6="Todas las listas",LEN(13_Buscador!$C$6)=0,13_Buscador!$C$6=$B723)),1,0)</f>
        <v>0</v>
      </c>
      <c r="W723" s="55" t="str">
        <f aca="false">IF(V723=1,SUM($V$2:V723),"")</f>
        <v/>
      </c>
    </row>
    <row r="724" customFormat="false" ht="15" hidden="false" customHeight="true" outlineLevel="0" collapsed="false">
      <c r="A724" s="55" t="n">
        <v>723</v>
      </c>
      <c r="B724" s="55" t="s">
        <v>3333</v>
      </c>
      <c r="C724" s="55" t="str">
        <f aca="false">IF(07_Licorerias!B49="","",07_Licorerias!B49)</f>
        <v>Complementos</v>
      </c>
      <c r="D724" s="56" t="str">
        <f aca="false">IF(07_Licorerias!C49="","",07_Licorerias!C49)</f>
        <v>Vasos descartables (50 und)</v>
      </c>
      <c r="E724" s="56" t="str">
        <f aca="false">IF(07_Licorerias!D49="","",07_Licorerias!D49)</f>
        <v>Paquete</v>
      </c>
      <c r="F724" s="56" t="str">
        <f aca="false">IF(07_Licorerias!E49="","",07_Licorerias!E49)</f>
        <v>plásticos o cartón descartable</v>
      </c>
      <c r="G724" s="55" t="str">
        <f aca="false">IF(07_Licorerias!F49="","",07_Licorerias!F49)</f>
        <v>Paquete</v>
      </c>
      <c r="H724" s="55" t="str">
        <f aca="false">IF(07_Licorerias!G49="","",07_Licorerias!G49)</f>
        <v>Económico</v>
      </c>
      <c r="I724" s="58" t="n">
        <f aca="false">IF(07_Licorerias!H49="","",07_Licorerias!H49)</f>
        <v>5</v>
      </c>
      <c r="J724" s="58" t="n">
        <f aca="false">IF(07_Licorerias!I49="","",07_Licorerias!I49)</f>
        <v>12</v>
      </c>
      <c r="K724" s="58" t="n">
        <f aca="false">IF(07_Licorerias!J49="","",07_Licorerias!J49)</f>
        <v>8.5</v>
      </c>
      <c r="L724" s="58" t="n">
        <f aca="false">IF(07_Licorerias!L49="","",07_Licorerias!L49)</f>
        <v>9</v>
      </c>
      <c r="M724" s="58" t="n">
        <f aca="false">IF(07_Licorerias!N49="","",07_Licorerias!N49)</f>
        <v>0.6</v>
      </c>
      <c r="N724" s="58" t="n">
        <f aca="false">IF(07_Licorerias!O49="","",07_Licorerias!O49)</f>
        <v>7.9</v>
      </c>
      <c r="O724" s="55" t="str">
        <f aca="false">IF(07_Licorerias!P49="","",07_Licorerias!P49)</f>
        <v>18:00-23:00</v>
      </c>
      <c r="P724" s="55" t="n">
        <f aca="false">IF(07_Licorerias!Q49="","",07_Licorerias!Q49)</f>
        <v>1</v>
      </c>
      <c r="Q724" s="55" t="str">
        <f aca="false">IF(07_Licorerias!R49="","",07_Licorerias!R49)</f>
        <v>Alto</v>
      </c>
      <c r="R724" s="55" t="str">
        <f aca="false">IF(07_Licorerias!S49="","",07_Licorerias!S49)</f>
        <v>Todo el año</v>
      </c>
      <c r="S724" s="55" t="str">
        <f aca="false">IF(07_Licorerias!T49="","",07_Licorerias!T49)</f>
        <v>Licorería, bodega</v>
      </c>
      <c r="T724" s="56" t="str">
        <f aca="false">IF(07_Licorerias!U49="","",07_Licorerias!U49)</f>
        <v/>
      </c>
      <c r="U724" s="55" t="n">
        <v>49</v>
      </c>
      <c r="V724" s="55" t="n">
        <f aca="false">IF(AND(OR(LEN(13_Buscador!$C$5)=0,ISNUMBER(SEARCH(13_Buscador!$C$5,$C724&amp;" "&amp;$D724&amp;" "&amp;$E724&amp;" "&amp;$F724&amp;" "&amp;$S724))),OR(13_Buscador!$C$6="Todas las listas",LEN(13_Buscador!$C$6)=0,13_Buscador!$C$6=$B724)),1,0)</f>
        <v>0</v>
      </c>
      <c r="W724" s="55" t="str">
        <f aca="false">IF(V724=1,SUM($V$2:V724),"")</f>
        <v/>
      </c>
    </row>
    <row r="725" customFormat="false" ht="15" hidden="false" customHeight="true" outlineLevel="0" collapsed="false">
      <c r="A725" s="55" t="n">
        <v>724</v>
      </c>
      <c r="B725" s="55" t="s">
        <v>3333</v>
      </c>
      <c r="C725" s="55" t="str">
        <f aca="false">IF(07_Licorerias!B50="","",07_Licorerias!B50)</f>
        <v>Complementos</v>
      </c>
      <c r="D725" s="56" t="str">
        <f aca="false">IF(07_Licorerias!C50="","",07_Licorerias!C50)</f>
        <v>Piqueo de licorería</v>
      </c>
      <c r="E725" s="56" t="str">
        <f aca="false">IF(07_Licorerias!D50="","",07_Licorerias!D50)</f>
        <v>Papas, maní, habas</v>
      </c>
      <c r="F725" s="56" t="str">
        <f aca="false">IF(07_Licorerias!E50="","",07_Licorerias!E50)</f>
        <v>surtido de preparaciones de la casa</v>
      </c>
      <c r="G725" s="55" t="str">
        <f aca="false">IF(07_Licorerias!F50="","",07_Licorerias!F50)</f>
        <v>Paquete</v>
      </c>
      <c r="H725" s="55" t="str">
        <f aca="false">IF(07_Licorerias!G50="","",07_Licorerias!G50)</f>
        <v>Económico</v>
      </c>
      <c r="I725" s="58" t="n">
        <f aca="false">IF(07_Licorerias!H50="","",07_Licorerias!H50)</f>
        <v>3</v>
      </c>
      <c r="J725" s="58" t="n">
        <f aca="false">IF(07_Licorerias!I50="","",07_Licorerias!I50)</f>
        <v>10</v>
      </c>
      <c r="K725" s="58" t="n">
        <f aca="false">IF(07_Licorerias!J50="","",07_Licorerias!J50)</f>
        <v>6.5</v>
      </c>
      <c r="L725" s="58" t="n">
        <f aca="false">IF(07_Licorerias!L50="","",07_Licorerias!L50)</f>
        <v>7</v>
      </c>
      <c r="M725" s="58" t="n">
        <f aca="false">IF(07_Licorerias!N50="","",07_Licorerias!N50)</f>
        <v>0.46</v>
      </c>
      <c r="N725" s="58" t="n">
        <f aca="false">IF(07_Licorerias!O50="","",07_Licorerias!O50)</f>
        <v>6.04</v>
      </c>
      <c r="O725" s="55" t="str">
        <f aca="false">IF(07_Licorerias!P50="","",07_Licorerias!P50)</f>
        <v>18:00-23:00</v>
      </c>
      <c r="P725" s="55" t="n">
        <f aca="false">IF(07_Licorerias!Q50="","",07_Licorerias!Q50)</f>
        <v>1</v>
      </c>
      <c r="Q725" s="55" t="str">
        <f aca="false">IF(07_Licorerias!R50="","",07_Licorerias!R50)</f>
        <v>Alto</v>
      </c>
      <c r="R725" s="55" t="str">
        <f aca="false">IF(07_Licorerias!S50="","",07_Licorerias!S50)</f>
        <v>Todo el año</v>
      </c>
      <c r="S725" s="55" t="str">
        <f aca="false">IF(07_Licorerias!T50="","",07_Licorerias!T50)</f>
        <v>Licorería, bodega</v>
      </c>
      <c r="T725" s="56" t="str">
        <f aca="false">IF(07_Licorerias!U50="","",07_Licorerias!U50)</f>
        <v>Upselling natural con la cerveza</v>
      </c>
      <c r="U725" s="55" t="n">
        <v>50</v>
      </c>
      <c r="V725" s="55" t="n">
        <f aca="false">IF(AND(OR(LEN(13_Buscador!$C$5)=0,ISNUMBER(SEARCH(13_Buscador!$C$5,$C725&amp;" "&amp;$D725&amp;" "&amp;$E725&amp;" "&amp;$F725&amp;" "&amp;$S725))),OR(13_Buscador!$C$6="Todas las listas",LEN(13_Buscador!$C$6)=0,13_Buscador!$C$6=$B725)),1,0)</f>
        <v>0</v>
      </c>
      <c r="W725" s="55" t="str">
        <f aca="false">IF(V725=1,SUM($V$2:V725),"")</f>
        <v/>
      </c>
    </row>
    <row r="726" customFormat="false" ht="23.25" hidden="false" customHeight="true" outlineLevel="0" collapsed="false">
      <c r="A726" s="55" t="n">
        <v>725</v>
      </c>
      <c r="B726" s="55" t="s">
        <v>3333</v>
      </c>
      <c r="C726" s="55" t="str">
        <f aca="false">IF(07_Licorerias!B51="","",07_Licorerias!B51)</f>
        <v>Complementos</v>
      </c>
      <c r="D726" s="56" t="str">
        <f aca="false">IF(07_Licorerias!C51="","",07_Licorerias!C51)</f>
        <v>Cigarrillos (cajetilla)</v>
      </c>
      <c r="E726" s="56" t="str">
        <f aca="false">IF(07_Licorerias!D51="","",07_Licorerias!D51)</f>
        <v>Cajetilla</v>
      </c>
      <c r="F726" s="56" t="str">
        <f aca="false">IF(07_Licorerias!E51="","",07_Licorerias!E51)</f>
        <v>tabaco</v>
      </c>
      <c r="G726" s="55" t="str">
        <f aca="false">IF(07_Licorerias!F51="","",07_Licorerias!F51)</f>
        <v>Unidad</v>
      </c>
      <c r="H726" s="55" t="str">
        <f aca="false">IF(07_Licorerias!G51="","",07_Licorerias!G51)</f>
        <v>Económico</v>
      </c>
      <c r="I726" s="58" t="n">
        <f aca="false">IF(07_Licorerias!H51="","",07_Licorerias!H51)</f>
        <v>8</v>
      </c>
      <c r="J726" s="58" t="n">
        <f aca="false">IF(07_Licorerias!I51="","",07_Licorerias!I51)</f>
        <v>18</v>
      </c>
      <c r="K726" s="58" t="n">
        <f aca="false">IF(07_Licorerias!J51="","",07_Licorerias!J51)</f>
        <v>13</v>
      </c>
      <c r="L726" s="58" t="n">
        <f aca="false">IF(07_Licorerias!L51="","",07_Licorerias!L51)</f>
        <v>13.5</v>
      </c>
      <c r="M726" s="58" t="n">
        <f aca="false">IF(07_Licorerias!N51="","",07_Licorerias!N51)</f>
        <v>0.91</v>
      </c>
      <c r="N726" s="58" t="n">
        <f aca="false">IF(07_Licorerias!O51="","",07_Licorerias!O51)</f>
        <v>12.09</v>
      </c>
      <c r="O726" s="55" t="str">
        <f aca="false">IF(07_Licorerias!P51="","",07_Licorerias!P51)</f>
        <v>18:00-23:00</v>
      </c>
      <c r="P726" s="55" t="n">
        <f aca="false">IF(07_Licorerias!Q51="","",07_Licorerias!Q51)</f>
        <v>1</v>
      </c>
      <c r="Q726" s="55" t="str">
        <f aca="false">IF(07_Licorerias!R51="","",07_Licorerias!R51)</f>
        <v>Alto</v>
      </c>
      <c r="R726" s="55" t="str">
        <f aca="false">IF(07_Licorerias!S51="","",07_Licorerias!S51)</f>
        <v>Todo el año</v>
      </c>
      <c r="S726" s="55" t="str">
        <f aca="false">IF(07_Licorerias!T51="","",07_Licorerias!T51)</f>
        <v>Licorería, bodega</v>
      </c>
      <c r="T726" s="56" t="str">
        <f aca="false">IF(07_Licorerias!U51="","",07_Licorerias!U51)</f>
        <v>Venta restringida a mayores de 18; verificar normativa</v>
      </c>
      <c r="U726" s="55" t="n">
        <v>51</v>
      </c>
      <c r="V726" s="55" t="n">
        <f aca="false">IF(AND(OR(LEN(13_Buscador!$C$5)=0,ISNUMBER(SEARCH(13_Buscador!$C$5,$C726&amp;" "&amp;$D726&amp;" "&amp;$E726&amp;" "&amp;$F726&amp;" "&amp;$S726))),OR(13_Buscador!$C$6="Todas las listas",LEN(13_Buscador!$C$6)=0,13_Buscador!$C$6=$B726)),1,0)</f>
        <v>0</v>
      </c>
      <c r="W726" s="55" t="str">
        <f aca="false">IF(V726=1,SUM($V$2:V726),"")</f>
        <v/>
      </c>
    </row>
    <row r="727" customFormat="false" ht="15" hidden="false" customHeight="true" outlineLevel="0" collapsed="false">
      <c r="A727" s="55" t="n">
        <v>726</v>
      </c>
      <c r="B727" s="55" t="s">
        <v>3333</v>
      </c>
      <c r="C727" s="55" t="str">
        <f aca="false">IF(07_Licorerias!B52="","",07_Licorerias!B52)</f>
        <v>Cerveza</v>
      </c>
      <c r="D727" s="56" t="str">
        <f aca="false">IF(07_Licorerias!C52="","",07_Licorerias!C52)</f>
        <v>Cerveza San Juan 650 ml</v>
      </c>
      <c r="E727" s="56" t="str">
        <f aca="false">IF(07_Licorerias!D52="","",07_Licorerias!D52)</f>
        <v>Botella grande</v>
      </c>
      <c r="F727" s="56" t="str">
        <f aca="false">IF(07_Licorerias!E52="","",07_Licorerias!E52)</f>
        <v>cerveza embotellada o en lata</v>
      </c>
      <c r="G727" s="55" t="str">
        <f aca="false">IF(07_Licorerias!F52="","",07_Licorerias!F52)</f>
        <v>Botella</v>
      </c>
      <c r="H727" s="55" t="str">
        <f aca="false">IF(07_Licorerias!G52="","",07_Licorerias!G52)</f>
        <v>Económico</v>
      </c>
      <c r="I727" s="58" t="n">
        <f aca="false">IF(07_Licorerias!H52="","",07_Licorerias!H52)</f>
        <v>7</v>
      </c>
      <c r="J727" s="58" t="n">
        <f aca="false">IF(07_Licorerias!I52="","",07_Licorerias!I52)</f>
        <v>10</v>
      </c>
      <c r="K727" s="58" t="n">
        <f aca="false">IF(07_Licorerias!J52="","",07_Licorerias!J52)</f>
        <v>8.5</v>
      </c>
      <c r="L727" s="58" t="n">
        <f aca="false">IF(07_Licorerias!L52="","",07_Licorerias!L52)</f>
        <v>9</v>
      </c>
      <c r="M727" s="58" t="n">
        <f aca="false">IF(07_Licorerias!N52="","",07_Licorerias!N52)</f>
        <v>0.6</v>
      </c>
      <c r="N727" s="58" t="n">
        <f aca="false">IF(07_Licorerias!O52="","",07_Licorerias!O52)</f>
        <v>7.9</v>
      </c>
      <c r="O727" s="55" t="str">
        <f aca="false">IF(07_Licorerias!P52="","",07_Licorerias!P52)</f>
        <v>18:00-23:00</v>
      </c>
      <c r="P727" s="55" t="n">
        <f aca="false">IF(07_Licorerias!Q52="","",07_Licorerias!Q52)</f>
        <v>1</v>
      </c>
      <c r="Q727" s="55" t="str">
        <f aca="false">IF(07_Licorerias!R52="","",07_Licorerias!R52)</f>
        <v>Alto</v>
      </c>
      <c r="R727" s="55" t="str">
        <f aca="false">IF(07_Licorerias!S52="","",07_Licorerias!S52)</f>
        <v>Todo el año</v>
      </c>
      <c r="S727" s="55" t="str">
        <f aca="false">IF(07_Licorerias!T52="","",07_Licorerias!T52)</f>
        <v>Licorería, bodega</v>
      </c>
      <c r="T727" s="56" t="str">
        <f aca="false">IF(07_Licorerias!U52="","",07_Licorerias!U52)</f>
        <v/>
      </c>
      <c r="U727" s="55" t="n">
        <v>52</v>
      </c>
      <c r="V727" s="55" t="n">
        <f aca="false">IF(AND(OR(LEN(13_Buscador!$C$5)=0,ISNUMBER(SEARCH(13_Buscador!$C$5,$C727&amp;" "&amp;$D727&amp;" "&amp;$E727&amp;" "&amp;$F727&amp;" "&amp;$S727))),OR(13_Buscador!$C$6="Todas las listas",LEN(13_Buscador!$C$6)=0,13_Buscador!$C$6=$B727)),1,0)</f>
        <v>0</v>
      </c>
      <c r="W727" s="55" t="str">
        <f aca="false">IF(V727=1,SUM($V$2:V727),"")</f>
        <v/>
      </c>
    </row>
    <row r="728" customFormat="false" ht="15" hidden="false" customHeight="true" outlineLevel="0" collapsed="false">
      <c r="A728" s="55" t="n">
        <v>727</v>
      </c>
      <c r="B728" s="55" t="s">
        <v>3333</v>
      </c>
      <c r="C728" s="55" t="str">
        <f aca="false">IF(07_Licorerias!B53="","",07_Licorerias!B53)</f>
        <v>Cerveza</v>
      </c>
      <c r="D728" s="56" t="str">
        <f aca="false">IF(07_Licorerias!C53="","",07_Licorerias!C53)</f>
        <v>Cerveza Corona 355 ml</v>
      </c>
      <c r="E728" s="56" t="str">
        <f aca="false">IF(07_Licorerias!D53="","",07_Licorerias!D53)</f>
        <v>Botella importada</v>
      </c>
      <c r="F728" s="56" t="str">
        <f aca="false">IF(07_Licorerias!E53="","",07_Licorerias!E53)</f>
        <v>cerveza embotellada o en lata</v>
      </c>
      <c r="G728" s="55" t="str">
        <f aca="false">IF(07_Licorerias!F53="","",07_Licorerias!F53)</f>
        <v>Botella</v>
      </c>
      <c r="H728" s="55" t="str">
        <f aca="false">IF(07_Licorerias!G53="","",07_Licorerias!G53)</f>
        <v>Estándar</v>
      </c>
      <c r="I728" s="58" t="n">
        <f aca="false">IF(07_Licorerias!H53="","",07_Licorerias!H53)</f>
        <v>8</v>
      </c>
      <c r="J728" s="58" t="n">
        <f aca="false">IF(07_Licorerias!I53="","",07_Licorerias!I53)</f>
        <v>16</v>
      </c>
      <c r="K728" s="58" t="n">
        <f aca="false">IF(07_Licorerias!J53="","",07_Licorerias!J53)</f>
        <v>12</v>
      </c>
      <c r="L728" s="58" t="n">
        <f aca="false">IF(07_Licorerias!L53="","",07_Licorerias!L53)</f>
        <v>12.5</v>
      </c>
      <c r="M728" s="58" t="n">
        <f aca="false">IF(07_Licorerias!N53="","",07_Licorerias!N53)</f>
        <v>1.08</v>
      </c>
      <c r="N728" s="58" t="n">
        <f aca="false">IF(07_Licorerias!O53="","",07_Licorerias!O53)</f>
        <v>10.92</v>
      </c>
      <c r="O728" s="55" t="str">
        <f aca="false">IF(07_Licorerias!P53="","",07_Licorerias!P53)</f>
        <v>18:00-23:00</v>
      </c>
      <c r="P728" s="55" t="n">
        <f aca="false">IF(07_Licorerias!Q53="","",07_Licorerias!Q53)</f>
        <v>1</v>
      </c>
      <c r="Q728" s="55" t="str">
        <f aca="false">IF(07_Licorerias!R53="","",07_Licorerias!R53)</f>
        <v>Alto</v>
      </c>
      <c r="R728" s="55" t="str">
        <f aca="false">IF(07_Licorerias!S53="","",07_Licorerias!S53)</f>
        <v>Todo el año</v>
      </c>
      <c r="S728" s="55" t="str">
        <f aca="false">IF(07_Licorerias!T53="","",07_Licorerias!T53)</f>
        <v>Licorería</v>
      </c>
      <c r="T728" s="56" t="str">
        <f aca="false">IF(07_Licorerias!U53="","",07_Licorerias!U53)</f>
        <v/>
      </c>
      <c r="U728" s="55" t="n">
        <v>53</v>
      </c>
      <c r="V728" s="55" t="n">
        <f aca="false">IF(AND(OR(LEN(13_Buscador!$C$5)=0,ISNUMBER(SEARCH(13_Buscador!$C$5,$C728&amp;" "&amp;$D728&amp;" "&amp;$E728&amp;" "&amp;$F728&amp;" "&amp;$S728))),OR(13_Buscador!$C$6="Todas las listas",LEN(13_Buscador!$C$6)=0,13_Buscador!$C$6=$B728)),1,0)</f>
        <v>0</v>
      </c>
      <c r="W728" s="55" t="str">
        <f aca="false">IF(V728=1,SUM($V$2:V728),"")</f>
        <v/>
      </c>
    </row>
    <row r="729" customFormat="false" ht="15" hidden="false" customHeight="true" outlineLevel="0" collapsed="false">
      <c r="A729" s="55" t="n">
        <v>728</v>
      </c>
      <c r="B729" s="55" t="s">
        <v>3333</v>
      </c>
      <c r="C729" s="55" t="str">
        <f aca="false">IF(07_Licorerias!B54="","",07_Licorerias!B54)</f>
        <v>Cerveza</v>
      </c>
      <c r="D729" s="56" t="str">
        <f aca="false">IF(07_Licorerias!C54="","",07_Licorerias!C54)</f>
        <v>Cerveza negra / malta</v>
      </c>
      <c r="E729" s="56" t="str">
        <f aca="false">IF(07_Licorerias!D54="","",07_Licorerias!D54)</f>
        <v>Botella</v>
      </c>
      <c r="F729" s="56" t="str">
        <f aca="false">IF(07_Licorerias!E54="","",07_Licorerias!E54)</f>
        <v>cerveza embotellada o en lata</v>
      </c>
      <c r="G729" s="55" t="str">
        <f aca="false">IF(07_Licorerias!F54="","",07_Licorerias!F54)</f>
        <v>Botella</v>
      </c>
      <c r="H729" s="55" t="str">
        <f aca="false">IF(07_Licorerias!G54="","",07_Licorerias!G54)</f>
        <v>Económico</v>
      </c>
      <c r="I729" s="58" t="n">
        <f aca="false">IF(07_Licorerias!H54="","",07_Licorerias!H54)</f>
        <v>5</v>
      </c>
      <c r="J729" s="58" t="n">
        <f aca="false">IF(07_Licorerias!I54="","",07_Licorerias!I54)</f>
        <v>10</v>
      </c>
      <c r="K729" s="58" t="n">
        <f aca="false">IF(07_Licorerias!J54="","",07_Licorerias!J54)</f>
        <v>7.5</v>
      </c>
      <c r="L729" s="58" t="n">
        <f aca="false">IF(07_Licorerias!L54="","",07_Licorerias!L54)</f>
        <v>8</v>
      </c>
      <c r="M729" s="58" t="n">
        <f aca="false">IF(07_Licorerias!N54="","",07_Licorerias!N54)</f>
        <v>0.53</v>
      </c>
      <c r="N729" s="58" t="n">
        <f aca="false">IF(07_Licorerias!O54="","",07_Licorerias!O54)</f>
        <v>6.97</v>
      </c>
      <c r="O729" s="55" t="str">
        <f aca="false">IF(07_Licorerias!P54="","",07_Licorerias!P54)</f>
        <v>18:00-23:00</v>
      </c>
      <c r="P729" s="55" t="n">
        <f aca="false">IF(07_Licorerias!Q54="","",07_Licorerias!Q54)</f>
        <v>1</v>
      </c>
      <c r="Q729" s="55" t="str">
        <f aca="false">IF(07_Licorerias!R54="","",07_Licorerias!R54)</f>
        <v>Alto</v>
      </c>
      <c r="R729" s="55" t="str">
        <f aca="false">IF(07_Licorerias!S54="","",07_Licorerias!S54)</f>
        <v>Todo el año</v>
      </c>
      <c r="S729" s="55" t="str">
        <f aca="false">IF(07_Licorerias!T54="","",07_Licorerias!T54)</f>
        <v>Licorería, bodega</v>
      </c>
      <c r="T729" s="56" t="str">
        <f aca="false">IF(07_Licorerias!U54="","",07_Licorerias!U54)</f>
        <v/>
      </c>
      <c r="U729" s="55" t="n">
        <v>54</v>
      </c>
      <c r="V729" s="55" t="n">
        <f aca="false">IF(AND(OR(LEN(13_Buscador!$C$5)=0,ISNUMBER(SEARCH(13_Buscador!$C$5,$C729&amp;" "&amp;$D729&amp;" "&amp;$E729&amp;" "&amp;$F729&amp;" "&amp;$S729))),OR(13_Buscador!$C$6="Todas las listas",LEN(13_Buscador!$C$6)=0,13_Buscador!$C$6=$B729)),1,0)</f>
        <v>0</v>
      </c>
      <c r="W729" s="55" t="str">
        <f aca="false">IF(V729=1,SUM($V$2:V729),"")</f>
        <v/>
      </c>
    </row>
    <row r="730" customFormat="false" ht="15" hidden="false" customHeight="true" outlineLevel="0" collapsed="false">
      <c r="A730" s="55" t="n">
        <v>729</v>
      </c>
      <c r="B730" s="55" t="s">
        <v>3333</v>
      </c>
      <c r="C730" s="55" t="str">
        <f aca="false">IF(07_Licorerias!B55="","",07_Licorerias!B55)</f>
        <v>Cerveza</v>
      </c>
      <c r="D730" s="56" t="str">
        <f aca="false">IF(07_Licorerias!C55="","",07_Licorerias!C55)</f>
        <v>Docena de latas</v>
      </c>
      <c r="E730" s="56" t="str">
        <f aca="false">IF(07_Licorerias!D55="","",07_Licorerias!D55)</f>
        <v>12 latas 355 ml</v>
      </c>
      <c r="F730" s="56" t="str">
        <f aca="false">IF(07_Licorerias!E55="","",07_Licorerias!E55)</f>
        <v>cerveza en lata</v>
      </c>
      <c r="G730" s="55" t="str">
        <f aca="false">IF(07_Licorerias!F55="","",07_Licorerias!F55)</f>
        <v>Pack</v>
      </c>
      <c r="H730" s="55" t="str">
        <f aca="false">IF(07_Licorerias!G55="","",07_Licorerias!G55)</f>
        <v>Medio</v>
      </c>
      <c r="I730" s="58" t="n">
        <f aca="false">IF(07_Licorerias!H55="","",07_Licorerias!H55)</f>
        <v>45</v>
      </c>
      <c r="J730" s="58" t="n">
        <f aca="false">IF(07_Licorerias!I55="","",07_Licorerias!I55)</f>
        <v>80</v>
      </c>
      <c r="K730" s="58" t="n">
        <f aca="false">IF(07_Licorerias!J55="","",07_Licorerias!J55)</f>
        <v>62.5</v>
      </c>
      <c r="L730" s="58" t="n">
        <f aca="false">IF(07_Licorerias!L55="","",07_Licorerias!L55)</f>
        <v>63</v>
      </c>
      <c r="M730" s="58" t="n">
        <f aca="false">IF(07_Licorerias!N55="","",07_Licorerias!N55)</f>
        <v>6.88</v>
      </c>
      <c r="N730" s="58" t="n">
        <f aca="false">IF(07_Licorerias!O55="","",07_Licorerias!O55)</f>
        <v>55.62</v>
      </c>
      <c r="O730" s="55" t="str">
        <f aca="false">IF(07_Licorerias!P55="","",07_Licorerias!P55)</f>
        <v>18:00-23:00</v>
      </c>
      <c r="P730" s="55" t="n">
        <f aca="false">IF(07_Licorerias!Q55="","",07_Licorerias!Q55)</f>
        <v>3</v>
      </c>
      <c r="Q730" s="55" t="str">
        <f aca="false">IF(07_Licorerias!R55="","",07_Licorerias!R55)</f>
        <v>Alto</v>
      </c>
      <c r="R730" s="55" t="str">
        <f aca="false">IF(07_Licorerias!S55="","",07_Licorerias!S55)</f>
        <v>Fin de semana</v>
      </c>
      <c r="S730" s="55" t="str">
        <f aca="false">IF(07_Licorerias!T55="","",07_Licorerias!T55)</f>
        <v>Licorería</v>
      </c>
      <c r="T730" s="56" t="str">
        <f aca="false">IF(07_Licorerias!U55="","",07_Licorerias!U55)</f>
        <v/>
      </c>
      <c r="U730" s="55" t="n">
        <v>55</v>
      </c>
      <c r="V730" s="55" t="n">
        <f aca="false">IF(AND(OR(LEN(13_Buscador!$C$5)=0,ISNUMBER(SEARCH(13_Buscador!$C$5,$C730&amp;" "&amp;$D730&amp;" "&amp;$E730&amp;" "&amp;$F730&amp;" "&amp;$S730))),OR(13_Buscador!$C$6="Todas las listas",LEN(13_Buscador!$C$6)=0,13_Buscador!$C$6=$B730)),1,0)</f>
        <v>0</v>
      </c>
      <c r="W730" s="55" t="str">
        <f aca="false">IF(V730=1,SUM($V$2:V730),"")</f>
        <v/>
      </c>
    </row>
    <row r="731" customFormat="false" ht="15" hidden="false" customHeight="true" outlineLevel="0" collapsed="false">
      <c r="A731" s="55" t="n">
        <v>730</v>
      </c>
      <c r="B731" s="55" t="s">
        <v>3333</v>
      </c>
      <c r="C731" s="55" t="str">
        <f aca="false">IF(07_Licorerias!B56="","",07_Licorerias!B56)</f>
        <v>Pisco y destilados nacionales</v>
      </c>
      <c r="D731" s="56" t="str">
        <f aca="false">IF(07_Licorerias!C56="","",07_Licorerias!C56)</f>
        <v>Pisco mosto verde 750 ml</v>
      </c>
      <c r="E731" s="56" t="str">
        <f aca="false">IF(07_Licorerias!D56="","",07_Licorerias!D56)</f>
        <v>Botella premium</v>
      </c>
      <c r="F731" s="56" t="str">
        <f aca="false">IF(07_Licorerias!E56="","",07_Licorerias!E56)</f>
        <v>pisco de uva (quebranta, italia, acholado o torontel)</v>
      </c>
      <c r="G731" s="55" t="str">
        <f aca="false">IF(07_Licorerias!F56="","",07_Licorerias!F56)</f>
        <v>Botella</v>
      </c>
      <c r="H731" s="55" t="str">
        <f aca="false">IF(07_Licorerias!G56="","",07_Licorerias!G56)</f>
        <v>Premium</v>
      </c>
      <c r="I731" s="58" t="n">
        <f aca="false">IF(07_Licorerias!H56="","",07_Licorerias!H56)</f>
        <v>80</v>
      </c>
      <c r="J731" s="58" t="n">
        <f aca="false">IF(07_Licorerias!I56="","",07_Licorerias!I56)</f>
        <v>180</v>
      </c>
      <c r="K731" s="58" t="n">
        <f aca="false">IF(07_Licorerias!J56="","",07_Licorerias!J56)</f>
        <v>130</v>
      </c>
      <c r="L731" s="58" t="n">
        <f aca="false">IF(07_Licorerias!L56="","",07_Licorerias!L56)</f>
        <v>130.5</v>
      </c>
      <c r="M731" s="58" t="n">
        <f aca="false">IF(07_Licorerias!N56="","",07_Licorerias!N56)</f>
        <v>16.9</v>
      </c>
      <c r="N731" s="58" t="n">
        <f aca="false">IF(07_Licorerias!O56="","",07_Licorerias!O56)</f>
        <v>113.1</v>
      </c>
      <c r="O731" s="55" t="str">
        <f aca="false">IF(07_Licorerias!P56="","",07_Licorerias!P56)</f>
        <v>18:00-23:00</v>
      </c>
      <c r="P731" s="55" t="n">
        <f aca="false">IF(07_Licorerias!Q56="","",07_Licorerias!Q56)</f>
        <v>1</v>
      </c>
      <c r="Q731" s="55" t="str">
        <f aca="false">IF(07_Licorerias!R56="","",07_Licorerias!R56)</f>
        <v>Alto</v>
      </c>
      <c r="R731" s="55" t="str">
        <f aca="false">IF(07_Licorerias!S56="","",07_Licorerias!S56)</f>
        <v>Todo el año</v>
      </c>
      <c r="S731" s="55" t="str">
        <f aca="false">IF(07_Licorerias!T56="","",07_Licorerias!T56)</f>
        <v>Licorería</v>
      </c>
      <c r="T731" s="56" t="str">
        <f aca="false">IF(07_Licorerias!U56="","",07_Licorerias!U56)</f>
        <v/>
      </c>
      <c r="U731" s="55" t="n">
        <v>56</v>
      </c>
      <c r="V731" s="55" t="n">
        <f aca="false">IF(AND(OR(LEN(13_Buscador!$C$5)=0,ISNUMBER(SEARCH(13_Buscador!$C$5,$C731&amp;" "&amp;$D731&amp;" "&amp;$E731&amp;" "&amp;$F731&amp;" "&amp;$S731))),OR(13_Buscador!$C$6="Todas las listas",LEN(13_Buscador!$C$6)=0,13_Buscador!$C$6=$B731)),1,0)</f>
        <v>0</v>
      </c>
      <c r="W731" s="55" t="str">
        <f aca="false">IF(V731=1,SUM($V$2:V731),"")</f>
        <v/>
      </c>
    </row>
    <row r="732" customFormat="false" ht="15" hidden="false" customHeight="true" outlineLevel="0" collapsed="false">
      <c r="A732" s="55" t="n">
        <v>731</v>
      </c>
      <c r="B732" s="55" t="s">
        <v>3333</v>
      </c>
      <c r="C732" s="55" t="str">
        <f aca="false">IF(07_Licorerias!B57="","",07_Licorerias!B57)</f>
        <v>Pisco y destilados nacionales</v>
      </c>
      <c r="D732" s="56" t="str">
        <f aca="false">IF(07_Licorerias!C57="","",07_Licorerias!C57)</f>
        <v>Pisco en petaca 250 ml</v>
      </c>
      <c r="E732" s="56" t="str">
        <f aca="false">IF(07_Licorerias!D57="","",07_Licorerias!D57)</f>
        <v>Presentación pequeña</v>
      </c>
      <c r="F732" s="56" t="str">
        <f aca="false">IF(07_Licorerias!E57="","",07_Licorerias!E57)</f>
        <v>pisco de uva (quebranta, italia, acholado o torontel)</v>
      </c>
      <c r="G732" s="55" t="str">
        <f aca="false">IF(07_Licorerias!F57="","",07_Licorerias!F57)</f>
        <v>Botella</v>
      </c>
      <c r="H732" s="55" t="str">
        <f aca="false">IF(07_Licorerias!G57="","",07_Licorerias!G57)</f>
        <v>Económico</v>
      </c>
      <c r="I732" s="58" t="n">
        <f aca="false">IF(07_Licorerias!H57="","",07_Licorerias!H57)</f>
        <v>10</v>
      </c>
      <c r="J732" s="58" t="n">
        <f aca="false">IF(07_Licorerias!I57="","",07_Licorerias!I57)</f>
        <v>25</v>
      </c>
      <c r="K732" s="58" t="n">
        <f aca="false">IF(07_Licorerias!J57="","",07_Licorerias!J57)</f>
        <v>17.5</v>
      </c>
      <c r="L732" s="58" t="n">
        <f aca="false">IF(07_Licorerias!L57="","",07_Licorerias!L57)</f>
        <v>18</v>
      </c>
      <c r="M732" s="58" t="n">
        <f aca="false">IF(07_Licorerias!N57="","",07_Licorerias!N57)</f>
        <v>1.23</v>
      </c>
      <c r="N732" s="58" t="n">
        <f aca="false">IF(07_Licorerias!O57="","",07_Licorerias!O57)</f>
        <v>16.27</v>
      </c>
      <c r="O732" s="55" t="str">
        <f aca="false">IF(07_Licorerias!P57="","",07_Licorerias!P57)</f>
        <v>18:00-23:00</v>
      </c>
      <c r="P732" s="55" t="n">
        <f aca="false">IF(07_Licorerias!Q57="","",07_Licorerias!Q57)</f>
        <v>1</v>
      </c>
      <c r="Q732" s="55" t="str">
        <f aca="false">IF(07_Licorerias!R57="","",07_Licorerias!R57)</f>
        <v>Alto</v>
      </c>
      <c r="R732" s="55" t="str">
        <f aca="false">IF(07_Licorerias!S57="","",07_Licorerias!S57)</f>
        <v>Todo el año</v>
      </c>
      <c r="S732" s="55" t="str">
        <f aca="false">IF(07_Licorerias!T57="","",07_Licorerias!T57)</f>
        <v>Licorería, bodega</v>
      </c>
      <c r="T732" s="56" t="str">
        <f aca="false">IF(07_Licorerias!U57="","",07_Licorerias!U57)</f>
        <v>Formato de bajo ticket, alta rotación</v>
      </c>
      <c r="U732" s="55" t="n">
        <v>57</v>
      </c>
      <c r="V732" s="55" t="n">
        <f aca="false">IF(AND(OR(LEN(13_Buscador!$C$5)=0,ISNUMBER(SEARCH(13_Buscador!$C$5,$C732&amp;" "&amp;$D732&amp;" "&amp;$E732&amp;" "&amp;$F732&amp;" "&amp;$S732))),OR(13_Buscador!$C$6="Todas las listas",LEN(13_Buscador!$C$6)=0,13_Buscador!$C$6=$B732)),1,0)</f>
        <v>0</v>
      </c>
      <c r="W732" s="55" t="str">
        <f aca="false">IF(V732=1,SUM($V$2:V732),"")</f>
        <v/>
      </c>
    </row>
    <row r="733" customFormat="false" ht="15" hidden="false" customHeight="true" outlineLevel="0" collapsed="false">
      <c r="A733" s="55" t="n">
        <v>732</v>
      </c>
      <c r="B733" s="55" t="s">
        <v>3333</v>
      </c>
      <c r="C733" s="55" t="str">
        <f aca="false">IF(07_Licorerias!B58="","",07_Licorerias!B58)</f>
        <v>Ron y vodka</v>
      </c>
      <c r="D733" s="56" t="str">
        <f aca="false">IF(07_Licorerias!C58="","",07_Licorerias!C58)</f>
        <v>Ron Pomalca / nacional 750 ml</v>
      </c>
      <c r="E733" s="56" t="str">
        <f aca="false">IF(07_Licorerias!D58="","",07_Licorerias!D58)</f>
        <v>Botella</v>
      </c>
      <c r="F733" s="56" t="str">
        <f aca="false">IF(07_Licorerias!E58="","",07_Licorerias!E58)</f>
        <v>ron de caña</v>
      </c>
      <c r="G733" s="55" t="str">
        <f aca="false">IF(07_Licorerias!F58="","",07_Licorerias!F58)</f>
        <v>Botella</v>
      </c>
      <c r="H733" s="55" t="str">
        <f aca="false">IF(07_Licorerias!G58="","",07_Licorerias!G58)</f>
        <v>Económico</v>
      </c>
      <c r="I733" s="58" t="n">
        <f aca="false">IF(07_Licorerias!H58="","",07_Licorerias!H58)</f>
        <v>18</v>
      </c>
      <c r="J733" s="58" t="n">
        <f aca="false">IF(07_Licorerias!I58="","",07_Licorerias!I58)</f>
        <v>35</v>
      </c>
      <c r="K733" s="58" t="n">
        <f aca="false">IF(07_Licorerias!J58="","",07_Licorerias!J58)</f>
        <v>26.5</v>
      </c>
      <c r="L733" s="58" t="n">
        <f aca="false">IF(07_Licorerias!L58="","",07_Licorerias!L58)</f>
        <v>27</v>
      </c>
      <c r="M733" s="58" t="n">
        <f aca="false">IF(07_Licorerias!N58="","",07_Licorerias!N58)</f>
        <v>1.86</v>
      </c>
      <c r="N733" s="58" t="n">
        <f aca="false">IF(07_Licorerias!O58="","",07_Licorerias!O58)</f>
        <v>24.64</v>
      </c>
      <c r="O733" s="55" t="str">
        <f aca="false">IF(07_Licorerias!P58="","",07_Licorerias!P58)</f>
        <v>18:00-23:00</v>
      </c>
      <c r="P733" s="55" t="n">
        <f aca="false">IF(07_Licorerias!Q58="","",07_Licorerias!Q58)</f>
        <v>1</v>
      </c>
      <c r="Q733" s="55" t="str">
        <f aca="false">IF(07_Licorerias!R58="","",07_Licorerias!R58)</f>
        <v>Alto</v>
      </c>
      <c r="R733" s="55" t="str">
        <f aca="false">IF(07_Licorerias!S58="","",07_Licorerias!S58)</f>
        <v>Todo el año</v>
      </c>
      <c r="S733" s="55" t="str">
        <f aca="false">IF(07_Licorerias!T58="","",07_Licorerias!T58)</f>
        <v>Licorería</v>
      </c>
      <c r="T733" s="56" t="str">
        <f aca="false">IF(07_Licorerias!U58="","",07_Licorerias!U58)</f>
        <v/>
      </c>
      <c r="U733" s="55" t="n">
        <v>58</v>
      </c>
      <c r="V733" s="55" t="n">
        <f aca="false">IF(AND(OR(LEN(13_Buscador!$C$5)=0,ISNUMBER(SEARCH(13_Buscador!$C$5,$C733&amp;" "&amp;$D733&amp;" "&amp;$E733&amp;" "&amp;$F733&amp;" "&amp;$S733))),OR(13_Buscador!$C$6="Todas las listas",LEN(13_Buscador!$C$6)=0,13_Buscador!$C$6=$B733)),1,0)</f>
        <v>0</v>
      </c>
      <c r="W733" s="55" t="str">
        <f aca="false">IF(V733=1,SUM($V$2:V733),"")</f>
        <v/>
      </c>
    </row>
    <row r="734" customFormat="false" ht="15" hidden="false" customHeight="true" outlineLevel="0" collapsed="false">
      <c r="A734" s="55" t="n">
        <v>733</v>
      </c>
      <c r="B734" s="55" t="s">
        <v>3333</v>
      </c>
      <c r="C734" s="55" t="str">
        <f aca="false">IF(07_Licorerias!B59="","",07_Licorerias!B59)</f>
        <v>Ron y vodka</v>
      </c>
      <c r="D734" s="56" t="str">
        <f aca="false">IF(07_Licorerias!C59="","",07_Licorerias!C59)</f>
        <v>Gin nacional 750 ml</v>
      </c>
      <c r="E734" s="56" t="str">
        <f aca="false">IF(07_Licorerias!D59="","",07_Licorerias!D59)</f>
        <v>Botella</v>
      </c>
      <c r="F734" s="56" t="str">
        <f aca="false">IF(07_Licorerias!E59="","",07_Licorerias!E59)</f>
        <v>gin</v>
      </c>
      <c r="G734" s="55" t="str">
        <f aca="false">IF(07_Licorerias!F59="","",07_Licorerias!F59)</f>
        <v>Botella</v>
      </c>
      <c r="H734" s="55" t="str">
        <f aca="false">IF(07_Licorerias!G59="","",07_Licorerias!G59)</f>
        <v>Estándar</v>
      </c>
      <c r="I734" s="58" t="n">
        <f aca="false">IF(07_Licorerias!H59="","",07_Licorerias!H59)</f>
        <v>35</v>
      </c>
      <c r="J734" s="58" t="n">
        <f aca="false">IF(07_Licorerias!I59="","",07_Licorerias!I59)</f>
        <v>70</v>
      </c>
      <c r="K734" s="58" t="n">
        <f aca="false">IF(07_Licorerias!J59="","",07_Licorerias!J59)</f>
        <v>52.5</v>
      </c>
      <c r="L734" s="58" t="n">
        <f aca="false">IF(07_Licorerias!L59="","",07_Licorerias!L59)</f>
        <v>53</v>
      </c>
      <c r="M734" s="58" t="n">
        <f aca="false">IF(07_Licorerias!N59="","",07_Licorerias!N59)</f>
        <v>4.73</v>
      </c>
      <c r="N734" s="58" t="n">
        <f aca="false">IF(07_Licorerias!O59="","",07_Licorerias!O59)</f>
        <v>47.77</v>
      </c>
      <c r="O734" s="55" t="str">
        <f aca="false">IF(07_Licorerias!P59="","",07_Licorerias!P59)</f>
        <v>18:00-23:00</v>
      </c>
      <c r="P734" s="55" t="n">
        <f aca="false">IF(07_Licorerias!Q59="","",07_Licorerias!Q59)</f>
        <v>1</v>
      </c>
      <c r="Q734" s="55" t="str">
        <f aca="false">IF(07_Licorerias!R59="","",07_Licorerias!R59)</f>
        <v>Alto</v>
      </c>
      <c r="R734" s="55" t="str">
        <f aca="false">IF(07_Licorerias!S59="","",07_Licorerias!S59)</f>
        <v>Todo el año</v>
      </c>
      <c r="S734" s="55" t="str">
        <f aca="false">IF(07_Licorerias!T59="","",07_Licorerias!T59)</f>
        <v>Licorería</v>
      </c>
      <c r="T734" s="56" t="str">
        <f aca="false">IF(07_Licorerias!U59="","",07_Licorerias!U59)</f>
        <v/>
      </c>
      <c r="U734" s="55" t="n">
        <v>59</v>
      </c>
      <c r="V734" s="55" t="n">
        <f aca="false">IF(AND(OR(LEN(13_Buscador!$C$5)=0,ISNUMBER(SEARCH(13_Buscador!$C$5,$C734&amp;" "&amp;$D734&amp;" "&amp;$E734&amp;" "&amp;$F734&amp;" "&amp;$S734))),OR(13_Buscador!$C$6="Todas las listas",LEN(13_Buscador!$C$6)=0,13_Buscador!$C$6=$B734)),1,0)</f>
        <v>0</v>
      </c>
      <c r="W734" s="55" t="str">
        <f aca="false">IF(V734=1,SUM($V$2:V734),"")</f>
        <v/>
      </c>
    </row>
    <row r="735" customFormat="false" ht="15" hidden="false" customHeight="true" outlineLevel="0" collapsed="false">
      <c r="A735" s="55" t="n">
        <v>734</v>
      </c>
      <c r="B735" s="55" t="s">
        <v>3333</v>
      </c>
      <c r="C735" s="55" t="str">
        <f aca="false">IF(07_Licorerias!B60="","",07_Licorerias!B60)</f>
        <v>Ron y vodka</v>
      </c>
      <c r="D735" s="56" t="str">
        <f aca="false">IF(07_Licorerias!C60="","",07_Licorerias!C60)</f>
        <v>Gin importado 750 ml</v>
      </c>
      <c r="E735" s="56" t="str">
        <f aca="false">IF(07_Licorerias!D60="","",07_Licorerias!D60)</f>
        <v>Botella</v>
      </c>
      <c r="F735" s="56" t="str">
        <f aca="false">IF(07_Licorerias!E60="","",07_Licorerias!E60)</f>
        <v>gin</v>
      </c>
      <c r="G735" s="55" t="str">
        <f aca="false">IF(07_Licorerias!F60="","",07_Licorerias!F60)</f>
        <v>Botella</v>
      </c>
      <c r="H735" s="55" t="str">
        <f aca="false">IF(07_Licorerias!G60="","",07_Licorerias!G60)</f>
        <v>Premium</v>
      </c>
      <c r="I735" s="58" t="n">
        <f aca="false">IF(07_Licorerias!H60="","",07_Licorerias!H60)</f>
        <v>70</v>
      </c>
      <c r="J735" s="58" t="n">
        <f aca="false">IF(07_Licorerias!I60="","",07_Licorerias!I60)</f>
        <v>160</v>
      </c>
      <c r="K735" s="58" t="n">
        <f aca="false">IF(07_Licorerias!J60="","",07_Licorerias!J60)</f>
        <v>115</v>
      </c>
      <c r="L735" s="58" t="n">
        <f aca="false">IF(07_Licorerias!L60="","",07_Licorerias!L60)</f>
        <v>115.5</v>
      </c>
      <c r="M735" s="58" t="n">
        <f aca="false">IF(07_Licorerias!N60="","",07_Licorerias!N60)</f>
        <v>14.95</v>
      </c>
      <c r="N735" s="58" t="n">
        <f aca="false">IF(07_Licorerias!O60="","",07_Licorerias!O60)</f>
        <v>100.05</v>
      </c>
      <c r="O735" s="55" t="str">
        <f aca="false">IF(07_Licorerias!P60="","",07_Licorerias!P60)</f>
        <v>18:00-23:00</v>
      </c>
      <c r="P735" s="55" t="n">
        <f aca="false">IF(07_Licorerias!Q60="","",07_Licorerias!Q60)</f>
        <v>1</v>
      </c>
      <c r="Q735" s="55" t="str">
        <f aca="false">IF(07_Licorerias!R60="","",07_Licorerias!R60)</f>
        <v>Alto</v>
      </c>
      <c r="R735" s="55" t="str">
        <f aca="false">IF(07_Licorerias!S60="","",07_Licorerias!S60)</f>
        <v>Todo el año</v>
      </c>
      <c r="S735" s="55" t="str">
        <f aca="false">IF(07_Licorerias!T60="","",07_Licorerias!T60)</f>
        <v>Licorería</v>
      </c>
      <c r="T735" s="56" t="str">
        <f aca="false">IF(07_Licorerias!U60="","",07_Licorerias!U60)</f>
        <v/>
      </c>
      <c r="U735" s="55" t="n">
        <v>60</v>
      </c>
      <c r="V735" s="55" t="n">
        <f aca="false">IF(AND(OR(LEN(13_Buscador!$C$5)=0,ISNUMBER(SEARCH(13_Buscador!$C$5,$C735&amp;" "&amp;$D735&amp;" "&amp;$E735&amp;" "&amp;$F735&amp;" "&amp;$S735))),OR(13_Buscador!$C$6="Todas las listas",LEN(13_Buscador!$C$6)=0,13_Buscador!$C$6=$B735)),1,0)</f>
        <v>0</v>
      </c>
      <c r="W735" s="55" t="str">
        <f aca="false">IF(V735=1,SUM($V$2:V735),"")</f>
        <v/>
      </c>
    </row>
    <row r="736" customFormat="false" ht="23.25" hidden="false" customHeight="true" outlineLevel="0" collapsed="false">
      <c r="A736" s="55" t="n">
        <v>735</v>
      </c>
      <c r="B736" s="55" t="s">
        <v>3333</v>
      </c>
      <c r="C736" s="55" t="str">
        <f aca="false">IF(07_Licorerias!B61="","",07_Licorerias!B61)</f>
        <v>Whisky</v>
      </c>
      <c r="D736" s="56" t="str">
        <f aca="false">IF(07_Licorerias!C61="","",07_Licorerias!C61)</f>
        <v>Whisky Chivas Regal 12 años 750 ml</v>
      </c>
      <c r="E736" s="56" t="str">
        <f aca="false">IF(07_Licorerias!D61="","",07_Licorerias!D61)</f>
        <v>Botella</v>
      </c>
      <c r="F736" s="56" t="str">
        <f aca="false">IF(07_Licorerias!E61="","",07_Licorerias!E61)</f>
        <v>whisky</v>
      </c>
      <c r="G736" s="55" t="str">
        <f aca="false">IF(07_Licorerias!F61="","",07_Licorerias!F61)</f>
        <v>Botella</v>
      </c>
      <c r="H736" s="55" t="str">
        <f aca="false">IF(07_Licorerias!G61="","",07_Licorerias!G61)</f>
        <v>Premium</v>
      </c>
      <c r="I736" s="58" t="n">
        <f aca="false">IF(07_Licorerias!H61="","",07_Licorerias!H61)</f>
        <v>130</v>
      </c>
      <c r="J736" s="58" t="n">
        <f aca="false">IF(07_Licorerias!I61="","",07_Licorerias!I61)</f>
        <v>250</v>
      </c>
      <c r="K736" s="58" t="n">
        <f aca="false">IF(07_Licorerias!J61="","",07_Licorerias!J61)</f>
        <v>190</v>
      </c>
      <c r="L736" s="58" t="n">
        <f aca="false">IF(07_Licorerias!L61="","",07_Licorerias!L61)</f>
        <v>190.5</v>
      </c>
      <c r="M736" s="58" t="n">
        <f aca="false">IF(07_Licorerias!N61="","",07_Licorerias!N61)</f>
        <v>24.7</v>
      </c>
      <c r="N736" s="58" t="n">
        <f aca="false">IF(07_Licorerias!O61="","",07_Licorerias!O61)</f>
        <v>165.3</v>
      </c>
      <c r="O736" s="55" t="str">
        <f aca="false">IF(07_Licorerias!P61="","",07_Licorerias!P61)</f>
        <v>18:00-23:00</v>
      </c>
      <c r="P736" s="55" t="n">
        <f aca="false">IF(07_Licorerias!Q61="","",07_Licorerias!Q61)</f>
        <v>1</v>
      </c>
      <c r="Q736" s="55" t="str">
        <f aca="false">IF(07_Licorerias!R61="","",07_Licorerias!R61)</f>
        <v>Alto</v>
      </c>
      <c r="R736" s="55" t="str">
        <f aca="false">IF(07_Licorerias!S61="","",07_Licorerias!S61)</f>
        <v>Fiestas</v>
      </c>
      <c r="S736" s="55" t="str">
        <f aca="false">IF(07_Licorerias!T61="","",07_Licorerias!T61)</f>
        <v>Licorería</v>
      </c>
      <c r="T736" s="56" t="str">
        <f aca="false">IF(07_Licorerias!U61="","",07_Licorerias!U61)</f>
        <v>Pico en diciembre y fiestas patronales</v>
      </c>
      <c r="U736" s="55" t="n">
        <v>61</v>
      </c>
      <c r="V736" s="55" t="n">
        <f aca="false">IF(AND(OR(LEN(13_Buscador!$C$5)=0,ISNUMBER(SEARCH(13_Buscador!$C$5,$C736&amp;" "&amp;$D736&amp;" "&amp;$E736&amp;" "&amp;$F736&amp;" "&amp;$S736))),OR(13_Buscador!$C$6="Todas las listas",LEN(13_Buscador!$C$6)=0,13_Buscador!$C$6=$B736)),1,0)</f>
        <v>0</v>
      </c>
      <c r="W736" s="55" t="str">
        <f aca="false">IF(V736=1,SUM($V$2:V736),"")</f>
        <v/>
      </c>
    </row>
    <row r="737" customFormat="false" ht="23.25" hidden="false" customHeight="true" outlineLevel="0" collapsed="false">
      <c r="A737" s="55" t="n">
        <v>736</v>
      </c>
      <c r="B737" s="55" t="s">
        <v>3333</v>
      </c>
      <c r="C737" s="55" t="str">
        <f aca="false">IF(07_Licorerias!B62="","",07_Licorerias!B62)</f>
        <v>Whisky</v>
      </c>
      <c r="D737" s="56" t="str">
        <f aca="false">IF(07_Licorerias!C62="","",07_Licorerias!C62)</f>
        <v>Whisky Old Times / económico 750 ml</v>
      </c>
      <c r="E737" s="56" t="str">
        <f aca="false">IF(07_Licorerias!D62="","",07_Licorerias!D62)</f>
        <v>Botella</v>
      </c>
      <c r="F737" s="56" t="str">
        <f aca="false">IF(07_Licorerias!E62="","",07_Licorerias!E62)</f>
        <v>whisky</v>
      </c>
      <c r="G737" s="55" t="str">
        <f aca="false">IF(07_Licorerias!F62="","",07_Licorerias!F62)</f>
        <v>Botella</v>
      </c>
      <c r="H737" s="55" t="str">
        <f aca="false">IF(07_Licorerias!G62="","",07_Licorerias!G62)</f>
        <v>Estándar</v>
      </c>
      <c r="I737" s="58" t="n">
        <f aca="false">IF(07_Licorerias!H62="","",07_Licorerias!H62)</f>
        <v>25</v>
      </c>
      <c r="J737" s="58" t="n">
        <f aca="false">IF(07_Licorerias!I62="","",07_Licorerias!I62)</f>
        <v>50</v>
      </c>
      <c r="K737" s="58" t="n">
        <f aca="false">IF(07_Licorerias!J62="","",07_Licorerias!J62)</f>
        <v>37.5</v>
      </c>
      <c r="L737" s="58" t="n">
        <f aca="false">IF(07_Licorerias!L62="","",07_Licorerias!L62)</f>
        <v>38</v>
      </c>
      <c r="M737" s="58" t="n">
        <f aca="false">IF(07_Licorerias!N62="","",07_Licorerias!N62)</f>
        <v>3.38</v>
      </c>
      <c r="N737" s="58" t="n">
        <f aca="false">IF(07_Licorerias!O62="","",07_Licorerias!O62)</f>
        <v>34.12</v>
      </c>
      <c r="O737" s="55" t="str">
        <f aca="false">IF(07_Licorerias!P62="","",07_Licorerias!P62)</f>
        <v>18:00-23:00</v>
      </c>
      <c r="P737" s="55" t="n">
        <f aca="false">IF(07_Licorerias!Q62="","",07_Licorerias!Q62)</f>
        <v>1</v>
      </c>
      <c r="Q737" s="55" t="str">
        <f aca="false">IF(07_Licorerias!R62="","",07_Licorerias!R62)</f>
        <v>Alto</v>
      </c>
      <c r="R737" s="55" t="str">
        <f aca="false">IF(07_Licorerias!S62="","",07_Licorerias!S62)</f>
        <v>Todo el año</v>
      </c>
      <c r="S737" s="55" t="str">
        <f aca="false">IF(07_Licorerias!T62="","",07_Licorerias!T62)</f>
        <v>Licorería</v>
      </c>
      <c r="T737" s="56" t="str">
        <f aca="false">IF(07_Licorerias!U62="","",07_Licorerias!U62)</f>
        <v/>
      </c>
      <c r="U737" s="55" t="n">
        <v>62</v>
      </c>
      <c r="V737" s="55" t="n">
        <f aca="false">IF(AND(OR(LEN(13_Buscador!$C$5)=0,ISNUMBER(SEARCH(13_Buscador!$C$5,$C737&amp;" "&amp;$D737&amp;" "&amp;$E737&amp;" "&amp;$F737&amp;" "&amp;$S737))),OR(13_Buscador!$C$6="Todas las listas",LEN(13_Buscador!$C$6)=0,13_Buscador!$C$6=$B737)),1,0)</f>
        <v>0</v>
      </c>
      <c r="W737" s="55" t="str">
        <f aca="false">IF(V737=1,SUM($V$2:V737),"")</f>
        <v/>
      </c>
    </row>
    <row r="738" customFormat="false" ht="15" hidden="false" customHeight="true" outlineLevel="0" collapsed="false">
      <c r="A738" s="55" t="n">
        <v>737</v>
      </c>
      <c r="B738" s="55" t="s">
        <v>3333</v>
      </c>
      <c r="C738" s="55" t="str">
        <f aca="false">IF(07_Licorerias!B63="","",07_Licorerias!B63)</f>
        <v>Vinos</v>
      </c>
      <c r="D738" s="56" t="str">
        <f aca="false">IF(07_Licorerias!C63="","",07_Licorerias!C63)</f>
        <v>Vino Casillero del Diablo 750 ml</v>
      </c>
      <c r="E738" s="56" t="str">
        <f aca="false">IF(07_Licorerias!D63="","",07_Licorerias!D63)</f>
        <v>Tinto importado</v>
      </c>
      <c r="F738" s="56" t="str">
        <f aca="false">IF(07_Licorerias!E63="","",07_Licorerias!E63)</f>
        <v>vino de uva</v>
      </c>
      <c r="G738" s="55" t="str">
        <f aca="false">IF(07_Licorerias!F63="","",07_Licorerias!F63)</f>
        <v>Botella</v>
      </c>
      <c r="H738" s="55" t="str">
        <f aca="false">IF(07_Licorerias!G63="","",07_Licorerias!G63)</f>
        <v>Medio</v>
      </c>
      <c r="I738" s="58" t="n">
        <f aca="false">IF(07_Licorerias!H63="","",07_Licorerias!H63)</f>
        <v>35</v>
      </c>
      <c r="J738" s="58" t="n">
        <f aca="false">IF(07_Licorerias!I63="","",07_Licorerias!I63)</f>
        <v>70</v>
      </c>
      <c r="K738" s="58" t="n">
        <f aca="false">IF(07_Licorerias!J63="","",07_Licorerias!J63)</f>
        <v>52.5</v>
      </c>
      <c r="L738" s="58" t="n">
        <f aca="false">IF(07_Licorerias!L63="","",07_Licorerias!L63)</f>
        <v>53</v>
      </c>
      <c r="M738" s="58" t="n">
        <f aca="false">IF(07_Licorerias!N63="","",07_Licorerias!N63)</f>
        <v>5.78</v>
      </c>
      <c r="N738" s="58" t="n">
        <f aca="false">IF(07_Licorerias!O63="","",07_Licorerias!O63)</f>
        <v>46.72</v>
      </c>
      <c r="O738" s="55" t="str">
        <f aca="false">IF(07_Licorerias!P63="","",07_Licorerias!P63)</f>
        <v>18:00-23:00</v>
      </c>
      <c r="P738" s="55" t="n">
        <f aca="false">IF(07_Licorerias!Q63="","",07_Licorerias!Q63)</f>
        <v>1</v>
      </c>
      <c r="Q738" s="55" t="str">
        <f aca="false">IF(07_Licorerias!R63="","",07_Licorerias!R63)</f>
        <v>Alto</v>
      </c>
      <c r="R738" s="55" t="str">
        <f aca="false">IF(07_Licorerias!S63="","",07_Licorerias!S63)</f>
        <v>Todo el año</v>
      </c>
      <c r="S738" s="55" t="str">
        <f aca="false">IF(07_Licorerias!T63="","",07_Licorerias!T63)</f>
        <v>Licorería</v>
      </c>
      <c r="T738" s="56" t="str">
        <f aca="false">IF(07_Licorerias!U63="","",07_Licorerias!U63)</f>
        <v/>
      </c>
      <c r="U738" s="55" t="n">
        <v>63</v>
      </c>
      <c r="V738" s="55" t="n">
        <f aca="false">IF(AND(OR(LEN(13_Buscador!$C$5)=0,ISNUMBER(SEARCH(13_Buscador!$C$5,$C738&amp;" "&amp;$D738&amp;" "&amp;$E738&amp;" "&amp;$F738&amp;" "&amp;$S738))),OR(13_Buscador!$C$6="Todas las listas",LEN(13_Buscador!$C$6)=0,13_Buscador!$C$6=$B738)),1,0)</f>
        <v>0</v>
      </c>
      <c r="W738" s="55" t="str">
        <f aca="false">IF(V738=1,SUM($V$2:V738),"")</f>
        <v/>
      </c>
    </row>
    <row r="739" customFormat="false" ht="15" hidden="false" customHeight="true" outlineLevel="0" collapsed="false">
      <c r="A739" s="55" t="n">
        <v>738</v>
      </c>
      <c r="B739" s="55" t="s">
        <v>3333</v>
      </c>
      <c r="C739" s="55" t="str">
        <f aca="false">IF(07_Licorerias!B64="","",07_Licorerias!B64)</f>
        <v>Vinos</v>
      </c>
      <c r="D739" s="56" t="str">
        <f aca="false">IF(07_Licorerias!C64="","",07_Licorerias!C64)</f>
        <v>Vino caliente / navegado</v>
      </c>
      <c r="E739" s="56" t="str">
        <f aca="false">IF(07_Licorerias!D64="","",07_Licorerias!D64)</f>
        <v>Preparado caliente</v>
      </c>
      <c r="F739" s="56" t="str">
        <f aca="false">IF(07_Licorerias!E64="","",07_Licorerias!E64)</f>
        <v>vino de uva</v>
      </c>
      <c r="G739" s="55" t="str">
        <f aca="false">IF(07_Licorerias!F64="","",07_Licorerias!F64)</f>
        <v>Vaso</v>
      </c>
      <c r="H739" s="55" t="str">
        <f aca="false">IF(07_Licorerias!G64="","",07_Licorerias!G64)</f>
        <v>Económico</v>
      </c>
      <c r="I739" s="58" t="n">
        <f aca="false">IF(07_Licorerias!H64="","",07_Licorerias!H64)</f>
        <v>6</v>
      </c>
      <c r="J739" s="58" t="n">
        <f aca="false">IF(07_Licorerias!I64="","",07_Licorerias!I64)</f>
        <v>14</v>
      </c>
      <c r="K739" s="58" t="n">
        <f aca="false">IF(07_Licorerias!J64="","",07_Licorerias!J64)</f>
        <v>10</v>
      </c>
      <c r="L739" s="58" t="n">
        <f aca="false">IF(07_Licorerias!L64="","",07_Licorerias!L64)</f>
        <v>10.5</v>
      </c>
      <c r="M739" s="58" t="n">
        <f aca="false">IF(07_Licorerias!N64="","",07_Licorerias!N64)</f>
        <v>0.7</v>
      </c>
      <c r="N739" s="58" t="n">
        <f aca="false">IF(07_Licorerias!O64="","",07_Licorerias!O64)</f>
        <v>9.3</v>
      </c>
      <c r="O739" s="55" t="str">
        <f aca="false">IF(07_Licorerias!P64="","",07_Licorerias!P64)</f>
        <v>18:00-23:00</v>
      </c>
      <c r="P739" s="55" t="n">
        <f aca="false">IF(07_Licorerias!Q64="","",07_Licorerias!Q64)</f>
        <v>8</v>
      </c>
      <c r="Q739" s="55" t="str">
        <f aca="false">IF(07_Licorerias!R64="","",07_Licorerias!R64)</f>
        <v>Medio</v>
      </c>
      <c r="R739" s="55" t="str">
        <f aca="false">IF(07_Licorerias!S64="","",07_Licorerias!S64)</f>
        <v>Mayor demanda en frío</v>
      </c>
      <c r="S739" s="55" t="str">
        <f aca="false">IF(07_Licorerias!T64="","",07_Licorerias!T64)</f>
        <v>Bar, ambulante</v>
      </c>
      <c r="T739" s="56" t="str">
        <f aca="false">IF(07_Licorerias!U64="","",07_Licorerias!U64)</f>
        <v>Muy pedido en noches frías de Puno</v>
      </c>
      <c r="U739" s="55" t="n">
        <v>64</v>
      </c>
      <c r="V739" s="55" t="n">
        <f aca="false">IF(AND(OR(LEN(13_Buscador!$C$5)=0,ISNUMBER(SEARCH(13_Buscador!$C$5,$C739&amp;" "&amp;$D739&amp;" "&amp;$E739&amp;" "&amp;$F739&amp;" "&amp;$S739))),OR(13_Buscador!$C$6="Todas las listas",LEN(13_Buscador!$C$6)=0,13_Buscador!$C$6=$B739)),1,0)</f>
        <v>0</v>
      </c>
      <c r="W739" s="55" t="str">
        <f aca="false">IF(V739=1,SUM($V$2:V739),"")</f>
        <v/>
      </c>
    </row>
    <row r="740" customFormat="false" ht="15" hidden="false" customHeight="true" outlineLevel="0" collapsed="false">
      <c r="A740" s="55" t="n">
        <v>739</v>
      </c>
      <c r="B740" s="55" t="s">
        <v>3333</v>
      </c>
      <c r="C740" s="55" t="str">
        <f aca="false">IF(07_Licorerias!B65="","",07_Licorerias!B65)</f>
        <v>Licores y cremas</v>
      </c>
      <c r="D740" s="56" t="str">
        <f aca="false">IF(07_Licorerias!C65="","",07_Licorerias!C65)</f>
        <v>Licor de sauco / capulí</v>
      </c>
      <c r="E740" s="56" t="str">
        <f aca="false">IF(07_Licorerias!D65="","",07_Licorerias!D65)</f>
        <v>Licor artesanal regional</v>
      </c>
      <c r="F740" s="56" t="str">
        <f aca="false">IF(07_Licorerias!E65="","",07_Licorerias!E65)</f>
        <v>alcohol base, fruta o insumo aromático, azúcar</v>
      </c>
      <c r="G740" s="55" t="str">
        <f aca="false">IF(07_Licorerias!F65="","",07_Licorerias!F65)</f>
        <v>Botella</v>
      </c>
      <c r="H740" s="55" t="str">
        <f aca="false">IF(07_Licorerias!G65="","",07_Licorerias!G65)</f>
        <v>Estándar</v>
      </c>
      <c r="I740" s="58" t="n">
        <f aca="false">IF(07_Licorerias!H65="","",07_Licorerias!H65)</f>
        <v>20</v>
      </c>
      <c r="J740" s="58" t="n">
        <f aca="false">IF(07_Licorerias!I65="","",07_Licorerias!I65)</f>
        <v>50</v>
      </c>
      <c r="K740" s="58" t="n">
        <f aca="false">IF(07_Licorerias!J65="","",07_Licorerias!J65)</f>
        <v>35</v>
      </c>
      <c r="L740" s="58" t="n">
        <f aca="false">IF(07_Licorerias!L65="","",07_Licorerias!L65)</f>
        <v>35.5</v>
      </c>
      <c r="M740" s="58" t="n">
        <f aca="false">IF(07_Licorerias!N65="","",07_Licorerias!N65)</f>
        <v>3.15</v>
      </c>
      <c r="N740" s="58" t="n">
        <f aca="false">IF(07_Licorerias!O65="","",07_Licorerias!O65)</f>
        <v>31.85</v>
      </c>
      <c r="O740" s="55" t="str">
        <f aca="false">IF(07_Licorerias!P65="","",07_Licorerias!P65)</f>
        <v>18:00-23:00</v>
      </c>
      <c r="P740" s="55" t="n">
        <f aca="false">IF(07_Licorerias!Q65="","",07_Licorerias!Q65)</f>
        <v>1</v>
      </c>
      <c r="Q740" s="55" t="str">
        <f aca="false">IF(07_Licorerias!R65="","",07_Licorerias!R65)</f>
        <v>Alto</v>
      </c>
      <c r="R740" s="55" t="str">
        <f aca="false">IF(07_Licorerias!S65="","",07_Licorerias!S65)</f>
        <v>Todo el año</v>
      </c>
      <c r="S740" s="55" t="str">
        <f aca="false">IF(07_Licorerias!T65="","",07_Licorerias!T65)</f>
        <v>Licorería, feria</v>
      </c>
      <c r="T740" s="56" t="str">
        <f aca="false">IF(07_Licorerias!U65="","",07_Licorerias!U65)</f>
        <v/>
      </c>
      <c r="U740" s="55" t="n">
        <v>65</v>
      </c>
      <c r="V740" s="55" t="n">
        <f aca="false">IF(AND(OR(LEN(13_Buscador!$C$5)=0,ISNUMBER(SEARCH(13_Buscador!$C$5,$C740&amp;" "&amp;$D740&amp;" "&amp;$E740&amp;" "&amp;$F740&amp;" "&amp;$S740))),OR(13_Buscador!$C$6="Todas las listas",LEN(13_Buscador!$C$6)=0,13_Buscador!$C$6=$B740)),1,0)</f>
        <v>0</v>
      </c>
      <c r="W740" s="55" t="str">
        <f aca="false">IF(V740=1,SUM($V$2:V740),"")</f>
        <v/>
      </c>
    </row>
    <row r="741" customFormat="false" ht="15" hidden="false" customHeight="true" outlineLevel="0" collapsed="false">
      <c r="A741" s="55" t="n">
        <v>740</v>
      </c>
      <c r="B741" s="55" t="s">
        <v>3333</v>
      </c>
      <c r="C741" s="55" t="str">
        <f aca="false">IF(07_Licorerias!B66="","",07_Licorerias!B66)</f>
        <v>Licores y cremas</v>
      </c>
      <c r="D741" s="56" t="str">
        <f aca="false">IF(07_Licorerias!C66="","",07_Licorerias!C66)</f>
        <v>Aguardiente con hierbas</v>
      </c>
      <c r="E741" s="56" t="str">
        <f aca="false">IF(07_Licorerias!D66="","",07_Licorerias!D66)</f>
        <v>Macerado tradicional</v>
      </c>
      <c r="F741" s="56" t="str">
        <f aca="false">IF(07_Licorerias!E66="","",07_Licorerias!E66)</f>
        <v>aguardiente de caña</v>
      </c>
      <c r="G741" s="55" t="str">
        <f aca="false">IF(07_Licorerias!F66="","",07_Licorerias!F66)</f>
        <v>Botella</v>
      </c>
      <c r="H741" s="55" t="str">
        <f aca="false">IF(07_Licorerias!G66="","",07_Licorerias!G66)</f>
        <v>Económico</v>
      </c>
      <c r="I741" s="58" t="n">
        <f aca="false">IF(07_Licorerias!H66="","",07_Licorerias!H66)</f>
        <v>12</v>
      </c>
      <c r="J741" s="58" t="n">
        <f aca="false">IF(07_Licorerias!I66="","",07_Licorerias!I66)</f>
        <v>30</v>
      </c>
      <c r="K741" s="58" t="n">
        <f aca="false">IF(07_Licorerias!J66="","",07_Licorerias!J66)</f>
        <v>21</v>
      </c>
      <c r="L741" s="58" t="n">
        <f aca="false">IF(07_Licorerias!L66="","",07_Licorerias!L66)</f>
        <v>21.5</v>
      </c>
      <c r="M741" s="58" t="n">
        <f aca="false">IF(07_Licorerias!N66="","",07_Licorerias!N66)</f>
        <v>1.47</v>
      </c>
      <c r="N741" s="58" t="n">
        <f aca="false">IF(07_Licorerias!O66="","",07_Licorerias!O66)</f>
        <v>19.53</v>
      </c>
      <c r="O741" s="55" t="str">
        <f aca="false">IF(07_Licorerias!P66="","",07_Licorerias!P66)</f>
        <v>18:00-23:00</v>
      </c>
      <c r="P741" s="55" t="n">
        <f aca="false">IF(07_Licorerias!Q66="","",07_Licorerias!Q66)</f>
        <v>1</v>
      </c>
      <c r="Q741" s="55" t="str">
        <f aca="false">IF(07_Licorerias!R66="","",07_Licorerias!R66)</f>
        <v>Alto</v>
      </c>
      <c r="R741" s="55" t="str">
        <f aca="false">IF(07_Licorerias!S66="","",07_Licorerias!S66)</f>
        <v>Todo el año</v>
      </c>
      <c r="S741" s="55" t="str">
        <f aca="false">IF(07_Licorerias!T66="","",07_Licorerias!T66)</f>
        <v>Licorería, mercado</v>
      </c>
      <c r="T741" s="56" t="str">
        <f aca="false">IF(07_Licorerias!U66="","",07_Licorerias!U66)</f>
        <v/>
      </c>
      <c r="U741" s="55" t="n">
        <v>66</v>
      </c>
      <c r="V741" s="55" t="n">
        <f aca="false">IF(AND(OR(LEN(13_Buscador!$C$5)=0,ISNUMBER(SEARCH(13_Buscador!$C$5,$C741&amp;" "&amp;$D741&amp;" "&amp;$E741&amp;" "&amp;$F741&amp;" "&amp;$S741))),OR(13_Buscador!$C$6="Todas las listas",LEN(13_Buscador!$C$6)=0,13_Buscador!$C$6=$B741)),1,0)</f>
        <v>0</v>
      </c>
      <c r="W741" s="55" t="str">
        <f aca="false">IF(V741=1,SUM($V$2:V741),"")</f>
        <v/>
      </c>
    </row>
    <row r="742" customFormat="false" ht="23.25" hidden="false" customHeight="true" outlineLevel="0" collapsed="false">
      <c r="A742" s="55" t="n">
        <v>741</v>
      </c>
      <c r="B742" s="55" t="s">
        <v>3333</v>
      </c>
      <c r="C742" s="55" t="str">
        <f aca="false">IF(07_Licorerias!B67="","",07_Licorerias!B67)</f>
        <v>Combos y preparados</v>
      </c>
      <c r="D742" s="56" t="str">
        <f aca="false">IF(07_Licorerias!C67="","",07_Licorerias!C67)</f>
        <v>Combo chilcano (pisco + ginger + limón)</v>
      </c>
      <c r="E742" s="56" t="str">
        <f aca="false">IF(07_Licorerias!D67="","",07_Licorerias!D67)</f>
        <v>Insumos para chilcano</v>
      </c>
      <c r="F742" s="56" t="str">
        <f aca="false">IF(07_Licorerias!E67="","",07_Licorerias!E67)</f>
        <v>pisco de uva (quebranta, italia, acholado o torontel)</v>
      </c>
      <c r="G742" s="55" t="str">
        <f aca="false">IF(07_Licorerias!F67="","",07_Licorerias!F67)</f>
        <v>Combo</v>
      </c>
      <c r="H742" s="55" t="str">
        <f aca="false">IF(07_Licorerias!G67="","",07_Licorerias!G67)</f>
        <v>Estándar</v>
      </c>
      <c r="I742" s="58" t="n">
        <f aca="false">IF(07_Licorerias!H67="","",07_Licorerias!H67)</f>
        <v>35</v>
      </c>
      <c r="J742" s="58" t="n">
        <f aca="false">IF(07_Licorerias!I67="","",07_Licorerias!I67)</f>
        <v>70</v>
      </c>
      <c r="K742" s="58" t="n">
        <f aca="false">IF(07_Licorerias!J67="","",07_Licorerias!J67)</f>
        <v>52.5</v>
      </c>
      <c r="L742" s="58" t="n">
        <f aca="false">IF(07_Licorerias!L67="","",07_Licorerias!L67)</f>
        <v>53</v>
      </c>
      <c r="M742" s="58" t="n">
        <f aca="false">IF(07_Licorerias!N67="","",07_Licorerias!N67)</f>
        <v>4.73</v>
      </c>
      <c r="N742" s="58" t="n">
        <f aca="false">IF(07_Licorerias!O67="","",07_Licorerias!O67)</f>
        <v>47.77</v>
      </c>
      <c r="O742" s="55" t="str">
        <f aca="false">IF(07_Licorerias!P67="","",07_Licorerias!P67)</f>
        <v>18:00-23:00</v>
      </c>
      <c r="P742" s="55" t="n">
        <f aca="false">IF(07_Licorerias!Q67="","",07_Licorerias!Q67)</f>
        <v>5</v>
      </c>
      <c r="Q742" s="55" t="str">
        <f aca="false">IF(07_Licorerias!R67="","",07_Licorerias!R67)</f>
        <v>Alto</v>
      </c>
      <c r="R742" s="55" t="str">
        <f aca="false">IF(07_Licorerias!S67="","",07_Licorerias!S67)</f>
        <v>Todo el año</v>
      </c>
      <c r="S742" s="55" t="str">
        <f aca="false">IF(07_Licorerias!T67="","",07_Licorerias!T67)</f>
        <v>Licorería</v>
      </c>
      <c r="T742" s="56" t="str">
        <f aca="false">IF(07_Licorerias!U67="","",07_Licorerias!U67)</f>
        <v/>
      </c>
      <c r="U742" s="55" t="n">
        <v>67</v>
      </c>
      <c r="V742" s="55" t="n">
        <f aca="false">IF(AND(OR(LEN(13_Buscador!$C$5)=0,ISNUMBER(SEARCH(13_Buscador!$C$5,$C742&amp;" "&amp;$D742&amp;" "&amp;$E742&amp;" "&amp;$F742&amp;" "&amp;$S742))),OR(13_Buscador!$C$6="Todas las listas",LEN(13_Buscador!$C$6)=0,13_Buscador!$C$6=$B742)),1,0)</f>
        <v>0</v>
      </c>
      <c r="W742" s="55" t="str">
        <f aca="false">IF(V742=1,SUM($V$2:V742),"")</f>
        <v/>
      </c>
    </row>
    <row r="743" customFormat="false" ht="15" hidden="false" customHeight="true" outlineLevel="0" collapsed="false">
      <c r="A743" s="55" t="n">
        <v>742</v>
      </c>
      <c r="B743" s="55" t="s">
        <v>3333</v>
      </c>
      <c r="C743" s="55" t="str">
        <f aca="false">IF(07_Licorerias!B68="","",07_Licorerias!B68)</f>
        <v>Combos y preparados</v>
      </c>
      <c r="D743" s="56" t="str">
        <f aca="false">IF(07_Licorerias!C68="","",07_Licorerias!C68)</f>
        <v>Combo ponche caliente</v>
      </c>
      <c r="E743" s="56" t="str">
        <f aca="false">IF(07_Licorerias!D68="","",07_Licorerias!D68)</f>
        <v>Insumos para bebida caliente</v>
      </c>
      <c r="F743" s="56" t="str">
        <f aca="false">IF(07_Licorerias!E68="","",07_Licorerias!E68)</f>
        <v>surtido de los productos que componen el pedido</v>
      </c>
      <c r="G743" s="55" t="str">
        <f aca="false">IF(07_Licorerias!F68="","",07_Licorerias!F68)</f>
        <v>Combo</v>
      </c>
      <c r="H743" s="55" t="str">
        <f aca="false">IF(07_Licorerias!G68="","",07_Licorerias!G68)</f>
        <v>Estándar</v>
      </c>
      <c r="I743" s="58" t="n">
        <f aca="false">IF(07_Licorerias!H68="","",07_Licorerias!H68)</f>
        <v>25</v>
      </c>
      <c r="J743" s="58" t="n">
        <f aca="false">IF(07_Licorerias!I68="","",07_Licorerias!I68)</f>
        <v>50</v>
      </c>
      <c r="K743" s="58" t="n">
        <f aca="false">IF(07_Licorerias!J68="","",07_Licorerias!J68)</f>
        <v>37.5</v>
      </c>
      <c r="L743" s="58" t="n">
        <f aca="false">IF(07_Licorerias!L68="","",07_Licorerias!L68)</f>
        <v>38</v>
      </c>
      <c r="M743" s="58" t="n">
        <f aca="false">IF(07_Licorerias!N68="","",07_Licorerias!N68)</f>
        <v>3.38</v>
      </c>
      <c r="N743" s="58" t="n">
        <f aca="false">IF(07_Licorerias!O68="","",07_Licorerias!O68)</f>
        <v>34.12</v>
      </c>
      <c r="O743" s="55" t="str">
        <f aca="false">IF(07_Licorerias!P68="","",07_Licorerias!P68)</f>
        <v>18:00-23:00</v>
      </c>
      <c r="P743" s="55" t="n">
        <f aca="false">IF(07_Licorerias!Q68="","",07_Licorerias!Q68)</f>
        <v>8</v>
      </c>
      <c r="Q743" s="55" t="str">
        <f aca="false">IF(07_Licorerias!R68="","",07_Licorerias!R68)</f>
        <v>Medio</v>
      </c>
      <c r="R743" s="55" t="str">
        <f aca="false">IF(07_Licorerias!S68="","",07_Licorerias!S68)</f>
        <v>Mayor demanda en frío</v>
      </c>
      <c r="S743" s="55" t="str">
        <f aca="false">IF(07_Licorerias!T68="","",07_Licorerias!T68)</f>
        <v>Licorería</v>
      </c>
      <c r="T743" s="56" t="str">
        <f aca="false">IF(07_Licorerias!U68="","",07_Licorerias!U68)</f>
        <v/>
      </c>
      <c r="U743" s="55" t="n">
        <v>68</v>
      </c>
      <c r="V743" s="55" t="n">
        <f aca="false">IF(AND(OR(LEN(13_Buscador!$C$5)=0,ISNUMBER(SEARCH(13_Buscador!$C$5,$C743&amp;" "&amp;$D743&amp;" "&amp;$E743&amp;" "&amp;$F743&amp;" "&amp;$S743))),OR(13_Buscador!$C$6="Todas las listas",LEN(13_Buscador!$C$6)=0,13_Buscador!$C$6=$B743)),1,0)</f>
        <v>0</v>
      </c>
      <c r="W743" s="55" t="str">
        <f aca="false">IF(V743=1,SUM($V$2:V743),"")</f>
        <v/>
      </c>
    </row>
    <row r="744" customFormat="false" ht="15" hidden="false" customHeight="true" outlineLevel="0" collapsed="false">
      <c r="A744" s="55" t="n">
        <v>743</v>
      </c>
      <c r="B744" s="55" t="s">
        <v>3333</v>
      </c>
      <c r="C744" s="55" t="str">
        <f aca="false">IF(07_Licorerias!B69="","",07_Licorerias!B69)</f>
        <v>Combos y preparados</v>
      </c>
      <c r="D744" s="56" t="str">
        <f aca="false">IF(07_Licorerias!C69="","",07_Licorerias!C69)</f>
        <v>Caja de cerveza + hielo</v>
      </c>
      <c r="E744" s="56" t="str">
        <f aca="false">IF(07_Licorerias!D69="","",07_Licorerias!D69)</f>
        <v>Caja con hielo incluido</v>
      </c>
      <c r="F744" s="56" t="str">
        <f aca="false">IF(07_Licorerias!E69="","",07_Licorerias!E69)</f>
        <v>cerveza embotellada o en lata</v>
      </c>
      <c r="G744" s="55" t="str">
        <f aca="false">IF(07_Licorerias!F69="","",07_Licorerias!F69)</f>
        <v>Combo</v>
      </c>
      <c r="H744" s="55" t="str">
        <f aca="false">IF(07_Licorerias!G69="","",07_Licorerias!G69)</f>
        <v>Premium</v>
      </c>
      <c r="I744" s="58" t="n">
        <f aca="false">IF(07_Licorerias!H69="","",07_Licorerias!H69)</f>
        <v>85</v>
      </c>
      <c r="J744" s="58" t="n">
        <f aca="false">IF(07_Licorerias!I69="","",07_Licorerias!I69)</f>
        <v>140</v>
      </c>
      <c r="K744" s="58" t="n">
        <f aca="false">IF(07_Licorerias!J69="","",07_Licorerias!J69)</f>
        <v>112.5</v>
      </c>
      <c r="L744" s="58" t="n">
        <f aca="false">IF(07_Licorerias!L69="","",07_Licorerias!L69)</f>
        <v>113</v>
      </c>
      <c r="M744" s="58" t="n">
        <f aca="false">IF(07_Licorerias!N69="","",07_Licorerias!N69)</f>
        <v>14.63</v>
      </c>
      <c r="N744" s="58" t="n">
        <f aca="false">IF(07_Licorerias!O69="","",07_Licorerias!O69)</f>
        <v>97.87</v>
      </c>
      <c r="O744" s="55" t="str">
        <f aca="false">IF(07_Licorerias!P69="","",07_Licorerias!P69)</f>
        <v>18:00-23:00</v>
      </c>
      <c r="P744" s="55" t="n">
        <f aca="false">IF(07_Licorerias!Q69="","",07_Licorerias!Q69)</f>
        <v>5</v>
      </c>
      <c r="Q744" s="55" t="str">
        <f aca="false">IF(07_Licorerias!R69="","",07_Licorerias!R69)</f>
        <v>Medio</v>
      </c>
      <c r="R744" s="55" t="str">
        <f aca="false">IF(07_Licorerias!S69="","",07_Licorerias!S69)</f>
        <v>Fin de semana</v>
      </c>
      <c r="S744" s="55" t="str">
        <f aca="false">IF(07_Licorerias!T69="","",07_Licorerias!T69)</f>
        <v>Licorería</v>
      </c>
      <c r="T744" s="56" t="str">
        <f aca="false">IF(07_Licorerias!U69="","",07_Licorerias!U69)</f>
        <v>Entrega máxima 25 minutos por el hielo</v>
      </c>
      <c r="U744" s="55" t="n">
        <v>69</v>
      </c>
      <c r="V744" s="55" t="n">
        <f aca="false">IF(AND(OR(LEN(13_Buscador!$C$5)=0,ISNUMBER(SEARCH(13_Buscador!$C$5,$C744&amp;" "&amp;$D744&amp;" "&amp;$E744&amp;" "&amp;$F744&amp;" "&amp;$S744))),OR(13_Buscador!$C$6="Todas las listas",LEN(13_Buscador!$C$6)=0,13_Buscador!$C$6=$B744)),1,0)</f>
        <v>0</v>
      </c>
      <c r="W744" s="55" t="str">
        <f aca="false">IF(V744=1,SUM($V$2:V744),"")</f>
        <v/>
      </c>
    </row>
    <row r="745" customFormat="false" ht="15" hidden="false" customHeight="true" outlineLevel="0" collapsed="false">
      <c r="A745" s="55" t="n">
        <v>744</v>
      </c>
      <c r="B745" s="55" t="s">
        <v>3333</v>
      </c>
      <c r="C745" s="55" t="str">
        <f aca="false">IF(07_Licorerias!B70="","",07_Licorerias!B70)</f>
        <v>Complementos</v>
      </c>
      <c r="D745" s="56" t="str">
        <f aca="false">IF(07_Licorerias!C70="","",07_Licorerias!C70)</f>
        <v>Hielo en bolsa 5 kg</v>
      </c>
      <c r="E745" s="56" t="str">
        <f aca="false">IF(07_Licorerias!D70="","",07_Licorerias!D70)</f>
        <v>Bolsa grande</v>
      </c>
      <c r="F745" s="56" t="str">
        <f aca="false">IF(07_Licorerias!E70="","",07_Licorerias!E70)</f>
        <v>agua congelada</v>
      </c>
      <c r="G745" s="55" t="str">
        <f aca="false">IF(07_Licorerias!F70="","",07_Licorerias!F70)</f>
        <v>Bolsa</v>
      </c>
      <c r="H745" s="55" t="str">
        <f aca="false">IF(07_Licorerias!G70="","",07_Licorerias!G70)</f>
        <v>Económico</v>
      </c>
      <c r="I745" s="58" t="n">
        <f aca="false">IF(07_Licorerias!H70="","",07_Licorerias!H70)</f>
        <v>6</v>
      </c>
      <c r="J745" s="58" t="n">
        <f aca="false">IF(07_Licorerias!I70="","",07_Licorerias!I70)</f>
        <v>14</v>
      </c>
      <c r="K745" s="58" t="n">
        <f aca="false">IF(07_Licorerias!J70="","",07_Licorerias!J70)</f>
        <v>10</v>
      </c>
      <c r="L745" s="58" t="n">
        <f aca="false">IF(07_Licorerias!L70="","",07_Licorerias!L70)</f>
        <v>10.5</v>
      </c>
      <c r="M745" s="58" t="n">
        <f aca="false">IF(07_Licorerias!N70="","",07_Licorerias!N70)</f>
        <v>0.7</v>
      </c>
      <c r="N745" s="58" t="n">
        <f aca="false">IF(07_Licorerias!O70="","",07_Licorerias!O70)</f>
        <v>9.3</v>
      </c>
      <c r="O745" s="55" t="str">
        <f aca="false">IF(07_Licorerias!P70="","",07_Licorerias!P70)</f>
        <v>18:00-23:00</v>
      </c>
      <c r="P745" s="55" t="n">
        <f aca="false">IF(07_Licorerias!Q70="","",07_Licorerias!Q70)</f>
        <v>1</v>
      </c>
      <c r="Q745" s="55" t="str">
        <f aca="false">IF(07_Licorerias!R70="","",07_Licorerias!R70)</f>
        <v>Bajo</v>
      </c>
      <c r="R745" s="55" t="str">
        <f aca="false">IF(07_Licorerias!S70="","",07_Licorerias!S70)</f>
        <v>Mayor demanda en calor</v>
      </c>
      <c r="S745" s="55" t="str">
        <f aca="false">IF(07_Licorerias!T70="","",07_Licorerias!T70)</f>
        <v>Licorería</v>
      </c>
      <c r="T745" s="56" t="str">
        <f aca="false">IF(07_Licorerias!U70="","",07_Licorerias!U70)</f>
        <v>Se derrite rápido</v>
      </c>
      <c r="U745" s="55" t="n">
        <v>70</v>
      </c>
      <c r="V745" s="55" t="n">
        <f aca="false">IF(AND(OR(LEN(13_Buscador!$C$5)=0,ISNUMBER(SEARCH(13_Buscador!$C$5,$C745&amp;" "&amp;$D745&amp;" "&amp;$E745&amp;" "&amp;$F745&amp;" "&amp;$S745))),OR(13_Buscador!$C$6="Todas las listas",LEN(13_Buscador!$C$6)=0,13_Buscador!$C$6=$B745)),1,0)</f>
        <v>0</v>
      </c>
      <c r="W745" s="55" t="str">
        <f aca="false">IF(V745=1,SUM($V$2:V745),"")</f>
        <v/>
      </c>
    </row>
    <row r="746" customFormat="false" ht="15" hidden="false" customHeight="true" outlineLevel="0" collapsed="false">
      <c r="A746" s="55" t="n">
        <v>745</v>
      </c>
      <c r="B746" s="55" t="s">
        <v>3333</v>
      </c>
      <c r="C746" s="55" t="str">
        <f aca="false">IF(07_Licorerias!B71="","",07_Licorerias!B71)</f>
        <v>Complementos</v>
      </c>
      <c r="D746" s="56" t="str">
        <f aca="false">IF(07_Licorerias!C71="","",07_Licorerias!C71)</f>
        <v>Snacks importados</v>
      </c>
      <c r="E746" s="56" t="str">
        <f aca="false">IF(07_Licorerias!D71="","",07_Licorerias!D71)</f>
        <v>Papas, doritos</v>
      </c>
      <c r="F746" s="56" t="str">
        <f aca="false">IF(07_Licorerias!E71="","",07_Licorerias!E71)</f>
        <v>snack envasado de marca</v>
      </c>
      <c r="G746" s="55" t="str">
        <f aca="false">IF(07_Licorerias!F71="","",07_Licorerias!F71)</f>
        <v>Paquete</v>
      </c>
      <c r="H746" s="55" t="str">
        <f aca="false">IF(07_Licorerias!G71="","",07_Licorerias!G71)</f>
        <v>Económico</v>
      </c>
      <c r="I746" s="58" t="n">
        <f aca="false">IF(07_Licorerias!H71="","",07_Licorerias!H71)</f>
        <v>4</v>
      </c>
      <c r="J746" s="58" t="n">
        <f aca="false">IF(07_Licorerias!I71="","",07_Licorerias!I71)</f>
        <v>12</v>
      </c>
      <c r="K746" s="58" t="n">
        <f aca="false">IF(07_Licorerias!J71="","",07_Licorerias!J71)</f>
        <v>8</v>
      </c>
      <c r="L746" s="58" t="n">
        <f aca="false">IF(07_Licorerias!L71="","",07_Licorerias!L71)</f>
        <v>8.5</v>
      </c>
      <c r="M746" s="58" t="n">
        <f aca="false">IF(07_Licorerias!N71="","",07_Licorerias!N71)</f>
        <v>0.56</v>
      </c>
      <c r="N746" s="58" t="n">
        <f aca="false">IF(07_Licorerias!O71="","",07_Licorerias!O71)</f>
        <v>7.44</v>
      </c>
      <c r="O746" s="55" t="str">
        <f aca="false">IF(07_Licorerias!P71="","",07_Licorerias!P71)</f>
        <v>18:00-23:00</v>
      </c>
      <c r="P746" s="55" t="n">
        <f aca="false">IF(07_Licorerias!Q71="","",07_Licorerias!Q71)</f>
        <v>1</v>
      </c>
      <c r="Q746" s="55" t="str">
        <f aca="false">IF(07_Licorerias!R71="","",07_Licorerias!R71)</f>
        <v>Alto</v>
      </c>
      <c r="R746" s="55" t="str">
        <f aca="false">IF(07_Licorerias!S71="","",07_Licorerias!S71)</f>
        <v>Todo el año</v>
      </c>
      <c r="S746" s="55" t="str">
        <f aca="false">IF(07_Licorerias!T71="","",07_Licorerias!T71)</f>
        <v>Licorería, bodega</v>
      </c>
      <c r="T746" s="56" t="str">
        <f aca="false">IF(07_Licorerias!U71="","",07_Licorerias!U71)</f>
        <v/>
      </c>
      <c r="U746" s="55" t="n">
        <v>71</v>
      </c>
      <c r="V746" s="55" t="n">
        <f aca="false">IF(AND(OR(LEN(13_Buscador!$C$5)=0,ISNUMBER(SEARCH(13_Buscador!$C$5,$C746&amp;" "&amp;$D746&amp;" "&amp;$E746&amp;" "&amp;$F746&amp;" "&amp;$S746))),OR(13_Buscador!$C$6="Todas las listas",LEN(13_Buscador!$C$6)=0,13_Buscador!$C$6=$B746)),1,0)</f>
        <v>0</v>
      </c>
      <c r="W746" s="55" t="str">
        <f aca="false">IF(V746=1,SUM($V$2:V746),"")</f>
        <v/>
      </c>
    </row>
    <row r="747" customFormat="false" ht="15" hidden="false" customHeight="true" outlineLevel="0" collapsed="false">
      <c r="A747" s="55" t="n">
        <v>746</v>
      </c>
      <c r="B747" s="55" t="s">
        <v>3333</v>
      </c>
      <c r="C747" s="55" t="str">
        <f aca="false">IF(07_Licorerias!B72="","",07_Licorerias!B72)</f>
        <v>Complementos</v>
      </c>
      <c r="D747" s="56" t="str">
        <f aca="false">IF(07_Licorerias!C72="","",07_Licorerias!C72)</f>
        <v>Energizante (Red Bull / Volt)</v>
      </c>
      <c r="E747" s="56" t="str">
        <f aca="false">IF(07_Licorerias!D72="","",07_Licorerias!D72)</f>
        <v>Lata</v>
      </c>
      <c r="F747" s="56" t="str">
        <f aca="false">IF(07_Licorerias!E72="","",07_Licorerias!E72)</f>
        <v>producto embotellado de marca</v>
      </c>
      <c r="G747" s="55" t="str">
        <f aca="false">IF(07_Licorerias!F72="","",07_Licorerias!F72)</f>
        <v>Lata</v>
      </c>
      <c r="H747" s="55" t="str">
        <f aca="false">IF(07_Licorerias!G72="","",07_Licorerias!G72)</f>
        <v>Económico</v>
      </c>
      <c r="I747" s="58" t="n">
        <f aca="false">IF(07_Licorerias!H72="","",07_Licorerias!H72)</f>
        <v>4</v>
      </c>
      <c r="J747" s="58" t="n">
        <f aca="false">IF(07_Licorerias!I72="","",07_Licorerias!I72)</f>
        <v>10</v>
      </c>
      <c r="K747" s="58" t="n">
        <f aca="false">IF(07_Licorerias!J72="","",07_Licorerias!J72)</f>
        <v>7</v>
      </c>
      <c r="L747" s="58" t="n">
        <f aca="false">IF(07_Licorerias!L72="","",07_Licorerias!L72)</f>
        <v>7.5</v>
      </c>
      <c r="M747" s="58" t="n">
        <f aca="false">IF(07_Licorerias!N72="","",07_Licorerias!N72)</f>
        <v>0.49</v>
      </c>
      <c r="N747" s="58" t="n">
        <f aca="false">IF(07_Licorerias!O72="","",07_Licorerias!O72)</f>
        <v>6.51</v>
      </c>
      <c r="O747" s="55" t="str">
        <f aca="false">IF(07_Licorerias!P72="","",07_Licorerias!P72)</f>
        <v>18:00-02:00</v>
      </c>
      <c r="P747" s="55" t="n">
        <f aca="false">IF(07_Licorerias!Q72="","",07_Licorerias!Q72)</f>
        <v>1</v>
      </c>
      <c r="Q747" s="55" t="str">
        <f aca="false">IF(07_Licorerias!R72="","",07_Licorerias!R72)</f>
        <v>Alto</v>
      </c>
      <c r="R747" s="55" t="str">
        <f aca="false">IF(07_Licorerias!S72="","",07_Licorerias!S72)</f>
        <v>Fin de semana</v>
      </c>
      <c r="S747" s="55" t="str">
        <f aca="false">IF(07_Licorerias!T72="","",07_Licorerias!T72)</f>
        <v>Licorería, bodega</v>
      </c>
      <c r="T747" s="56" t="str">
        <f aca="false">IF(07_Licorerias!U72="","",07_Licorerias!U72)</f>
        <v>Se pide junto con licor</v>
      </c>
      <c r="U747" s="55" t="n">
        <v>72</v>
      </c>
      <c r="V747" s="55" t="n">
        <f aca="false">IF(AND(OR(LEN(13_Buscador!$C$5)=0,ISNUMBER(SEARCH(13_Buscador!$C$5,$C747&amp;" "&amp;$D747&amp;" "&amp;$E747&amp;" "&amp;$F747&amp;" "&amp;$S747))),OR(13_Buscador!$C$6="Todas las listas",LEN(13_Buscador!$C$6)=0,13_Buscador!$C$6=$B747)),1,0)</f>
        <v>0</v>
      </c>
      <c r="W747" s="55" t="str">
        <f aca="false">IF(V747=1,SUM($V$2:V747),"")</f>
        <v/>
      </c>
    </row>
    <row r="748" customFormat="false" ht="15" hidden="false" customHeight="true" outlineLevel="0" collapsed="false">
      <c r="A748" s="55" t="n">
        <v>747</v>
      </c>
      <c r="B748" s="55" t="s">
        <v>3333</v>
      </c>
      <c r="C748" s="55" t="str">
        <f aca="false">IF(07_Licorerias!B73="","",07_Licorerias!B73)</f>
        <v>Complementos</v>
      </c>
      <c r="D748" s="56" t="str">
        <f aca="false">IF(07_Licorerias!C73="","",07_Licorerias!C73)</f>
        <v>Descartables para fiesta</v>
      </c>
      <c r="E748" s="56" t="str">
        <f aca="false">IF(07_Licorerias!D73="","",07_Licorerias!D73)</f>
        <v>Platos, vasos, servilletas</v>
      </c>
      <c r="F748" s="56" t="str">
        <f aca="false">IF(07_Licorerias!E73="","",07_Licorerias!E73)</f>
        <v>plásticos o cartón descartable</v>
      </c>
      <c r="G748" s="55" t="str">
        <f aca="false">IF(07_Licorerias!F73="","",07_Licorerias!F73)</f>
        <v>Paquete</v>
      </c>
      <c r="H748" s="55" t="str">
        <f aca="false">IF(07_Licorerias!G73="","",07_Licorerias!G73)</f>
        <v>Económico</v>
      </c>
      <c r="I748" s="58" t="n">
        <f aca="false">IF(07_Licorerias!H73="","",07_Licorerias!H73)</f>
        <v>8</v>
      </c>
      <c r="J748" s="58" t="n">
        <f aca="false">IF(07_Licorerias!I73="","",07_Licorerias!I73)</f>
        <v>20</v>
      </c>
      <c r="K748" s="58" t="n">
        <f aca="false">IF(07_Licorerias!J73="","",07_Licorerias!J73)</f>
        <v>14</v>
      </c>
      <c r="L748" s="58" t="n">
        <f aca="false">IF(07_Licorerias!L73="","",07_Licorerias!L73)</f>
        <v>14.5</v>
      </c>
      <c r="M748" s="58" t="n">
        <f aca="false">IF(07_Licorerias!N73="","",07_Licorerias!N73)</f>
        <v>0.98</v>
      </c>
      <c r="N748" s="58" t="n">
        <f aca="false">IF(07_Licorerias!O73="","",07_Licorerias!O73)</f>
        <v>13.02</v>
      </c>
      <c r="O748" s="55" t="str">
        <f aca="false">IF(07_Licorerias!P73="","",07_Licorerias!P73)</f>
        <v>18:00-23:00</v>
      </c>
      <c r="P748" s="55" t="n">
        <f aca="false">IF(07_Licorerias!Q73="","",07_Licorerias!Q73)</f>
        <v>2</v>
      </c>
      <c r="Q748" s="55" t="str">
        <f aca="false">IF(07_Licorerias!R73="","",07_Licorerias!R73)</f>
        <v>Alto</v>
      </c>
      <c r="R748" s="55" t="str">
        <f aca="false">IF(07_Licorerias!S73="","",07_Licorerias!S73)</f>
        <v>Fin de semana</v>
      </c>
      <c r="S748" s="55" t="str">
        <f aca="false">IF(07_Licorerias!T73="","",07_Licorerias!T73)</f>
        <v>Bodega</v>
      </c>
      <c r="T748" s="56" t="str">
        <f aca="false">IF(07_Licorerias!U73="","",07_Licorerias!U73)</f>
        <v/>
      </c>
      <c r="U748" s="55" t="n">
        <v>73</v>
      </c>
      <c r="V748" s="55" t="n">
        <f aca="false">IF(AND(OR(LEN(13_Buscador!$C$5)=0,ISNUMBER(SEARCH(13_Buscador!$C$5,$C748&amp;" "&amp;$D748&amp;" "&amp;$E748&amp;" "&amp;$F748&amp;" "&amp;$S748))),OR(13_Buscador!$C$6="Todas las listas",LEN(13_Buscador!$C$6)=0,13_Buscador!$C$6=$B748)),1,0)</f>
        <v>0</v>
      </c>
      <c r="W748" s="55" t="str">
        <f aca="false">IF(V748=1,SUM($V$2:V748),"")</f>
        <v/>
      </c>
    </row>
    <row r="749" customFormat="false" ht="15" hidden="false" customHeight="true" outlineLevel="0" collapsed="false">
      <c r="A749" s="55" t="n">
        <v>748</v>
      </c>
      <c r="B749" s="55" t="s">
        <v>3333</v>
      </c>
      <c r="C749" s="55" t="str">
        <f aca="false">IF(07_Licorerias!B74="","",07_Licorerias!B74)</f>
        <v>Cerveza</v>
      </c>
      <c r="D749" s="56" t="str">
        <f aca="false">IF(07_Licorerias!C74="","",07_Licorerias!C74)</f>
        <v>Cerveza Pilsen 355 ml lata</v>
      </c>
      <c r="E749" s="56" t="str">
        <f aca="false">IF(07_Licorerias!D74="","",07_Licorerias!D74)</f>
        <v>Lata individual</v>
      </c>
      <c r="F749" s="56" t="str">
        <f aca="false">IF(07_Licorerias!E74="","",07_Licorerias!E74)</f>
        <v>cerveza embotellada o en lata</v>
      </c>
      <c r="G749" s="55" t="str">
        <f aca="false">IF(07_Licorerias!F74="","",07_Licorerias!F74)</f>
        <v>Lata</v>
      </c>
      <c r="H749" s="55" t="str">
        <f aca="false">IF(07_Licorerias!G74="","",07_Licorerias!G74)</f>
        <v>Económico</v>
      </c>
      <c r="I749" s="58" t="n">
        <f aca="false">IF(07_Licorerias!H74="","",07_Licorerias!H74)</f>
        <v>4</v>
      </c>
      <c r="J749" s="58" t="n">
        <f aca="false">IF(07_Licorerias!I74="","",07_Licorerias!I74)</f>
        <v>7</v>
      </c>
      <c r="K749" s="58" t="n">
        <f aca="false">IF(07_Licorerias!J74="","",07_Licorerias!J74)</f>
        <v>5.5</v>
      </c>
      <c r="L749" s="58" t="n">
        <f aca="false">IF(07_Licorerias!L74="","",07_Licorerias!L74)</f>
        <v>6</v>
      </c>
      <c r="M749" s="58" t="n">
        <f aca="false">IF(07_Licorerias!N74="","",07_Licorerias!N74)</f>
        <v>0.39</v>
      </c>
      <c r="N749" s="58" t="n">
        <f aca="false">IF(07_Licorerias!O74="","",07_Licorerias!O74)</f>
        <v>5.11</v>
      </c>
      <c r="O749" s="55" t="str">
        <f aca="false">IF(07_Licorerias!P74="","",07_Licorerias!P74)</f>
        <v>18:00-23:00</v>
      </c>
      <c r="P749" s="55" t="n">
        <f aca="false">IF(07_Licorerias!Q74="","",07_Licorerias!Q74)</f>
        <v>1</v>
      </c>
      <c r="Q749" s="55" t="str">
        <f aca="false">IF(07_Licorerias!R74="","",07_Licorerias!R74)</f>
        <v>Alto</v>
      </c>
      <c r="R749" s="55" t="str">
        <f aca="false">IF(07_Licorerias!S74="","",07_Licorerias!S74)</f>
        <v>Todo el año</v>
      </c>
      <c r="S749" s="55" t="str">
        <f aca="false">IF(07_Licorerias!T74="","",07_Licorerias!T74)</f>
        <v>Licorería, bodega</v>
      </c>
      <c r="T749" s="56" t="str">
        <f aca="false">IF(07_Licorerias!U74="","",07_Licorerias!U74)</f>
        <v/>
      </c>
      <c r="U749" s="55" t="n">
        <v>74</v>
      </c>
      <c r="V749" s="55" t="n">
        <f aca="false">IF(AND(OR(LEN(13_Buscador!$C$5)=0,ISNUMBER(SEARCH(13_Buscador!$C$5,$C749&amp;" "&amp;$D749&amp;" "&amp;$E749&amp;" "&amp;$F749&amp;" "&amp;$S749))),OR(13_Buscador!$C$6="Todas las listas",LEN(13_Buscador!$C$6)=0,13_Buscador!$C$6=$B749)),1,0)</f>
        <v>0</v>
      </c>
      <c r="W749" s="55" t="str">
        <f aca="false">IF(V749=1,SUM($V$2:V749),"")</f>
        <v/>
      </c>
    </row>
    <row r="750" customFormat="false" ht="15" hidden="false" customHeight="true" outlineLevel="0" collapsed="false">
      <c r="A750" s="55" t="n">
        <v>749</v>
      </c>
      <c r="B750" s="55" t="s">
        <v>3333</v>
      </c>
      <c r="C750" s="55" t="str">
        <f aca="false">IF(07_Licorerias!B75="","",07_Licorerias!B75)</f>
        <v>Cerveza</v>
      </c>
      <c r="D750" s="56" t="str">
        <f aca="false">IF(07_Licorerias!C75="","",07_Licorerias!C75)</f>
        <v>Cerveza Cusqueña de trigo</v>
      </c>
      <c r="E750" s="56" t="str">
        <f aca="false">IF(07_Licorerias!D75="","",07_Licorerias!D75)</f>
        <v>Variedad de trigo</v>
      </c>
      <c r="F750" s="56" t="str">
        <f aca="false">IF(07_Licorerias!E75="","",07_Licorerias!E75)</f>
        <v>cerveza embotellada o en lata</v>
      </c>
      <c r="G750" s="55" t="str">
        <f aca="false">IF(07_Licorerias!F75="","",07_Licorerias!F75)</f>
        <v>Botella</v>
      </c>
      <c r="H750" s="55" t="str">
        <f aca="false">IF(07_Licorerias!G75="","",07_Licorerias!G75)</f>
        <v>Estándar</v>
      </c>
      <c r="I750" s="58" t="n">
        <f aca="false">IF(07_Licorerias!H75="","",07_Licorerias!H75)</f>
        <v>8</v>
      </c>
      <c r="J750" s="58" t="n">
        <f aca="false">IF(07_Licorerias!I75="","",07_Licorerias!I75)</f>
        <v>15</v>
      </c>
      <c r="K750" s="58" t="n">
        <f aca="false">IF(07_Licorerias!J75="","",07_Licorerias!J75)</f>
        <v>11.5</v>
      </c>
      <c r="L750" s="58" t="n">
        <f aca="false">IF(07_Licorerias!L75="","",07_Licorerias!L75)</f>
        <v>12</v>
      </c>
      <c r="M750" s="58" t="n">
        <f aca="false">IF(07_Licorerias!N75="","",07_Licorerias!N75)</f>
        <v>1.04</v>
      </c>
      <c r="N750" s="58" t="n">
        <f aca="false">IF(07_Licorerias!O75="","",07_Licorerias!O75)</f>
        <v>10.46</v>
      </c>
      <c r="O750" s="55" t="str">
        <f aca="false">IF(07_Licorerias!P75="","",07_Licorerias!P75)</f>
        <v>18:00-23:00</v>
      </c>
      <c r="P750" s="55" t="n">
        <f aca="false">IF(07_Licorerias!Q75="","",07_Licorerias!Q75)</f>
        <v>1</v>
      </c>
      <c r="Q750" s="55" t="str">
        <f aca="false">IF(07_Licorerias!R75="","",07_Licorerias!R75)</f>
        <v>Alto</v>
      </c>
      <c r="R750" s="55" t="str">
        <f aca="false">IF(07_Licorerias!S75="","",07_Licorerias!S75)</f>
        <v>Todo el año</v>
      </c>
      <c r="S750" s="55" t="str">
        <f aca="false">IF(07_Licorerias!T75="","",07_Licorerias!T75)</f>
        <v>Licorería</v>
      </c>
      <c r="T750" s="56" t="str">
        <f aca="false">IF(07_Licorerias!U75="","",07_Licorerias!U75)</f>
        <v/>
      </c>
      <c r="U750" s="55" t="n">
        <v>75</v>
      </c>
      <c r="V750" s="55" t="n">
        <f aca="false">IF(AND(OR(LEN(13_Buscador!$C$5)=0,ISNUMBER(SEARCH(13_Buscador!$C$5,$C750&amp;" "&amp;$D750&amp;" "&amp;$E750&amp;" "&amp;$F750&amp;" "&amp;$S750))),OR(13_Buscador!$C$6="Todas las listas",LEN(13_Buscador!$C$6)=0,13_Buscador!$C$6=$B750)),1,0)</f>
        <v>0</v>
      </c>
      <c r="W750" s="55" t="str">
        <f aca="false">IF(V750=1,SUM($V$2:V750),"")</f>
        <v/>
      </c>
    </row>
    <row r="751" customFormat="false" ht="15" hidden="false" customHeight="true" outlineLevel="0" collapsed="false">
      <c r="A751" s="55" t="n">
        <v>750</v>
      </c>
      <c r="B751" s="55" t="s">
        <v>3333</v>
      </c>
      <c r="C751" s="55" t="str">
        <f aca="false">IF(07_Licorerias!B76="","",07_Licorerias!B76)</f>
        <v>Cerveza</v>
      </c>
      <c r="D751" s="56" t="str">
        <f aca="false">IF(07_Licorerias!C76="","",07_Licorerias!C76)</f>
        <v>Cerveza Cusqueña negra</v>
      </c>
      <c r="E751" s="56" t="str">
        <f aca="false">IF(07_Licorerias!D76="","",07_Licorerias!D76)</f>
        <v>Variedad negra</v>
      </c>
      <c r="F751" s="56" t="str">
        <f aca="false">IF(07_Licorerias!E76="","",07_Licorerias!E76)</f>
        <v>cerveza embotellada o en lata</v>
      </c>
      <c r="G751" s="55" t="str">
        <f aca="false">IF(07_Licorerias!F76="","",07_Licorerias!F76)</f>
        <v>Botella</v>
      </c>
      <c r="H751" s="55" t="str">
        <f aca="false">IF(07_Licorerias!G76="","",07_Licorerias!G76)</f>
        <v>Estándar</v>
      </c>
      <c r="I751" s="58" t="n">
        <f aca="false">IF(07_Licorerias!H76="","",07_Licorerias!H76)</f>
        <v>8</v>
      </c>
      <c r="J751" s="58" t="n">
        <f aca="false">IF(07_Licorerias!I76="","",07_Licorerias!I76)</f>
        <v>15</v>
      </c>
      <c r="K751" s="58" t="n">
        <f aca="false">IF(07_Licorerias!J76="","",07_Licorerias!J76)</f>
        <v>11.5</v>
      </c>
      <c r="L751" s="58" t="n">
        <f aca="false">IF(07_Licorerias!L76="","",07_Licorerias!L76)</f>
        <v>12</v>
      </c>
      <c r="M751" s="58" t="n">
        <f aca="false">IF(07_Licorerias!N76="","",07_Licorerias!N76)</f>
        <v>1.04</v>
      </c>
      <c r="N751" s="58" t="n">
        <f aca="false">IF(07_Licorerias!O76="","",07_Licorerias!O76)</f>
        <v>10.46</v>
      </c>
      <c r="O751" s="55" t="str">
        <f aca="false">IF(07_Licorerias!P76="","",07_Licorerias!P76)</f>
        <v>18:00-23:00</v>
      </c>
      <c r="P751" s="55" t="n">
        <f aca="false">IF(07_Licorerias!Q76="","",07_Licorerias!Q76)</f>
        <v>1</v>
      </c>
      <c r="Q751" s="55" t="str">
        <f aca="false">IF(07_Licorerias!R76="","",07_Licorerias!R76)</f>
        <v>Alto</v>
      </c>
      <c r="R751" s="55" t="str">
        <f aca="false">IF(07_Licorerias!S76="","",07_Licorerias!S76)</f>
        <v>Todo el año</v>
      </c>
      <c r="S751" s="55" t="str">
        <f aca="false">IF(07_Licorerias!T76="","",07_Licorerias!T76)</f>
        <v>Licorería</v>
      </c>
      <c r="T751" s="56" t="str">
        <f aca="false">IF(07_Licorerias!U76="","",07_Licorerias!U76)</f>
        <v/>
      </c>
      <c r="U751" s="55" t="n">
        <v>76</v>
      </c>
      <c r="V751" s="55" t="n">
        <f aca="false">IF(AND(OR(LEN(13_Buscador!$C$5)=0,ISNUMBER(SEARCH(13_Buscador!$C$5,$C751&amp;" "&amp;$D751&amp;" "&amp;$E751&amp;" "&amp;$F751&amp;" "&amp;$S751))),OR(13_Buscador!$C$6="Todas las listas",LEN(13_Buscador!$C$6)=0,13_Buscador!$C$6=$B751)),1,0)</f>
        <v>0</v>
      </c>
      <c r="W751" s="55" t="str">
        <f aca="false">IF(V751=1,SUM($V$2:V751),"")</f>
        <v/>
      </c>
    </row>
    <row r="752" customFormat="false" ht="15" hidden="false" customHeight="true" outlineLevel="0" collapsed="false">
      <c r="A752" s="55" t="n">
        <v>751</v>
      </c>
      <c r="B752" s="55" t="s">
        <v>3333</v>
      </c>
      <c r="C752" s="55" t="str">
        <f aca="false">IF(07_Licorerias!B77="","",07_Licorerias!B77)</f>
        <v>Cerveza</v>
      </c>
      <c r="D752" s="56" t="str">
        <f aca="false">IF(07_Licorerias!C77="","",07_Licorerias!C77)</f>
        <v>Cerveza Heineken 330 ml</v>
      </c>
      <c r="E752" s="56" t="str">
        <f aca="false">IF(07_Licorerias!D77="","",07_Licorerias!D77)</f>
        <v>Importada</v>
      </c>
      <c r="F752" s="56" t="str">
        <f aca="false">IF(07_Licorerias!E77="","",07_Licorerias!E77)</f>
        <v>cerveza embotellada o en lata</v>
      </c>
      <c r="G752" s="55" t="str">
        <f aca="false">IF(07_Licorerias!F77="","",07_Licorerias!F77)</f>
        <v>Botella</v>
      </c>
      <c r="H752" s="55" t="str">
        <f aca="false">IF(07_Licorerias!G77="","",07_Licorerias!G77)</f>
        <v>Estándar</v>
      </c>
      <c r="I752" s="58" t="n">
        <f aca="false">IF(07_Licorerias!H77="","",07_Licorerias!H77)</f>
        <v>8</v>
      </c>
      <c r="J752" s="58" t="n">
        <f aca="false">IF(07_Licorerias!I77="","",07_Licorerias!I77)</f>
        <v>16</v>
      </c>
      <c r="K752" s="58" t="n">
        <f aca="false">IF(07_Licorerias!J77="","",07_Licorerias!J77)</f>
        <v>12</v>
      </c>
      <c r="L752" s="58" t="n">
        <f aca="false">IF(07_Licorerias!L77="","",07_Licorerias!L77)</f>
        <v>12.5</v>
      </c>
      <c r="M752" s="58" t="n">
        <f aca="false">IF(07_Licorerias!N77="","",07_Licorerias!N77)</f>
        <v>1.08</v>
      </c>
      <c r="N752" s="58" t="n">
        <f aca="false">IF(07_Licorerias!O77="","",07_Licorerias!O77)</f>
        <v>10.92</v>
      </c>
      <c r="O752" s="55" t="str">
        <f aca="false">IF(07_Licorerias!P77="","",07_Licorerias!P77)</f>
        <v>18:00-23:00</v>
      </c>
      <c r="P752" s="55" t="n">
        <f aca="false">IF(07_Licorerias!Q77="","",07_Licorerias!Q77)</f>
        <v>1</v>
      </c>
      <c r="Q752" s="55" t="str">
        <f aca="false">IF(07_Licorerias!R77="","",07_Licorerias!R77)</f>
        <v>Alto</v>
      </c>
      <c r="R752" s="55" t="str">
        <f aca="false">IF(07_Licorerias!S77="","",07_Licorerias!S77)</f>
        <v>Todo el año</v>
      </c>
      <c r="S752" s="55" t="str">
        <f aca="false">IF(07_Licorerias!T77="","",07_Licorerias!T77)</f>
        <v>Licorería</v>
      </c>
      <c r="T752" s="56" t="str">
        <f aca="false">IF(07_Licorerias!U77="","",07_Licorerias!U77)</f>
        <v/>
      </c>
      <c r="U752" s="55" t="n">
        <v>77</v>
      </c>
      <c r="V752" s="55" t="n">
        <f aca="false">IF(AND(OR(LEN(13_Buscador!$C$5)=0,ISNUMBER(SEARCH(13_Buscador!$C$5,$C752&amp;" "&amp;$D752&amp;" "&amp;$E752&amp;" "&amp;$F752&amp;" "&amp;$S752))),OR(13_Buscador!$C$6="Todas las listas",LEN(13_Buscador!$C$6)=0,13_Buscador!$C$6=$B752)),1,0)</f>
        <v>0</v>
      </c>
      <c r="W752" s="55" t="str">
        <f aca="false">IF(V752=1,SUM($V$2:V752),"")</f>
        <v/>
      </c>
    </row>
    <row r="753" customFormat="false" ht="15" hidden="false" customHeight="true" outlineLevel="0" collapsed="false">
      <c r="A753" s="55" t="n">
        <v>752</v>
      </c>
      <c r="B753" s="55" t="s">
        <v>3333</v>
      </c>
      <c r="C753" s="55" t="str">
        <f aca="false">IF(07_Licorerias!B78="","",07_Licorerias!B78)</f>
        <v>Cerveza</v>
      </c>
      <c r="D753" s="56" t="str">
        <f aca="false">IF(07_Licorerias!C78="","",07_Licorerias!C78)</f>
        <v>Cerveza sin alcohol</v>
      </c>
      <c r="E753" s="56" t="str">
        <f aca="false">IF(07_Licorerias!D78="","",07_Licorerias!D78)</f>
        <v>Botella</v>
      </c>
      <c r="F753" s="56" t="str">
        <f aca="false">IF(07_Licorerias!E78="","",07_Licorerias!E78)</f>
        <v>cerveza embotellada o en lata</v>
      </c>
      <c r="G753" s="55" t="str">
        <f aca="false">IF(07_Licorerias!F78="","",07_Licorerias!F78)</f>
        <v>Botella</v>
      </c>
      <c r="H753" s="55" t="str">
        <f aca="false">IF(07_Licorerias!G78="","",07_Licorerias!G78)</f>
        <v>Económico</v>
      </c>
      <c r="I753" s="58" t="n">
        <f aca="false">IF(07_Licorerias!H78="","",07_Licorerias!H78)</f>
        <v>5</v>
      </c>
      <c r="J753" s="58" t="n">
        <f aca="false">IF(07_Licorerias!I78="","",07_Licorerias!I78)</f>
        <v>11</v>
      </c>
      <c r="K753" s="58" t="n">
        <f aca="false">IF(07_Licorerias!J78="","",07_Licorerias!J78)</f>
        <v>8</v>
      </c>
      <c r="L753" s="58" t="n">
        <f aca="false">IF(07_Licorerias!L78="","",07_Licorerias!L78)</f>
        <v>8.5</v>
      </c>
      <c r="M753" s="58" t="n">
        <f aca="false">IF(07_Licorerias!N78="","",07_Licorerias!N78)</f>
        <v>0.56</v>
      </c>
      <c r="N753" s="58" t="n">
        <f aca="false">IF(07_Licorerias!O78="","",07_Licorerias!O78)</f>
        <v>7.44</v>
      </c>
      <c r="O753" s="55" t="str">
        <f aca="false">IF(07_Licorerias!P78="","",07_Licorerias!P78)</f>
        <v>18:00-23:00</v>
      </c>
      <c r="P753" s="55" t="n">
        <f aca="false">IF(07_Licorerias!Q78="","",07_Licorerias!Q78)</f>
        <v>1</v>
      </c>
      <c r="Q753" s="55" t="str">
        <f aca="false">IF(07_Licorerias!R78="","",07_Licorerias!R78)</f>
        <v>Alto</v>
      </c>
      <c r="R753" s="55" t="str">
        <f aca="false">IF(07_Licorerias!S78="","",07_Licorerias!S78)</f>
        <v>Todo el año</v>
      </c>
      <c r="S753" s="55" t="str">
        <f aca="false">IF(07_Licorerias!T78="","",07_Licorerias!T78)</f>
        <v>Licorería</v>
      </c>
      <c r="T753" s="56" t="str">
        <f aca="false">IF(07_Licorerias!U78="","",07_Licorerias!U78)</f>
        <v>Permite vender fuera de horario restringido</v>
      </c>
      <c r="U753" s="55" t="n">
        <v>78</v>
      </c>
      <c r="V753" s="55" t="n">
        <f aca="false">IF(AND(OR(LEN(13_Buscador!$C$5)=0,ISNUMBER(SEARCH(13_Buscador!$C$5,$C753&amp;" "&amp;$D753&amp;" "&amp;$E753&amp;" "&amp;$F753&amp;" "&amp;$S753))),OR(13_Buscador!$C$6="Todas las listas",LEN(13_Buscador!$C$6)=0,13_Buscador!$C$6=$B753)),1,0)</f>
        <v>0</v>
      </c>
      <c r="W753" s="55" t="str">
        <f aca="false">IF(V753=1,SUM($V$2:V753),"")</f>
        <v/>
      </c>
    </row>
    <row r="754" customFormat="false" ht="15" hidden="false" customHeight="true" outlineLevel="0" collapsed="false">
      <c r="A754" s="55" t="n">
        <v>753</v>
      </c>
      <c r="B754" s="55" t="s">
        <v>3333</v>
      </c>
      <c r="C754" s="55" t="str">
        <f aca="false">IF(07_Licorerias!B79="","",07_Licorerias!B79)</f>
        <v>Cerveza</v>
      </c>
      <c r="D754" s="56" t="str">
        <f aca="false">IF(07_Licorerias!C79="","",07_Licorerias!C79)</f>
        <v>Media caja de cerveza (6 botellas)</v>
      </c>
      <c r="E754" s="56" t="str">
        <f aca="false">IF(07_Licorerias!D79="","",07_Licorerias!D79)</f>
        <v>Pack mediano</v>
      </c>
      <c r="F754" s="56" t="str">
        <f aca="false">IF(07_Licorerias!E79="","",07_Licorerias!E79)</f>
        <v>cerveza embotellada o en lata</v>
      </c>
      <c r="G754" s="55" t="str">
        <f aca="false">IF(07_Licorerias!F79="","",07_Licorerias!F79)</f>
        <v>Pack</v>
      </c>
      <c r="H754" s="55" t="str">
        <f aca="false">IF(07_Licorerias!G79="","",07_Licorerias!G79)</f>
        <v>Estándar</v>
      </c>
      <c r="I754" s="58" t="n">
        <f aca="false">IF(07_Licorerias!H79="","",07_Licorerias!H79)</f>
        <v>40</v>
      </c>
      <c r="J754" s="58" t="n">
        <f aca="false">IF(07_Licorerias!I79="","",07_Licorerias!I79)</f>
        <v>65</v>
      </c>
      <c r="K754" s="58" t="n">
        <f aca="false">IF(07_Licorerias!J79="","",07_Licorerias!J79)</f>
        <v>52.5</v>
      </c>
      <c r="L754" s="58" t="n">
        <f aca="false">IF(07_Licorerias!L79="","",07_Licorerias!L79)</f>
        <v>53</v>
      </c>
      <c r="M754" s="58" t="n">
        <f aca="false">IF(07_Licorerias!N79="","",07_Licorerias!N79)</f>
        <v>4.73</v>
      </c>
      <c r="N754" s="58" t="n">
        <f aca="false">IF(07_Licorerias!O79="","",07_Licorerias!O79)</f>
        <v>47.77</v>
      </c>
      <c r="O754" s="55" t="str">
        <f aca="false">IF(07_Licorerias!P79="","",07_Licorerias!P79)</f>
        <v>18:00-23:00</v>
      </c>
      <c r="P754" s="55" t="n">
        <f aca="false">IF(07_Licorerias!Q79="","",07_Licorerias!Q79)</f>
        <v>2</v>
      </c>
      <c r="Q754" s="55" t="str">
        <f aca="false">IF(07_Licorerias!R79="","",07_Licorerias!R79)</f>
        <v>Alto</v>
      </c>
      <c r="R754" s="55" t="str">
        <f aca="false">IF(07_Licorerias!S79="","",07_Licorerias!S79)</f>
        <v>Fin de semana</v>
      </c>
      <c r="S754" s="55" t="str">
        <f aca="false">IF(07_Licorerias!T79="","",07_Licorerias!T79)</f>
        <v>Licorería</v>
      </c>
      <c r="T754" s="56" t="str">
        <f aca="false">IF(07_Licorerias!U79="","",07_Licorerias!U79)</f>
        <v/>
      </c>
      <c r="U754" s="55" t="n">
        <v>79</v>
      </c>
      <c r="V754" s="55" t="n">
        <f aca="false">IF(AND(OR(LEN(13_Buscador!$C$5)=0,ISNUMBER(SEARCH(13_Buscador!$C$5,$C754&amp;" "&amp;$D754&amp;" "&amp;$E754&amp;" "&amp;$F754&amp;" "&amp;$S754))),OR(13_Buscador!$C$6="Todas las listas",LEN(13_Buscador!$C$6)=0,13_Buscador!$C$6=$B754)),1,0)</f>
        <v>0</v>
      </c>
      <c r="W754" s="55" t="str">
        <f aca="false">IF(V754=1,SUM($V$2:V754),"")</f>
        <v/>
      </c>
    </row>
    <row r="755" customFormat="false" ht="15" hidden="false" customHeight="true" outlineLevel="0" collapsed="false">
      <c r="A755" s="55" t="n">
        <v>754</v>
      </c>
      <c r="B755" s="55" t="s">
        <v>3333</v>
      </c>
      <c r="C755" s="55" t="str">
        <f aca="false">IF(07_Licorerias!B80="","",07_Licorerias!B80)</f>
        <v>Cerveza</v>
      </c>
      <c r="D755" s="56" t="str">
        <f aca="false">IF(07_Licorerias!C80="","",07_Licorerias!C80)</f>
        <v>Chela helada con hielo</v>
      </c>
      <c r="E755" s="56" t="str">
        <f aca="false">IF(07_Licorerias!D80="","",07_Licorerias!D80)</f>
        <v>Botella con hielo incluido</v>
      </c>
      <c r="F755" s="56" t="str">
        <f aca="false">IF(07_Licorerias!E80="","",07_Licorerias!E80)</f>
        <v>agua congelada</v>
      </c>
      <c r="G755" s="55" t="str">
        <f aca="false">IF(07_Licorerias!F80="","",07_Licorerias!F80)</f>
        <v>Combo</v>
      </c>
      <c r="H755" s="55" t="str">
        <f aca="false">IF(07_Licorerias!G80="","",07_Licorerias!G80)</f>
        <v>Económico</v>
      </c>
      <c r="I755" s="58" t="n">
        <f aca="false">IF(07_Licorerias!H80="","",07_Licorerias!H80)</f>
        <v>9</v>
      </c>
      <c r="J755" s="58" t="n">
        <f aca="false">IF(07_Licorerias!I80="","",07_Licorerias!I80)</f>
        <v>16</v>
      </c>
      <c r="K755" s="58" t="n">
        <f aca="false">IF(07_Licorerias!J80="","",07_Licorerias!J80)</f>
        <v>12.5</v>
      </c>
      <c r="L755" s="58" t="n">
        <f aca="false">IF(07_Licorerias!L80="","",07_Licorerias!L80)</f>
        <v>13</v>
      </c>
      <c r="M755" s="58" t="n">
        <f aca="false">IF(07_Licorerias!N80="","",07_Licorerias!N80)</f>
        <v>0.88</v>
      </c>
      <c r="N755" s="58" t="n">
        <f aca="false">IF(07_Licorerias!O80="","",07_Licorerias!O80)</f>
        <v>11.62</v>
      </c>
      <c r="O755" s="55" t="str">
        <f aca="false">IF(07_Licorerias!P80="","",07_Licorerias!P80)</f>
        <v>18:00-23:00</v>
      </c>
      <c r="P755" s="55" t="n">
        <f aca="false">IF(07_Licorerias!Q80="","",07_Licorerias!Q80)</f>
        <v>3</v>
      </c>
      <c r="Q755" s="55" t="str">
        <f aca="false">IF(07_Licorerias!R80="","",07_Licorerias!R80)</f>
        <v>Medio</v>
      </c>
      <c r="R755" s="55" t="str">
        <f aca="false">IF(07_Licorerias!S80="","",07_Licorerias!S80)</f>
        <v>Mayor demanda en calor</v>
      </c>
      <c r="S755" s="55" t="str">
        <f aca="false">IF(07_Licorerias!T80="","",07_Licorerias!T80)</f>
        <v>Licorería</v>
      </c>
      <c r="T755" s="56" t="str">
        <f aca="false">IF(07_Licorerias!U80="","",07_Licorerias!U80)</f>
        <v/>
      </c>
      <c r="U755" s="55" t="n">
        <v>80</v>
      </c>
      <c r="V755" s="55" t="n">
        <f aca="false">IF(AND(OR(LEN(13_Buscador!$C$5)=0,ISNUMBER(SEARCH(13_Buscador!$C$5,$C755&amp;" "&amp;$D755&amp;" "&amp;$E755&amp;" "&amp;$F755&amp;" "&amp;$S755))),OR(13_Buscador!$C$6="Todas las listas",LEN(13_Buscador!$C$6)=0,13_Buscador!$C$6=$B755)),1,0)</f>
        <v>0</v>
      </c>
      <c r="W755" s="55" t="str">
        <f aca="false">IF(V755=1,SUM($V$2:V755),"")</f>
        <v/>
      </c>
    </row>
    <row r="756" customFormat="false" ht="15" hidden="false" customHeight="true" outlineLevel="0" collapsed="false">
      <c r="A756" s="55" t="n">
        <v>755</v>
      </c>
      <c r="B756" s="55" t="s">
        <v>3333</v>
      </c>
      <c r="C756" s="55" t="str">
        <f aca="false">IF(07_Licorerias!B81="","",07_Licorerias!B81)</f>
        <v>Pisco y destilados nacionales</v>
      </c>
      <c r="D756" s="56" t="str">
        <f aca="false">IF(07_Licorerias!C81="","",07_Licorerias!C81)</f>
        <v>Pisco torontel 750 ml</v>
      </c>
      <c r="E756" s="56" t="str">
        <f aca="false">IF(07_Licorerias!D81="","",07_Licorerias!D81)</f>
        <v>Botella aromática</v>
      </c>
      <c r="F756" s="56" t="str">
        <f aca="false">IF(07_Licorerias!E81="","",07_Licorerias!E81)</f>
        <v>pisco de uva (quebranta, italia, acholado o torontel)</v>
      </c>
      <c r="G756" s="55" t="str">
        <f aca="false">IF(07_Licorerias!F81="","",07_Licorerias!F81)</f>
        <v>Botella</v>
      </c>
      <c r="H756" s="55" t="str">
        <f aca="false">IF(07_Licorerias!G81="","",07_Licorerias!G81)</f>
        <v>Medio</v>
      </c>
      <c r="I756" s="58" t="n">
        <f aca="false">IF(07_Licorerias!H81="","",07_Licorerias!H81)</f>
        <v>35</v>
      </c>
      <c r="J756" s="58" t="n">
        <f aca="false">IF(07_Licorerias!I81="","",07_Licorerias!I81)</f>
        <v>80</v>
      </c>
      <c r="K756" s="58" t="n">
        <f aca="false">IF(07_Licorerias!J81="","",07_Licorerias!J81)</f>
        <v>57.5</v>
      </c>
      <c r="L756" s="58" t="n">
        <f aca="false">IF(07_Licorerias!L81="","",07_Licorerias!L81)</f>
        <v>58</v>
      </c>
      <c r="M756" s="58" t="n">
        <f aca="false">IF(07_Licorerias!N81="","",07_Licorerias!N81)</f>
        <v>6.33</v>
      </c>
      <c r="N756" s="58" t="n">
        <f aca="false">IF(07_Licorerias!O81="","",07_Licorerias!O81)</f>
        <v>51.17</v>
      </c>
      <c r="O756" s="55" t="str">
        <f aca="false">IF(07_Licorerias!P81="","",07_Licorerias!P81)</f>
        <v>18:00-23:00</v>
      </c>
      <c r="P756" s="55" t="n">
        <f aca="false">IF(07_Licorerias!Q81="","",07_Licorerias!Q81)</f>
        <v>1</v>
      </c>
      <c r="Q756" s="55" t="str">
        <f aca="false">IF(07_Licorerias!R81="","",07_Licorerias!R81)</f>
        <v>Alto</v>
      </c>
      <c r="R756" s="55" t="str">
        <f aca="false">IF(07_Licorerias!S81="","",07_Licorerias!S81)</f>
        <v>Todo el año</v>
      </c>
      <c r="S756" s="55" t="str">
        <f aca="false">IF(07_Licorerias!T81="","",07_Licorerias!T81)</f>
        <v>Licorería</v>
      </c>
      <c r="T756" s="56" t="str">
        <f aca="false">IF(07_Licorerias!U81="","",07_Licorerias!U81)</f>
        <v/>
      </c>
      <c r="U756" s="55" t="n">
        <v>81</v>
      </c>
      <c r="V756" s="55" t="n">
        <f aca="false">IF(AND(OR(LEN(13_Buscador!$C$5)=0,ISNUMBER(SEARCH(13_Buscador!$C$5,$C756&amp;" "&amp;$D756&amp;" "&amp;$E756&amp;" "&amp;$F756&amp;" "&amp;$S756))),OR(13_Buscador!$C$6="Todas las listas",LEN(13_Buscador!$C$6)=0,13_Buscador!$C$6=$B756)),1,0)</f>
        <v>0</v>
      </c>
      <c r="W756" s="55" t="str">
        <f aca="false">IF(V756=1,SUM($V$2:V756),"")</f>
        <v/>
      </c>
    </row>
    <row r="757" customFormat="false" ht="15" hidden="false" customHeight="true" outlineLevel="0" collapsed="false">
      <c r="A757" s="55" t="n">
        <v>756</v>
      </c>
      <c r="B757" s="55" t="s">
        <v>3333</v>
      </c>
      <c r="C757" s="55" t="str">
        <f aca="false">IF(07_Licorerias!B82="","",07_Licorerias!B82)</f>
        <v>Pisco y destilados nacionales</v>
      </c>
      <c r="D757" s="56" t="str">
        <f aca="false">IF(07_Licorerias!C82="","",07_Licorerias!C82)</f>
        <v>Pisco en caja regalo</v>
      </c>
      <c r="E757" s="56" t="str">
        <f aca="false">IF(07_Licorerias!D82="","",07_Licorerias!D82)</f>
        <v>Presentación para obsequio</v>
      </c>
      <c r="F757" s="56" t="str">
        <f aca="false">IF(07_Licorerias!E82="","",07_Licorerias!E82)</f>
        <v>pisco de uva (quebranta, italia, acholado o torontel)</v>
      </c>
      <c r="G757" s="55" t="str">
        <f aca="false">IF(07_Licorerias!F82="","",07_Licorerias!F82)</f>
        <v>Caja</v>
      </c>
      <c r="H757" s="55" t="str">
        <f aca="false">IF(07_Licorerias!G82="","",07_Licorerias!G82)</f>
        <v>Premium</v>
      </c>
      <c r="I757" s="58" t="n">
        <f aca="false">IF(07_Licorerias!H82="","",07_Licorerias!H82)</f>
        <v>60</v>
      </c>
      <c r="J757" s="58" t="n">
        <f aca="false">IF(07_Licorerias!I82="","",07_Licorerias!I82)</f>
        <v>150</v>
      </c>
      <c r="K757" s="58" t="n">
        <f aca="false">IF(07_Licorerias!J82="","",07_Licorerias!J82)</f>
        <v>105</v>
      </c>
      <c r="L757" s="58" t="n">
        <f aca="false">IF(07_Licorerias!L82="","",07_Licorerias!L82)</f>
        <v>105.5</v>
      </c>
      <c r="M757" s="58" t="n">
        <f aca="false">IF(07_Licorerias!N82="","",07_Licorerias!N82)</f>
        <v>13.65</v>
      </c>
      <c r="N757" s="58" t="n">
        <f aca="false">IF(07_Licorerias!O82="","",07_Licorerias!O82)</f>
        <v>91.35</v>
      </c>
      <c r="O757" s="55" t="str">
        <f aca="false">IF(07_Licorerias!P82="","",07_Licorerias!P82)</f>
        <v>Todo el día</v>
      </c>
      <c r="P757" s="55" t="n">
        <f aca="false">IF(07_Licorerias!Q82="","",07_Licorerias!Q82)</f>
        <v>2</v>
      </c>
      <c r="Q757" s="55" t="str">
        <f aca="false">IF(07_Licorerias!R82="","",07_Licorerias!R82)</f>
        <v>Alto</v>
      </c>
      <c r="R757" s="55" t="str">
        <f aca="false">IF(07_Licorerias!S82="","",07_Licorerias!S82)</f>
        <v>Fiestas</v>
      </c>
      <c r="S757" s="55" t="str">
        <f aca="false">IF(07_Licorerias!T82="","",07_Licorerias!T82)</f>
        <v>Licorería</v>
      </c>
      <c r="T757" s="56" t="str">
        <f aca="false">IF(07_Licorerias!U82="","",07_Licorerias!U82)</f>
        <v>Pico en diciembre y Día del Padre</v>
      </c>
      <c r="U757" s="55" t="n">
        <v>82</v>
      </c>
      <c r="V757" s="55" t="n">
        <f aca="false">IF(AND(OR(LEN(13_Buscador!$C$5)=0,ISNUMBER(SEARCH(13_Buscador!$C$5,$C757&amp;" "&amp;$D757&amp;" "&amp;$E757&amp;" "&amp;$F757&amp;" "&amp;$S757))),OR(13_Buscador!$C$6="Todas las listas",LEN(13_Buscador!$C$6)=0,13_Buscador!$C$6=$B757)),1,0)</f>
        <v>0</v>
      </c>
      <c r="W757" s="55" t="str">
        <f aca="false">IF(V757=1,SUM($V$2:V757),"")</f>
        <v/>
      </c>
    </row>
    <row r="758" customFormat="false" ht="15" hidden="false" customHeight="true" outlineLevel="0" collapsed="false">
      <c r="A758" s="55" t="n">
        <v>757</v>
      </c>
      <c r="B758" s="55" t="s">
        <v>3333</v>
      </c>
      <c r="C758" s="55" t="str">
        <f aca="false">IF(07_Licorerias!B83="","",07_Licorerias!B83)</f>
        <v>Pisco y destilados nacionales</v>
      </c>
      <c r="D758" s="56" t="str">
        <f aca="false">IF(07_Licorerias!C83="","",07_Licorerias!C83)</f>
        <v>Macerado de coca</v>
      </c>
      <c r="E758" s="56" t="str">
        <f aca="false">IF(07_Licorerias!D83="","",07_Licorerias!D83)</f>
        <v>Licor macerado regional</v>
      </c>
      <c r="F758" s="56" t="str">
        <f aca="false">IF(07_Licorerias!E83="","",07_Licorerias!E83)</f>
        <v>alcohol base, fruta o insumo aromático, azúcar</v>
      </c>
      <c r="G758" s="55" t="str">
        <f aca="false">IF(07_Licorerias!F83="","",07_Licorerias!F83)</f>
        <v>Botella</v>
      </c>
      <c r="H758" s="55" t="str">
        <f aca="false">IF(07_Licorerias!G83="","",07_Licorerias!G83)</f>
        <v>Estándar</v>
      </c>
      <c r="I758" s="58" t="n">
        <f aca="false">IF(07_Licorerias!H83="","",07_Licorerias!H83)</f>
        <v>20</v>
      </c>
      <c r="J758" s="58" t="n">
        <f aca="false">IF(07_Licorerias!I83="","",07_Licorerias!I83)</f>
        <v>50</v>
      </c>
      <c r="K758" s="58" t="n">
        <f aca="false">IF(07_Licorerias!J83="","",07_Licorerias!J83)</f>
        <v>35</v>
      </c>
      <c r="L758" s="58" t="n">
        <f aca="false">IF(07_Licorerias!L83="","",07_Licorerias!L83)</f>
        <v>35.5</v>
      </c>
      <c r="M758" s="58" t="n">
        <f aca="false">IF(07_Licorerias!N83="","",07_Licorerias!N83)</f>
        <v>3.15</v>
      </c>
      <c r="N758" s="58" t="n">
        <f aca="false">IF(07_Licorerias!O83="","",07_Licorerias!O83)</f>
        <v>31.85</v>
      </c>
      <c r="O758" s="55" t="str">
        <f aca="false">IF(07_Licorerias!P83="","",07_Licorerias!P83)</f>
        <v>18:00-23:00</v>
      </c>
      <c r="P758" s="55" t="n">
        <f aca="false">IF(07_Licorerias!Q83="","",07_Licorerias!Q83)</f>
        <v>1</v>
      </c>
      <c r="Q758" s="55" t="str">
        <f aca="false">IF(07_Licorerias!R83="","",07_Licorerias!R83)</f>
        <v>Alto</v>
      </c>
      <c r="R758" s="55" t="str">
        <f aca="false">IF(07_Licorerias!S83="","",07_Licorerias!S83)</f>
        <v>Todo el año</v>
      </c>
      <c r="S758" s="55" t="str">
        <f aca="false">IF(07_Licorerias!T83="","",07_Licorerias!T83)</f>
        <v>Licorería, souvenir</v>
      </c>
      <c r="T758" s="56" t="str">
        <f aca="false">IF(07_Licorerias!U83="","",07_Licorerias!U83)</f>
        <v>Interés turístico</v>
      </c>
      <c r="U758" s="55" t="n">
        <v>83</v>
      </c>
      <c r="V758" s="55" t="n">
        <f aca="false">IF(AND(OR(LEN(13_Buscador!$C$5)=0,ISNUMBER(SEARCH(13_Buscador!$C$5,$C758&amp;" "&amp;$D758&amp;" "&amp;$E758&amp;" "&amp;$F758&amp;" "&amp;$S758))),OR(13_Buscador!$C$6="Todas las listas",LEN(13_Buscador!$C$6)=0,13_Buscador!$C$6=$B758)),1,0)</f>
        <v>0</v>
      </c>
      <c r="W758" s="55" t="str">
        <f aca="false">IF(V758=1,SUM($V$2:V758),"")</f>
        <v/>
      </c>
    </row>
    <row r="759" customFormat="false" ht="15" hidden="false" customHeight="true" outlineLevel="0" collapsed="false">
      <c r="A759" s="55" t="n">
        <v>758</v>
      </c>
      <c r="B759" s="55" t="s">
        <v>3333</v>
      </c>
      <c r="C759" s="55" t="str">
        <f aca="false">IF(07_Licorerias!B84="","",07_Licorerias!B84)</f>
        <v>Pisco y destilados nacionales</v>
      </c>
      <c r="D759" s="56" t="str">
        <f aca="false">IF(07_Licorerias!C84="","",07_Licorerias!C84)</f>
        <v>Macerado de aguaymanto</v>
      </c>
      <c r="E759" s="56" t="str">
        <f aca="false">IF(07_Licorerias!D84="","",07_Licorerias!D84)</f>
        <v>Licor de fruta andina</v>
      </c>
      <c r="F759" s="56" t="str">
        <f aca="false">IF(07_Licorerias!E84="","",07_Licorerias!E84)</f>
        <v>alcohol base, fruta o insumo aromático, azúcar</v>
      </c>
      <c r="G759" s="55" t="str">
        <f aca="false">IF(07_Licorerias!F84="","",07_Licorerias!F84)</f>
        <v>Botella</v>
      </c>
      <c r="H759" s="55" t="str">
        <f aca="false">IF(07_Licorerias!G84="","",07_Licorerias!G84)</f>
        <v>Estándar</v>
      </c>
      <c r="I759" s="58" t="n">
        <f aca="false">IF(07_Licorerias!H84="","",07_Licorerias!H84)</f>
        <v>20</v>
      </c>
      <c r="J759" s="58" t="n">
        <f aca="false">IF(07_Licorerias!I84="","",07_Licorerias!I84)</f>
        <v>50</v>
      </c>
      <c r="K759" s="58" t="n">
        <f aca="false">IF(07_Licorerias!J84="","",07_Licorerias!J84)</f>
        <v>35</v>
      </c>
      <c r="L759" s="58" t="n">
        <f aca="false">IF(07_Licorerias!L84="","",07_Licorerias!L84)</f>
        <v>35.5</v>
      </c>
      <c r="M759" s="58" t="n">
        <f aca="false">IF(07_Licorerias!N84="","",07_Licorerias!N84)</f>
        <v>3.15</v>
      </c>
      <c r="N759" s="58" t="n">
        <f aca="false">IF(07_Licorerias!O84="","",07_Licorerias!O84)</f>
        <v>31.85</v>
      </c>
      <c r="O759" s="55" t="str">
        <f aca="false">IF(07_Licorerias!P84="","",07_Licorerias!P84)</f>
        <v>18:00-23:00</v>
      </c>
      <c r="P759" s="55" t="n">
        <f aca="false">IF(07_Licorerias!Q84="","",07_Licorerias!Q84)</f>
        <v>1</v>
      </c>
      <c r="Q759" s="55" t="str">
        <f aca="false">IF(07_Licorerias!R84="","",07_Licorerias!R84)</f>
        <v>Alto</v>
      </c>
      <c r="R759" s="55" t="str">
        <f aca="false">IF(07_Licorerias!S84="","",07_Licorerias!S84)</f>
        <v>Todo el año</v>
      </c>
      <c r="S759" s="55" t="str">
        <f aca="false">IF(07_Licorerias!T84="","",07_Licorerias!T84)</f>
        <v>Licorería, souvenir</v>
      </c>
      <c r="T759" s="56" t="str">
        <f aca="false">IF(07_Licorerias!U84="","",07_Licorerias!U84)</f>
        <v/>
      </c>
      <c r="U759" s="55" t="n">
        <v>84</v>
      </c>
      <c r="V759" s="55" t="n">
        <f aca="false">IF(AND(OR(LEN(13_Buscador!$C$5)=0,ISNUMBER(SEARCH(13_Buscador!$C$5,$C759&amp;" "&amp;$D759&amp;" "&amp;$E759&amp;" "&amp;$F759&amp;" "&amp;$S759))),OR(13_Buscador!$C$6="Todas las listas",LEN(13_Buscador!$C$6)=0,13_Buscador!$C$6=$B759)),1,0)</f>
        <v>0</v>
      </c>
      <c r="W759" s="55" t="str">
        <f aca="false">IF(V759=1,SUM($V$2:V759),"")</f>
        <v/>
      </c>
    </row>
    <row r="760" customFormat="false" ht="15" hidden="false" customHeight="true" outlineLevel="0" collapsed="false">
      <c r="A760" s="55" t="n">
        <v>759</v>
      </c>
      <c r="B760" s="55" t="s">
        <v>3333</v>
      </c>
      <c r="C760" s="55" t="str">
        <f aca="false">IF(07_Licorerias!B85="","",07_Licorerias!B85)</f>
        <v>Ron y vodka</v>
      </c>
      <c r="D760" s="56" t="str">
        <f aca="false">IF(07_Licorerias!C85="","",07_Licorerias!C85)</f>
        <v>Ron Bacardí 750 ml</v>
      </c>
      <c r="E760" s="56" t="str">
        <f aca="false">IF(07_Licorerias!D85="","",07_Licorerias!D85)</f>
        <v>Botella importada</v>
      </c>
      <c r="F760" s="56" t="str">
        <f aca="false">IF(07_Licorerias!E85="","",07_Licorerias!E85)</f>
        <v>ron de caña</v>
      </c>
      <c r="G760" s="55" t="str">
        <f aca="false">IF(07_Licorerias!F85="","",07_Licorerias!F85)</f>
        <v>Botella</v>
      </c>
      <c r="H760" s="55" t="str">
        <f aca="false">IF(07_Licorerias!G85="","",07_Licorerias!G85)</f>
        <v>Medio</v>
      </c>
      <c r="I760" s="58" t="n">
        <f aca="false">IF(07_Licorerias!H85="","",07_Licorerias!H85)</f>
        <v>45</v>
      </c>
      <c r="J760" s="58" t="n">
        <f aca="false">IF(07_Licorerias!I85="","",07_Licorerias!I85)</f>
        <v>90</v>
      </c>
      <c r="K760" s="58" t="n">
        <f aca="false">IF(07_Licorerias!J85="","",07_Licorerias!J85)</f>
        <v>67.5</v>
      </c>
      <c r="L760" s="58" t="n">
        <f aca="false">IF(07_Licorerias!L85="","",07_Licorerias!L85)</f>
        <v>68</v>
      </c>
      <c r="M760" s="58" t="n">
        <f aca="false">IF(07_Licorerias!N85="","",07_Licorerias!N85)</f>
        <v>7.43</v>
      </c>
      <c r="N760" s="58" t="n">
        <f aca="false">IF(07_Licorerias!O85="","",07_Licorerias!O85)</f>
        <v>60.07</v>
      </c>
      <c r="O760" s="55" t="str">
        <f aca="false">IF(07_Licorerias!P85="","",07_Licorerias!P85)</f>
        <v>18:00-23:00</v>
      </c>
      <c r="P760" s="55" t="n">
        <f aca="false">IF(07_Licorerias!Q85="","",07_Licorerias!Q85)</f>
        <v>1</v>
      </c>
      <c r="Q760" s="55" t="str">
        <f aca="false">IF(07_Licorerias!R85="","",07_Licorerias!R85)</f>
        <v>Alto</v>
      </c>
      <c r="R760" s="55" t="str">
        <f aca="false">IF(07_Licorerias!S85="","",07_Licorerias!S85)</f>
        <v>Todo el año</v>
      </c>
      <c r="S760" s="55" t="str">
        <f aca="false">IF(07_Licorerias!T85="","",07_Licorerias!T85)</f>
        <v>Licorería</v>
      </c>
      <c r="T760" s="56" t="str">
        <f aca="false">IF(07_Licorerias!U85="","",07_Licorerias!U85)</f>
        <v/>
      </c>
      <c r="U760" s="55" t="n">
        <v>85</v>
      </c>
      <c r="V760" s="55" t="n">
        <f aca="false">IF(AND(OR(LEN(13_Buscador!$C$5)=0,ISNUMBER(SEARCH(13_Buscador!$C$5,$C760&amp;" "&amp;$D760&amp;" "&amp;$E760&amp;" "&amp;$F760&amp;" "&amp;$S760))),OR(13_Buscador!$C$6="Todas las listas",LEN(13_Buscador!$C$6)=0,13_Buscador!$C$6=$B760)),1,0)</f>
        <v>0</v>
      </c>
      <c r="W760" s="55" t="str">
        <f aca="false">IF(V760=1,SUM($V$2:V760),"")</f>
        <v/>
      </c>
    </row>
    <row r="761" customFormat="false" ht="15" hidden="false" customHeight="true" outlineLevel="0" collapsed="false">
      <c r="A761" s="55" t="n">
        <v>760</v>
      </c>
      <c r="B761" s="55" t="s">
        <v>3333</v>
      </c>
      <c r="C761" s="55" t="str">
        <f aca="false">IF(07_Licorerias!B86="","",07_Licorerias!B86)</f>
        <v>Ron y vodka</v>
      </c>
      <c r="D761" s="56" t="str">
        <f aca="false">IF(07_Licorerias!C86="","",07_Licorerias!C86)</f>
        <v>Ron Cartavio 5 años</v>
      </c>
      <c r="E761" s="56" t="str">
        <f aca="false">IF(07_Licorerias!D86="","",07_Licorerias!D86)</f>
        <v>Botella</v>
      </c>
      <c r="F761" s="56" t="str">
        <f aca="false">IF(07_Licorerias!E86="","",07_Licorerias!E86)</f>
        <v>ron de caña</v>
      </c>
      <c r="G761" s="55" t="str">
        <f aca="false">IF(07_Licorerias!F86="","",07_Licorerias!F86)</f>
        <v>Botella</v>
      </c>
      <c r="H761" s="55" t="str">
        <f aca="false">IF(07_Licorerias!G86="","",07_Licorerias!G86)</f>
        <v>Estándar</v>
      </c>
      <c r="I761" s="58" t="n">
        <f aca="false">IF(07_Licorerias!H86="","",07_Licorerias!H86)</f>
        <v>35</v>
      </c>
      <c r="J761" s="58" t="n">
        <f aca="false">IF(07_Licorerias!I86="","",07_Licorerias!I86)</f>
        <v>70</v>
      </c>
      <c r="K761" s="58" t="n">
        <f aca="false">IF(07_Licorerias!J86="","",07_Licorerias!J86)</f>
        <v>52.5</v>
      </c>
      <c r="L761" s="58" t="n">
        <f aca="false">IF(07_Licorerias!L86="","",07_Licorerias!L86)</f>
        <v>53</v>
      </c>
      <c r="M761" s="58" t="n">
        <f aca="false">IF(07_Licorerias!N86="","",07_Licorerias!N86)</f>
        <v>4.73</v>
      </c>
      <c r="N761" s="58" t="n">
        <f aca="false">IF(07_Licorerias!O86="","",07_Licorerias!O86)</f>
        <v>47.77</v>
      </c>
      <c r="O761" s="55" t="str">
        <f aca="false">IF(07_Licorerias!P86="","",07_Licorerias!P86)</f>
        <v>18:00-23:00</v>
      </c>
      <c r="P761" s="55" t="n">
        <f aca="false">IF(07_Licorerias!Q86="","",07_Licorerias!Q86)</f>
        <v>1</v>
      </c>
      <c r="Q761" s="55" t="str">
        <f aca="false">IF(07_Licorerias!R86="","",07_Licorerias!R86)</f>
        <v>Alto</v>
      </c>
      <c r="R761" s="55" t="str">
        <f aca="false">IF(07_Licorerias!S86="","",07_Licorerias!S86)</f>
        <v>Todo el año</v>
      </c>
      <c r="S761" s="55" t="str">
        <f aca="false">IF(07_Licorerias!T86="","",07_Licorerias!T86)</f>
        <v>Licorería</v>
      </c>
      <c r="T761" s="56" t="str">
        <f aca="false">IF(07_Licorerias!U86="","",07_Licorerias!U86)</f>
        <v/>
      </c>
      <c r="U761" s="55" t="n">
        <v>86</v>
      </c>
      <c r="V761" s="55" t="n">
        <f aca="false">IF(AND(OR(LEN(13_Buscador!$C$5)=0,ISNUMBER(SEARCH(13_Buscador!$C$5,$C761&amp;" "&amp;$D761&amp;" "&amp;$E761&amp;" "&amp;$F761&amp;" "&amp;$S761))),OR(13_Buscador!$C$6="Todas las listas",LEN(13_Buscador!$C$6)=0,13_Buscador!$C$6=$B761)),1,0)</f>
        <v>0</v>
      </c>
      <c r="W761" s="55" t="str">
        <f aca="false">IF(V761=1,SUM($V$2:V761),"")</f>
        <v/>
      </c>
    </row>
    <row r="762" customFormat="false" ht="15" hidden="false" customHeight="true" outlineLevel="0" collapsed="false">
      <c r="A762" s="55" t="n">
        <v>761</v>
      </c>
      <c r="B762" s="55" t="s">
        <v>3333</v>
      </c>
      <c r="C762" s="55" t="str">
        <f aca="false">IF(07_Licorerias!B87="","",07_Licorerias!B87)</f>
        <v>Ron y vodka</v>
      </c>
      <c r="D762" s="56" t="str">
        <f aca="false">IF(07_Licorerias!C87="","",07_Licorerias!C87)</f>
        <v>Vodka saborizado</v>
      </c>
      <c r="E762" s="56" t="str">
        <f aca="false">IF(07_Licorerias!D87="","",07_Licorerias!D87)</f>
        <v>Con sabor a fruta</v>
      </c>
      <c r="F762" s="56" t="str">
        <f aca="false">IF(07_Licorerias!E87="","",07_Licorerias!E87)</f>
        <v>vodka</v>
      </c>
      <c r="G762" s="55" t="str">
        <f aca="false">IF(07_Licorerias!F87="","",07_Licorerias!F87)</f>
        <v>Botella</v>
      </c>
      <c r="H762" s="55" t="str">
        <f aca="false">IF(07_Licorerias!G87="","",07_Licorerias!G87)</f>
        <v>Estándar</v>
      </c>
      <c r="I762" s="58" t="n">
        <f aca="false">IF(07_Licorerias!H87="","",07_Licorerias!H87)</f>
        <v>30</v>
      </c>
      <c r="J762" s="58" t="n">
        <f aca="false">IF(07_Licorerias!I87="","",07_Licorerias!I87)</f>
        <v>60</v>
      </c>
      <c r="K762" s="58" t="n">
        <f aca="false">IF(07_Licorerias!J87="","",07_Licorerias!J87)</f>
        <v>45</v>
      </c>
      <c r="L762" s="58" t="n">
        <f aca="false">IF(07_Licorerias!L87="","",07_Licorerias!L87)</f>
        <v>45.5</v>
      </c>
      <c r="M762" s="58" t="n">
        <f aca="false">IF(07_Licorerias!N87="","",07_Licorerias!N87)</f>
        <v>4.05</v>
      </c>
      <c r="N762" s="58" t="n">
        <f aca="false">IF(07_Licorerias!O87="","",07_Licorerias!O87)</f>
        <v>40.95</v>
      </c>
      <c r="O762" s="55" t="str">
        <f aca="false">IF(07_Licorerias!P87="","",07_Licorerias!P87)</f>
        <v>18:00-23:00</v>
      </c>
      <c r="P762" s="55" t="n">
        <f aca="false">IF(07_Licorerias!Q87="","",07_Licorerias!Q87)</f>
        <v>1</v>
      </c>
      <c r="Q762" s="55" t="str">
        <f aca="false">IF(07_Licorerias!R87="","",07_Licorerias!R87)</f>
        <v>Alto</v>
      </c>
      <c r="R762" s="55" t="str">
        <f aca="false">IF(07_Licorerias!S87="","",07_Licorerias!S87)</f>
        <v>Fin de semana</v>
      </c>
      <c r="S762" s="55" t="str">
        <f aca="false">IF(07_Licorerias!T87="","",07_Licorerias!T87)</f>
        <v>Licorería</v>
      </c>
      <c r="T762" s="56" t="str">
        <f aca="false">IF(07_Licorerias!U87="","",07_Licorerias!U87)</f>
        <v/>
      </c>
      <c r="U762" s="55" t="n">
        <v>87</v>
      </c>
      <c r="V762" s="55" t="n">
        <f aca="false">IF(AND(OR(LEN(13_Buscador!$C$5)=0,ISNUMBER(SEARCH(13_Buscador!$C$5,$C762&amp;" "&amp;$D762&amp;" "&amp;$E762&amp;" "&amp;$F762&amp;" "&amp;$S762))),OR(13_Buscador!$C$6="Todas las listas",LEN(13_Buscador!$C$6)=0,13_Buscador!$C$6=$B762)),1,0)</f>
        <v>0</v>
      </c>
      <c r="W762" s="55" t="str">
        <f aca="false">IF(V762=1,SUM($V$2:V762),"")</f>
        <v/>
      </c>
    </row>
    <row r="763" customFormat="false" ht="15" hidden="false" customHeight="true" outlineLevel="0" collapsed="false">
      <c r="A763" s="55" t="n">
        <v>762</v>
      </c>
      <c r="B763" s="55" t="s">
        <v>3333</v>
      </c>
      <c r="C763" s="55" t="str">
        <f aca="false">IF(07_Licorerias!B88="","",07_Licorerias!B88)</f>
        <v>Ron y vodka</v>
      </c>
      <c r="D763" s="56" t="str">
        <f aca="false">IF(07_Licorerias!C88="","",07_Licorerias!C88)</f>
        <v>Tequila blanco 750 ml</v>
      </c>
      <c r="E763" s="56" t="str">
        <f aca="false">IF(07_Licorerias!D88="","",07_Licorerias!D88)</f>
        <v>Botella</v>
      </c>
      <c r="F763" s="56" t="str">
        <f aca="false">IF(07_Licorerias!E88="","",07_Licorerias!E88)</f>
        <v>tequila de agave</v>
      </c>
      <c r="G763" s="55" t="str">
        <f aca="false">IF(07_Licorerias!F88="","",07_Licorerias!F88)</f>
        <v>Botella</v>
      </c>
      <c r="H763" s="55" t="str">
        <f aca="false">IF(07_Licorerias!G88="","",07_Licorerias!G88)</f>
        <v>Medio</v>
      </c>
      <c r="I763" s="58" t="n">
        <f aca="false">IF(07_Licorerias!H88="","",07_Licorerias!H88)</f>
        <v>50</v>
      </c>
      <c r="J763" s="58" t="n">
        <f aca="false">IF(07_Licorerias!I88="","",07_Licorerias!I88)</f>
        <v>110</v>
      </c>
      <c r="K763" s="58" t="n">
        <f aca="false">IF(07_Licorerias!J88="","",07_Licorerias!J88)</f>
        <v>80</v>
      </c>
      <c r="L763" s="58" t="n">
        <f aca="false">IF(07_Licorerias!L88="","",07_Licorerias!L88)</f>
        <v>80.5</v>
      </c>
      <c r="M763" s="58" t="n">
        <f aca="false">IF(07_Licorerias!N88="","",07_Licorerias!N88)</f>
        <v>8.8</v>
      </c>
      <c r="N763" s="58" t="n">
        <f aca="false">IF(07_Licorerias!O88="","",07_Licorerias!O88)</f>
        <v>71.2</v>
      </c>
      <c r="O763" s="55" t="str">
        <f aca="false">IF(07_Licorerias!P88="","",07_Licorerias!P88)</f>
        <v>18:00-23:00</v>
      </c>
      <c r="P763" s="55" t="n">
        <f aca="false">IF(07_Licorerias!Q88="","",07_Licorerias!Q88)</f>
        <v>1</v>
      </c>
      <c r="Q763" s="55" t="str">
        <f aca="false">IF(07_Licorerias!R88="","",07_Licorerias!R88)</f>
        <v>Alto</v>
      </c>
      <c r="R763" s="55" t="str">
        <f aca="false">IF(07_Licorerias!S88="","",07_Licorerias!S88)</f>
        <v>Fin de semana</v>
      </c>
      <c r="S763" s="55" t="str">
        <f aca="false">IF(07_Licorerias!T88="","",07_Licorerias!T88)</f>
        <v>Licorería</v>
      </c>
      <c r="T763" s="56" t="str">
        <f aca="false">IF(07_Licorerias!U88="","",07_Licorerias!U88)</f>
        <v/>
      </c>
      <c r="U763" s="55" t="n">
        <v>88</v>
      </c>
      <c r="V763" s="55" t="n">
        <f aca="false">IF(AND(OR(LEN(13_Buscador!$C$5)=0,ISNUMBER(SEARCH(13_Buscador!$C$5,$C763&amp;" "&amp;$D763&amp;" "&amp;$E763&amp;" "&amp;$F763&amp;" "&amp;$S763))),OR(13_Buscador!$C$6="Todas las listas",LEN(13_Buscador!$C$6)=0,13_Buscador!$C$6=$B763)),1,0)</f>
        <v>0</v>
      </c>
      <c r="W763" s="55" t="str">
        <f aca="false">IF(V763=1,SUM($V$2:V763),"")</f>
        <v/>
      </c>
    </row>
    <row r="764" customFormat="false" ht="15" hidden="false" customHeight="true" outlineLevel="0" collapsed="false">
      <c r="A764" s="55" t="n">
        <v>763</v>
      </c>
      <c r="B764" s="55" t="s">
        <v>3333</v>
      </c>
      <c r="C764" s="55" t="str">
        <f aca="false">IF(07_Licorerias!B89="","",07_Licorerias!B89)</f>
        <v>Whisky</v>
      </c>
      <c r="D764" s="56" t="str">
        <f aca="false">IF(07_Licorerias!C89="","",07_Licorerias!C89)</f>
        <v>Whisky Buchanan's 12 años</v>
      </c>
      <c r="E764" s="56" t="str">
        <f aca="false">IF(07_Licorerias!D89="","",07_Licorerias!D89)</f>
        <v>Botella</v>
      </c>
      <c r="F764" s="56" t="str">
        <f aca="false">IF(07_Licorerias!E89="","",07_Licorerias!E89)</f>
        <v>whisky</v>
      </c>
      <c r="G764" s="55" t="str">
        <f aca="false">IF(07_Licorerias!F89="","",07_Licorerias!F89)</f>
        <v>Botella</v>
      </c>
      <c r="H764" s="55" t="str">
        <f aca="false">IF(07_Licorerias!G89="","",07_Licorerias!G89)</f>
        <v>Premium</v>
      </c>
      <c r="I764" s="58" t="n">
        <f aca="false">IF(07_Licorerias!H89="","",07_Licorerias!H89)</f>
        <v>140</v>
      </c>
      <c r="J764" s="58" t="n">
        <f aca="false">IF(07_Licorerias!I89="","",07_Licorerias!I89)</f>
        <v>280</v>
      </c>
      <c r="K764" s="58" t="n">
        <f aca="false">IF(07_Licorerias!J89="","",07_Licorerias!J89)</f>
        <v>210</v>
      </c>
      <c r="L764" s="58" t="n">
        <f aca="false">IF(07_Licorerias!L89="","",07_Licorerias!L89)</f>
        <v>210.5</v>
      </c>
      <c r="M764" s="58" t="n">
        <f aca="false">IF(07_Licorerias!N89="","",07_Licorerias!N89)</f>
        <v>27.3</v>
      </c>
      <c r="N764" s="58" t="n">
        <f aca="false">IF(07_Licorerias!O89="","",07_Licorerias!O89)</f>
        <v>182.7</v>
      </c>
      <c r="O764" s="55" t="str">
        <f aca="false">IF(07_Licorerias!P89="","",07_Licorerias!P89)</f>
        <v>18:00-23:00</v>
      </c>
      <c r="P764" s="55" t="n">
        <f aca="false">IF(07_Licorerias!Q89="","",07_Licorerias!Q89)</f>
        <v>1</v>
      </c>
      <c r="Q764" s="55" t="str">
        <f aca="false">IF(07_Licorerias!R89="","",07_Licorerias!R89)</f>
        <v>Alto</v>
      </c>
      <c r="R764" s="55" t="str">
        <f aca="false">IF(07_Licorerias!S89="","",07_Licorerias!S89)</f>
        <v>Fiestas</v>
      </c>
      <c r="S764" s="55" t="str">
        <f aca="false">IF(07_Licorerias!T89="","",07_Licorerias!T89)</f>
        <v>Licorería</v>
      </c>
      <c r="T764" s="56" t="str">
        <f aca="false">IF(07_Licorerias!U89="","",07_Licorerias!U89)</f>
        <v/>
      </c>
      <c r="U764" s="55" t="n">
        <v>89</v>
      </c>
      <c r="V764" s="55" t="n">
        <f aca="false">IF(AND(OR(LEN(13_Buscador!$C$5)=0,ISNUMBER(SEARCH(13_Buscador!$C$5,$C764&amp;" "&amp;$D764&amp;" "&amp;$E764&amp;" "&amp;$F764&amp;" "&amp;$S764))),OR(13_Buscador!$C$6="Todas las listas",LEN(13_Buscador!$C$6)=0,13_Buscador!$C$6=$B764)),1,0)</f>
        <v>0</v>
      </c>
      <c r="W764" s="55" t="str">
        <f aca="false">IF(V764=1,SUM($V$2:V764),"")</f>
        <v/>
      </c>
    </row>
    <row r="765" customFormat="false" ht="15" hidden="false" customHeight="true" outlineLevel="0" collapsed="false">
      <c r="A765" s="55" t="n">
        <v>764</v>
      </c>
      <c r="B765" s="55" t="s">
        <v>3333</v>
      </c>
      <c r="C765" s="55" t="str">
        <f aca="false">IF(07_Licorerias!B90="","",07_Licorerias!B90)</f>
        <v>Whisky</v>
      </c>
      <c r="D765" s="56" t="str">
        <f aca="false">IF(07_Licorerias!C90="","",07_Licorerias!C90)</f>
        <v>Whisky Ballantine's 750 ml</v>
      </c>
      <c r="E765" s="56" t="str">
        <f aca="false">IF(07_Licorerias!D90="","",07_Licorerias!D90)</f>
        <v>Botella</v>
      </c>
      <c r="F765" s="56" t="str">
        <f aca="false">IF(07_Licorerias!E90="","",07_Licorerias!E90)</f>
        <v>whisky</v>
      </c>
      <c r="G765" s="55" t="str">
        <f aca="false">IF(07_Licorerias!F90="","",07_Licorerias!F90)</f>
        <v>Botella</v>
      </c>
      <c r="H765" s="55" t="str">
        <f aca="false">IF(07_Licorerias!G90="","",07_Licorerias!G90)</f>
        <v>Medio</v>
      </c>
      <c r="I765" s="58" t="n">
        <f aca="false">IF(07_Licorerias!H90="","",07_Licorerias!H90)</f>
        <v>60</v>
      </c>
      <c r="J765" s="58" t="n">
        <f aca="false">IF(07_Licorerias!I90="","",07_Licorerias!I90)</f>
        <v>120</v>
      </c>
      <c r="K765" s="58" t="n">
        <f aca="false">IF(07_Licorerias!J90="","",07_Licorerias!J90)</f>
        <v>90</v>
      </c>
      <c r="L765" s="58" t="n">
        <f aca="false">IF(07_Licorerias!L90="","",07_Licorerias!L90)</f>
        <v>90.5</v>
      </c>
      <c r="M765" s="58" t="n">
        <f aca="false">IF(07_Licorerias!N90="","",07_Licorerias!N90)</f>
        <v>9.9</v>
      </c>
      <c r="N765" s="58" t="n">
        <f aca="false">IF(07_Licorerias!O90="","",07_Licorerias!O90)</f>
        <v>80.1</v>
      </c>
      <c r="O765" s="55" t="str">
        <f aca="false">IF(07_Licorerias!P90="","",07_Licorerias!P90)</f>
        <v>18:00-23:00</v>
      </c>
      <c r="P765" s="55" t="n">
        <f aca="false">IF(07_Licorerias!Q90="","",07_Licorerias!Q90)</f>
        <v>1</v>
      </c>
      <c r="Q765" s="55" t="str">
        <f aca="false">IF(07_Licorerias!R90="","",07_Licorerias!R90)</f>
        <v>Alto</v>
      </c>
      <c r="R765" s="55" t="str">
        <f aca="false">IF(07_Licorerias!S90="","",07_Licorerias!S90)</f>
        <v>Todo el año</v>
      </c>
      <c r="S765" s="55" t="str">
        <f aca="false">IF(07_Licorerias!T90="","",07_Licorerias!T90)</f>
        <v>Licorería</v>
      </c>
      <c r="T765" s="56" t="str">
        <f aca="false">IF(07_Licorerias!U90="","",07_Licorerias!U90)</f>
        <v/>
      </c>
      <c r="U765" s="55" t="n">
        <v>90</v>
      </c>
      <c r="V765" s="55" t="n">
        <f aca="false">IF(AND(OR(LEN(13_Buscador!$C$5)=0,ISNUMBER(SEARCH(13_Buscador!$C$5,$C765&amp;" "&amp;$D765&amp;" "&amp;$E765&amp;" "&amp;$F765&amp;" "&amp;$S765))),OR(13_Buscador!$C$6="Todas las listas",LEN(13_Buscador!$C$6)=0,13_Buscador!$C$6=$B765)),1,0)</f>
        <v>0</v>
      </c>
      <c r="W765" s="55" t="str">
        <f aca="false">IF(V765=1,SUM($V$2:V765),"")</f>
        <v/>
      </c>
    </row>
    <row r="766" customFormat="false" ht="15" hidden="false" customHeight="true" outlineLevel="0" collapsed="false">
      <c r="A766" s="55" t="n">
        <v>765</v>
      </c>
      <c r="B766" s="55" t="s">
        <v>3333</v>
      </c>
      <c r="C766" s="55" t="str">
        <f aca="false">IF(07_Licorerias!B91="","",07_Licorerias!B91)</f>
        <v>Whisky</v>
      </c>
      <c r="D766" s="56" t="str">
        <f aca="false">IF(07_Licorerias!C91="","",07_Licorerias!C91)</f>
        <v>Whisky en petaca 250 ml</v>
      </c>
      <c r="E766" s="56" t="str">
        <f aca="false">IF(07_Licorerias!D91="","",07_Licorerias!D91)</f>
        <v>Presentación pequeña</v>
      </c>
      <c r="F766" s="56" t="str">
        <f aca="false">IF(07_Licorerias!E91="","",07_Licorerias!E91)</f>
        <v>whisky</v>
      </c>
      <c r="G766" s="55" t="str">
        <f aca="false">IF(07_Licorerias!F91="","",07_Licorerias!F91)</f>
        <v>Botella</v>
      </c>
      <c r="H766" s="55" t="str">
        <f aca="false">IF(07_Licorerias!G91="","",07_Licorerias!G91)</f>
        <v>Económico</v>
      </c>
      <c r="I766" s="58" t="n">
        <f aca="false">IF(07_Licorerias!H91="","",07_Licorerias!H91)</f>
        <v>12</v>
      </c>
      <c r="J766" s="58" t="n">
        <f aca="false">IF(07_Licorerias!I91="","",07_Licorerias!I91)</f>
        <v>30</v>
      </c>
      <c r="K766" s="58" t="n">
        <f aca="false">IF(07_Licorerias!J91="","",07_Licorerias!J91)</f>
        <v>21</v>
      </c>
      <c r="L766" s="58" t="n">
        <f aca="false">IF(07_Licorerias!L91="","",07_Licorerias!L91)</f>
        <v>21.5</v>
      </c>
      <c r="M766" s="58" t="n">
        <f aca="false">IF(07_Licorerias!N91="","",07_Licorerias!N91)</f>
        <v>1.47</v>
      </c>
      <c r="N766" s="58" t="n">
        <f aca="false">IF(07_Licorerias!O91="","",07_Licorerias!O91)</f>
        <v>19.53</v>
      </c>
      <c r="O766" s="55" t="str">
        <f aca="false">IF(07_Licorerias!P91="","",07_Licorerias!P91)</f>
        <v>18:00-23:00</v>
      </c>
      <c r="P766" s="55" t="n">
        <f aca="false">IF(07_Licorerias!Q91="","",07_Licorerias!Q91)</f>
        <v>1</v>
      </c>
      <c r="Q766" s="55" t="str">
        <f aca="false">IF(07_Licorerias!R91="","",07_Licorerias!R91)</f>
        <v>Alto</v>
      </c>
      <c r="R766" s="55" t="str">
        <f aca="false">IF(07_Licorerias!S91="","",07_Licorerias!S91)</f>
        <v>Todo el año</v>
      </c>
      <c r="S766" s="55" t="str">
        <f aca="false">IF(07_Licorerias!T91="","",07_Licorerias!T91)</f>
        <v>Licorería, bodega</v>
      </c>
      <c r="T766" s="56" t="str">
        <f aca="false">IF(07_Licorerias!U91="","",07_Licorerias!U91)</f>
        <v>Formato de bajo ticket y alta rotación</v>
      </c>
      <c r="U766" s="55" t="n">
        <v>91</v>
      </c>
      <c r="V766" s="55" t="n">
        <f aca="false">IF(AND(OR(LEN(13_Buscador!$C$5)=0,ISNUMBER(SEARCH(13_Buscador!$C$5,$C766&amp;" "&amp;$D766&amp;" "&amp;$E766&amp;" "&amp;$F766&amp;" "&amp;$S766))),OR(13_Buscador!$C$6="Todas las listas",LEN(13_Buscador!$C$6)=0,13_Buscador!$C$6=$B766)),1,0)</f>
        <v>0</v>
      </c>
      <c r="W766" s="55" t="str">
        <f aca="false">IF(V766=1,SUM($V$2:V766),"")</f>
        <v/>
      </c>
    </row>
    <row r="767" customFormat="false" ht="15" hidden="false" customHeight="true" outlineLevel="0" collapsed="false">
      <c r="A767" s="55" t="n">
        <v>766</v>
      </c>
      <c r="B767" s="55" t="s">
        <v>3333</v>
      </c>
      <c r="C767" s="55" t="str">
        <f aca="false">IF(07_Licorerias!B92="","",07_Licorerias!B92)</f>
        <v>Vinos</v>
      </c>
      <c r="D767" s="56" t="str">
        <f aca="false">IF(07_Licorerias!C92="","",07_Licorerias!C92)</f>
        <v>Vino borgoña semiseco</v>
      </c>
      <c r="E767" s="56" t="str">
        <f aca="false">IF(07_Licorerias!D92="","",07_Licorerias!D92)</f>
        <v>Tinto dulce</v>
      </c>
      <c r="F767" s="56" t="str">
        <f aca="false">IF(07_Licorerias!E92="","",07_Licorerias!E92)</f>
        <v>vino de uva</v>
      </c>
      <c r="G767" s="55" t="str">
        <f aca="false">IF(07_Licorerias!F92="","",07_Licorerias!F92)</f>
        <v>Botella</v>
      </c>
      <c r="H767" s="55" t="str">
        <f aca="false">IF(07_Licorerias!G92="","",07_Licorerias!G92)</f>
        <v>Económico</v>
      </c>
      <c r="I767" s="58" t="n">
        <f aca="false">IF(07_Licorerias!H92="","",07_Licorerias!H92)</f>
        <v>14</v>
      </c>
      <c r="J767" s="58" t="n">
        <f aca="false">IF(07_Licorerias!I92="","",07_Licorerias!I92)</f>
        <v>28</v>
      </c>
      <c r="K767" s="58" t="n">
        <f aca="false">IF(07_Licorerias!J92="","",07_Licorerias!J92)</f>
        <v>21</v>
      </c>
      <c r="L767" s="58" t="n">
        <f aca="false">IF(07_Licorerias!L92="","",07_Licorerias!L92)</f>
        <v>21.5</v>
      </c>
      <c r="M767" s="58" t="n">
        <f aca="false">IF(07_Licorerias!N92="","",07_Licorerias!N92)</f>
        <v>1.47</v>
      </c>
      <c r="N767" s="58" t="n">
        <f aca="false">IF(07_Licorerias!O92="","",07_Licorerias!O92)</f>
        <v>19.53</v>
      </c>
      <c r="O767" s="55" t="str">
        <f aca="false">IF(07_Licorerias!P92="","",07_Licorerias!P92)</f>
        <v>18:00-23:00</v>
      </c>
      <c r="P767" s="55" t="n">
        <f aca="false">IF(07_Licorerias!Q92="","",07_Licorerias!Q92)</f>
        <v>1</v>
      </c>
      <c r="Q767" s="55" t="str">
        <f aca="false">IF(07_Licorerias!R92="","",07_Licorerias!R92)</f>
        <v>Alto</v>
      </c>
      <c r="R767" s="55" t="str">
        <f aca="false">IF(07_Licorerias!S92="","",07_Licorerias!S92)</f>
        <v>Todo el año</v>
      </c>
      <c r="S767" s="55" t="str">
        <f aca="false">IF(07_Licorerias!T92="","",07_Licorerias!T92)</f>
        <v>Licorería, bodega</v>
      </c>
      <c r="T767" s="56" t="str">
        <f aca="false">IF(07_Licorerias!U92="","",07_Licorerias!U92)</f>
        <v>El vino más vendido en fiestas familiares</v>
      </c>
      <c r="U767" s="55" t="n">
        <v>92</v>
      </c>
      <c r="V767" s="55" t="n">
        <f aca="false">IF(AND(OR(LEN(13_Buscador!$C$5)=0,ISNUMBER(SEARCH(13_Buscador!$C$5,$C767&amp;" "&amp;$D767&amp;" "&amp;$E767&amp;" "&amp;$F767&amp;" "&amp;$S767))),OR(13_Buscador!$C$6="Todas las listas",LEN(13_Buscador!$C$6)=0,13_Buscador!$C$6=$B767)),1,0)</f>
        <v>0</v>
      </c>
      <c r="W767" s="55" t="str">
        <f aca="false">IF(V767=1,SUM($V$2:V767),"")</f>
        <v/>
      </c>
    </row>
    <row r="768" customFormat="false" ht="15" hidden="false" customHeight="true" outlineLevel="0" collapsed="false">
      <c r="A768" s="55" t="n">
        <v>767</v>
      </c>
      <c r="B768" s="55" t="s">
        <v>3333</v>
      </c>
      <c r="C768" s="55" t="str">
        <f aca="false">IF(07_Licorerias!B93="","",07_Licorerias!B93)</f>
        <v>Vinos</v>
      </c>
      <c r="D768" s="56" t="str">
        <f aca="false">IF(07_Licorerias!C93="","",07_Licorerias!C93)</f>
        <v>Vino blanco seco</v>
      </c>
      <c r="E768" s="56" t="str">
        <f aca="false">IF(07_Licorerias!D93="","",07_Licorerias!D93)</f>
        <v>Botella</v>
      </c>
      <c r="F768" s="56" t="str">
        <f aca="false">IF(07_Licorerias!E93="","",07_Licorerias!E93)</f>
        <v>vino de uva</v>
      </c>
      <c r="G768" s="55" t="str">
        <f aca="false">IF(07_Licorerias!F93="","",07_Licorerias!F93)</f>
        <v>Botella</v>
      </c>
      <c r="H768" s="55" t="str">
        <f aca="false">IF(07_Licorerias!G93="","",07_Licorerias!G93)</f>
        <v>Estándar</v>
      </c>
      <c r="I768" s="58" t="n">
        <f aca="false">IF(07_Licorerias!H93="","",07_Licorerias!H93)</f>
        <v>20</v>
      </c>
      <c r="J768" s="58" t="n">
        <f aca="false">IF(07_Licorerias!I93="","",07_Licorerias!I93)</f>
        <v>45</v>
      </c>
      <c r="K768" s="58" t="n">
        <f aca="false">IF(07_Licorerias!J93="","",07_Licorerias!J93)</f>
        <v>32.5</v>
      </c>
      <c r="L768" s="58" t="n">
        <f aca="false">IF(07_Licorerias!L93="","",07_Licorerias!L93)</f>
        <v>33</v>
      </c>
      <c r="M768" s="58" t="n">
        <f aca="false">IF(07_Licorerias!N93="","",07_Licorerias!N93)</f>
        <v>2.93</v>
      </c>
      <c r="N768" s="58" t="n">
        <f aca="false">IF(07_Licorerias!O93="","",07_Licorerias!O93)</f>
        <v>29.57</v>
      </c>
      <c r="O768" s="55" t="str">
        <f aca="false">IF(07_Licorerias!P93="","",07_Licorerias!P93)</f>
        <v>18:00-23:00</v>
      </c>
      <c r="P768" s="55" t="n">
        <f aca="false">IF(07_Licorerias!Q93="","",07_Licorerias!Q93)</f>
        <v>1</v>
      </c>
      <c r="Q768" s="55" t="str">
        <f aca="false">IF(07_Licorerias!R93="","",07_Licorerias!R93)</f>
        <v>Alto</v>
      </c>
      <c r="R768" s="55" t="str">
        <f aca="false">IF(07_Licorerias!S93="","",07_Licorerias!S93)</f>
        <v>Todo el año</v>
      </c>
      <c r="S768" s="55" t="str">
        <f aca="false">IF(07_Licorerias!T93="","",07_Licorerias!T93)</f>
        <v>Licorería</v>
      </c>
      <c r="T768" s="56" t="str">
        <f aca="false">IF(07_Licorerias!U93="","",07_Licorerias!U93)</f>
        <v/>
      </c>
      <c r="U768" s="55" t="n">
        <v>93</v>
      </c>
      <c r="V768" s="55" t="n">
        <f aca="false">IF(AND(OR(LEN(13_Buscador!$C$5)=0,ISNUMBER(SEARCH(13_Buscador!$C$5,$C768&amp;" "&amp;$D768&amp;" "&amp;$E768&amp;" "&amp;$F768&amp;" "&amp;$S768))),OR(13_Buscador!$C$6="Todas las listas",LEN(13_Buscador!$C$6)=0,13_Buscador!$C$6=$B768)),1,0)</f>
        <v>0</v>
      </c>
      <c r="W768" s="55" t="str">
        <f aca="false">IF(V768=1,SUM($V$2:V768),"")</f>
        <v/>
      </c>
    </row>
    <row r="769" customFormat="false" ht="15" hidden="false" customHeight="true" outlineLevel="0" collapsed="false">
      <c r="A769" s="55" t="n">
        <v>768</v>
      </c>
      <c r="B769" s="55" t="s">
        <v>3333</v>
      </c>
      <c r="C769" s="55" t="str">
        <f aca="false">IF(07_Licorerias!B94="","",07_Licorerias!B94)</f>
        <v>Vinos</v>
      </c>
      <c r="D769" s="56" t="str">
        <f aca="false">IF(07_Licorerias!C94="","",07_Licorerias!C94)</f>
        <v>Vino rosé</v>
      </c>
      <c r="E769" s="56" t="str">
        <f aca="false">IF(07_Licorerias!D94="","",07_Licorerias!D94)</f>
        <v>Botella</v>
      </c>
      <c r="F769" s="56" t="str">
        <f aca="false">IF(07_Licorerias!E94="","",07_Licorerias!E94)</f>
        <v>vino de uva</v>
      </c>
      <c r="G769" s="55" t="str">
        <f aca="false">IF(07_Licorerias!F94="","",07_Licorerias!F94)</f>
        <v>Botella</v>
      </c>
      <c r="H769" s="55" t="str">
        <f aca="false">IF(07_Licorerias!G94="","",07_Licorerias!G94)</f>
        <v>Estándar</v>
      </c>
      <c r="I769" s="58" t="n">
        <f aca="false">IF(07_Licorerias!H94="","",07_Licorerias!H94)</f>
        <v>22</v>
      </c>
      <c r="J769" s="58" t="n">
        <f aca="false">IF(07_Licorerias!I94="","",07_Licorerias!I94)</f>
        <v>50</v>
      </c>
      <c r="K769" s="58" t="n">
        <f aca="false">IF(07_Licorerias!J94="","",07_Licorerias!J94)</f>
        <v>36</v>
      </c>
      <c r="L769" s="58" t="n">
        <f aca="false">IF(07_Licorerias!L94="","",07_Licorerias!L94)</f>
        <v>36.5</v>
      </c>
      <c r="M769" s="58" t="n">
        <f aca="false">IF(07_Licorerias!N94="","",07_Licorerias!N94)</f>
        <v>3.24</v>
      </c>
      <c r="N769" s="58" t="n">
        <f aca="false">IF(07_Licorerias!O94="","",07_Licorerias!O94)</f>
        <v>32.76</v>
      </c>
      <c r="O769" s="55" t="str">
        <f aca="false">IF(07_Licorerias!P94="","",07_Licorerias!P94)</f>
        <v>18:00-23:00</v>
      </c>
      <c r="P769" s="55" t="n">
        <f aca="false">IF(07_Licorerias!Q94="","",07_Licorerias!Q94)</f>
        <v>1</v>
      </c>
      <c r="Q769" s="55" t="str">
        <f aca="false">IF(07_Licorerias!R94="","",07_Licorerias!R94)</f>
        <v>Alto</v>
      </c>
      <c r="R769" s="55" t="str">
        <f aca="false">IF(07_Licorerias!S94="","",07_Licorerias!S94)</f>
        <v>Todo el año</v>
      </c>
      <c r="S769" s="55" t="str">
        <f aca="false">IF(07_Licorerias!T94="","",07_Licorerias!T94)</f>
        <v>Licorería</v>
      </c>
      <c r="T769" s="56" t="str">
        <f aca="false">IF(07_Licorerias!U94="","",07_Licorerias!U94)</f>
        <v/>
      </c>
      <c r="U769" s="55" t="n">
        <v>94</v>
      </c>
      <c r="V769" s="55" t="n">
        <f aca="false">IF(AND(OR(LEN(13_Buscador!$C$5)=0,ISNUMBER(SEARCH(13_Buscador!$C$5,$C769&amp;" "&amp;$D769&amp;" "&amp;$E769&amp;" "&amp;$F769&amp;" "&amp;$S769))),OR(13_Buscador!$C$6="Todas las listas",LEN(13_Buscador!$C$6)=0,13_Buscador!$C$6=$B769)),1,0)</f>
        <v>0</v>
      </c>
      <c r="W769" s="55" t="str">
        <f aca="false">IF(V769=1,SUM($V$2:V769),"")</f>
        <v/>
      </c>
    </row>
    <row r="770" customFormat="false" ht="15" hidden="false" customHeight="true" outlineLevel="0" collapsed="false">
      <c r="A770" s="55" t="n">
        <v>769</v>
      </c>
      <c r="B770" s="55" t="s">
        <v>3333</v>
      </c>
      <c r="C770" s="55" t="str">
        <f aca="false">IF(07_Licorerias!B95="","",07_Licorerias!B95)</f>
        <v>Vinos</v>
      </c>
      <c r="D770" s="56" t="str">
        <f aca="false">IF(07_Licorerias!C95="","",07_Licorerias!C95)</f>
        <v>Sangría preparada</v>
      </c>
      <c r="E770" s="56" t="str">
        <f aca="false">IF(07_Licorerias!D95="","",07_Licorerias!D95)</f>
        <v>Jarra de sangría</v>
      </c>
      <c r="F770" s="56" t="str">
        <f aca="false">IF(07_Licorerias!E95="","",07_Licorerias!E95)</f>
        <v>vino de uva</v>
      </c>
      <c r="G770" s="55" t="str">
        <f aca="false">IF(07_Licorerias!F95="","",07_Licorerias!F95)</f>
        <v>Jarra 1 L</v>
      </c>
      <c r="H770" s="55" t="str">
        <f aca="false">IF(07_Licorerias!G95="","",07_Licorerias!G95)</f>
        <v>Estándar</v>
      </c>
      <c r="I770" s="58" t="n">
        <f aca="false">IF(07_Licorerias!H95="","",07_Licorerias!H95)</f>
        <v>20</v>
      </c>
      <c r="J770" s="58" t="n">
        <f aca="false">IF(07_Licorerias!I95="","",07_Licorerias!I95)</f>
        <v>45</v>
      </c>
      <c r="K770" s="58" t="n">
        <f aca="false">IF(07_Licorerias!J95="","",07_Licorerias!J95)</f>
        <v>32.5</v>
      </c>
      <c r="L770" s="58" t="n">
        <f aca="false">IF(07_Licorerias!L95="","",07_Licorerias!L95)</f>
        <v>33</v>
      </c>
      <c r="M770" s="58" t="n">
        <f aca="false">IF(07_Licorerias!N95="","",07_Licorerias!N95)</f>
        <v>2.93</v>
      </c>
      <c r="N770" s="58" t="n">
        <f aca="false">IF(07_Licorerias!O95="","",07_Licorerias!O95)</f>
        <v>29.57</v>
      </c>
      <c r="O770" s="55" t="str">
        <f aca="false">IF(07_Licorerias!P95="","",07_Licorerias!P95)</f>
        <v>18:00-23:00</v>
      </c>
      <c r="P770" s="55" t="n">
        <f aca="false">IF(07_Licorerias!Q95="","",07_Licorerias!Q95)</f>
        <v>8</v>
      </c>
      <c r="Q770" s="55" t="str">
        <f aca="false">IF(07_Licorerias!R95="","",07_Licorerias!R95)</f>
        <v>Medio</v>
      </c>
      <c r="R770" s="55" t="str">
        <f aca="false">IF(07_Licorerias!S95="","",07_Licorerias!S95)</f>
        <v>Todo el año</v>
      </c>
      <c r="S770" s="55" t="str">
        <f aca="false">IF(07_Licorerias!T95="","",07_Licorerias!T95)</f>
        <v>Bar</v>
      </c>
      <c r="T770" s="56" t="str">
        <f aca="false">IF(07_Licorerias!U95="","",07_Licorerias!U95)</f>
        <v/>
      </c>
      <c r="U770" s="55" t="n">
        <v>95</v>
      </c>
      <c r="V770" s="55" t="n">
        <f aca="false">IF(AND(OR(LEN(13_Buscador!$C$5)=0,ISNUMBER(SEARCH(13_Buscador!$C$5,$C770&amp;" "&amp;$D770&amp;" "&amp;$E770&amp;" "&amp;$F770&amp;" "&amp;$S770))),OR(13_Buscador!$C$6="Todas las listas",LEN(13_Buscador!$C$6)=0,13_Buscador!$C$6=$B770)),1,0)</f>
        <v>0</v>
      </c>
      <c r="W770" s="55" t="str">
        <f aca="false">IF(V770=1,SUM($V$2:V770),"")</f>
        <v/>
      </c>
    </row>
    <row r="771" customFormat="false" ht="15" hidden="false" customHeight="true" outlineLevel="0" collapsed="false">
      <c r="A771" s="55" t="n">
        <v>770</v>
      </c>
      <c r="B771" s="55" t="s">
        <v>3333</v>
      </c>
      <c r="C771" s="55" t="str">
        <f aca="false">IF(07_Licorerias!B96="","",07_Licorerias!B96)</f>
        <v>Vinos</v>
      </c>
      <c r="D771" s="56" t="str">
        <f aca="false">IF(07_Licorerias!C96="","",07_Licorerias!C96)</f>
        <v>Caja de vino (6 botellas)</v>
      </c>
      <c r="E771" s="56" t="str">
        <f aca="false">IF(07_Licorerias!D96="","",07_Licorerias!D96)</f>
        <v>Pack para evento</v>
      </c>
      <c r="F771" s="56" t="str">
        <f aca="false">IF(07_Licorerias!E96="","",07_Licorerias!E96)</f>
        <v>vino de uva</v>
      </c>
      <c r="G771" s="55" t="str">
        <f aca="false">IF(07_Licorerias!F96="","",07_Licorerias!F96)</f>
        <v>Caja</v>
      </c>
      <c r="H771" s="55" t="str">
        <f aca="false">IF(07_Licorerias!G96="","",07_Licorerias!G96)</f>
        <v>Premium</v>
      </c>
      <c r="I771" s="58" t="n">
        <f aca="false">IF(07_Licorerias!H96="","",07_Licorerias!H96)</f>
        <v>90</v>
      </c>
      <c r="J771" s="58" t="n">
        <f aca="false">IF(07_Licorerias!I96="","",07_Licorerias!I96)</f>
        <v>200</v>
      </c>
      <c r="K771" s="58" t="n">
        <f aca="false">IF(07_Licorerias!J96="","",07_Licorerias!J96)</f>
        <v>145</v>
      </c>
      <c r="L771" s="58" t="n">
        <f aca="false">IF(07_Licorerias!L96="","",07_Licorerias!L96)</f>
        <v>145.5</v>
      </c>
      <c r="M771" s="58" t="n">
        <f aca="false">IF(07_Licorerias!N96="","",07_Licorerias!N96)</f>
        <v>18.85</v>
      </c>
      <c r="N771" s="58" t="n">
        <f aca="false">IF(07_Licorerias!O96="","",07_Licorerias!O96)</f>
        <v>126.15</v>
      </c>
      <c r="O771" s="55" t="str">
        <f aca="false">IF(07_Licorerias!P96="","",07_Licorerias!P96)</f>
        <v>Todo el día</v>
      </c>
      <c r="P771" s="55" t="n">
        <f aca="false">IF(07_Licorerias!Q96="","",07_Licorerias!Q96)</f>
        <v>3</v>
      </c>
      <c r="Q771" s="55" t="str">
        <f aca="false">IF(07_Licorerias!R96="","",07_Licorerias!R96)</f>
        <v>Alto</v>
      </c>
      <c r="R771" s="55" t="str">
        <f aca="false">IF(07_Licorerias!S96="","",07_Licorerias!S96)</f>
        <v>Fiestas</v>
      </c>
      <c r="S771" s="55" t="str">
        <f aca="false">IF(07_Licorerias!T96="","",07_Licorerias!T96)</f>
        <v>Licorería</v>
      </c>
      <c r="T771" s="56" t="str">
        <f aca="false">IF(07_Licorerias!U96="","",07_Licorerias!U96)</f>
        <v/>
      </c>
      <c r="U771" s="55" t="n">
        <v>96</v>
      </c>
      <c r="V771" s="55" t="n">
        <f aca="false">IF(AND(OR(LEN(13_Buscador!$C$5)=0,ISNUMBER(SEARCH(13_Buscador!$C$5,$C771&amp;" "&amp;$D771&amp;" "&amp;$E771&amp;" "&amp;$F771&amp;" "&amp;$S771))),OR(13_Buscador!$C$6="Todas las listas",LEN(13_Buscador!$C$6)=0,13_Buscador!$C$6=$B771)),1,0)</f>
        <v>0</v>
      </c>
      <c r="W771" s="55" t="str">
        <f aca="false">IF(V771=1,SUM($V$2:V771),"")</f>
        <v/>
      </c>
    </row>
    <row r="772" customFormat="false" ht="15" hidden="false" customHeight="true" outlineLevel="0" collapsed="false">
      <c r="A772" s="55" t="n">
        <v>771</v>
      </c>
      <c r="B772" s="55" t="s">
        <v>3333</v>
      </c>
      <c r="C772" s="55" t="str">
        <f aca="false">IF(07_Licorerias!B97="","",07_Licorerias!B97)</f>
        <v>Licores y cremas</v>
      </c>
      <c r="D772" s="56" t="str">
        <f aca="false">IF(07_Licorerias!C97="","",07_Licorerias!C97)</f>
        <v>Licor de menta</v>
      </c>
      <c r="E772" s="56" t="str">
        <f aca="false">IF(07_Licorerias!D97="","",07_Licorerias!D97)</f>
        <v>Botella</v>
      </c>
      <c r="F772" s="56" t="str">
        <f aca="false">IF(07_Licorerias!E97="","",07_Licorerias!E97)</f>
        <v>alcohol base, fruta o insumo aromático, azúcar</v>
      </c>
      <c r="G772" s="55" t="str">
        <f aca="false">IF(07_Licorerias!F97="","",07_Licorerias!F97)</f>
        <v>Botella</v>
      </c>
      <c r="H772" s="55" t="str">
        <f aca="false">IF(07_Licorerias!G97="","",07_Licorerias!G97)</f>
        <v>Estándar</v>
      </c>
      <c r="I772" s="58" t="n">
        <f aca="false">IF(07_Licorerias!H97="","",07_Licorerias!H97)</f>
        <v>20</v>
      </c>
      <c r="J772" s="58" t="n">
        <f aca="false">IF(07_Licorerias!I97="","",07_Licorerias!I97)</f>
        <v>45</v>
      </c>
      <c r="K772" s="58" t="n">
        <f aca="false">IF(07_Licorerias!J97="","",07_Licorerias!J97)</f>
        <v>32.5</v>
      </c>
      <c r="L772" s="58" t="n">
        <f aca="false">IF(07_Licorerias!L97="","",07_Licorerias!L97)</f>
        <v>33</v>
      </c>
      <c r="M772" s="58" t="n">
        <f aca="false">IF(07_Licorerias!N97="","",07_Licorerias!N97)</f>
        <v>2.93</v>
      </c>
      <c r="N772" s="58" t="n">
        <f aca="false">IF(07_Licorerias!O97="","",07_Licorerias!O97)</f>
        <v>29.57</v>
      </c>
      <c r="O772" s="55" t="str">
        <f aca="false">IF(07_Licorerias!P97="","",07_Licorerias!P97)</f>
        <v>18:00-23:00</v>
      </c>
      <c r="P772" s="55" t="n">
        <f aca="false">IF(07_Licorerias!Q97="","",07_Licorerias!Q97)</f>
        <v>1</v>
      </c>
      <c r="Q772" s="55" t="str">
        <f aca="false">IF(07_Licorerias!R97="","",07_Licorerias!R97)</f>
        <v>Alto</v>
      </c>
      <c r="R772" s="55" t="str">
        <f aca="false">IF(07_Licorerias!S97="","",07_Licorerias!S97)</f>
        <v>Todo el año</v>
      </c>
      <c r="S772" s="55" t="str">
        <f aca="false">IF(07_Licorerias!T97="","",07_Licorerias!T97)</f>
        <v>Licorería</v>
      </c>
      <c r="T772" s="56" t="str">
        <f aca="false">IF(07_Licorerias!U97="","",07_Licorerias!U97)</f>
        <v/>
      </c>
      <c r="U772" s="55" t="n">
        <v>97</v>
      </c>
      <c r="V772" s="55" t="n">
        <f aca="false">IF(AND(OR(LEN(13_Buscador!$C$5)=0,ISNUMBER(SEARCH(13_Buscador!$C$5,$C772&amp;" "&amp;$D772&amp;" "&amp;$E772&amp;" "&amp;$F772&amp;" "&amp;$S772))),OR(13_Buscador!$C$6="Todas las listas",LEN(13_Buscador!$C$6)=0,13_Buscador!$C$6=$B772)),1,0)</f>
        <v>0</v>
      </c>
      <c r="W772" s="55" t="str">
        <f aca="false">IF(V772=1,SUM($V$2:V772),"")</f>
        <v/>
      </c>
    </row>
    <row r="773" customFormat="false" ht="15" hidden="false" customHeight="true" outlineLevel="0" collapsed="false">
      <c r="A773" s="55" t="n">
        <v>772</v>
      </c>
      <c r="B773" s="55" t="s">
        <v>3333</v>
      </c>
      <c r="C773" s="55" t="str">
        <f aca="false">IF(07_Licorerias!B98="","",07_Licorerias!B98)</f>
        <v>Licores y cremas</v>
      </c>
      <c r="D773" s="56" t="str">
        <f aca="false">IF(07_Licorerias!C98="","",07_Licorerias!C98)</f>
        <v>Licor de durazno</v>
      </c>
      <c r="E773" s="56" t="str">
        <f aca="false">IF(07_Licorerias!D98="","",07_Licorerias!D98)</f>
        <v>Botella</v>
      </c>
      <c r="F773" s="56" t="str">
        <f aca="false">IF(07_Licorerias!E98="","",07_Licorerias!E98)</f>
        <v>alcohol base, fruta o insumo aromático, azúcar</v>
      </c>
      <c r="G773" s="55" t="str">
        <f aca="false">IF(07_Licorerias!F98="","",07_Licorerias!F98)</f>
        <v>Botella</v>
      </c>
      <c r="H773" s="55" t="str">
        <f aca="false">IF(07_Licorerias!G98="","",07_Licorerias!G98)</f>
        <v>Estándar</v>
      </c>
      <c r="I773" s="58" t="n">
        <f aca="false">IF(07_Licorerias!H98="","",07_Licorerias!H98)</f>
        <v>20</v>
      </c>
      <c r="J773" s="58" t="n">
        <f aca="false">IF(07_Licorerias!I98="","",07_Licorerias!I98)</f>
        <v>45</v>
      </c>
      <c r="K773" s="58" t="n">
        <f aca="false">IF(07_Licorerias!J98="","",07_Licorerias!J98)</f>
        <v>32.5</v>
      </c>
      <c r="L773" s="58" t="n">
        <f aca="false">IF(07_Licorerias!L98="","",07_Licorerias!L98)</f>
        <v>33</v>
      </c>
      <c r="M773" s="58" t="n">
        <f aca="false">IF(07_Licorerias!N98="","",07_Licorerias!N98)</f>
        <v>2.93</v>
      </c>
      <c r="N773" s="58" t="n">
        <f aca="false">IF(07_Licorerias!O98="","",07_Licorerias!O98)</f>
        <v>29.57</v>
      </c>
      <c r="O773" s="55" t="str">
        <f aca="false">IF(07_Licorerias!P98="","",07_Licorerias!P98)</f>
        <v>18:00-23:00</v>
      </c>
      <c r="P773" s="55" t="n">
        <f aca="false">IF(07_Licorerias!Q98="","",07_Licorerias!Q98)</f>
        <v>1</v>
      </c>
      <c r="Q773" s="55" t="str">
        <f aca="false">IF(07_Licorerias!R98="","",07_Licorerias!R98)</f>
        <v>Alto</v>
      </c>
      <c r="R773" s="55" t="str">
        <f aca="false">IF(07_Licorerias!S98="","",07_Licorerias!S98)</f>
        <v>Todo el año</v>
      </c>
      <c r="S773" s="55" t="str">
        <f aca="false">IF(07_Licorerias!T98="","",07_Licorerias!T98)</f>
        <v>Licorería</v>
      </c>
      <c r="T773" s="56" t="str">
        <f aca="false">IF(07_Licorerias!U98="","",07_Licorerias!U98)</f>
        <v/>
      </c>
      <c r="U773" s="55" t="n">
        <v>98</v>
      </c>
      <c r="V773" s="55" t="n">
        <f aca="false">IF(AND(OR(LEN(13_Buscador!$C$5)=0,ISNUMBER(SEARCH(13_Buscador!$C$5,$C773&amp;" "&amp;$D773&amp;" "&amp;$E773&amp;" "&amp;$F773&amp;" "&amp;$S773))),OR(13_Buscador!$C$6="Todas las listas",LEN(13_Buscador!$C$6)=0,13_Buscador!$C$6=$B773)),1,0)</f>
        <v>0</v>
      </c>
      <c r="W773" s="55" t="str">
        <f aca="false">IF(V773=1,SUM($V$2:V773),"")</f>
        <v/>
      </c>
    </row>
    <row r="774" customFormat="false" ht="15" hidden="false" customHeight="true" outlineLevel="0" collapsed="false">
      <c r="A774" s="55" t="n">
        <v>773</v>
      </c>
      <c r="B774" s="55" t="s">
        <v>3333</v>
      </c>
      <c r="C774" s="55" t="str">
        <f aca="false">IF(07_Licorerias!B99="","",07_Licorerias!B99)</f>
        <v>Licores y cremas</v>
      </c>
      <c r="D774" s="56" t="str">
        <f aca="false">IF(07_Licorerias!C99="","",07_Licorerias!C99)</f>
        <v>Crema de algarrobina</v>
      </c>
      <c r="E774" s="56" t="str">
        <f aca="false">IF(07_Licorerias!D99="","",07_Licorerias!D99)</f>
        <v>Licor dulce regional</v>
      </c>
      <c r="F774" s="56" t="str">
        <f aca="false">IF(07_Licorerias!E99="","",07_Licorerias!E99)</f>
        <v>algarrobina, leche, huevo, azúcar</v>
      </c>
      <c r="G774" s="55" t="str">
        <f aca="false">IF(07_Licorerias!F99="","",07_Licorerias!F99)</f>
        <v>Botella</v>
      </c>
      <c r="H774" s="55" t="str">
        <f aca="false">IF(07_Licorerias!G99="","",07_Licorerias!G99)</f>
        <v>Estándar</v>
      </c>
      <c r="I774" s="58" t="n">
        <f aca="false">IF(07_Licorerias!H99="","",07_Licorerias!H99)</f>
        <v>22</v>
      </c>
      <c r="J774" s="58" t="n">
        <f aca="false">IF(07_Licorerias!I99="","",07_Licorerias!I99)</f>
        <v>50</v>
      </c>
      <c r="K774" s="58" t="n">
        <f aca="false">IF(07_Licorerias!J99="","",07_Licorerias!J99)</f>
        <v>36</v>
      </c>
      <c r="L774" s="58" t="n">
        <f aca="false">IF(07_Licorerias!L99="","",07_Licorerias!L99)</f>
        <v>36.5</v>
      </c>
      <c r="M774" s="58" t="n">
        <f aca="false">IF(07_Licorerias!N99="","",07_Licorerias!N99)</f>
        <v>3.24</v>
      </c>
      <c r="N774" s="58" t="n">
        <f aca="false">IF(07_Licorerias!O99="","",07_Licorerias!O99)</f>
        <v>32.76</v>
      </c>
      <c r="O774" s="55" t="str">
        <f aca="false">IF(07_Licorerias!P99="","",07_Licorerias!P99)</f>
        <v>18:00-23:00</v>
      </c>
      <c r="P774" s="55" t="n">
        <f aca="false">IF(07_Licorerias!Q99="","",07_Licorerias!Q99)</f>
        <v>1</v>
      </c>
      <c r="Q774" s="55" t="str">
        <f aca="false">IF(07_Licorerias!R99="","",07_Licorerias!R99)</f>
        <v>Alto</v>
      </c>
      <c r="R774" s="55" t="str">
        <f aca="false">IF(07_Licorerias!S99="","",07_Licorerias!S99)</f>
        <v>Todo el año</v>
      </c>
      <c r="S774" s="55" t="str">
        <f aca="false">IF(07_Licorerias!T99="","",07_Licorerias!T99)</f>
        <v>Licorería</v>
      </c>
      <c r="T774" s="56" t="str">
        <f aca="false">IF(07_Licorerias!U99="","",07_Licorerias!U99)</f>
        <v/>
      </c>
      <c r="U774" s="55" t="n">
        <v>99</v>
      </c>
      <c r="V774" s="55" t="n">
        <f aca="false">IF(AND(OR(LEN(13_Buscador!$C$5)=0,ISNUMBER(SEARCH(13_Buscador!$C$5,$C774&amp;" "&amp;$D774&amp;" "&amp;$E774&amp;" "&amp;$F774&amp;" "&amp;$S774))),OR(13_Buscador!$C$6="Todas las listas",LEN(13_Buscador!$C$6)=0,13_Buscador!$C$6=$B774)),1,0)</f>
        <v>0</v>
      </c>
      <c r="W774" s="55" t="str">
        <f aca="false">IF(V774=1,SUM($V$2:V774),"")</f>
        <v/>
      </c>
    </row>
    <row r="775" customFormat="false" ht="15" hidden="false" customHeight="true" outlineLevel="0" collapsed="false">
      <c r="A775" s="55" t="n">
        <v>774</v>
      </c>
      <c r="B775" s="55" t="s">
        <v>3333</v>
      </c>
      <c r="C775" s="55" t="str">
        <f aca="false">IF(07_Licorerias!B100="","",07_Licorerias!B100)</f>
        <v>Licores y cremas</v>
      </c>
      <c r="D775" s="56" t="str">
        <f aca="false">IF(07_Licorerias!C100="","",07_Licorerias!C100)</f>
        <v>Licor de leche / manjar</v>
      </c>
      <c r="E775" s="56" t="str">
        <f aca="false">IF(07_Licorerias!D100="","",07_Licorerias!D100)</f>
        <v>Crema artesanal</v>
      </c>
      <c r="F775" s="56" t="str">
        <f aca="false">IF(07_Licorerias!E100="","",07_Licorerias!E100)</f>
        <v>alcohol base, fruta o insumo aromático, azúcar</v>
      </c>
      <c r="G775" s="55" t="str">
        <f aca="false">IF(07_Licorerias!F100="","",07_Licorerias!F100)</f>
        <v>Botella</v>
      </c>
      <c r="H775" s="55" t="str">
        <f aca="false">IF(07_Licorerias!G100="","",07_Licorerias!G100)</f>
        <v>Estándar</v>
      </c>
      <c r="I775" s="58" t="n">
        <f aca="false">IF(07_Licorerias!H100="","",07_Licorerias!H100)</f>
        <v>20</v>
      </c>
      <c r="J775" s="58" t="n">
        <f aca="false">IF(07_Licorerias!I100="","",07_Licorerias!I100)</f>
        <v>50</v>
      </c>
      <c r="K775" s="58" t="n">
        <f aca="false">IF(07_Licorerias!J100="","",07_Licorerias!J100)</f>
        <v>35</v>
      </c>
      <c r="L775" s="58" t="n">
        <f aca="false">IF(07_Licorerias!L100="","",07_Licorerias!L100)</f>
        <v>35.5</v>
      </c>
      <c r="M775" s="58" t="n">
        <f aca="false">IF(07_Licorerias!N100="","",07_Licorerias!N100)</f>
        <v>3.15</v>
      </c>
      <c r="N775" s="58" t="n">
        <f aca="false">IF(07_Licorerias!O100="","",07_Licorerias!O100)</f>
        <v>31.85</v>
      </c>
      <c r="O775" s="55" t="str">
        <f aca="false">IF(07_Licorerias!P100="","",07_Licorerias!P100)</f>
        <v>18:00-23:00</v>
      </c>
      <c r="P775" s="55" t="n">
        <f aca="false">IF(07_Licorerias!Q100="","",07_Licorerias!Q100)</f>
        <v>1</v>
      </c>
      <c r="Q775" s="55" t="str">
        <f aca="false">IF(07_Licorerias!R100="","",07_Licorerias!R100)</f>
        <v>Alto</v>
      </c>
      <c r="R775" s="55" t="str">
        <f aca="false">IF(07_Licorerias!S100="","",07_Licorerias!S100)</f>
        <v>Todo el año</v>
      </c>
      <c r="S775" s="55" t="str">
        <f aca="false">IF(07_Licorerias!T100="","",07_Licorerias!T100)</f>
        <v>Licorería, feria</v>
      </c>
      <c r="T775" s="56" t="str">
        <f aca="false">IF(07_Licorerias!U100="","",07_Licorerias!U100)</f>
        <v/>
      </c>
      <c r="U775" s="55" t="n">
        <v>100</v>
      </c>
      <c r="V775" s="55" t="n">
        <f aca="false">IF(AND(OR(LEN(13_Buscador!$C$5)=0,ISNUMBER(SEARCH(13_Buscador!$C$5,$C775&amp;" "&amp;$D775&amp;" "&amp;$E775&amp;" "&amp;$F775&amp;" "&amp;$S775))),OR(13_Buscador!$C$6="Todas las listas",LEN(13_Buscador!$C$6)=0,13_Buscador!$C$6=$B775)),1,0)</f>
        <v>0</v>
      </c>
      <c r="W775" s="55" t="str">
        <f aca="false">IF(V775=1,SUM($V$2:V775),"")</f>
        <v/>
      </c>
    </row>
    <row r="776" customFormat="false" ht="23.25" hidden="false" customHeight="true" outlineLevel="0" collapsed="false">
      <c r="A776" s="55" t="n">
        <v>775</v>
      </c>
      <c r="B776" s="55" t="s">
        <v>3333</v>
      </c>
      <c r="C776" s="55" t="str">
        <f aca="false">IF(07_Licorerias!B101="","",07_Licorerias!B101)</f>
        <v>Combos y preparados</v>
      </c>
      <c r="D776" s="56" t="str">
        <f aca="false">IF(07_Licorerias!C101="","",07_Licorerias!C101)</f>
        <v>Combo mojito (ron + hierbabuena + limón)</v>
      </c>
      <c r="E776" s="56" t="str">
        <f aca="false">IF(07_Licorerias!D101="","",07_Licorerias!D101)</f>
        <v>Insumos completos</v>
      </c>
      <c r="F776" s="56" t="str">
        <f aca="false">IF(07_Licorerias!E101="","",07_Licorerias!E101)</f>
        <v>ron de caña</v>
      </c>
      <c r="G776" s="55" t="str">
        <f aca="false">IF(07_Licorerias!F101="","",07_Licorerias!F101)</f>
        <v>Combo</v>
      </c>
      <c r="H776" s="55" t="str">
        <f aca="false">IF(07_Licorerias!G101="","",07_Licorerias!G101)</f>
        <v>Estándar</v>
      </c>
      <c r="I776" s="58" t="n">
        <f aca="false">IF(07_Licorerias!H101="","",07_Licorerias!H101)</f>
        <v>35</v>
      </c>
      <c r="J776" s="58" t="n">
        <f aca="false">IF(07_Licorerias!I101="","",07_Licorerias!I101)</f>
        <v>70</v>
      </c>
      <c r="K776" s="58" t="n">
        <f aca="false">IF(07_Licorerias!J101="","",07_Licorerias!J101)</f>
        <v>52.5</v>
      </c>
      <c r="L776" s="58" t="n">
        <f aca="false">IF(07_Licorerias!L101="","",07_Licorerias!L101)</f>
        <v>53</v>
      </c>
      <c r="M776" s="58" t="n">
        <f aca="false">IF(07_Licorerias!N101="","",07_Licorerias!N101)</f>
        <v>4.73</v>
      </c>
      <c r="N776" s="58" t="n">
        <f aca="false">IF(07_Licorerias!O101="","",07_Licorerias!O101)</f>
        <v>47.77</v>
      </c>
      <c r="O776" s="55" t="str">
        <f aca="false">IF(07_Licorerias!P101="","",07_Licorerias!P101)</f>
        <v>18:00-23:00</v>
      </c>
      <c r="P776" s="55" t="n">
        <f aca="false">IF(07_Licorerias!Q101="","",07_Licorerias!Q101)</f>
        <v>6</v>
      </c>
      <c r="Q776" s="55" t="str">
        <f aca="false">IF(07_Licorerias!R101="","",07_Licorerias!R101)</f>
        <v>Alto</v>
      </c>
      <c r="R776" s="55" t="str">
        <f aca="false">IF(07_Licorerias!S101="","",07_Licorerias!S101)</f>
        <v>Todo el año</v>
      </c>
      <c r="S776" s="55" t="str">
        <f aca="false">IF(07_Licorerias!T101="","",07_Licorerias!T101)</f>
        <v>Licorería</v>
      </c>
      <c r="T776" s="56" t="str">
        <f aca="false">IF(07_Licorerias!U101="","",07_Licorerias!U101)</f>
        <v/>
      </c>
      <c r="U776" s="55" t="n">
        <v>101</v>
      </c>
      <c r="V776" s="55" t="n">
        <f aca="false">IF(AND(OR(LEN(13_Buscador!$C$5)=0,ISNUMBER(SEARCH(13_Buscador!$C$5,$C776&amp;" "&amp;$D776&amp;" "&amp;$E776&amp;" "&amp;$F776&amp;" "&amp;$S776))),OR(13_Buscador!$C$6="Todas las listas",LEN(13_Buscador!$C$6)=0,13_Buscador!$C$6=$B776)),1,0)</f>
        <v>0</v>
      </c>
      <c r="W776" s="55" t="str">
        <f aca="false">IF(V776=1,SUM($V$2:V776),"")</f>
        <v/>
      </c>
    </row>
    <row r="777" customFormat="false" ht="15" hidden="false" customHeight="true" outlineLevel="0" collapsed="false">
      <c r="A777" s="55" t="n">
        <v>776</v>
      </c>
      <c r="B777" s="55" t="s">
        <v>3333</v>
      </c>
      <c r="C777" s="55" t="str">
        <f aca="false">IF(07_Licorerias!B102="","",07_Licorerias!B102)</f>
        <v>Combos y preparados</v>
      </c>
      <c r="D777" s="56" t="str">
        <f aca="false">IF(07_Licorerias!C102="","",07_Licorerias!C102)</f>
        <v>Combo piña colada</v>
      </c>
      <c r="E777" s="56" t="str">
        <f aca="false">IF(07_Licorerias!D102="","",07_Licorerias!D102)</f>
        <v>Ron, piña, crema de coco</v>
      </c>
      <c r="F777" s="56" t="str">
        <f aca="false">IF(07_Licorerias!E102="","",07_Licorerias!E102)</f>
        <v>ron, piña, crema de coco, hielo</v>
      </c>
      <c r="G777" s="55" t="str">
        <f aca="false">IF(07_Licorerias!F102="","",07_Licorerias!F102)</f>
        <v>Combo</v>
      </c>
      <c r="H777" s="55" t="str">
        <f aca="false">IF(07_Licorerias!G102="","",07_Licorerias!G102)</f>
        <v>Medio</v>
      </c>
      <c r="I777" s="58" t="n">
        <f aca="false">IF(07_Licorerias!H102="","",07_Licorerias!H102)</f>
        <v>40</v>
      </c>
      <c r="J777" s="58" t="n">
        <f aca="false">IF(07_Licorerias!I102="","",07_Licorerias!I102)</f>
        <v>85</v>
      </c>
      <c r="K777" s="58" t="n">
        <f aca="false">IF(07_Licorerias!J102="","",07_Licorerias!J102)</f>
        <v>62.5</v>
      </c>
      <c r="L777" s="58" t="n">
        <f aca="false">IF(07_Licorerias!L102="","",07_Licorerias!L102)</f>
        <v>63</v>
      </c>
      <c r="M777" s="58" t="n">
        <f aca="false">IF(07_Licorerias!N102="","",07_Licorerias!N102)</f>
        <v>6.88</v>
      </c>
      <c r="N777" s="58" t="n">
        <f aca="false">IF(07_Licorerias!O102="","",07_Licorerias!O102)</f>
        <v>55.62</v>
      </c>
      <c r="O777" s="55" t="str">
        <f aca="false">IF(07_Licorerias!P102="","",07_Licorerias!P102)</f>
        <v>18:00-23:00</v>
      </c>
      <c r="P777" s="55" t="n">
        <f aca="false">IF(07_Licorerias!Q102="","",07_Licorerias!Q102)</f>
        <v>6</v>
      </c>
      <c r="Q777" s="55" t="str">
        <f aca="false">IF(07_Licorerias!R102="","",07_Licorerias!R102)</f>
        <v>Alto</v>
      </c>
      <c r="R777" s="55" t="str">
        <f aca="false">IF(07_Licorerias!S102="","",07_Licorerias!S102)</f>
        <v>Todo el año</v>
      </c>
      <c r="S777" s="55" t="str">
        <f aca="false">IF(07_Licorerias!T102="","",07_Licorerias!T102)</f>
        <v>Licorería</v>
      </c>
      <c r="T777" s="56" t="str">
        <f aca="false">IF(07_Licorerias!U102="","",07_Licorerias!U102)</f>
        <v/>
      </c>
      <c r="U777" s="55" t="n">
        <v>102</v>
      </c>
      <c r="V777" s="55" t="n">
        <f aca="false">IF(AND(OR(LEN(13_Buscador!$C$5)=0,ISNUMBER(SEARCH(13_Buscador!$C$5,$C777&amp;" "&amp;$D777&amp;" "&amp;$E777&amp;" "&amp;$F777&amp;" "&amp;$S777))),OR(13_Buscador!$C$6="Todas las listas",LEN(13_Buscador!$C$6)=0,13_Buscador!$C$6=$B777)),1,0)</f>
        <v>0</v>
      </c>
      <c r="W777" s="55" t="str">
        <f aca="false">IF(V777=1,SUM($V$2:V777),"")</f>
        <v/>
      </c>
    </row>
    <row r="778" customFormat="false" ht="23.25" hidden="false" customHeight="true" outlineLevel="0" collapsed="false">
      <c r="A778" s="55" t="n">
        <v>777</v>
      </c>
      <c r="B778" s="55" t="s">
        <v>3333</v>
      </c>
      <c r="C778" s="55" t="str">
        <f aca="false">IF(07_Licorerias!B103="","",07_Licorerias!B103)</f>
        <v>Combos y preparados</v>
      </c>
      <c r="D778" s="56" t="str">
        <f aca="false">IF(07_Licorerias!C103="","",07_Licorerias!C103)</f>
        <v>Combo previa (2 botellas + gaseosa + hielo)</v>
      </c>
      <c r="E778" s="56" t="str">
        <f aca="false">IF(07_Licorerias!D103="","",07_Licorerias!D103)</f>
        <v>Pack para reunión</v>
      </c>
      <c r="F778" s="56" t="str">
        <f aca="false">IF(07_Licorerias!E103="","",07_Licorerias!E103)</f>
        <v>producto embotellado de marca</v>
      </c>
      <c r="G778" s="55" t="str">
        <f aca="false">IF(07_Licorerias!F103="","",07_Licorerias!F103)</f>
        <v>Combo</v>
      </c>
      <c r="H778" s="55" t="str">
        <f aca="false">IF(07_Licorerias!G103="","",07_Licorerias!G103)</f>
        <v>Premium</v>
      </c>
      <c r="I778" s="58" t="n">
        <f aca="false">IF(07_Licorerias!H103="","",07_Licorerias!H103)</f>
        <v>80</v>
      </c>
      <c r="J778" s="58" t="n">
        <f aca="false">IF(07_Licorerias!I103="","",07_Licorerias!I103)</f>
        <v>160</v>
      </c>
      <c r="K778" s="58" t="n">
        <f aca="false">IF(07_Licorerias!J103="","",07_Licorerias!J103)</f>
        <v>120</v>
      </c>
      <c r="L778" s="58" t="n">
        <f aca="false">IF(07_Licorerias!L103="","",07_Licorerias!L103)</f>
        <v>120.5</v>
      </c>
      <c r="M778" s="58" t="n">
        <f aca="false">IF(07_Licorerias!N103="","",07_Licorerias!N103)</f>
        <v>15.6</v>
      </c>
      <c r="N778" s="58" t="n">
        <f aca="false">IF(07_Licorerias!O103="","",07_Licorerias!O103)</f>
        <v>104.4</v>
      </c>
      <c r="O778" s="55" t="str">
        <f aca="false">IF(07_Licorerias!P103="","",07_Licorerias!P103)</f>
        <v>18:00-23:00</v>
      </c>
      <c r="P778" s="55" t="n">
        <f aca="false">IF(07_Licorerias!Q103="","",07_Licorerias!Q103)</f>
        <v>6</v>
      </c>
      <c r="Q778" s="55" t="str">
        <f aca="false">IF(07_Licorerias!R103="","",07_Licorerias!R103)</f>
        <v>Medio</v>
      </c>
      <c r="R778" s="55" t="str">
        <f aca="false">IF(07_Licorerias!S103="","",07_Licorerias!S103)</f>
        <v>Fin de semana</v>
      </c>
      <c r="S778" s="55" t="str">
        <f aca="false">IF(07_Licorerias!T103="","",07_Licorerias!T103)</f>
        <v>Licorería</v>
      </c>
      <c r="T778" s="56" t="str">
        <f aca="false">IF(07_Licorerias!U103="","",07_Licorerias!U103)</f>
        <v>Pedido típico de viernes y sábado</v>
      </c>
      <c r="U778" s="55" t="n">
        <v>103</v>
      </c>
      <c r="V778" s="55" t="n">
        <f aca="false">IF(AND(OR(LEN(13_Buscador!$C$5)=0,ISNUMBER(SEARCH(13_Buscador!$C$5,$C778&amp;" "&amp;$D778&amp;" "&amp;$E778&amp;" "&amp;$F778&amp;" "&amp;$S778))),OR(13_Buscador!$C$6="Todas las listas",LEN(13_Buscador!$C$6)=0,13_Buscador!$C$6=$B778)),1,0)</f>
        <v>0</v>
      </c>
      <c r="W778" s="55" t="str">
        <f aca="false">IF(V778=1,SUM($V$2:V778),"")</f>
        <v/>
      </c>
    </row>
    <row r="779" customFormat="false" ht="23.25" hidden="false" customHeight="true" outlineLevel="0" collapsed="false">
      <c r="A779" s="55" t="n">
        <v>778</v>
      </c>
      <c r="B779" s="55" t="s">
        <v>3333</v>
      </c>
      <c r="C779" s="55" t="str">
        <f aca="false">IF(07_Licorerias!B104="","",07_Licorerias!B104)</f>
        <v>Combos y preparados</v>
      </c>
      <c r="D779" s="56" t="str">
        <f aca="false">IF(07_Licorerias!C104="","",07_Licorerias!C104)</f>
        <v>Combo parrilla (cerveza + carbón + descartables)</v>
      </c>
      <c r="E779" s="56" t="str">
        <f aca="false">IF(07_Licorerias!D104="","",07_Licorerias!D104)</f>
        <v>Pack de fin de semana</v>
      </c>
      <c r="F779" s="56" t="str">
        <f aca="false">IF(07_Licorerias!E104="","",07_Licorerias!E104)</f>
        <v>cortes de carne, chorizo, ajo, sal, papa, ensalada, carbón</v>
      </c>
      <c r="G779" s="55" t="str">
        <f aca="false">IF(07_Licorerias!F104="","",07_Licorerias!F104)</f>
        <v>Combo</v>
      </c>
      <c r="H779" s="55" t="str">
        <f aca="false">IF(07_Licorerias!G104="","",07_Licorerias!G104)</f>
        <v>Premium</v>
      </c>
      <c r="I779" s="58" t="n">
        <f aca="false">IF(07_Licorerias!H104="","",07_Licorerias!H104)</f>
        <v>90</v>
      </c>
      <c r="J779" s="58" t="n">
        <f aca="false">IF(07_Licorerias!I104="","",07_Licorerias!I104)</f>
        <v>180</v>
      </c>
      <c r="K779" s="58" t="n">
        <f aca="false">IF(07_Licorerias!J104="","",07_Licorerias!J104)</f>
        <v>135</v>
      </c>
      <c r="L779" s="58" t="n">
        <f aca="false">IF(07_Licorerias!L104="","",07_Licorerias!L104)</f>
        <v>135.5</v>
      </c>
      <c r="M779" s="58" t="n">
        <f aca="false">IF(07_Licorerias!N104="","",07_Licorerias!N104)</f>
        <v>17.55</v>
      </c>
      <c r="N779" s="58" t="n">
        <f aca="false">IF(07_Licorerias!O104="","",07_Licorerias!O104)</f>
        <v>117.45</v>
      </c>
      <c r="O779" s="55" t="str">
        <f aca="false">IF(07_Licorerias!P104="","",07_Licorerias!P104)</f>
        <v>10:00-18:00</v>
      </c>
      <c r="P779" s="55" t="n">
        <f aca="false">IF(07_Licorerias!Q104="","",07_Licorerias!Q104)</f>
        <v>8</v>
      </c>
      <c r="Q779" s="55" t="str">
        <f aca="false">IF(07_Licorerias!R104="","",07_Licorerias!R104)</f>
        <v>Medio</v>
      </c>
      <c r="R779" s="55" t="str">
        <f aca="false">IF(07_Licorerias!S104="","",07_Licorerias!S104)</f>
        <v>Fin de semana</v>
      </c>
      <c r="S779" s="55" t="str">
        <f aca="false">IF(07_Licorerias!T104="","",07_Licorerias!T104)</f>
        <v>Licorería, bodega</v>
      </c>
      <c r="T779" s="56" t="str">
        <f aca="false">IF(07_Licorerias!U104="","",07_Licorerias!U104)</f>
        <v>Cruce con la lista de cenas</v>
      </c>
      <c r="U779" s="55" t="n">
        <v>104</v>
      </c>
      <c r="V779" s="55" t="n">
        <f aca="false">IF(AND(OR(LEN(13_Buscador!$C$5)=0,ISNUMBER(SEARCH(13_Buscador!$C$5,$C779&amp;" "&amp;$D779&amp;" "&amp;$E779&amp;" "&amp;$F779&amp;" "&amp;$S779))),OR(13_Buscador!$C$6="Todas las listas",LEN(13_Buscador!$C$6)=0,13_Buscador!$C$6=$B779)),1,0)</f>
        <v>0</v>
      </c>
      <c r="W779" s="55" t="str">
        <f aca="false">IF(V779=1,SUM($V$2:V779),"")</f>
        <v/>
      </c>
    </row>
    <row r="780" customFormat="false" ht="15" hidden="false" customHeight="true" outlineLevel="0" collapsed="false">
      <c r="A780" s="55" t="n">
        <v>779</v>
      </c>
      <c r="B780" s="55" t="s">
        <v>3333</v>
      </c>
      <c r="C780" s="55" t="str">
        <f aca="false">IF(07_Licorerias!B105="","",07_Licorerias!B105)</f>
        <v>Combos y preparados</v>
      </c>
      <c r="D780" s="56" t="str">
        <f aca="false">IF(07_Licorerias!C105="","",07_Licorerias!C105)</f>
        <v>Jarra de chilcano preparado</v>
      </c>
      <c r="E780" s="56" t="str">
        <f aca="false">IF(07_Licorerias!D105="","",07_Licorerias!D105)</f>
        <v>Preparado listo 1 L</v>
      </c>
      <c r="F780" s="56" t="str">
        <f aca="false">IF(07_Licorerias!E105="","",07_Licorerias!E105)</f>
        <v>pisco, ginger ale, limón, hielo</v>
      </c>
      <c r="G780" s="55" t="str">
        <f aca="false">IF(07_Licorerias!F105="","",07_Licorerias!F105)</f>
        <v>Jarra</v>
      </c>
      <c r="H780" s="55" t="str">
        <f aca="false">IF(07_Licorerias!G105="","",07_Licorerias!G105)</f>
        <v>Medio</v>
      </c>
      <c r="I780" s="58" t="n">
        <f aca="false">IF(07_Licorerias!H105="","",07_Licorerias!H105)</f>
        <v>30</v>
      </c>
      <c r="J780" s="58" t="n">
        <f aca="false">IF(07_Licorerias!I105="","",07_Licorerias!I105)</f>
        <v>65</v>
      </c>
      <c r="K780" s="58" t="n">
        <f aca="false">IF(07_Licorerias!J105="","",07_Licorerias!J105)</f>
        <v>47.5</v>
      </c>
      <c r="L780" s="58" t="n">
        <f aca="false">IF(07_Licorerias!L105="","",07_Licorerias!L105)</f>
        <v>48</v>
      </c>
      <c r="M780" s="58" t="n">
        <f aca="false">IF(07_Licorerias!N105="","",07_Licorerias!N105)</f>
        <v>5.23</v>
      </c>
      <c r="N780" s="58" t="n">
        <f aca="false">IF(07_Licorerias!O105="","",07_Licorerias!O105)</f>
        <v>42.27</v>
      </c>
      <c r="O780" s="55" t="str">
        <f aca="false">IF(07_Licorerias!P105="","",07_Licorerias!P105)</f>
        <v>18:00-23:00</v>
      </c>
      <c r="P780" s="55" t="n">
        <f aca="false">IF(07_Licorerias!Q105="","",07_Licorerias!Q105)</f>
        <v>8</v>
      </c>
      <c r="Q780" s="55" t="str">
        <f aca="false">IF(07_Licorerias!R105="","",07_Licorerias!R105)</f>
        <v>Medio</v>
      </c>
      <c r="R780" s="55" t="str">
        <f aca="false">IF(07_Licorerias!S105="","",07_Licorerias!S105)</f>
        <v>Fin de semana</v>
      </c>
      <c r="S780" s="55" t="str">
        <f aca="false">IF(07_Licorerias!T105="","",07_Licorerias!T105)</f>
        <v>Bar</v>
      </c>
      <c r="T780" s="56" t="str">
        <f aca="false">IF(07_Licorerias!U105="","",07_Licorerias!U105)</f>
        <v/>
      </c>
      <c r="U780" s="55" t="n">
        <v>105</v>
      </c>
      <c r="V780" s="55" t="n">
        <f aca="false">IF(AND(OR(LEN(13_Buscador!$C$5)=0,ISNUMBER(SEARCH(13_Buscador!$C$5,$C780&amp;" "&amp;$D780&amp;" "&amp;$E780&amp;" "&amp;$F780&amp;" "&amp;$S780))),OR(13_Buscador!$C$6="Todas las listas",LEN(13_Buscador!$C$6)=0,13_Buscador!$C$6=$B780)),1,0)</f>
        <v>0</v>
      </c>
      <c r="W780" s="55" t="str">
        <f aca="false">IF(V780=1,SUM($V$2:V780),"")</f>
        <v/>
      </c>
    </row>
    <row r="781" customFormat="false" ht="23.25" hidden="false" customHeight="true" outlineLevel="0" collapsed="false">
      <c r="A781" s="55" t="n">
        <v>780</v>
      </c>
      <c r="B781" s="55" t="s">
        <v>3333</v>
      </c>
      <c r="C781" s="55" t="str">
        <f aca="false">IF(07_Licorerias!B106="","",07_Licorerias!B106)</f>
        <v>Combos y preparados</v>
      </c>
      <c r="D781" s="56" t="str">
        <f aca="false">IF(07_Licorerias!C106="","",07_Licorerias!C106)</f>
        <v>Combo aniversario (espumante + copas)</v>
      </c>
      <c r="E781" s="56" t="str">
        <f aca="false">IF(07_Licorerias!D106="","",07_Licorerias!D106)</f>
        <v>Pack de celebración</v>
      </c>
      <c r="F781" s="56" t="str">
        <f aca="false">IF(07_Licorerias!E106="","",07_Licorerias!E106)</f>
        <v>vino de uva</v>
      </c>
      <c r="G781" s="55" t="str">
        <f aca="false">IF(07_Licorerias!F106="","",07_Licorerias!F106)</f>
        <v>Combo</v>
      </c>
      <c r="H781" s="55" t="str">
        <f aca="false">IF(07_Licorerias!G106="","",07_Licorerias!G106)</f>
        <v>Premium</v>
      </c>
      <c r="I781" s="58" t="n">
        <f aca="false">IF(07_Licorerias!H106="","",07_Licorerias!H106)</f>
        <v>60</v>
      </c>
      <c r="J781" s="58" t="n">
        <f aca="false">IF(07_Licorerias!I106="","",07_Licorerias!I106)</f>
        <v>140</v>
      </c>
      <c r="K781" s="58" t="n">
        <f aca="false">IF(07_Licorerias!J106="","",07_Licorerias!J106)</f>
        <v>100</v>
      </c>
      <c r="L781" s="58" t="n">
        <f aca="false">IF(07_Licorerias!L106="","",07_Licorerias!L106)</f>
        <v>100.5</v>
      </c>
      <c r="M781" s="58" t="n">
        <f aca="false">IF(07_Licorerias!N106="","",07_Licorerias!N106)</f>
        <v>13</v>
      </c>
      <c r="N781" s="58" t="n">
        <f aca="false">IF(07_Licorerias!O106="","",07_Licorerias!O106)</f>
        <v>87</v>
      </c>
      <c r="O781" s="55" t="str">
        <f aca="false">IF(07_Licorerias!P106="","",07_Licorerias!P106)</f>
        <v>Todo el día</v>
      </c>
      <c r="P781" s="55" t="n">
        <f aca="false">IF(07_Licorerias!Q106="","",07_Licorerias!Q106)</f>
        <v>8</v>
      </c>
      <c r="Q781" s="55" t="str">
        <f aca="false">IF(07_Licorerias!R106="","",07_Licorerias!R106)</f>
        <v>Medio</v>
      </c>
      <c r="R781" s="55" t="str">
        <f aca="false">IF(07_Licorerias!S106="","",07_Licorerias!S106)</f>
        <v>Todo el año</v>
      </c>
      <c r="S781" s="55" t="str">
        <f aca="false">IF(07_Licorerias!T106="","",07_Licorerias!T106)</f>
        <v>Licorería</v>
      </c>
      <c r="T781" s="56" t="str">
        <f aca="false">IF(07_Licorerias!U106="","",07_Licorerias!U106)</f>
        <v/>
      </c>
      <c r="U781" s="55" t="n">
        <v>106</v>
      </c>
      <c r="V781" s="55" t="n">
        <f aca="false">IF(AND(OR(LEN(13_Buscador!$C$5)=0,ISNUMBER(SEARCH(13_Buscador!$C$5,$C781&amp;" "&amp;$D781&amp;" "&amp;$E781&amp;" "&amp;$F781&amp;" "&amp;$S781))),OR(13_Buscador!$C$6="Todas las listas",LEN(13_Buscador!$C$6)=0,13_Buscador!$C$6=$B781)),1,0)</f>
        <v>0</v>
      </c>
      <c r="W781" s="55" t="str">
        <f aca="false">IF(V781=1,SUM($V$2:V781),"")</f>
        <v/>
      </c>
    </row>
    <row r="782" customFormat="false" ht="23.25" hidden="false" customHeight="true" outlineLevel="0" collapsed="false">
      <c r="A782" s="55" t="n">
        <v>781</v>
      </c>
      <c r="B782" s="55" t="s">
        <v>3333</v>
      </c>
      <c r="C782" s="55" t="str">
        <f aca="false">IF(07_Licorerias!B107="","",07_Licorerias!B107)</f>
        <v>Complementos</v>
      </c>
      <c r="D782" s="56" t="str">
        <f aca="false">IF(07_Licorerias!C107="","",07_Licorerias!C107)</f>
        <v>Carbón para parrilla 3 kg</v>
      </c>
      <c r="E782" s="56" t="str">
        <f aca="false">IF(07_Licorerias!D107="","",07_Licorerias!D107)</f>
        <v>Bolsa de carbón</v>
      </c>
      <c r="F782" s="56" t="str">
        <f aca="false">IF(07_Licorerias!E107="","",07_Licorerias!E107)</f>
        <v>cortes de carne, chorizo, ajo, sal, papa, ensalada, carbón</v>
      </c>
      <c r="G782" s="55" t="str">
        <f aca="false">IF(07_Licorerias!F107="","",07_Licorerias!F107)</f>
        <v>Bolsa</v>
      </c>
      <c r="H782" s="55" t="str">
        <f aca="false">IF(07_Licorerias!G107="","",07_Licorerias!G107)</f>
        <v>Económico</v>
      </c>
      <c r="I782" s="58" t="n">
        <f aca="false">IF(07_Licorerias!H107="","",07_Licorerias!H107)</f>
        <v>8</v>
      </c>
      <c r="J782" s="58" t="n">
        <f aca="false">IF(07_Licorerias!I107="","",07_Licorerias!I107)</f>
        <v>18</v>
      </c>
      <c r="K782" s="58" t="n">
        <f aca="false">IF(07_Licorerias!J107="","",07_Licorerias!J107)</f>
        <v>13</v>
      </c>
      <c r="L782" s="58" t="n">
        <f aca="false">IF(07_Licorerias!L107="","",07_Licorerias!L107)</f>
        <v>13.5</v>
      </c>
      <c r="M782" s="58" t="n">
        <f aca="false">IF(07_Licorerias!N107="","",07_Licorerias!N107)</f>
        <v>0.91</v>
      </c>
      <c r="N782" s="58" t="n">
        <f aca="false">IF(07_Licorerias!O107="","",07_Licorerias!O107)</f>
        <v>12.09</v>
      </c>
      <c r="O782" s="55" t="str">
        <f aca="false">IF(07_Licorerias!P107="","",07_Licorerias!P107)</f>
        <v>10:00-20:00</v>
      </c>
      <c r="P782" s="55" t="n">
        <f aca="false">IF(07_Licorerias!Q107="","",07_Licorerias!Q107)</f>
        <v>1</v>
      </c>
      <c r="Q782" s="55" t="str">
        <f aca="false">IF(07_Licorerias!R107="","",07_Licorerias!R107)</f>
        <v>Alto</v>
      </c>
      <c r="R782" s="55" t="str">
        <f aca="false">IF(07_Licorerias!S107="","",07_Licorerias!S107)</f>
        <v>Fin de semana</v>
      </c>
      <c r="S782" s="55" t="str">
        <f aca="false">IF(07_Licorerias!T107="","",07_Licorerias!T107)</f>
        <v>Bodega, licorería</v>
      </c>
      <c r="T782" s="56" t="str">
        <f aca="false">IF(07_Licorerias!U107="","",07_Licorerias!U107)</f>
        <v/>
      </c>
      <c r="U782" s="55" t="n">
        <v>107</v>
      </c>
      <c r="V782" s="55" t="n">
        <f aca="false">IF(AND(OR(LEN(13_Buscador!$C$5)=0,ISNUMBER(SEARCH(13_Buscador!$C$5,$C782&amp;" "&amp;$D782&amp;" "&amp;$E782&amp;" "&amp;$F782&amp;" "&amp;$S782))),OR(13_Buscador!$C$6="Todas las listas",LEN(13_Buscador!$C$6)=0,13_Buscador!$C$6=$B782)),1,0)</f>
        <v>0</v>
      </c>
      <c r="W782" s="55" t="str">
        <f aca="false">IF(V782=1,SUM($V$2:V782),"")</f>
        <v/>
      </c>
    </row>
    <row r="783" customFormat="false" ht="15" hidden="false" customHeight="true" outlineLevel="0" collapsed="false">
      <c r="A783" s="55" t="n">
        <v>782</v>
      </c>
      <c r="B783" s="55" t="s">
        <v>3333</v>
      </c>
      <c r="C783" s="55" t="str">
        <f aca="false">IF(07_Licorerias!B108="","",07_Licorerias!B108)</f>
        <v>Complementos</v>
      </c>
      <c r="D783" s="56" t="str">
        <f aca="false">IF(07_Licorerias!C108="","",07_Licorerias!C108)</f>
        <v>Limones (bolsa)</v>
      </c>
      <c r="E783" s="56" t="str">
        <f aca="false">IF(07_Licorerias!D108="","",07_Licorerias!D108)</f>
        <v>Insumo para cócteles</v>
      </c>
      <c r="F783" s="56" t="str">
        <f aca="false">IF(07_Licorerias!E108="","",07_Licorerias!E108)</f>
        <v>limón fresco</v>
      </c>
      <c r="G783" s="55" t="str">
        <f aca="false">IF(07_Licorerias!F108="","",07_Licorerias!F108)</f>
        <v>Bolsa</v>
      </c>
      <c r="H783" s="55" t="str">
        <f aca="false">IF(07_Licorerias!G108="","",07_Licorerias!G108)</f>
        <v>Económico</v>
      </c>
      <c r="I783" s="58" t="n">
        <f aca="false">IF(07_Licorerias!H108="","",07_Licorerias!H108)</f>
        <v>3</v>
      </c>
      <c r="J783" s="58" t="n">
        <f aca="false">IF(07_Licorerias!I108="","",07_Licorerias!I108)</f>
        <v>8</v>
      </c>
      <c r="K783" s="58" t="n">
        <f aca="false">IF(07_Licorerias!J108="","",07_Licorerias!J108)</f>
        <v>5.5</v>
      </c>
      <c r="L783" s="58" t="n">
        <f aca="false">IF(07_Licorerias!L108="","",07_Licorerias!L108)</f>
        <v>6</v>
      </c>
      <c r="M783" s="58" t="n">
        <f aca="false">IF(07_Licorerias!N108="","",07_Licorerias!N108)</f>
        <v>0.39</v>
      </c>
      <c r="N783" s="58" t="n">
        <f aca="false">IF(07_Licorerias!O108="","",07_Licorerias!O108)</f>
        <v>5.11</v>
      </c>
      <c r="O783" s="55" t="str">
        <f aca="false">IF(07_Licorerias!P108="","",07_Licorerias!P108)</f>
        <v>Todo el día</v>
      </c>
      <c r="P783" s="55" t="n">
        <f aca="false">IF(07_Licorerias!Q108="","",07_Licorerias!Q108)</f>
        <v>1</v>
      </c>
      <c r="Q783" s="55" t="str">
        <f aca="false">IF(07_Licorerias!R108="","",07_Licorerias!R108)</f>
        <v>Alto</v>
      </c>
      <c r="R783" s="55" t="str">
        <f aca="false">IF(07_Licorerias!S108="","",07_Licorerias!S108)</f>
        <v>Todo el año</v>
      </c>
      <c r="S783" s="55" t="str">
        <f aca="false">IF(07_Licorerias!T108="","",07_Licorerias!T108)</f>
        <v>Bodega</v>
      </c>
      <c r="T783" s="56" t="str">
        <f aca="false">IF(07_Licorerias!U108="","",07_Licorerias!U108)</f>
        <v/>
      </c>
      <c r="U783" s="55" t="n">
        <v>108</v>
      </c>
      <c r="V783" s="55" t="n">
        <f aca="false">IF(AND(OR(LEN(13_Buscador!$C$5)=0,ISNUMBER(SEARCH(13_Buscador!$C$5,$C783&amp;" "&amp;$D783&amp;" "&amp;$E783&amp;" "&amp;$F783&amp;" "&amp;$S783))),OR(13_Buscador!$C$6="Todas las listas",LEN(13_Buscador!$C$6)=0,13_Buscador!$C$6=$B783)),1,0)</f>
        <v>0</v>
      </c>
      <c r="W783" s="55" t="str">
        <f aca="false">IF(V783=1,SUM($V$2:V783),"")</f>
        <v/>
      </c>
    </row>
    <row r="784" customFormat="false" ht="15" hidden="false" customHeight="true" outlineLevel="0" collapsed="false">
      <c r="A784" s="55" t="n">
        <v>783</v>
      </c>
      <c r="B784" s="55" t="s">
        <v>3333</v>
      </c>
      <c r="C784" s="55" t="str">
        <f aca="false">IF(07_Licorerias!B109="","",07_Licorerias!B109)</f>
        <v>Complementos</v>
      </c>
      <c r="D784" s="56" t="str">
        <f aca="false">IF(07_Licorerias!C109="","",07_Licorerias!C109)</f>
        <v>Jarabe de goma</v>
      </c>
      <c r="E784" s="56" t="str">
        <f aca="false">IF(07_Licorerias!D109="","",07_Licorerias!D109)</f>
        <v>Insumo de coctelería</v>
      </c>
      <c r="F784" s="56" t="str">
        <f aca="false">IF(07_Licorerias!E109="","",07_Licorerias!E109)</f>
        <v>limón, agua, azúcar</v>
      </c>
      <c r="G784" s="55" t="str">
        <f aca="false">IF(07_Licorerias!F109="","",07_Licorerias!F109)</f>
        <v>Botella</v>
      </c>
      <c r="H784" s="55" t="str">
        <f aca="false">IF(07_Licorerias!G109="","",07_Licorerias!G109)</f>
        <v>Económico</v>
      </c>
      <c r="I784" s="58" t="n">
        <f aca="false">IF(07_Licorerias!H109="","",07_Licorerias!H109)</f>
        <v>6</v>
      </c>
      <c r="J784" s="58" t="n">
        <f aca="false">IF(07_Licorerias!I109="","",07_Licorerias!I109)</f>
        <v>15</v>
      </c>
      <c r="K784" s="58" t="n">
        <f aca="false">IF(07_Licorerias!J109="","",07_Licorerias!J109)</f>
        <v>10.5</v>
      </c>
      <c r="L784" s="58" t="n">
        <f aca="false">IF(07_Licorerias!L109="","",07_Licorerias!L109)</f>
        <v>11</v>
      </c>
      <c r="M784" s="58" t="n">
        <f aca="false">IF(07_Licorerias!N109="","",07_Licorerias!N109)</f>
        <v>0.74</v>
      </c>
      <c r="N784" s="58" t="n">
        <f aca="false">IF(07_Licorerias!O109="","",07_Licorerias!O109)</f>
        <v>9.76</v>
      </c>
      <c r="O784" s="55" t="str">
        <f aca="false">IF(07_Licorerias!P109="","",07_Licorerias!P109)</f>
        <v>18:00-23:00</v>
      </c>
      <c r="P784" s="55" t="n">
        <f aca="false">IF(07_Licorerias!Q109="","",07_Licorerias!Q109)</f>
        <v>1</v>
      </c>
      <c r="Q784" s="55" t="str">
        <f aca="false">IF(07_Licorerias!R109="","",07_Licorerias!R109)</f>
        <v>Alto</v>
      </c>
      <c r="R784" s="55" t="str">
        <f aca="false">IF(07_Licorerias!S109="","",07_Licorerias!S109)</f>
        <v>Todo el año</v>
      </c>
      <c r="S784" s="55" t="str">
        <f aca="false">IF(07_Licorerias!T109="","",07_Licorerias!T109)</f>
        <v>Licorería</v>
      </c>
      <c r="T784" s="56" t="str">
        <f aca="false">IF(07_Licorerias!U109="","",07_Licorerias!U109)</f>
        <v/>
      </c>
      <c r="U784" s="55" t="n">
        <v>109</v>
      </c>
      <c r="V784" s="55" t="n">
        <f aca="false">IF(AND(OR(LEN(13_Buscador!$C$5)=0,ISNUMBER(SEARCH(13_Buscador!$C$5,$C784&amp;" "&amp;$D784&amp;" "&amp;$E784&amp;" "&amp;$F784&amp;" "&amp;$S784))),OR(13_Buscador!$C$6="Todas las listas",LEN(13_Buscador!$C$6)=0,13_Buscador!$C$6=$B784)),1,0)</f>
        <v>0</v>
      </c>
      <c r="W784" s="55" t="str">
        <f aca="false">IF(V784=1,SUM($V$2:V784),"")</f>
        <v/>
      </c>
    </row>
    <row r="785" customFormat="false" ht="15" hidden="false" customHeight="true" outlineLevel="0" collapsed="false">
      <c r="A785" s="55" t="n">
        <v>784</v>
      </c>
      <c r="B785" s="55" t="s">
        <v>3333</v>
      </c>
      <c r="C785" s="55" t="str">
        <f aca="false">IF(07_Licorerias!B110="","",07_Licorerias!B110)</f>
        <v>Complementos</v>
      </c>
      <c r="D785" s="56" t="str">
        <f aca="false">IF(07_Licorerias!C110="","",07_Licorerias!C110)</f>
        <v>Copas descartables (25 und)</v>
      </c>
      <c r="E785" s="56" t="str">
        <f aca="false">IF(07_Licorerias!D110="","",07_Licorerias!D110)</f>
        <v>Paquete</v>
      </c>
      <c r="F785" s="56" t="str">
        <f aca="false">IF(07_Licorerias!E110="","",07_Licorerias!E110)</f>
        <v>plásticos o cartón descartable</v>
      </c>
      <c r="G785" s="55" t="str">
        <f aca="false">IF(07_Licorerias!F110="","",07_Licorerias!F110)</f>
        <v>Paquete</v>
      </c>
      <c r="H785" s="55" t="str">
        <f aca="false">IF(07_Licorerias!G110="","",07_Licorerias!G110)</f>
        <v>Económico</v>
      </c>
      <c r="I785" s="58" t="n">
        <f aca="false">IF(07_Licorerias!H110="","",07_Licorerias!H110)</f>
        <v>5</v>
      </c>
      <c r="J785" s="58" t="n">
        <f aca="false">IF(07_Licorerias!I110="","",07_Licorerias!I110)</f>
        <v>14</v>
      </c>
      <c r="K785" s="58" t="n">
        <f aca="false">IF(07_Licorerias!J110="","",07_Licorerias!J110)</f>
        <v>9.5</v>
      </c>
      <c r="L785" s="58" t="n">
        <f aca="false">IF(07_Licorerias!L110="","",07_Licorerias!L110)</f>
        <v>10</v>
      </c>
      <c r="M785" s="58" t="n">
        <f aca="false">IF(07_Licorerias!N110="","",07_Licorerias!N110)</f>
        <v>0.67</v>
      </c>
      <c r="N785" s="58" t="n">
        <f aca="false">IF(07_Licorerias!O110="","",07_Licorerias!O110)</f>
        <v>8.83</v>
      </c>
      <c r="O785" s="55" t="str">
        <f aca="false">IF(07_Licorerias!P110="","",07_Licorerias!P110)</f>
        <v>18:00-23:00</v>
      </c>
      <c r="P785" s="55" t="n">
        <f aca="false">IF(07_Licorerias!Q110="","",07_Licorerias!Q110)</f>
        <v>1</v>
      </c>
      <c r="Q785" s="55" t="str">
        <f aca="false">IF(07_Licorerias!R110="","",07_Licorerias!R110)</f>
        <v>Alto</v>
      </c>
      <c r="R785" s="55" t="str">
        <f aca="false">IF(07_Licorerias!S110="","",07_Licorerias!S110)</f>
        <v>Fin de semana</v>
      </c>
      <c r="S785" s="55" t="str">
        <f aca="false">IF(07_Licorerias!T110="","",07_Licorerias!T110)</f>
        <v>Bodega</v>
      </c>
      <c r="T785" s="56" t="str">
        <f aca="false">IF(07_Licorerias!U110="","",07_Licorerias!U110)</f>
        <v/>
      </c>
      <c r="U785" s="55" t="n">
        <v>110</v>
      </c>
      <c r="V785" s="55" t="n">
        <f aca="false">IF(AND(OR(LEN(13_Buscador!$C$5)=0,ISNUMBER(SEARCH(13_Buscador!$C$5,$C785&amp;" "&amp;$D785&amp;" "&amp;$E785&amp;" "&amp;$F785&amp;" "&amp;$S785))),OR(13_Buscador!$C$6="Todas las listas",LEN(13_Buscador!$C$6)=0,13_Buscador!$C$6=$B785)),1,0)</f>
        <v>0</v>
      </c>
      <c r="W785" s="55" t="str">
        <f aca="false">IF(V785=1,SUM($V$2:V785),"")</f>
        <v/>
      </c>
    </row>
    <row r="786" customFormat="false" ht="15" hidden="false" customHeight="true" outlineLevel="0" collapsed="false">
      <c r="A786" s="55" t="n">
        <v>785</v>
      </c>
      <c r="B786" s="55" t="s">
        <v>3333</v>
      </c>
      <c r="C786" s="55" t="str">
        <f aca="false">IF(07_Licorerias!B111="","",07_Licorerias!B111)</f>
        <v>Complementos</v>
      </c>
      <c r="D786" s="56" t="str">
        <f aca="false">IF(07_Licorerias!C111="","",07_Licorerias!C111)</f>
        <v>Hielo en cubos 3 kg</v>
      </c>
      <c r="E786" s="56" t="str">
        <f aca="false">IF(07_Licorerias!D111="","",07_Licorerias!D111)</f>
        <v>Bolsa</v>
      </c>
      <c r="F786" s="56" t="str">
        <f aca="false">IF(07_Licorerias!E111="","",07_Licorerias!E111)</f>
        <v>agua congelada</v>
      </c>
      <c r="G786" s="55" t="str">
        <f aca="false">IF(07_Licorerias!F111="","",07_Licorerias!F111)</f>
        <v>Bolsa</v>
      </c>
      <c r="H786" s="55" t="str">
        <f aca="false">IF(07_Licorerias!G111="","",07_Licorerias!G111)</f>
        <v>Económico</v>
      </c>
      <c r="I786" s="58" t="n">
        <f aca="false">IF(07_Licorerias!H111="","",07_Licorerias!H111)</f>
        <v>4</v>
      </c>
      <c r="J786" s="58" t="n">
        <f aca="false">IF(07_Licorerias!I111="","",07_Licorerias!I111)</f>
        <v>10</v>
      </c>
      <c r="K786" s="58" t="n">
        <f aca="false">IF(07_Licorerias!J111="","",07_Licorerias!J111)</f>
        <v>7</v>
      </c>
      <c r="L786" s="58" t="n">
        <f aca="false">IF(07_Licorerias!L111="","",07_Licorerias!L111)</f>
        <v>7.5</v>
      </c>
      <c r="M786" s="58" t="n">
        <f aca="false">IF(07_Licorerias!N111="","",07_Licorerias!N111)</f>
        <v>0.49</v>
      </c>
      <c r="N786" s="58" t="n">
        <f aca="false">IF(07_Licorerias!O111="","",07_Licorerias!O111)</f>
        <v>6.51</v>
      </c>
      <c r="O786" s="55" t="str">
        <f aca="false">IF(07_Licorerias!P111="","",07_Licorerias!P111)</f>
        <v>18:00-23:00</v>
      </c>
      <c r="P786" s="55" t="n">
        <f aca="false">IF(07_Licorerias!Q111="","",07_Licorerias!Q111)</f>
        <v>1</v>
      </c>
      <c r="Q786" s="55" t="str">
        <f aca="false">IF(07_Licorerias!R111="","",07_Licorerias!R111)</f>
        <v>Bajo</v>
      </c>
      <c r="R786" s="55" t="str">
        <f aca="false">IF(07_Licorerias!S111="","",07_Licorerias!S111)</f>
        <v>Mayor demanda en calor</v>
      </c>
      <c r="S786" s="55" t="str">
        <f aca="false">IF(07_Licorerias!T111="","",07_Licorerias!T111)</f>
        <v>Licorería</v>
      </c>
      <c r="T786" s="56" t="str">
        <f aca="false">IF(07_Licorerias!U111="","",07_Licorerias!U111)</f>
        <v>Entrega máxima 25 minutos</v>
      </c>
      <c r="U786" s="55" t="n">
        <v>111</v>
      </c>
      <c r="V786" s="55" t="n">
        <f aca="false">IF(AND(OR(LEN(13_Buscador!$C$5)=0,ISNUMBER(SEARCH(13_Buscador!$C$5,$C786&amp;" "&amp;$D786&amp;" "&amp;$E786&amp;" "&amp;$F786&amp;" "&amp;$S786))),OR(13_Buscador!$C$6="Todas las listas",LEN(13_Buscador!$C$6)=0,13_Buscador!$C$6=$B786)),1,0)</f>
        <v>0</v>
      </c>
      <c r="W786" s="55" t="str">
        <f aca="false">IF(V786=1,SUM($V$2:V786),"")</f>
        <v/>
      </c>
    </row>
    <row r="787" customFormat="false" ht="15" hidden="false" customHeight="true" outlineLevel="0" collapsed="false">
      <c r="A787" s="55" t="n">
        <v>786</v>
      </c>
      <c r="B787" s="55" t="s">
        <v>3333</v>
      </c>
      <c r="C787" s="55" t="str">
        <f aca="false">IF(07_Licorerias!B112="","",07_Licorerias!B112)</f>
        <v>Complementos</v>
      </c>
      <c r="D787" s="56" t="str">
        <f aca="false">IF(07_Licorerias!C112="","",07_Licorerias!C112)</f>
        <v>Agua mineral con gas 1.5 L</v>
      </c>
      <c r="E787" s="56" t="str">
        <f aca="false">IF(07_Licorerias!D112="","",07_Licorerias!D112)</f>
        <v>Botella</v>
      </c>
      <c r="F787" s="56" t="str">
        <f aca="false">IF(07_Licorerias!E112="","",07_Licorerias!E112)</f>
        <v>producto embotellado de marca</v>
      </c>
      <c r="G787" s="55" t="str">
        <f aca="false">IF(07_Licorerias!F112="","",07_Licorerias!F112)</f>
        <v>Botella</v>
      </c>
      <c r="H787" s="55" t="str">
        <f aca="false">IF(07_Licorerias!G112="","",07_Licorerias!G112)</f>
        <v>Económico</v>
      </c>
      <c r="I787" s="58" t="n">
        <f aca="false">IF(07_Licorerias!H112="","",07_Licorerias!H112)</f>
        <v>4</v>
      </c>
      <c r="J787" s="58" t="n">
        <f aca="false">IF(07_Licorerias!I112="","",07_Licorerias!I112)</f>
        <v>9</v>
      </c>
      <c r="K787" s="58" t="n">
        <f aca="false">IF(07_Licorerias!J112="","",07_Licorerias!J112)</f>
        <v>6.5</v>
      </c>
      <c r="L787" s="58" t="n">
        <f aca="false">IF(07_Licorerias!L112="","",07_Licorerias!L112)</f>
        <v>7</v>
      </c>
      <c r="M787" s="58" t="n">
        <f aca="false">IF(07_Licorerias!N112="","",07_Licorerias!N112)</f>
        <v>0.46</v>
      </c>
      <c r="N787" s="58" t="n">
        <f aca="false">IF(07_Licorerias!O112="","",07_Licorerias!O112)</f>
        <v>6.04</v>
      </c>
      <c r="O787" s="55" t="str">
        <f aca="false">IF(07_Licorerias!P112="","",07_Licorerias!P112)</f>
        <v>Todo el día</v>
      </c>
      <c r="P787" s="55" t="n">
        <f aca="false">IF(07_Licorerias!Q112="","",07_Licorerias!Q112)</f>
        <v>1</v>
      </c>
      <c r="Q787" s="55" t="str">
        <f aca="false">IF(07_Licorerias!R112="","",07_Licorerias!R112)</f>
        <v>Alto</v>
      </c>
      <c r="R787" s="55" t="str">
        <f aca="false">IF(07_Licorerias!S112="","",07_Licorerias!S112)</f>
        <v>Todo el año</v>
      </c>
      <c r="S787" s="55" t="str">
        <f aca="false">IF(07_Licorerias!T112="","",07_Licorerias!T112)</f>
        <v>Licorería, bodega</v>
      </c>
      <c r="T787" s="56" t="str">
        <f aca="false">IF(07_Licorerias!U112="","",07_Licorerias!U112)</f>
        <v/>
      </c>
      <c r="U787" s="55" t="n">
        <v>112</v>
      </c>
      <c r="V787" s="55" t="n">
        <f aca="false">IF(AND(OR(LEN(13_Buscador!$C$5)=0,ISNUMBER(SEARCH(13_Buscador!$C$5,$C787&amp;" "&amp;$D787&amp;" "&amp;$E787&amp;" "&amp;$F787&amp;" "&amp;$S787))),OR(13_Buscador!$C$6="Todas las listas",LEN(13_Buscador!$C$6)=0,13_Buscador!$C$6=$B787)),1,0)</f>
        <v>0</v>
      </c>
      <c r="W787" s="55" t="str">
        <f aca="false">IF(V787=1,SUM($V$2:V787),"")</f>
        <v/>
      </c>
    </row>
    <row r="788" customFormat="false" ht="15" hidden="false" customHeight="true" outlineLevel="0" collapsed="false">
      <c r="A788" s="55" t="n">
        <v>787</v>
      </c>
      <c r="B788" s="55" t="s">
        <v>3333</v>
      </c>
      <c r="C788" s="55" t="str">
        <f aca="false">IF(07_Licorerias!B113="","",07_Licorerias!B113)</f>
        <v>Complementos</v>
      </c>
      <c r="D788" s="56" t="str">
        <f aca="false">IF(07_Licorerias!C113="","",07_Licorerias!C113)</f>
        <v>Piqueo mixto grande</v>
      </c>
      <c r="E788" s="56" t="str">
        <f aca="false">IF(07_Licorerias!D113="","",07_Licorerias!D113)</f>
        <v>Maní, habas, canchita</v>
      </c>
      <c r="F788" s="56" t="str">
        <f aca="false">IF(07_Licorerias!E113="","",07_Licorerias!E113)</f>
        <v>surtido de preparaciones de la casa</v>
      </c>
      <c r="G788" s="55" t="str">
        <f aca="false">IF(07_Licorerias!F113="","",07_Licorerias!F113)</f>
        <v>Bolsa grande</v>
      </c>
      <c r="H788" s="55" t="str">
        <f aca="false">IF(07_Licorerias!G113="","",07_Licorerias!G113)</f>
        <v>Económico</v>
      </c>
      <c r="I788" s="58" t="n">
        <f aca="false">IF(07_Licorerias!H113="","",07_Licorerias!H113)</f>
        <v>6</v>
      </c>
      <c r="J788" s="58" t="n">
        <f aca="false">IF(07_Licorerias!I113="","",07_Licorerias!I113)</f>
        <v>15</v>
      </c>
      <c r="K788" s="58" t="n">
        <f aca="false">IF(07_Licorerias!J113="","",07_Licorerias!J113)</f>
        <v>10.5</v>
      </c>
      <c r="L788" s="58" t="n">
        <f aca="false">IF(07_Licorerias!L113="","",07_Licorerias!L113)</f>
        <v>11</v>
      </c>
      <c r="M788" s="58" t="n">
        <f aca="false">IF(07_Licorerias!N113="","",07_Licorerias!N113)</f>
        <v>0.74</v>
      </c>
      <c r="N788" s="58" t="n">
        <f aca="false">IF(07_Licorerias!O113="","",07_Licorerias!O113)</f>
        <v>9.76</v>
      </c>
      <c r="O788" s="55" t="str">
        <f aca="false">IF(07_Licorerias!P113="","",07_Licorerias!P113)</f>
        <v>18:00-23:00</v>
      </c>
      <c r="P788" s="55" t="n">
        <f aca="false">IF(07_Licorerias!Q113="","",07_Licorerias!Q113)</f>
        <v>2</v>
      </c>
      <c r="Q788" s="55" t="str">
        <f aca="false">IF(07_Licorerias!R113="","",07_Licorerias!R113)</f>
        <v>Alto</v>
      </c>
      <c r="R788" s="55" t="str">
        <f aca="false">IF(07_Licorerias!S113="","",07_Licorerias!S113)</f>
        <v>Todo el año</v>
      </c>
      <c r="S788" s="55" t="str">
        <f aca="false">IF(07_Licorerias!T113="","",07_Licorerias!T113)</f>
        <v>Licorería, bodega</v>
      </c>
      <c r="T788" s="56" t="str">
        <f aca="false">IF(07_Licorerias!U113="","",07_Licorerias!U113)</f>
        <v/>
      </c>
      <c r="U788" s="55" t="n">
        <v>113</v>
      </c>
      <c r="V788" s="55" t="n">
        <f aca="false">IF(AND(OR(LEN(13_Buscador!$C$5)=0,ISNUMBER(SEARCH(13_Buscador!$C$5,$C788&amp;" "&amp;$D788&amp;" "&amp;$E788&amp;" "&amp;$F788&amp;" "&amp;$S788))),OR(13_Buscador!$C$6="Todas las listas",LEN(13_Buscador!$C$6)=0,13_Buscador!$C$6=$B788)),1,0)</f>
        <v>0</v>
      </c>
      <c r="W788" s="55" t="str">
        <f aca="false">IF(V788=1,SUM($V$2:V788),"")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2026-09-22T22:08:07Z</dcterms:created>
  <dc:creator>openpyxl</dc:creator>
  <dc:description/>
  <dc:language>en-US</dc:language>
  <cp:lastModifiedBy/>
  <dcterms:modified xsi:type="dcterms:W3CDTF">2026-09-23T03:37:37Z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